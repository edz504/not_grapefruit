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6" i="20" l="1"/>
  <c r="S16" i="20"/>
  <c r="S15" i="20"/>
  <c r="S14" i="20"/>
  <c r="H40" i="20"/>
  <c r="H39" i="20"/>
  <c r="H38" i="20"/>
  <c r="H35" i="20"/>
  <c r="S42" i="20" s="1"/>
  <c r="H34" i="20"/>
  <c r="S39" i="20" s="1"/>
  <c r="H33" i="20"/>
  <c r="H30" i="20"/>
  <c r="H29" i="20"/>
  <c r="S37" i="20" s="1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T19" i="20"/>
  <c r="D109" i="10"/>
  <c r="E109" i="10"/>
  <c r="F109" i="10"/>
  <c r="G109" i="10"/>
  <c r="H109" i="10"/>
  <c r="H120" i="10" s="1"/>
  <c r="I109" i="10"/>
  <c r="J109" i="10"/>
  <c r="K109" i="10"/>
  <c r="K116" i="10" s="1"/>
  <c r="L109" i="10"/>
  <c r="M109" i="10"/>
  <c r="N109" i="10"/>
  <c r="O109" i="10"/>
  <c r="D110" i="10"/>
  <c r="D121" i="10" s="1"/>
  <c r="E110" i="10"/>
  <c r="E121" i="10" s="1"/>
  <c r="F110" i="10"/>
  <c r="G110" i="10"/>
  <c r="H110" i="10"/>
  <c r="H121" i="10" s="1"/>
  <c r="I110" i="10"/>
  <c r="J110" i="10"/>
  <c r="K110" i="10"/>
  <c r="L110" i="10"/>
  <c r="L121" i="10" s="1"/>
  <c r="M110" i="10"/>
  <c r="N110" i="10"/>
  <c r="O110" i="10"/>
  <c r="D111" i="10"/>
  <c r="D122" i="10" s="1"/>
  <c r="E111" i="10"/>
  <c r="F111" i="10"/>
  <c r="G111" i="10"/>
  <c r="H111" i="10"/>
  <c r="H122" i="10" s="1"/>
  <c r="I111" i="10"/>
  <c r="I122" i="10" s="1"/>
  <c r="J111" i="10"/>
  <c r="K111" i="10"/>
  <c r="L111" i="10"/>
  <c r="L122" i="10" s="1"/>
  <c r="M111" i="10"/>
  <c r="N111" i="10"/>
  <c r="O111" i="10"/>
  <c r="D112" i="10"/>
  <c r="D123" i="10" s="1"/>
  <c r="E112" i="10"/>
  <c r="E123" i="10" s="1"/>
  <c r="F112" i="10"/>
  <c r="G112" i="10"/>
  <c r="H112" i="10"/>
  <c r="I112" i="10"/>
  <c r="J112" i="10"/>
  <c r="K112" i="10"/>
  <c r="L112" i="10"/>
  <c r="L123" i="10" s="1"/>
  <c r="M112" i="10"/>
  <c r="M123" i="10" s="1"/>
  <c r="N112" i="10"/>
  <c r="N116" i="10" s="1"/>
  <c r="O112" i="10"/>
  <c r="D113" i="10"/>
  <c r="D124" i="10" s="1"/>
  <c r="E113" i="10"/>
  <c r="F113" i="10"/>
  <c r="G113" i="10"/>
  <c r="H113" i="10"/>
  <c r="H124" i="10" s="1"/>
  <c r="I113" i="10"/>
  <c r="I124" i="10" s="1"/>
  <c r="J113" i="10"/>
  <c r="K113" i="10"/>
  <c r="L113" i="10"/>
  <c r="L124" i="10" s="1"/>
  <c r="M113" i="10"/>
  <c r="N113" i="10"/>
  <c r="O113" i="10"/>
  <c r="D114" i="10"/>
  <c r="D125" i="10" s="1"/>
  <c r="E114" i="10"/>
  <c r="E125" i="10" s="1"/>
  <c r="F114" i="10"/>
  <c r="G114" i="10"/>
  <c r="H114" i="10"/>
  <c r="H125" i="10" s="1"/>
  <c r="I114" i="10"/>
  <c r="J114" i="10"/>
  <c r="K114" i="10"/>
  <c r="L114" i="10"/>
  <c r="L125" i="10" s="1"/>
  <c r="M114" i="10"/>
  <c r="M125" i="10" s="1"/>
  <c r="N114" i="10"/>
  <c r="O114" i="10"/>
  <c r="D115" i="10"/>
  <c r="E115" i="10"/>
  <c r="F115" i="10"/>
  <c r="G115" i="10"/>
  <c r="H115" i="10"/>
  <c r="H126" i="10" s="1"/>
  <c r="I115" i="10"/>
  <c r="I126" i="10" s="1"/>
  <c r="J115" i="10"/>
  <c r="J126" i="10" s="1"/>
  <c r="K115" i="10"/>
  <c r="L115" i="10"/>
  <c r="M115" i="10"/>
  <c r="N115" i="10"/>
  <c r="O115" i="10"/>
  <c r="E116" i="10"/>
  <c r="F116" i="10"/>
  <c r="G116" i="10"/>
  <c r="O116" i="10"/>
  <c r="E120" i="10"/>
  <c r="F120" i="10"/>
  <c r="G120" i="10"/>
  <c r="J120" i="10"/>
  <c r="K120" i="10"/>
  <c r="K127" i="10" s="1"/>
  <c r="L120" i="10"/>
  <c r="M120" i="10"/>
  <c r="N120" i="10"/>
  <c r="O120" i="10"/>
  <c r="F121" i="10"/>
  <c r="G121" i="10"/>
  <c r="I121" i="10"/>
  <c r="J121" i="10"/>
  <c r="K121" i="10"/>
  <c r="N121" i="10"/>
  <c r="O121" i="10"/>
  <c r="E122" i="10"/>
  <c r="F122" i="10"/>
  <c r="G122" i="10"/>
  <c r="J122" i="10"/>
  <c r="K122" i="10"/>
  <c r="M122" i="10"/>
  <c r="N122" i="10"/>
  <c r="O122" i="10"/>
  <c r="F123" i="10"/>
  <c r="G123" i="10"/>
  <c r="H123" i="10"/>
  <c r="I123" i="10"/>
  <c r="J123" i="10"/>
  <c r="K123" i="10"/>
  <c r="N123" i="10"/>
  <c r="O123" i="10"/>
  <c r="E124" i="10"/>
  <c r="F124" i="10"/>
  <c r="G124" i="10"/>
  <c r="J124" i="10"/>
  <c r="K124" i="10"/>
  <c r="M124" i="10"/>
  <c r="N124" i="10"/>
  <c r="O124" i="10"/>
  <c r="F125" i="10"/>
  <c r="G125" i="10"/>
  <c r="I125" i="10"/>
  <c r="J125" i="10"/>
  <c r="K125" i="10"/>
  <c r="N125" i="10"/>
  <c r="O125" i="10"/>
  <c r="D126" i="10"/>
  <c r="E126" i="10"/>
  <c r="F126" i="10"/>
  <c r="G126" i="10"/>
  <c r="K126" i="10"/>
  <c r="L126" i="10"/>
  <c r="M126" i="10"/>
  <c r="N126" i="10"/>
  <c r="O126" i="10"/>
  <c r="F127" i="10"/>
  <c r="G127" i="10"/>
  <c r="N127" i="10"/>
  <c r="O127" i="10"/>
  <c r="D131" i="10"/>
  <c r="E131" i="10"/>
  <c r="F131" i="10"/>
  <c r="G131" i="10"/>
  <c r="H131" i="10"/>
  <c r="I131" i="10"/>
  <c r="J131" i="10"/>
  <c r="K131" i="10"/>
  <c r="K138" i="10" s="1"/>
  <c r="L131" i="10"/>
  <c r="L138" i="10" s="1"/>
  <c r="M131" i="10"/>
  <c r="N131" i="10"/>
  <c r="O131" i="10"/>
  <c r="D132" i="10"/>
  <c r="E132" i="10"/>
  <c r="E138" i="10" s="1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D138" i="10" s="1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G138" i="10"/>
  <c r="H138" i="10"/>
  <c r="M138" i="10"/>
  <c r="N138" i="10"/>
  <c r="O138" i="10"/>
  <c r="D109" i="11"/>
  <c r="E109" i="11"/>
  <c r="F109" i="11"/>
  <c r="G109" i="11"/>
  <c r="H109" i="11"/>
  <c r="I109" i="11"/>
  <c r="J109" i="11"/>
  <c r="K109" i="11"/>
  <c r="K116" i="11" s="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D122" i="11" s="1"/>
  <c r="D127" i="11" s="1"/>
  <c r="E111" i="11"/>
  <c r="F111" i="11"/>
  <c r="G111" i="11"/>
  <c r="H111" i="11"/>
  <c r="I111" i="11"/>
  <c r="I122" i="11" s="1"/>
  <c r="J111" i="11"/>
  <c r="J122" i="11" s="1"/>
  <c r="K111" i="11"/>
  <c r="L111" i="11"/>
  <c r="M111" i="11"/>
  <c r="N111" i="11"/>
  <c r="O111" i="11"/>
  <c r="D112" i="11"/>
  <c r="E112" i="11"/>
  <c r="E123" i="11" s="1"/>
  <c r="F112" i="11"/>
  <c r="F123" i="11" s="1"/>
  <c r="G112" i="11"/>
  <c r="H112" i="11"/>
  <c r="I112" i="11"/>
  <c r="J112" i="11"/>
  <c r="K112" i="11"/>
  <c r="L112" i="11"/>
  <c r="M112" i="11"/>
  <c r="M123" i="11" s="1"/>
  <c r="N112" i="11"/>
  <c r="N123" i="11" s="1"/>
  <c r="O112" i="11"/>
  <c r="D113" i="11"/>
  <c r="E113" i="11"/>
  <c r="F113" i="11"/>
  <c r="G113" i="11"/>
  <c r="H113" i="11"/>
  <c r="I113" i="11"/>
  <c r="I124" i="11" s="1"/>
  <c r="J113" i="11"/>
  <c r="J124" i="11" s="1"/>
  <c r="K113" i="11"/>
  <c r="L113" i="11"/>
  <c r="L124" i="11" s="1"/>
  <c r="M113" i="11"/>
  <c r="N113" i="11"/>
  <c r="O113" i="11"/>
  <c r="D114" i="11"/>
  <c r="E114" i="11"/>
  <c r="E125" i="11" s="1"/>
  <c r="F114" i="11"/>
  <c r="F125" i="11" s="1"/>
  <c r="G114" i="11"/>
  <c r="H114" i="11"/>
  <c r="I114" i="11"/>
  <c r="J114" i="11"/>
  <c r="K114" i="11"/>
  <c r="L114" i="11"/>
  <c r="M114" i="11"/>
  <c r="M125" i="11" s="1"/>
  <c r="N114" i="11"/>
  <c r="N125" i="11" s="1"/>
  <c r="O114" i="11"/>
  <c r="D115" i="11"/>
  <c r="E115" i="11"/>
  <c r="F115" i="11"/>
  <c r="G115" i="11"/>
  <c r="H115" i="11"/>
  <c r="I115" i="11"/>
  <c r="I126" i="11" s="1"/>
  <c r="J115" i="11"/>
  <c r="J126" i="11" s="1"/>
  <c r="K115" i="11"/>
  <c r="L115" i="11"/>
  <c r="M115" i="11"/>
  <c r="N115" i="11"/>
  <c r="O115" i="11"/>
  <c r="G116" i="11"/>
  <c r="H116" i="11"/>
  <c r="L116" i="11"/>
  <c r="O116" i="11"/>
  <c r="D120" i="11"/>
  <c r="E120" i="11"/>
  <c r="F120" i="11"/>
  <c r="G120" i="11"/>
  <c r="H120" i="11"/>
  <c r="K120" i="11"/>
  <c r="K127" i="11" s="1"/>
  <c r="L120" i="11"/>
  <c r="M120" i="11"/>
  <c r="N120" i="11"/>
  <c r="O120" i="11"/>
  <c r="D121" i="11"/>
  <c r="G121" i="11"/>
  <c r="H121" i="11"/>
  <c r="I121" i="11"/>
  <c r="J121" i="11"/>
  <c r="K121" i="11"/>
  <c r="L121" i="11"/>
  <c r="O121" i="11"/>
  <c r="E122" i="11"/>
  <c r="F122" i="11"/>
  <c r="G122" i="11"/>
  <c r="H122" i="11"/>
  <c r="K122" i="11"/>
  <c r="L122" i="11"/>
  <c r="M122" i="11"/>
  <c r="N122" i="11"/>
  <c r="O122" i="11"/>
  <c r="D123" i="11"/>
  <c r="G123" i="11"/>
  <c r="H123" i="11"/>
  <c r="I123" i="11"/>
  <c r="J123" i="11"/>
  <c r="K123" i="11"/>
  <c r="L123" i="11"/>
  <c r="O123" i="11"/>
  <c r="D124" i="11"/>
  <c r="E124" i="11"/>
  <c r="F124" i="11"/>
  <c r="G124" i="11"/>
  <c r="H124" i="11"/>
  <c r="K124" i="11"/>
  <c r="M124" i="11"/>
  <c r="N124" i="11"/>
  <c r="O124" i="11"/>
  <c r="D125" i="11"/>
  <c r="G125" i="11"/>
  <c r="H125" i="11"/>
  <c r="I125" i="11"/>
  <c r="J125" i="11"/>
  <c r="K125" i="11"/>
  <c r="L125" i="11"/>
  <c r="O125" i="11"/>
  <c r="D126" i="11"/>
  <c r="E126" i="11"/>
  <c r="F126" i="11"/>
  <c r="G126" i="11"/>
  <c r="H126" i="11"/>
  <c r="K126" i="11"/>
  <c r="L126" i="11"/>
  <c r="M126" i="11"/>
  <c r="N126" i="11"/>
  <c r="O126" i="11"/>
  <c r="G127" i="11"/>
  <c r="O127" i="11"/>
  <c r="D131" i="11"/>
  <c r="E131" i="11"/>
  <c r="F131" i="11"/>
  <c r="G131" i="11"/>
  <c r="H131" i="11"/>
  <c r="I131" i="11"/>
  <c r="J131" i="11"/>
  <c r="K131" i="11"/>
  <c r="K138" i="11" s="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M138" i="11" s="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O138" i="11"/>
  <c r="D109" i="12"/>
  <c r="E109" i="12"/>
  <c r="F109" i="12"/>
  <c r="G109" i="12"/>
  <c r="H109" i="12"/>
  <c r="I109" i="12"/>
  <c r="J109" i="12"/>
  <c r="K109" i="12"/>
  <c r="K116" i="12" s="1"/>
  <c r="L109" i="12"/>
  <c r="M109" i="12"/>
  <c r="N109" i="12"/>
  <c r="O109" i="12"/>
  <c r="D110" i="12"/>
  <c r="E110" i="12"/>
  <c r="F110" i="12"/>
  <c r="F121" i="12" s="1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J122" i="12" s="1"/>
  <c r="K111" i="12"/>
  <c r="L111" i="12"/>
  <c r="M111" i="12"/>
  <c r="N111" i="12"/>
  <c r="O111" i="12"/>
  <c r="D112" i="12"/>
  <c r="E112" i="12"/>
  <c r="F112" i="12"/>
  <c r="F123" i="12" s="1"/>
  <c r="G112" i="12"/>
  <c r="H112" i="12"/>
  <c r="I112" i="12"/>
  <c r="J112" i="12"/>
  <c r="K112" i="12"/>
  <c r="L112" i="12"/>
  <c r="M112" i="12"/>
  <c r="N112" i="12"/>
  <c r="N123" i="12" s="1"/>
  <c r="O112" i="12"/>
  <c r="D113" i="12"/>
  <c r="D116" i="12" s="1"/>
  <c r="E113" i="12"/>
  <c r="F113" i="12"/>
  <c r="G113" i="12"/>
  <c r="H113" i="12"/>
  <c r="I113" i="12"/>
  <c r="J113" i="12"/>
  <c r="J124" i="12" s="1"/>
  <c r="K113" i="12"/>
  <c r="L113" i="12"/>
  <c r="M113" i="12"/>
  <c r="N113" i="12"/>
  <c r="O113" i="12"/>
  <c r="D114" i="12"/>
  <c r="E114" i="12"/>
  <c r="F114" i="12"/>
  <c r="F125" i="12" s="1"/>
  <c r="G114" i="12"/>
  <c r="H114" i="12"/>
  <c r="I114" i="12"/>
  <c r="J114" i="12"/>
  <c r="K114" i="12"/>
  <c r="L114" i="12"/>
  <c r="M114" i="12"/>
  <c r="N114" i="12"/>
  <c r="N125" i="12" s="1"/>
  <c r="O114" i="12"/>
  <c r="D115" i="12"/>
  <c r="E115" i="12"/>
  <c r="F115" i="12"/>
  <c r="G115" i="12"/>
  <c r="H115" i="12"/>
  <c r="I115" i="12"/>
  <c r="J115" i="12"/>
  <c r="J126" i="12" s="1"/>
  <c r="K115" i="12"/>
  <c r="L115" i="12"/>
  <c r="M115" i="12"/>
  <c r="N115" i="12"/>
  <c r="O115" i="12"/>
  <c r="E116" i="12"/>
  <c r="F116" i="12"/>
  <c r="G116" i="12"/>
  <c r="H116" i="12"/>
  <c r="L116" i="12"/>
  <c r="M116" i="12"/>
  <c r="O116" i="12"/>
  <c r="D120" i="12"/>
  <c r="E120" i="12"/>
  <c r="F120" i="12"/>
  <c r="G120" i="12"/>
  <c r="H120" i="12"/>
  <c r="I120" i="12"/>
  <c r="K120" i="12"/>
  <c r="K127" i="12" s="1"/>
  <c r="L120" i="12"/>
  <c r="M120" i="12"/>
  <c r="N120" i="12"/>
  <c r="O120" i="12"/>
  <c r="D121" i="12"/>
  <c r="E121" i="12"/>
  <c r="G121" i="12"/>
  <c r="H121" i="12"/>
  <c r="I121" i="12"/>
  <c r="J121" i="12"/>
  <c r="K121" i="12"/>
  <c r="L121" i="12"/>
  <c r="L127" i="12" s="1"/>
  <c r="M121" i="12"/>
  <c r="O121" i="12"/>
  <c r="D122" i="12"/>
  <c r="E122" i="12"/>
  <c r="F122" i="12"/>
  <c r="G122" i="12"/>
  <c r="H122" i="12"/>
  <c r="I122" i="12"/>
  <c r="K122" i="12"/>
  <c r="L122" i="12"/>
  <c r="M122" i="12"/>
  <c r="N122" i="12"/>
  <c r="O122" i="12"/>
  <c r="D123" i="12"/>
  <c r="D127" i="12" s="1"/>
  <c r="E123" i="12"/>
  <c r="G123" i="12"/>
  <c r="H123" i="12"/>
  <c r="I123" i="12"/>
  <c r="J123" i="12"/>
  <c r="K123" i="12"/>
  <c r="L123" i="12"/>
  <c r="M123" i="12"/>
  <c r="M127" i="12" s="1"/>
  <c r="O123" i="12"/>
  <c r="D124" i="12"/>
  <c r="E124" i="12"/>
  <c r="F124" i="12"/>
  <c r="G124" i="12"/>
  <c r="H124" i="12"/>
  <c r="I124" i="12"/>
  <c r="K124" i="12"/>
  <c r="L124" i="12"/>
  <c r="M124" i="12"/>
  <c r="N124" i="12"/>
  <c r="O124" i="12"/>
  <c r="D125" i="12"/>
  <c r="E125" i="12"/>
  <c r="G125" i="12"/>
  <c r="H125" i="12"/>
  <c r="I125" i="12"/>
  <c r="J125" i="12"/>
  <c r="K125" i="12"/>
  <c r="L125" i="12"/>
  <c r="M125" i="12"/>
  <c r="O125" i="12"/>
  <c r="D126" i="12"/>
  <c r="E126" i="12"/>
  <c r="F126" i="12"/>
  <c r="G126" i="12"/>
  <c r="H126" i="12"/>
  <c r="I126" i="12"/>
  <c r="K126" i="12"/>
  <c r="L126" i="12"/>
  <c r="M126" i="12"/>
  <c r="N126" i="12"/>
  <c r="O126" i="12"/>
  <c r="G127" i="12"/>
  <c r="O127" i="12"/>
  <c r="D131" i="12"/>
  <c r="E131" i="12"/>
  <c r="F131" i="12"/>
  <c r="G131" i="12"/>
  <c r="H131" i="12"/>
  <c r="I131" i="12"/>
  <c r="J131" i="12"/>
  <c r="K131" i="12"/>
  <c r="K138" i="12" s="1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N138" i="12" s="1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E138" i="12"/>
  <c r="F138" i="12"/>
  <c r="G138" i="12"/>
  <c r="O138" i="12"/>
  <c r="D109" i="13"/>
  <c r="E109" i="13"/>
  <c r="F109" i="13"/>
  <c r="G109" i="13"/>
  <c r="H109" i="13"/>
  <c r="I109" i="13"/>
  <c r="J109" i="13"/>
  <c r="K109" i="13"/>
  <c r="K116" i="13" s="1"/>
  <c r="L109" i="13"/>
  <c r="M109" i="13"/>
  <c r="N109" i="13"/>
  <c r="O109" i="13"/>
  <c r="D110" i="13"/>
  <c r="E110" i="13"/>
  <c r="F110" i="13"/>
  <c r="G110" i="13"/>
  <c r="H110" i="13"/>
  <c r="H121" i="13" s="1"/>
  <c r="I110" i="13"/>
  <c r="J110" i="13"/>
  <c r="K110" i="13"/>
  <c r="L110" i="13"/>
  <c r="M110" i="13"/>
  <c r="N110" i="13"/>
  <c r="O110" i="13"/>
  <c r="D111" i="13"/>
  <c r="D122" i="13" s="1"/>
  <c r="E111" i="13"/>
  <c r="F111" i="13"/>
  <c r="G111" i="13"/>
  <c r="H111" i="13"/>
  <c r="I111" i="13"/>
  <c r="J111" i="13"/>
  <c r="K111" i="13"/>
  <c r="L111" i="13"/>
  <c r="L122" i="13" s="1"/>
  <c r="M111" i="13"/>
  <c r="N111" i="13"/>
  <c r="O111" i="13"/>
  <c r="D112" i="13"/>
  <c r="E112" i="13"/>
  <c r="F112" i="13"/>
  <c r="G112" i="13"/>
  <c r="H112" i="13"/>
  <c r="H123" i="13" s="1"/>
  <c r="I112" i="13"/>
  <c r="J112" i="13"/>
  <c r="K112" i="13"/>
  <c r="L112" i="13"/>
  <c r="M112" i="13"/>
  <c r="N112" i="13"/>
  <c r="O112" i="13"/>
  <c r="D113" i="13"/>
  <c r="D124" i="13" s="1"/>
  <c r="E113" i="13"/>
  <c r="F113" i="13"/>
  <c r="G113" i="13"/>
  <c r="H113" i="13"/>
  <c r="I113" i="13"/>
  <c r="J113" i="13"/>
  <c r="K113" i="13"/>
  <c r="L113" i="13"/>
  <c r="L124" i="13" s="1"/>
  <c r="M113" i="13"/>
  <c r="N113" i="13"/>
  <c r="O113" i="13"/>
  <c r="D114" i="13"/>
  <c r="E114" i="13"/>
  <c r="F114" i="13"/>
  <c r="G114" i="13"/>
  <c r="H114" i="13"/>
  <c r="H125" i="13" s="1"/>
  <c r="I114" i="13"/>
  <c r="J114" i="13"/>
  <c r="K114" i="13"/>
  <c r="L114" i="13"/>
  <c r="M114" i="13"/>
  <c r="N114" i="13"/>
  <c r="O114" i="13"/>
  <c r="D115" i="13"/>
  <c r="D126" i="13" s="1"/>
  <c r="E115" i="13"/>
  <c r="F115" i="13"/>
  <c r="G115" i="13"/>
  <c r="H115" i="13"/>
  <c r="I115" i="13"/>
  <c r="J115" i="13"/>
  <c r="K115" i="13"/>
  <c r="L115" i="13"/>
  <c r="L126" i="13" s="1"/>
  <c r="M115" i="13"/>
  <c r="N115" i="13"/>
  <c r="O115" i="13"/>
  <c r="E116" i="13"/>
  <c r="F116" i="13"/>
  <c r="G116" i="13"/>
  <c r="M116" i="13"/>
  <c r="N116" i="13"/>
  <c r="O116" i="13"/>
  <c r="E120" i="13"/>
  <c r="F120" i="13"/>
  <c r="G120" i="13"/>
  <c r="H120" i="13"/>
  <c r="I120" i="13"/>
  <c r="I127" i="13" s="1"/>
  <c r="J120" i="13"/>
  <c r="J127" i="13" s="1"/>
  <c r="K120" i="13"/>
  <c r="K127" i="13" s="1"/>
  <c r="M120" i="13"/>
  <c r="N120" i="13"/>
  <c r="O120" i="13"/>
  <c r="D121" i="13"/>
  <c r="E121" i="13"/>
  <c r="F121" i="13"/>
  <c r="F127" i="13" s="1"/>
  <c r="G121" i="13"/>
  <c r="I121" i="13"/>
  <c r="J121" i="13"/>
  <c r="K121" i="13"/>
  <c r="L121" i="13"/>
  <c r="M121" i="13"/>
  <c r="N121" i="13"/>
  <c r="O121" i="13"/>
  <c r="E122" i="13"/>
  <c r="F122" i="13"/>
  <c r="G122" i="13"/>
  <c r="H122" i="13"/>
  <c r="I122" i="13"/>
  <c r="J122" i="13"/>
  <c r="K122" i="13"/>
  <c r="M122" i="13"/>
  <c r="N122" i="13"/>
  <c r="O122" i="13"/>
  <c r="D123" i="13"/>
  <c r="E123" i="13"/>
  <c r="F123" i="13"/>
  <c r="G123" i="13"/>
  <c r="I123" i="13"/>
  <c r="J123" i="13"/>
  <c r="K123" i="13"/>
  <c r="L123" i="13"/>
  <c r="M123" i="13"/>
  <c r="N123" i="13"/>
  <c r="O123" i="13"/>
  <c r="E124" i="13"/>
  <c r="F124" i="13"/>
  <c r="G124" i="13"/>
  <c r="H124" i="13"/>
  <c r="I124" i="13"/>
  <c r="J124" i="13"/>
  <c r="K124" i="13"/>
  <c r="M124" i="13"/>
  <c r="N124" i="13"/>
  <c r="O124" i="13"/>
  <c r="D125" i="13"/>
  <c r="E125" i="13"/>
  <c r="E127" i="13" s="1"/>
  <c r="F125" i="13"/>
  <c r="G125" i="13"/>
  <c r="I125" i="13"/>
  <c r="J125" i="13"/>
  <c r="K125" i="13"/>
  <c r="L125" i="13"/>
  <c r="M125" i="13"/>
  <c r="M127" i="13" s="1"/>
  <c r="N125" i="13"/>
  <c r="O125" i="13"/>
  <c r="E126" i="13"/>
  <c r="F126" i="13"/>
  <c r="G126" i="13"/>
  <c r="H126" i="13"/>
  <c r="I126" i="13"/>
  <c r="J126" i="13"/>
  <c r="K126" i="13"/>
  <c r="M126" i="13"/>
  <c r="N126" i="13"/>
  <c r="O126" i="13"/>
  <c r="G127" i="13"/>
  <c r="N127" i="13"/>
  <c r="O127" i="13"/>
  <c r="D131" i="13"/>
  <c r="E131" i="13"/>
  <c r="F131" i="13"/>
  <c r="G131" i="13"/>
  <c r="H131" i="13"/>
  <c r="I131" i="13"/>
  <c r="J131" i="13"/>
  <c r="K131" i="13"/>
  <c r="K138" i="13" s="1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O138" i="13"/>
  <c r="AZ14" i="14"/>
  <c r="AY259" i="14" s="1"/>
  <c r="AY181" i="14"/>
  <c r="AY179" i="14"/>
  <c r="AY177" i="14"/>
  <c r="AY260" i="14" s="1"/>
  <c r="AY175" i="14"/>
  <c r="AX259" i="14"/>
  <c r="AY14" i="14"/>
  <c r="AX181" i="14"/>
  <c r="AX179" i="14"/>
  <c r="AX177" i="14"/>
  <c r="AX175" i="14"/>
  <c r="AX260" i="14" s="1"/>
  <c r="AX14" i="14"/>
  <c r="AW259" i="14" s="1"/>
  <c r="AW181" i="14"/>
  <c r="AW179" i="14"/>
  <c r="AW177" i="14"/>
  <c r="AW175" i="14"/>
  <c r="AW260" i="14" s="1"/>
  <c r="AV260" i="14"/>
  <c r="AV259" i="14"/>
  <c r="AW14" i="14"/>
  <c r="AV181" i="14"/>
  <c r="AV179" i="14"/>
  <c r="AV177" i="14"/>
  <c r="AV175" i="14"/>
  <c r="AU260" i="14"/>
  <c r="AV14" i="14"/>
  <c r="AU259" i="14" s="1"/>
  <c r="AU181" i="14"/>
  <c r="AU179" i="14"/>
  <c r="AU177" i="14"/>
  <c r="AU175" i="14"/>
  <c r="AT259" i="14"/>
  <c r="AU14" i="14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14" i="14"/>
  <c r="AR259" i="14" s="1"/>
  <c r="AR181" i="14"/>
  <c r="AR179" i="14"/>
  <c r="AR177" i="14"/>
  <c r="AR175" i="14"/>
  <c r="AQ260" i="14"/>
  <c r="AR14" i="14"/>
  <c r="AQ259" i="14" s="1"/>
  <c r="AQ181" i="14"/>
  <c r="AQ179" i="14"/>
  <c r="AQ177" i="14"/>
  <c r="AQ175" i="14"/>
  <c r="AP259" i="14"/>
  <c r="AQ14" i="14"/>
  <c r="AP181" i="14"/>
  <c r="AP179" i="14"/>
  <c r="AP177" i="14"/>
  <c r="AP175" i="14"/>
  <c r="AP260" i="14" s="1"/>
  <c r="AO260" i="14"/>
  <c r="AP14" i="14"/>
  <c r="AO259" i="14" s="1"/>
  <c r="AO181" i="14"/>
  <c r="AO179" i="14"/>
  <c r="AO177" i="14"/>
  <c r="AO175" i="14"/>
  <c r="AN260" i="14"/>
  <c r="AN259" i="14"/>
  <c r="AO14" i="14"/>
  <c r="AN181" i="14"/>
  <c r="AN179" i="14"/>
  <c r="AN177" i="14"/>
  <c r="AN175" i="14"/>
  <c r="AM260" i="14"/>
  <c r="AM259" i="14"/>
  <c r="AN14" i="14"/>
  <c r="AM181" i="14"/>
  <c r="AM179" i="14"/>
  <c r="AM177" i="14"/>
  <c r="AM175" i="14"/>
  <c r="AL259" i="14"/>
  <c r="AM14" i="14"/>
  <c r="AL181" i="14"/>
  <c r="AL179" i="14"/>
  <c r="AL177" i="14"/>
  <c r="AL175" i="14"/>
  <c r="AL14" i="14"/>
  <c r="AK259" i="14" s="1"/>
  <c r="AK181" i="14"/>
  <c r="AK179" i="14"/>
  <c r="AK177" i="14"/>
  <c r="AK175" i="14"/>
  <c r="AK14" i="14"/>
  <c r="AJ259" i="14" s="1"/>
  <c r="AJ181" i="14"/>
  <c r="AJ179" i="14"/>
  <c r="AJ177" i="14"/>
  <c r="AJ175" i="14"/>
  <c r="AI260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175" i="14"/>
  <c r="AG260" i="14"/>
  <c r="AH14" i="14"/>
  <c r="AG259" i="14" s="1"/>
  <c r="AG181" i="14"/>
  <c r="AG179" i="14"/>
  <c r="AG177" i="14"/>
  <c r="AG175" i="14"/>
  <c r="AF260" i="14"/>
  <c r="AF259" i="14"/>
  <c r="AG14" i="14"/>
  <c r="AF181" i="14"/>
  <c r="AF179" i="14"/>
  <c r="AF177" i="14"/>
  <c r="AF175" i="14"/>
  <c r="AE260" i="14"/>
  <c r="AE259" i="14"/>
  <c r="AF14" i="14"/>
  <c r="AE181" i="14"/>
  <c r="AE179" i="14"/>
  <c r="AE177" i="14"/>
  <c r="AE175" i="14"/>
  <c r="AD259" i="14"/>
  <c r="AE14" i="14"/>
  <c r="AD181" i="14"/>
  <c r="AD179" i="14"/>
  <c r="AD177" i="14"/>
  <c r="AD175" i="14"/>
  <c r="AD14" i="14"/>
  <c r="AC259" i="14" s="1"/>
  <c r="AC181" i="14"/>
  <c r="AC179" i="14"/>
  <c r="AC177" i="14"/>
  <c r="AC175" i="14"/>
  <c r="AC14" i="14"/>
  <c r="AB259" i="14" s="1"/>
  <c r="AB181" i="14"/>
  <c r="AB179" i="14"/>
  <c r="AB177" i="14"/>
  <c r="AB175" i="14"/>
  <c r="AA260" i="14"/>
  <c r="AB14" i="14"/>
  <c r="AA259" i="14" s="1"/>
  <c r="AA181" i="14"/>
  <c r="AA179" i="14"/>
  <c r="AA177" i="14"/>
  <c r="AA175" i="14"/>
  <c r="Z259" i="14"/>
  <c r="AA14" i="14"/>
  <c r="Z181" i="14"/>
  <c r="Z179" i="14"/>
  <c r="Z177" i="14"/>
  <c r="Z175" i="14"/>
  <c r="Y260" i="14"/>
  <c r="Z14" i="14"/>
  <c r="Y259" i="14" s="1"/>
  <c r="Y181" i="14"/>
  <c r="Y179" i="14"/>
  <c r="Y177" i="14"/>
  <c r="Y175" i="14"/>
  <c r="X260" i="14"/>
  <c r="X259" i="14"/>
  <c r="Y14" i="14"/>
  <c r="X181" i="14"/>
  <c r="X179" i="14"/>
  <c r="X177" i="14"/>
  <c r="X175" i="14"/>
  <c r="W260" i="14"/>
  <c r="W259" i="14"/>
  <c r="X14" i="14"/>
  <c r="W181" i="14"/>
  <c r="W179" i="14"/>
  <c r="W177" i="14"/>
  <c r="W175" i="14"/>
  <c r="V259" i="14"/>
  <c r="W14" i="14"/>
  <c r="V181" i="14"/>
  <c r="V179" i="14"/>
  <c r="V177" i="14"/>
  <c r="V175" i="14"/>
  <c r="V14" i="14"/>
  <c r="U259" i="14" s="1"/>
  <c r="U181" i="14"/>
  <c r="U179" i="14"/>
  <c r="U177" i="14"/>
  <c r="U175" i="14"/>
  <c r="U14" i="14"/>
  <c r="T259" i="14" s="1"/>
  <c r="T181" i="14"/>
  <c r="T179" i="14"/>
  <c r="T177" i="14"/>
  <c r="T175" i="14"/>
  <c r="S260" i="14"/>
  <c r="T14" i="14"/>
  <c r="S259" i="14" s="1"/>
  <c r="S181" i="14"/>
  <c r="S179" i="14"/>
  <c r="S177" i="14"/>
  <c r="S175" i="14"/>
  <c r="R259" i="14"/>
  <c r="S14" i="14"/>
  <c r="R181" i="14"/>
  <c r="R179" i="14"/>
  <c r="R177" i="14"/>
  <c r="R175" i="14"/>
  <c r="Q260" i="14"/>
  <c r="R14" i="14"/>
  <c r="Q259" i="14" s="1"/>
  <c r="Q181" i="14"/>
  <c r="Q179" i="14"/>
  <c r="Q177" i="14"/>
  <c r="Q175" i="14"/>
  <c r="P260" i="14"/>
  <c r="P259" i="14"/>
  <c r="Q14" i="14"/>
  <c r="P181" i="14"/>
  <c r="P179" i="14"/>
  <c r="P177" i="14"/>
  <c r="P175" i="14"/>
  <c r="O260" i="14"/>
  <c r="O259" i="14"/>
  <c r="P14" i="14"/>
  <c r="O181" i="14"/>
  <c r="O179" i="14"/>
  <c r="O177" i="14"/>
  <c r="O175" i="14"/>
  <c r="N259" i="14"/>
  <c r="O14" i="14"/>
  <c r="N181" i="14"/>
  <c r="N179" i="14"/>
  <c r="N177" i="14"/>
  <c r="N175" i="14"/>
  <c r="N14" i="14"/>
  <c r="M259" i="14" s="1"/>
  <c r="M181" i="14"/>
  <c r="M179" i="14"/>
  <c r="M177" i="14"/>
  <c r="M175" i="14"/>
  <c r="M14" i="14"/>
  <c r="L259" i="14" s="1"/>
  <c r="L181" i="14"/>
  <c r="L179" i="14"/>
  <c r="L177" i="14"/>
  <c r="L175" i="14"/>
  <c r="K260" i="14"/>
  <c r="K259" i="14"/>
  <c r="L14" i="14"/>
  <c r="K181" i="14"/>
  <c r="K179" i="14"/>
  <c r="K177" i="14"/>
  <c r="K175" i="14"/>
  <c r="J259" i="14"/>
  <c r="K14" i="14"/>
  <c r="J181" i="14"/>
  <c r="J179" i="14"/>
  <c r="J177" i="14"/>
  <c r="J175" i="14"/>
  <c r="J14" i="14"/>
  <c r="I259" i="14" s="1"/>
  <c r="I181" i="14"/>
  <c r="I179" i="14"/>
  <c r="I177" i="14"/>
  <c r="I175" i="14"/>
  <c r="I260" i="14" s="1"/>
  <c r="H260" i="14"/>
  <c r="H259" i="14"/>
  <c r="I14" i="14"/>
  <c r="H181" i="14"/>
  <c r="H179" i="14"/>
  <c r="H177" i="14"/>
  <c r="H175" i="14"/>
  <c r="H14" i="14"/>
  <c r="BA14" i="14" s="1"/>
  <c r="G181" i="14"/>
  <c r="G179" i="14"/>
  <c r="G260" i="14" s="1"/>
  <c r="G177" i="14"/>
  <c r="G175" i="14"/>
  <c r="F259" i="14"/>
  <c r="G14" i="14"/>
  <c r="F181" i="14"/>
  <c r="F179" i="14"/>
  <c r="F177" i="14"/>
  <c r="F175" i="14"/>
  <c r="F14" i="14"/>
  <c r="E259" i="14" s="1"/>
  <c r="E181" i="14"/>
  <c r="E179" i="14"/>
  <c r="E177" i="14"/>
  <c r="E175" i="14"/>
  <c r="E14" i="14"/>
  <c r="D259" i="14" s="1"/>
  <c r="D181" i="14"/>
  <c r="D179" i="14"/>
  <c r="D177" i="14"/>
  <c r="D175" i="14"/>
  <c r="D260" i="14" s="1"/>
  <c r="AZ14" i="15"/>
  <c r="AY259" i="15" s="1"/>
  <c r="AY181" i="15"/>
  <c r="AY179" i="15"/>
  <c r="AY260" i="15" s="1"/>
  <c r="AY177" i="15"/>
  <c r="AY175" i="15"/>
  <c r="AX259" i="15"/>
  <c r="AY14" i="15"/>
  <c r="AX181" i="15"/>
  <c r="AX179" i="15"/>
  <c r="AX177" i="15"/>
  <c r="AX260" i="15" s="1"/>
  <c r="AX175" i="15"/>
  <c r="AX14" i="15"/>
  <c r="AW259" i="15" s="1"/>
  <c r="AW181" i="15"/>
  <c r="AW179" i="15"/>
  <c r="AW177" i="15"/>
  <c r="AW175" i="15"/>
  <c r="AW260" i="15" s="1"/>
  <c r="AV259" i="15"/>
  <c r="AW14" i="15"/>
  <c r="AV181" i="15"/>
  <c r="AV260" i="15" s="1"/>
  <c r="AV179" i="15"/>
  <c r="AV177" i="15"/>
  <c r="AV175" i="15"/>
  <c r="AV14" i="15"/>
  <c r="AU259" i="15" s="1"/>
  <c r="AU181" i="15"/>
  <c r="AU260" i="15" s="1"/>
  <c r="AU179" i="15"/>
  <c r="AU177" i="15"/>
  <c r="AU175" i="15"/>
  <c r="AT259" i="15"/>
  <c r="AU14" i="15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S14" i="15"/>
  <c r="AR259" i="15" s="1"/>
  <c r="AR181" i="15"/>
  <c r="AR179" i="15"/>
  <c r="AR177" i="15"/>
  <c r="AR175" i="15"/>
  <c r="AR14" i="15"/>
  <c r="AQ259" i="15" s="1"/>
  <c r="AQ181" i="15"/>
  <c r="AQ179" i="15"/>
  <c r="AQ177" i="15"/>
  <c r="AQ260" i="15" s="1"/>
  <c r="AQ175" i="15"/>
  <c r="AP259" i="15"/>
  <c r="AQ14" i="15"/>
  <c r="AP181" i="15"/>
  <c r="AP179" i="15"/>
  <c r="AP177" i="15"/>
  <c r="AP175" i="15"/>
  <c r="AP14" i="15"/>
  <c r="AO259" i="15" s="1"/>
  <c r="AO181" i="15"/>
  <c r="AO179" i="15"/>
  <c r="AO177" i="15"/>
  <c r="AO175" i="15"/>
  <c r="AO260" i="15" s="1"/>
  <c r="AN259" i="15"/>
  <c r="AO14" i="15"/>
  <c r="AN181" i="15"/>
  <c r="AN260" i="15" s="1"/>
  <c r="AN179" i="15"/>
  <c r="AN177" i="15"/>
  <c r="AN175" i="15"/>
  <c r="AM259" i="15"/>
  <c r="AN14" i="15"/>
  <c r="AM181" i="15"/>
  <c r="AM179" i="15"/>
  <c r="AM260" i="15" s="1"/>
  <c r="AM177" i="15"/>
  <c r="AM175" i="15"/>
  <c r="AM14" i="15"/>
  <c r="AL259" i="15" s="1"/>
  <c r="AL181" i="15"/>
  <c r="AL179" i="15"/>
  <c r="AL177" i="15"/>
  <c r="AL175" i="15"/>
  <c r="AL14" i="15"/>
  <c r="AK259" i="15" s="1"/>
  <c r="AK181" i="15"/>
  <c r="AK179" i="15"/>
  <c r="AK177" i="15"/>
  <c r="AK175" i="15"/>
  <c r="AK14" i="15"/>
  <c r="AJ259" i="15" s="1"/>
  <c r="AJ181" i="15"/>
  <c r="AJ179" i="15"/>
  <c r="AJ177" i="15"/>
  <c r="AJ175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175" i="15"/>
  <c r="AH14" i="15"/>
  <c r="AG259" i="15" s="1"/>
  <c r="AG181" i="15"/>
  <c r="AG179" i="15"/>
  <c r="AG177" i="15"/>
  <c r="AG175" i="15"/>
  <c r="AG260" i="15" s="1"/>
  <c r="AF260" i="15"/>
  <c r="AF259" i="15"/>
  <c r="AG14" i="15"/>
  <c r="AF181" i="15"/>
  <c r="AF179" i="15"/>
  <c r="AF177" i="15"/>
  <c r="AF175" i="15"/>
  <c r="AE260" i="15"/>
  <c r="AE259" i="15"/>
  <c r="AF14" i="15"/>
  <c r="AE181" i="15"/>
  <c r="AE179" i="15"/>
  <c r="AE177" i="15"/>
  <c r="AE175" i="15"/>
  <c r="AD259" i="15"/>
  <c r="AE14" i="15"/>
  <c r="AD181" i="15"/>
  <c r="AD179" i="15"/>
  <c r="AD177" i="15"/>
  <c r="AD175" i="15"/>
  <c r="AD14" i="15"/>
  <c r="AC259" i="15" s="1"/>
  <c r="AC181" i="15"/>
  <c r="AC179" i="15"/>
  <c r="AC177" i="15"/>
  <c r="AC175" i="15"/>
  <c r="AC14" i="15"/>
  <c r="AB259" i="15" s="1"/>
  <c r="AB181" i="15"/>
  <c r="AB179" i="15"/>
  <c r="AB177" i="15"/>
  <c r="AB175" i="15"/>
  <c r="AA260" i="15"/>
  <c r="AB14" i="15"/>
  <c r="AA259" i="15" s="1"/>
  <c r="AA181" i="15"/>
  <c r="AA179" i="15"/>
  <c r="AA177" i="15"/>
  <c r="AA175" i="15"/>
  <c r="Z259" i="15"/>
  <c r="AA14" i="15"/>
  <c r="Z181" i="15"/>
  <c r="Z179" i="15"/>
  <c r="Z177" i="15"/>
  <c r="Z175" i="15"/>
  <c r="Z14" i="15"/>
  <c r="Y259" i="15" s="1"/>
  <c r="Y181" i="15"/>
  <c r="Y179" i="15"/>
  <c r="Y177" i="15"/>
  <c r="Y175" i="15"/>
  <c r="Y260" i="15" s="1"/>
  <c r="X260" i="15"/>
  <c r="X259" i="15"/>
  <c r="Y14" i="15"/>
  <c r="X181" i="15"/>
  <c r="X179" i="15"/>
  <c r="X177" i="15"/>
  <c r="X175" i="15"/>
  <c r="W260" i="15"/>
  <c r="W259" i="15"/>
  <c r="X14" i="15"/>
  <c r="W181" i="15"/>
  <c r="W179" i="15"/>
  <c r="W177" i="15"/>
  <c r="W175" i="15"/>
  <c r="W14" i="15"/>
  <c r="V259" i="15" s="1"/>
  <c r="V181" i="15"/>
  <c r="V179" i="15"/>
  <c r="V177" i="15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T14" i="15"/>
  <c r="S259" i="15" s="1"/>
  <c r="S181" i="15"/>
  <c r="S179" i="15"/>
  <c r="S177" i="15"/>
  <c r="S175" i="15"/>
  <c r="S260" i="15" s="1"/>
  <c r="R259" i="15"/>
  <c r="S14" i="15"/>
  <c r="R181" i="15"/>
  <c r="R179" i="15"/>
  <c r="R260" i="15" s="1"/>
  <c r="R177" i="15"/>
  <c r="R175" i="15"/>
  <c r="Q259" i="15"/>
  <c r="R14" i="15"/>
  <c r="Q181" i="15"/>
  <c r="Q179" i="15"/>
  <c r="Q177" i="15"/>
  <c r="Q260" i="15" s="1"/>
  <c r="Q175" i="15"/>
  <c r="Q14" i="15"/>
  <c r="P259" i="15" s="1"/>
  <c r="P181" i="15"/>
  <c r="P179" i="15"/>
  <c r="P177" i="15"/>
  <c r="P175" i="15"/>
  <c r="O260" i="15"/>
  <c r="P14" i="15"/>
  <c r="O259" i="15" s="1"/>
  <c r="O181" i="15"/>
  <c r="O179" i="15"/>
  <c r="O177" i="15"/>
  <c r="O175" i="15"/>
  <c r="N260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14" i="15"/>
  <c r="L259" i="15" s="1"/>
  <c r="L181" i="15"/>
  <c r="L179" i="15"/>
  <c r="L177" i="15"/>
  <c r="L175" i="15"/>
  <c r="L260" i="15" s="1"/>
  <c r="L14" i="15"/>
  <c r="K259" i="15" s="1"/>
  <c r="K181" i="15"/>
  <c r="K179" i="15"/>
  <c r="K177" i="15"/>
  <c r="K175" i="15"/>
  <c r="J259" i="15"/>
  <c r="K14" i="15"/>
  <c r="J181" i="15"/>
  <c r="J179" i="15"/>
  <c r="J177" i="15"/>
  <c r="J175" i="15"/>
  <c r="J260" i="15" s="1"/>
  <c r="I260" i="15"/>
  <c r="J14" i="15"/>
  <c r="I259" i="15" s="1"/>
  <c r="I181" i="15"/>
  <c r="I179" i="15"/>
  <c r="I177" i="15"/>
  <c r="I175" i="15"/>
  <c r="H260" i="15"/>
  <c r="H259" i="15"/>
  <c r="I14" i="15"/>
  <c r="H181" i="15"/>
  <c r="H179" i="15"/>
  <c r="H177" i="15"/>
  <c r="H175" i="15"/>
  <c r="H14" i="15"/>
  <c r="G259" i="15" s="1"/>
  <c r="G181" i="15"/>
  <c r="G179" i="15"/>
  <c r="G260" i="15" s="1"/>
  <c r="G177" i="15"/>
  <c r="G175" i="15"/>
  <c r="G14" i="15"/>
  <c r="F259" i="15" s="1"/>
  <c r="F181" i="15"/>
  <c r="F179" i="15"/>
  <c r="F177" i="15"/>
  <c r="F260" i="15" s="1"/>
  <c r="F175" i="15"/>
  <c r="E259" i="15"/>
  <c r="F14" i="15"/>
  <c r="E181" i="15"/>
  <c r="E179" i="15"/>
  <c r="E177" i="15"/>
  <c r="E175" i="15"/>
  <c r="E14" i="15"/>
  <c r="D181" i="15"/>
  <c r="D179" i="15"/>
  <c r="D177" i="15"/>
  <c r="D175" i="15"/>
  <c r="AY14" i="16"/>
  <c r="AY15" i="16"/>
  <c r="AY16" i="16"/>
  <c r="AY10" i="16"/>
  <c r="AY13" i="16" s="1"/>
  <c r="AY17" i="16"/>
  <c r="AY29" i="16"/>
  <c r="AX17" i="16"/>
  <c r="AX21" i="16"/>
  <c r="AX22" i="16"/>
  <c r="AX29" i="16"/>
  <c r="AX33" i="16"/>
  <c r="AX39" i="16"/>
  <c r="AW14" i="16"/>
  <c r="AW15" i="16"/>
  <c r="AX16" i="16" s="1"/>
  <c r="AW16" i="16"/>
  <c r="AW17" i="16"/>
  <c r="AW29" i="16"/>
  <c r="AV14" i="16"/>
  <c r="AV15" i="16"/>
  <c r="AV16" i="16"/>
  <c r="AV10" i="16"/>
  <c r="AV13" i="16" s="1"/>
  <c r="AV17" i="16"/>
  <c r="AV29" i="16"/>
  <c r="AU14" i="16"/>
  <c r="AU15" i="16"/>
  <c r="AU16" i="16"/>
  <c r="AU17" i="16"/>
  <c r="AU29" i="16"/>
  <c r="AT14" i="16"/>
  <c r="AT15" i="16"/>
  <c r="AT16" i="16"/>
  <c r="AT10" i="16"/>
  <c r="AT13" i="16" s="1"/>
  <c r="AT17" i="16"/>
  <c r="AT29" i="16"/>
  <c r="AS14" i="16"/>
  <c r="AS15" i="16"/>
  <c r="AS16" i="16"/>
  <c r="AS10" i="16" s="1"/>
  <c r="AS13" i="16" s="1"/>
  <c r="AS17" i="16"/>
  <c r="AS29" i="16"/>
  <c r="AR14" i="16"/>
  <c r="AR15" i="16"/>
  <c r="AR16" i="16"/>
  <c r="AR10" i="16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0" i="16" s="1"/>
  <c r="AP13" i="16" s="1"/>
  <c r="AQ21" i="16" s="1"/>
  <c r="AP15" i="16"/>
  <c r="AP16" i="16"/>
  <c r="AP17" i="16"/>
  <c r="AP29" i="16"/>
  <c r="AO14" i="16"/>
  <c r="AO15" i="16"/>
  <c r="AO16" i="16"/>
  <c r="AO17" i="16"/>
  <c r="AO29" i="16"/>
  <c r="AN14" i="16"/>
  <c r="AN15" i="16"/>
  <c r="AN16" i="16"/>
  <c r="AN17" i="16"/>
  <c r="AN29" i="16"/>
  <c r="AM14" i="16"/>
  <c r="AM15" i="16"/>
  <c r="AM16" i="16"/>
  <c r="AM17" i="16"/>
  <c r="AM29" i="16"/>
  <c r="AL14" i="16"/>
  <c r="AL15" i="16"/>
  <c r="AL16" i="16"/>
  <c r="AL17" i="16"/>
  <c r="AL29" i="16"/>
  <c r="AK14" i="16"/>
  <c r="AK15" i="16"/>
  <c r="AK10" i="16" s="1"/>
  <c r="AK13" i="16" s="1"/>
  <c r="AK16" i="16"/>
  <c r="AK17" i="16"/>
  <c r="AK21" i="16"/>
  <c r="AK29" i="16"/>
  <c r="AJ14" i="16"/>
  <c r="AJ15" i="16"/>
  <c r="AJ16" i="16"/>
  <c r="AJ10" i="16"/>
  <c r="AJ13" i="16" s="1"/>
  <c r="AJ17" i="16"/>
  <c r="AJ29" i="16"/>
  <c r="AI14" i="16"/>
  <c r="AI10" i="16" s="1"/>
  <c r="AI15" i="16"/>
  <c r="AI16" i="16"/>
  <c r="AI13" i="16"/>
  <c r="AI17" i="16"/>
  <c r="AI29" i="16"/>
  <c r="AH14" i="16"/>
  <c r="AH15" i="16"/>
  <c r="AH16" i="16"/>
  <c r="AH17" i="16"/>
  <c r="AH29" i="16"/>
  <c r="AG14" i="16"/>
  <c r="AG15" i="16"/>
  <c r="AG16" i="16"/>
  <c r="AG17" i="16"/>
  <c r="AG29" i="16"/>
  <c r="AF14" i="16"/>
  <c r="AF10" i="16" s="1"/>
  <c r="AF13" i="16" s="1"/>
  <c r="AF15" i="16"/>
  <c r="AF16" i="16"/>
  <c r="AF17" i="16"/>
  <c r="AF29" i="16"/>
  <c r="AE14" i="16"/>
  <c r="AE15" i="16"/>
  <c r="AE16" i="16"/>
  <c r="AE10" i="16"/>
  <c r="AE13" i="16" s="1"/>
  <c r="AE17" i="16"/>
  <c r="AE29" i="16"/>
  <c r="AD14" i="16"/>
  <c r="AD15" i="16"/>
  <c r="AD16" i="16"/>
  <c r="AD10" i="16"/>
  <c r="AD13" i="16" s="1"/>
  <c r="AD17" i="16"/>
  <c r="AD29" i="16"/>
  <c r="AC17" i="16"/>
  <c r="AC21" i="16"/>
  <c r="AC22" i="16"/>
  <c r="AC23" i="16"/>
  <c r="AC29" i="16"/>
  <c r="AC33" i="16"/>
  <c r="AC39" i="16"/>
  <c r="AC44" i="16"/>
  <c r="AB14" i="16"/>
  <c r="AC15" i="16" s="1"/>
  <c r="AB15" i="16"/>
  <c r="AB16" i="16"/>
  <c r="AB17" i="16"/>
  <c r="AB29" i="16"/>
  <c r="AA14" i="16"/>
  <c r="AA15" i="16"/>
  <c r="AA16" i="16"/>
  <c r="AA17" i="16"/>
  <c r="AA29" i="16"/>
  <c r="Z14" i="16"/>
  <c r="Z10" i="16" s="1"/>
  <c r="Z13" i="16" s="1"/>
  <c r="Z15" i="16"/>
  <c r="Z16" i="16"/>
  <c r="Z17" i="16"/>
  <c r="Z29" i="16"/>
  <c r="Y14" i="16"/>
  <c r="Y10" i="16" s="1"/>
  <c r="Y15" i="16"/>
  <c r="Y16" i="16"/>
  <c r="Y13" i="16"/>
  <c r="Y17" i="16"/>
  <c r="Y29" i="16"/>
  <c r="X14" i="16"/>
  <c r="X15" i="16"/>
  <c r="X16" i="16"/>
  <c r="X17" i="16"/>
  <c r="X29" i="16"/>
  <c r="W14" i="16"/>
  <c r="W10" i="16" s="1"/>
  <c r="W13" i="16" s="1"/>
  <c r="W15" i="16"/>
  <c r="W16" i="16"/>
  <c r="W17" i="16"/>
  <c r="W29" i="16"/>
  <c r="V14" i="16"/>
  <c r="V10" i="16" s="1"/>
  <c r="V13" i="16" s="1"/>
  <c r="V15" i="16"/>
  <c r="V16" i="16"/>
  <c r="V17" i="16"/>
  <c r="V29" i="16"/>
  <c r="U14" i="16"/>
  <c r="U15" i="16"/>
  <c r="U16" i="16"/>
  <c r="U17" i="16"/>
  <c r="U29" i="16"/>
  <c r="T14" i="16"/>
  <c r="T15" i="16"/>
  <c r="T16" i="16"/>
  <c r="T17" i="16"/>
  <c r="T29" i="16"/>
  <c r="S14" i="16"/>
  <c r="S15" i="16"/>
  <c r="S16" i="16"/>
  <c r="S10" i="16"/>
  <c r="S13" i="16" s="1"/>
  <c r="S17" i="16"/>
  <c r="S29" i="16"/>
  <c r="R14" i="16"/>
  <c r="R15" i="16"/>
  <c r="R16" i="16"/>
  <c r="R10" i="16"/>
  <c r="R13" i="16" s="1"/>
  <c r="R17" i="16"/>
  <c r="R29" i="16"/>
  <c r="Q14" i="16"/>
  <c r="Q10" i="16" s="1"/>
  <c r="Q13" i="16" s="1"/>
  <c r="Q15" i="16"/>
  <c r="Q16" i="16"/>
  <c r="Q17" i="16"/>
  <c r="Q29" i="16"/>
  <c r="P14" i="16"/>
  <c r="P15" i="16"/>
  <c r="P16" i="16"/>
  <c r="P17" i="16"/>
  <c r="P29" i="16"/>
  <c r="O14" i="16"/>
  <c r="O15" i="16"/>
  <c r="O16" i="16"/>
  <c r="O17" i="16"/>
  <c r="O29" i="16"/>
  <c r="N14" i="16"/>
  <c r="N15" i="16"/>
  <c r="N16" i="16"/>
  <c r="N10" i="16"/>
  <c r="N13" i="16"/>
  <c r="N17" i="16"/>
  <c r="N29" i="16"/>
  <c r="M14" i="16"/>
  <c r="M10" i="16" s="1"/>
  <c r="M13" i="16" s="1"/>
  <c r="M15" i="16"/>
  <c r="M16" i="16"/>
  <c r="M17" i="16"/>
  <c r="M29" i="16"/>
  <c r="L14" i="16"/>
  <c r="L15" i="16"/>
  <c r="L16" i="16"/>
  <c r="L10" i="16"/>
  <c r="L13" i="16" s="1"/>
  <c r="L17" i="16"/>
  <c r="L29" i="16"/>
  <c r="K14" i="16"/>
  <c r="K10" i="16" s="1"/>
  <c r="K15" i="16"/>
  <c r="K16" i="16"/>
  <c r="K13" i="16"/>
  <c r="K17" i="16"/>
  <c r="K29" i="16"/>
  <c r="J14" i="16"/>
  <c r="J15" i="16"/>
  <c r="J16" i="16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0" i="16"/>
  <c r="H13" i="16" s="1"/>
  <c r="H17" i="16"/>
  <c r="H29" i="16"/>
  <c r="G14" i="16"/>
  <c r="G10" i="16" s="1"/>
  <c r="G15" i="16"/>
  <c r="G16" i="16"/>
  <c r="G13" i="16"/>
  <c r="G17" i="16"/>
  <c r="G29" i="16"/>
  <c r="F14" i="16"/>
  <c r="F15" i="16"/>
  <c r="F16" i="16"/>
  <c r="F10" i="16"/>
  <c r="F13" i="16"/>
  <c r="F17" i="16"/>
  <c r="F29" i="16"/>
  <c r="E14" i="16"/>
  <c r="E10" i="16" s="1"/>
  <c r="E13" i="16" s="1"/>
  <c r="E15" i="16"/>
  <c r="E16" i="16"/>
  <c r="E17" i="16"/>
  <c r="E27" i="16"/>
  <c r="F27" i="16" s="1"/>
  <c r="F30" i="16" s="1"/>
  <c r="E29" i="16"/>
  <c r="D14" i="16"/>
  <c r="D15" i="16"/>
  <c r="D16" i="16"/>
  <c r="D10" i="16"/>
  <c r="D17" i="16"/>
  <c r="D27" i="16"/>
  <c r="D30" i="16" s="1"/>
  <c r="D29" i="16"/>
  <c r="AY14" i="17"/>
  <c r="AY10" i="17" s="1"/>
  <c r="AY15" i="17"/>
  <c r="AY16" i="17"/>
  <c r="AY13" i="17"/>
  <c r="AY17" i="17"/>
  <c r="AY29" i="17"/>
  <c r="AX15" i="17"/>
  <c r="AX21" i="17"/>
  <c r="AX22" i="17"/>
  <c r="AX23" i="17"/>
  <c r="AX29" i="17"/>
  <c r="AX33" i="17"/>
  <c r="AX39" i="17" s="1"/>
  <c r="AX44" i="17"/>
  <c r="AX50" i="17"/>
  <c r="AW14" i="17"/>
  <c r="AW15" i="17"/>
  <c r="AX16" i="17" s="1"/>
  <c r="AW16" i="17"/>
  <c r="AX17" i="17" s="1"/>
  <c r="AW17" i="17"/>
  <c r="AW29" i="17"/>
  <c r="AV14" i="17"/>
  <c r="AV15" i="17"/>
  <c r="AV16" i="17"/>
  <c r="AV10" i="17"/>
  <c r="AV13" i="17" s="1"/>
  <c r="AV17" i="17"/>
  <c r="AV29" i="17"/>
  <c r="AU14" i="17"/>
  <c r="AU10" i="17" s="1"/>
  <c r="AU15" i="17"/>
  <c r="AU16" i="17"/>
  <c r="AU13" i="17"/>
  <c r="AV21" i="17" s="1"/>
  <c r="AU17" i="17"/>
  <c r="AU29" i="17"/>
  <c r="AT14" i="17"/>
  <c r="AT10" i="17" s="1"/>
  <c r="AT15" i="17"/>
  <c r="AT16" i="17"/>
  <c r="AT13" i="17"/>
  <c r="AT17" i="17"/>
  <c r="AT29" i="17"/>
  <c r="AS14" i="17"/>
  <c r="AS10" i="17" s="1"/>
  <c r="AS13" i="17" s="1"/>
  <c r="AS15" i="17"/>
  <c r="AS16" i="17"/>
  <c r="AS17" i="17"/>
  <c r="AS29" i="17"/>
  <c r="AR14" i="17"/>
  <c r="AR15" i="17"/>
  <c r="AR16" i="17"/>
  <c r="AR10" i="17"/>
  <c r="AR13" i="17" s="1"/>
  <c r="AR17" i="17"/>
  <c r="AR29" i="17"/>
  <c r="AQ14" i="17"/>
  <c r="AQ15" i="17"/>
  <c r="AQ16" i="17"/>
  <c r="AQ10" i="17"/>
  <c r="AQ13" i="17" s="1"/>
  <c r="AQ17" i="17"/>
  <c r="AQ29" i="17"/>
  <c r="AP14" i="17"/>
  <c r="AP15" i="17"/>
  <c r="AP16" i="17"/>
  <c r="AP17" i="17"/>
  <c r="AP29" i="17"/>
  <c r="AO14" i="17"/>
  <c r="AO15" i="17"/>
  <c r="AO16" i="17"/>
  <c r="AO17" i="17"/>
  <c r="AO29" i="17"/>
  <c r="AN16" i="17"/>
  <c r="AN21" i="17"/>
  <c r="AN22" i="17"/>
  <c r="AN34" i="17" s="1"/>
  <c r="AN24" i="17"/>
  <c r="AN29" i="17"/>
  <c r="AN40" i="17"/>
  <c r="AN44" i="17"/>
  <c r="AN45" i="17"/>
  <c r="AN51" i="17" s="1"/>
  <c r="AM14" i="17"/>
  <c r="AM15" i="17"/>
  <c r="AM16" i="17"/>
  <c r="AN17" i="17" s="1"/>
  <c r="AM17" i="17"/>
  <c r="AM29" i="17"/>
  <c r="AL14" i="17"/>
  <c r="AL10" i="17" s="1"/>
  <c r="AL13" i="17" s="1"/>
  <c r="AL15" i="17"/>
  <c r="AL16" i="17"/>
  <c r="AL17" i="17"/>
  <c r="AL29" i="17"/>
  <c r="AK14" i="17"/>
  <c r="AK15" i="17"/>
  <c r="AK16" i="17"/>
  <c r="AK17" i="17"/>
  <c r="AK29" i="17"/>
  <c r="AJ17" i="17"/>
  <c r="AJ21" i="17"/>
  <c r="AJ22" i="17"/>
  <c r="AJ24" i="17" s="1"/>
  <c r="AJ23" i="17"/>
  <c r="AJ29" i="17"/>
  <c r="AJ33" i="17"/>
  <c r="AJ39" i="17" s="1"/>
  <c r="AJ34" i="17"/>
  <c r="AJ40" i="17" s="1"/>
  <c r="AJ35" i="17"/>
  <c r="AJ44" i="17"/>
  <c r="AJ45" i="17"/>
  <c r="AJ51" i="17" s="1"/>
  <c r="AJ50" i="17"/>
  <c r="AI14" i="17"/>
  <c r="AI15" i="17"/>
  <c r="AJ16" i="17" s="1"/>
  <c r="AI16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0" i="17" s="1"/>
  <c r="AF13" i="17" s="1"/>
  <c r="AF15" i="17"/>
  <c r="AF16" i="17"/>
  <c r="AF17" i="17"/>
  <c r="AF29" i="17"/>
  <c r="AE14" i="17"/>
  <c r="AE15" i="17"/>
  <c r="AE16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/>
  <c r="AC13" i="17" s="1"/>
  <c r="AC17" i="17"/>
  <c r="AC29" i="17"/>
  <c r="AB14" i="17"/>
  <c r="AB10" i="17" s="1"/>
  <c r="AB13" i="17" s="1"/>
  <c r="AB15" i="17"/>
  <c r="AB16" i="17"/>
  <c r="AB17" i="17"/>
  <c r="AB29" i="17"/>
  <c r="AA14" i="17"/>
  <c r="AA15" i="17"/>
  <c r="AA16" i="17"/>
  <c r="AA17" i="17"/>
  <c r="AA29" i="17"/>
  <c r="Z14" i="17"/>
  <c r="Z15" i="17"/>
  <c r="Z10" i="17" s="1"/>
  <c r="Z13" i="17" s="1"/>
  <c r="Z16" i="17"/>
  <c r="Z17" i="17"/>
  <c r="Z29" i="17"/>
  <c r="Y14" i="17"/>
  <c r="Y15" i="17"/>
  <c r="Y16" i="17"/>
  <c r="Y17" i="17"/>
  <c r="Y29" i="17"/>
  <c r="X14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0" i="17" s="1"/>
  <c r="V13" i="17" s="1"/>
  <c r="V17" i="17"/>
  <c r="V29" i="17"/>
  <c r="U21" i="17"/>
  <c r="U22" i="17"/>
  <c r="U24" i="17" s="1"/>
  <c r="U23" i="17"/>
  <c r="U29" i="17"/>
  <c r="U34" i="17"/>
  <c r="U40" i="17" s="1"/>
  <c r="T14" i="17"/>
  <c r="T15" i="17"/>
  <c r="U16" i="17" s="1"/>
  <c r="T16" i="17"/>
  <c r="U17" i="17" s="1"/>
  <c r="T17" i="17"/>
  <c r="T29" i="17"/>
  <c r="S14" i="17"/>
  <c r="S15" i="17"/>
  <c r="S16" i="17"/>
  <c r="S17" i="17"/>
  <c r="S29" i="17"/>
  <c r="R14" i="17"/>
  <c r="R15" i="17"/>
  <c r="R16" i="17"/>
  <c r="R10" i="17"/>
  <c r="R13" i="17" s="1"/>
  <c r="R17" i="17"/>
  <c r="R29" i="17"/>
  <c r="Q14" i="17"/>
  <c r="Q15" i="17"/>
  <c r="Q16" i="17"/>
  <c r="Q10" i="17"/>
  <c r="Q13" i="17" s="1"/>
  <c r="Q17" i="17"/>
  <c r="Q29" i="17"/>
  <c r="P14" i="17"/>
  <c r="P15" i="17"/>
  <c r="P16" i="17"/>
  <c r="P10" i="17"/>
  <c r="P13" i="17" s="1"/>
  <c r="P17" i="17"/>
  <c r="P29" i="17"/>
  <c r="O14" i="17"/>
  <c r="O15" i="17"/>
  <c r="O16" i="17"/>
  <c r="O17" i="17"/>
  <c r="O29" i="17"/>
  <c r="N14" i="17"/>
  <c r="N15" i="17"/>
  <c r="N16" i="17"/>
  <c r="N10" i="17" s="1"/>
  <c r="N13" i="17" s="1"/>
  <c r="N17" i="17"/>
  <c r="N29" i="17"/>
  <c r="M14" i="17"/>
  <c r="M10" i="17" s="1"/>
  <c r="M13" i="17" s="1"/>
  <c r="M15" i="17"/>
  <c r="M16" i="17"/>
  <c r="M17" i="17"/>
  <c r="M29" i="17"/>
  <c r="L14" i="17"/>
  <c r="L15" i="17"/>
  <c r="L16" i="17"/>
  <c r="L17" i="17"/>
  <c r="L29" i="17"/>
  <c r="K14" i="17"/>
  <c r="K10" i="17" s="1"/>
  <c r="K13" i="17" s="1"/>
  <c r="K15" i="17"/>
  <c r="K16" i="17"/>
  <c r="K17" i="17"/>
  <c r="K29" i="17"/>
  <c r="J14" i="17"/>
  <c r="J15" i="17"/>
  <c r="J10" i="17" s="1"/>
  <c r="J13" i="17" s="1"/>
  <c r="J16" i="17"/>
  <c r="J17" i="17"/>
  <c r="J21" i="17"/>
  <c r="J29" i="17"/>
  <c r="I14" i="17"/>
  <c r="I10" i="17" s="1"/>
  <c r="I13" i="17" s="1"/>
  <c r="I15" i="17"/>
  <c r="I16" i="17"/>
  <c r="I17" i="17"/>
  <c r="I29" i="17"/>
  <c r="H14" i="17"/>
  <c r="H15" i="17"/>
  <c r="H16" i="17"/>
  <c r="H17" i="17"/>
  <c r="H29" i="17"/>
  <c r="G14" i="17"/>
  <c r="G15" i="17"/>
  <c r="G16" i="17"/>
  <c r="G17" i="17"/>
  <c r="G29" i="17"/>
  <c r="F14" i="17"/>
  <c r="F15" i="17"/>
  <c r="F16" i="17"/>
  <c r="F10" i="17"/>
  <c r="F13" i="17" s="1"/>
  <c r="F17" i="17"/>
  <c r="F27" i="17"/>
  <c r="F30" i="17" s="1"/>
  <c r="F29" i="17"/>
  <c r="E14" i="17"/>
  <c r="E10" i="17" s="1"/>
  <c r="E15" i="17"/>
  <c r="E16" i="17"/>
  <c r="E13" i="17"/>
  <c r="F21" i="17" s="1"/>
  <c r="E17" i="17"/>
  <c r="E29" i="17"/>
  <c r="D14" i="17"/>
  <c r="D10" i="17" s="1"/>
  <c r="D15" i="17"/>
  <c r="D16" i="17"/>
  <c r="D13" i="17"/>
  <c r="E21" i="17" s="1"/>
  <c r="D17" i="17"/>
  <c r="D23" i="17"/>
  <c r="D27" i="17"/>
  <c r="E27" i="17" s="1"/>
  <c r="E30" i="17" s="1"/>
  <c r="D29" i="17"/>
  <c r="D3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0" i="18" s="1"/>
  <c r="AW13" i="18" s="1"/>
  <c r="AX22" i="18" s="1"/>
  <c r="AW17" i="18"/>
  <c r="AW29" i="18"/>
  <c r="AV14" i="18"/>
  <c r="AV15" i="18"/>
  <c r="AV10" i="18" s="1"/>
  <c r="AV13" i="18" s="1"/>
  <c r="AV16" i="18"/>
  <c r="AV17" i="18"/>
  <c r="AV29" i="18"/>
  <c r="AU14" i="18"/>
  <c r="AU15" i="18"/>
  <c r="AU16" i="18"/>
  <c r="AU17" i="18"/>
  <c r="AU29" i="18"/>
  <c r="AU44" i="18"/>
  <c r="AT14" i="18"/>
  <c r="AT15" i="18"/>
  <c r="AT16" i="18"/>
  <c r="AT10" i="18"/>
  <c r="AT13" i="18" s="1"/>
  <c r="AT17" i="18"/>
  <c r="AT29" i="18"/>
  <c r="AS14" i="18"/>
  <c r="AS15" i="18"/>
  <c r="AS16" i="18"/>
  <c r="AS10" i="18"/>
  <c r="AS13" i="18" s="1"/>
  <c r="AS17" i="18"/>
  <c r="AS29" i="18"/>
  <c r="AR14" i="18"/>
  <c r="AR10" i="18" s="1"/>
  <c r="AR15" i="18"/>
  <c r="AR16" i="18"/>
  <c r="AR13" i="18"/>
  <c r="AR17" i="18"/>
  <c r="AR29" i="18"/>
  <c r="AQ14" i="18"/>
  <c r="AQ15" i="18"/>
  <c r="AQ16" i="18"/>
  <c r="AQ17" i="18"/>
  <c r="AQ21" i="18"/>
  <c r="AQ29" i="18"/>
  <c r="AP14" i="18"/>
  <c r="AP15" i="18"/>
  <c r="AP16" i="18"/>
  <c r="AP10" i="18" s="1"/>
  <c r="AP13" i="18" s="1"/>
  <c r="AQ22" i="18" s="1"/>
  <c r="AP17" i="18"/>
  <c r="AP29" i="18"/>
  <c r="AO14" i="18"/>
  <c r="AO15" i="18"/>
  <c r="AO16" i="18"/>
  <c r="AO10" i="18"/>
  <c r="AO13" i="18"/>
  <c r="AO17" i="18"/>
  <c r="AO29" i="18"/>
  <c r="AN14" i="18"/>
  <c r="AN10" i="18" s="1"/>
  <c r="AN13" i="18" s="1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 s="1"/>
  <c r="AL17" i="18"/>
  <c r="AL29" i="18"/>
  <c r="AK14" i="18"/>
  <c r="AK15" i="18"/>
  <c r="AK16" i="18"/>
  <c r="AK10" i="18"/>
  <c r="AK13" i="18" s="1"/>
  <c r="AK17" i="18"/>
  <c r="AK29" i="18"/>
  <c r="AJ14" i="18"/>
  <c r="AJ10" i="18" s="1"/>
  <c r="AJ13" i="18" s="1"/>
  <c r="AK21" i="18" s="1"/>
  <c r="AJ15" i="18"/>
  <c r="AJ16" i="18"/>
  <c r="AJ17" i="18"/>
  <c r="AJ29" i="18"/>
  <c r="AI14" i="18"/>
  <c r="AI15" i="18"/>
  <c r="AI10" i="18" s="1"/>
  <c r="AI13" i="18" s="1"/>
  <c r="AI16" i="18"/>
  <c r="AI17" i="18"/>
  <c r="AI21" i="18"/>
  <c r="AI23" i="18" s="1"/>
  <c r="AI29" i="18"/>
  <c r="AH14" i="18"/>
  <c r="AH15" i="18"/>
  <c r="AH16" i="18"/>
  <c r="AH10" i="18"/>
  <c r="AH13" i="18" s="1"/>
  <c r="AH17" i="18"/>
  <c r="AH29" i="18"/>
  <c r="AG14" i="18"/>
  <c r="AG10" i="18" s="1"/>
  <c r="AG13" i="18" s="1"/>
  <c r="AG15" i="18"/>
  <c r="AG16" i="18"/>
  <c r="AG17" i="18"/>
  <c r="AG21" i="18"/>
  <c r="AG23" i="18"/>
  <c r="AG29" i="18"/>
  <c r="AF14" i="18"/>
  <c r="AF10" i="18" s="1"/>
  <c r="AF15" i="18"/>
  <c r="AF16" i="18"/>
  <c r="AF13" i="18"/>
  <c r="AF17" i="18"/>
  <c r="AF23" i="18"/>
  <c r="AF29" i="18"/>
  <c r="AF50" i="18"/>
  <c r="AE14" i="18"/>
  <c r="AE10" i="18" s="1"/>
  <c r="AE13" i="18" s="1"/>
  <c r="AF21" i="18" s="1"/>
  <c r="AF44" i="18" s="1"/>
  <c r="AE15" i="18"/>
  <c r="AE16" i="18"/>
  <c r="AE17" i="18"/>
  <c r="AE29" i="18"/>
  <c r="AD14" i="18"/>
  <c r="AD15" i="18"/>
  <c r="AD16" i="18"/>
  <c r="AD10" i="18"/>
  <c r="AD13" i="18" s="1"/>
  <c r="AE21" i="18" s="1"/>
  <c r="AD17" i="18"/>
  <c r="AD29" i="18"/>
  <c r="AC14" i="18"/>
  <c r="AC15" i="18"/>
  <c r="AC16" i="18"/>
  <c r="AC10" i="18"/>
  <c r="AC13" i="18" s="1"/>
  <c r="AC17" i="18"/>
  <c r="AC29" i="18"/>
  <c r="AB14" i="18"/>
  <c r="AB15" i="18"/>
  <c r="AB16" i="18"/>
  <c r="AB10" i="18"/>
  <c r="AB13" i="18" s="1"/>
  <c r="AB17" i="18"/>
  <c r="AB29" i="18"/>
  <c r="AA14" i="18"/>
  <c r="AA15" i="18"/>
  <c r="AA16" i="18"/>
  <c r="AA17" i="18"/>
  <c r="AA29" i="18"/>
  <c r="Z16" i="18"/>
  <c r="Z17" i="18"/>
  <c r="Z21" i="18"/>
  <c r="Z23" i="18" s="1"/>
  <c r="Z22" i="18"/>
  <c r="Z24" i="18" s="1"/>
  <c r="Z29" i="18"/>
  <c r="Z33" i="18"/>
  <c r="Z39" i="18" s="1"/>
  <c r="Z44" i="18"/>
  <c r="Z50" i="18"/>
  <c r="Y14" i="18"/>
  <c r="Y15" i="18"/>
  <c r="Y16" i="18"/>
  <c r="Y17" i="18"/>
  <c r="Y21" i="18"/>
  <c r="Y23" i="18"/>
  <c r="Y29" i="18"/>
  <c r="X14" i="18"/>
  <c r="X10" i="18" s="1"/>
  <c r="X15" i="18"/>
  <c r="X16" i="18"/>
  <c r="X13" i="18"/>
  <c r="X17" i="18"/>
  <c r="X23" i="18"/>
  <c r="X29" i="18"/>
  <c r="X50" i="18"/>
  <c r="W14" i="18"/>
  <c r="W10" i="18" s="1"/>
  <c r="W13" i="18" s="1"/>
  <c r="X21" i="18" s="1"/>
  <c r="X44" i="18" s="1"/>
  <c r="W15" i="18"/>
  <c r="W16" i="18"/>
  <c r="W17" i="18"/>
  <c r="W29" i="18"/>
  <c r="V14" i="18"/>
  <c r="V15" i="18"/>
  <c r="V10" i="18" s="1"/>
  <c r="V13" i="18" s="1"/>
  <c r="V16" i="18"/>
  <c r="V17" i="18"/>
  <c r="V21" i="18"/>
  <c r="V29" i="18"/>
  <c r="U14" i="18"/>
  <c r="U15" i="18"/>
  <c r="U16" i="18"/>
  <c r="U10" i="18"/>
  <c r="U13" i="18" s="1"/>
  <c r="V22" i="18" s="1"/>
  <c r="U17" i="18"/>
  <c r="U29" i="18"/>
  <c r="T14" i="18"/>
  <c r="T10" i="18" s="1"/>
  <c r="T13" i="18" s="1"/>
  <c r="T15" i="18"/>
  <c r="T16" i="18"/>
  <c r="T17" i="18"/>
  <c r="T29" i="18"/>
  <c r="S14" i="18"/>
  <c r="S15" i="18"/>
  <c r="S16" i="18"/>
  <c r="S17" i="18"/>
  <c r="S29" i="18"/>
  <c r="R14" i="18"/>
  <c r="R15" i="18"/>
  <c r="R16" i="18"/>
  <c r="R10" i="18"/>
  <c r="R13" i="18" s="1"/>
  <c r="S21" i="18" s="1"/>
  <c r="R17" i="18"/>
  <c r="R29" i="18"/>
  <c r="Q14" i="18"/>
  <c r="Q15" i="18"/>
  <c r="Q16" i="18"/>
  <c r="Q17" i="18"/>
  <c r="Q29" i="18"/>
  <c r="P14" i="18"/>
  <c r="P15" i="18"/>
  <c r="P16" i="18"/>
  <c r="P17" i="18"/>
  <c r="P23" i="18"/>
  <c r="P29" i="18"/>
  <c r="O14" i="18"/>
  <c r="O15" i="18"/>
  <c r="O16" i="18"/>
  <c r="O10" i="18"/>
  <c r="O13" i="18" s="1"/>
  <c r="P21" i="18" s="1"/>
  <c r="P44" i="18" s="1"/>
  <c r="O17" i="18"/>
  <c r="O29" i="18"/>
  <c r="N14" i="18"/>
  <c r="N15" i="18"/>
  <c r="N16" i="18"/>
  <c r="N17" i="18"/>
  <c r="N29" i="18"/>
  <c r="M14" i="18"/>
  <c r="M15" i="18"/>
  <c r="M16" i="18"/>
  <c r="M10" i="18"/>
  <c r="M13" i="18" s="1"/>
  <c r="M17" i="18"/>
  <c r="M23" i="18"/>
  <c r="M29" i="18"/>
  <c r="L14" i="18"/>
  <c r="L15" i="18"/>
  <c r="L16" i="18"/>
  <c r="L10" i="18"/>
  <c r="L13" i="18"/>
  <c r="M21" i="18" s="1"/>
  <c r="M33" i="18" s="1"/>
  <c r="L17" i="18"/>
  <c r="L29" i="18"/>
  <c r="K14" i="18"/>
  <c r="K15" i="18"/>
  <c r="K16" i="18"/>
  <c r="K17" i="18"/>
  <c r="K29" i="18"/>
  <c r="J14" i="18"/>
  <c r="J15" i="18"/>
  <c r="J16" i="18"/>
  <c r="J10" i="18"/>
  <c r="J13" i="18" s="1"/>
  <c r="K22" i="18" s="1"/>
  <c r="J17" i="18"/>
  <c r="J29" i="18"/>
  <c r="I14" i="18"/>
  <c r="I15" i="18"/>
  <c r="I16" i="18"/>
  <c r="I10" i="18"/>
  <c r="I13" i="18" s="1"/>
  <c r="I17" i="18"/>
  <c r="I29" i="18"/>
  <c r="H14" i="18"/>
  <c r="H15" i="18"/>
  <c r="H16" i="18"/>
  <c r="H17" i="18"/>
  <c r="H29" i="18"/>
  <c r="G14" i="18"/>
  <c r="G15" i="18"/>
  <c r="G16" i="18"/>
  <c r="G17" i="18"/>
  <c r="G29" i="18"/>
  <c r="F14" i="18"/>
  <c r="F15" i="18"/>
  <c r="F16" i="18"/>
  <c r="F17" i="18"/>
  <c r="F29" i="18"/>
  <c r="E14" i="18"/>
  <c r="E15" i="18"/>
  <c r="E16" i="18"/>
  <c r="E10" i="18"/>
  <c r="E13" i="18" s="1"/>
  <c r="E17" i="18"/>
  <c r="E29" i="18"/>
  <c r="D14" i="18"/>
  <c r="D15" i="18"/>
  <c r="D16" i="18"/>
  <c r="D10" i="18"/>
  <c r="D13" i="18"/>
  <c r="D17" i="18"/>
  <c r="D21" i="18"/>
  <c r="D23" i="18"/>
  <c r="D27" i="18"/>
  <c r="D29" i="18"/>
  <c r="E27" i="18" s="1"/>
  <c r="E30" i="18" s="1"/>
  <c r="D30" i="18"/>
  <c r="D33" i="18"/>
  <c r="D39" i="18"/>
  <c r="D44" i="18"/>
  <c r="D50" i="18" s="1"/>
  <c r="B21" i="16"/>
  <c r="D21" i="16" s="1"/>
  <c r="B21" i="17"/>
  <c r="D21" i="17" s="1"/>
  <c r="B21" i="18"/>
  <c r="AU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G28" i="19"/>
  <c r="C19" i="19"/>
  <c r="C28" i="19" s="1"/>
  <c r="D19" i="19"/>
  <c r="D28" i="19" s="1"/>
  <c r="E19" i="19"/>
  <c r="E28" i="19" s="1"/>
  <c r="F19" i="19"/>
  <c r="F28" i="19" s="1"/>
  <c r="G19" i="19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Y22" i="18" s="1"/>
  <c r="B22" i="16"/>
  <c r="AJ21" i="18" l="1"/>
  <c r="AJ22" i="18"/>
  <c r="F21" i="18"/>
  <c r="F22" i="18"/>
  <c r="V33" i="18"/>
  <c r="V23" i="18"/>
  <c r="V44" i="18"/>
  <c r="AE33" i="18"/>
  <c r="AE23" i="18"/>
  <c r="AE44" i="18"/>
  <c r="AW21" i="18"/>
  <c r="AW22" i="18"/>
  <c r="AH21" i="17"/>
  <c r="AH22" i="17"/>
  <c r="AV33" i="17"/>
  <c r="AV23" i="17"/>
  <c r="AV44" i="17"/>
  <c r="Y24" i="18"/>
  <c r="Y45" i="18"/>
  <c r="Y51" i="18" s="1"/>
  <c r="Y34" i="18"/>
  <c r="Y40" i="18" s="1"/>
  <c r="G10" i="18"/>
  <c r="G13" i="18" s="1"/>
  <c r="P50" i="18"/>
  <c r="AX21" i="18"/>
  <c r="L21" i="17"/>
  <c r="F10" i="18"/>
  <c r="F13" i="18" s="1"/>
  <c r="Q10" i="18"/>
  <c r="Q13" i="18" s="1"/>
  <c r="V34" i="18"/>
  <c r="V40" i="18" s="1"/>
  <c r="V24" i="18"/>
  <c r="V45" i="18"/>
  <c r="V51" i="18" s="1"/>
  <c r="AL21" i="18"/>
  <c r="AL22" i="18"/>
  <c r="AQ45" i="18"/>
  <c r="AQ51" i="18" s="1"/>
  <c r="AQ24" i="18"/>
  <c r="AQ34" i="18"/>
  <c r="AQ40" i="18" s="1"/>
  <c r="E44" i="17"/>
  <c r="E33" i="17"/>
  <c r="E23" i="17"/>
  <c r="Q21" i="17"/>
  <c r="AU50" i="18"/>
  <c r="E22" i="18"/>
  <c r="E21" i="18"/>
  <c r="AH21" i="18"/>
  <c r="AH22" i="18"/>
  <c r="N21" i="18"/>
  <c r="N22" i="18"/>
  <c r="N10" i="18"/>
  <c r="N13" i="18" s="1"/>
  <c r="S22" i="18"/>
  <c r="Z15" i="18"/>
  <c r="Y10" i="18"/>
  <c r="Y13" i="18" s="1"/>
  <c r="Z14" i="18" s="1"/>
  <c r="Z10" i="18" s="1"/>
  <c r="Z13" i="18" s="1"/>
  <c r="D22" i="16"/>
  <c r="AA22" i="16"/>
  <c r="AR22" i="16"/>
  <c r="AD22" i="18"/>
  <c r="AD21" i="18"/>
  <c r="W22" i="18"/>
  <c r="W21" i="18"/>
  <c r="J22" i="18"/>
  <c r="J21" i="18"/>
  <c r="K45" i="18"/>
  <c r="K51" i="18" s="1"/>
  <c r="K34" i="18"/>
  <c r="K40" i="18" s="1"/>
  <c r="K24" i="18"/>
  <c r="AT22" i="18"/>
  <c r="AT21" i="18"/>
  <c r="AX24" i="18"/>
  <c r="AX34" i="18"/>
  <c r="AX40" i="18" s="1"/>
  <c r="AX45" i="18"/>
  <c r="AX51" i="18" s="1"/>
  <c r="AG21" i="17"/>
  <c r="AC45" i="16"/>
  <c r="AC51" i="16" s="1"/>
  <c r="AC34" i="16"/>
  <c r="AC40" i="16" s="1"/>
  <c r="AC24" i="16"/>
  <c r="AQ44" i="16"/>
  <c r="AQ33" i="16"/>
  <c r="AQ23" i="16"/>
  <c r="AO21" i="18"/>
  <c r="AO22" i="18"/>
  <c r="S21" i="16"/>
  <c r="S22" i="16"/>
  <c r="AC21" i="18"/>
  <c r="AC22" i="18"/>
  <c r="AU23" i="18"/>
  <c r="AU33" i="18"/>
  <c r="M39" i="18"/>
  <c r="F27" i="18"/>
  <c r="S23" i="18"/>
  <c r="S44" i="18"/>
  <c r="S33" i="18"/>
  <c r="U21" i="18"/>
  <c r="U22" i="18"/>
  <c r="AK44" i="18"/>
  <c r="AK33" i="18"/>
  <c r="AK23" i="18"/>
  <c r="AQ23" i="18"/>
  <c r="AQ44" i="18"/>
  <c r="AQ33" i="18"/>
  <c r="AZ10" i="18"/>
  <c r="K10" i="18"/>
  <c r="K13" i="18" s="1"/>
  <c r="M44" i="18"/>
  <c r="P22" i="18"/>
  <c r="AG22" i="18"/>
  <c r="AE22" i="17"/>
  <c r="AE21" i="17"/>
  <c r="J116" i="11"/>
  <c r="J120" i="11"/>
  <c r="J127" i="11" s="1"/>
  <c r="X22" i="18"/>
  <c r="Y44" i="18"/>
  <c r="Y33" i="18"/>
  <c r="AF22" i="18"/>
  <c r="AG44" i="18"/>
  <c r="AG33" i="18"/>
  <c r="F22" i="17"/>
  <c r="G10" i="17"/>
  <c r="G13" i="17" s="1"/>
  <c r="J33" i="17"/>
  <c r="J23" i="17"/>
  <c r="L10" i="17"/>
  <c r="L13" i="17" s="1"/>
  <c r="R21" i="17"/>
  <c r="R22" i="17"/>
  <c r="W10" i="17"/>
  <c r="W13" i="17" s="1"/>
  <c r="AK10" i="17"/>
  <c r="AK13" i="17" s="1"/>
  <c r="AW21" i="17"/>
  <c r="H21" i="16"/>
  <c r="H22" i="16"/>
  <c r="I22" i="16"/>
  <c r="I21" i="16"/>
  <c r="L21" i="16"/>
  <c r="L22" i="16"/>
  <c r="AA10" i="16"/>
  <c r="AA13" i="16" s="1"/>
  <c r="M116" i="11"/>
  <c r="M121" i="11"/>
  <c r="M127" i="11" s="1"/>
  <c r="E121" i="11"/>
  <c r="E127" i="11" s="1"/>
  <c r="E116" i="11"/>
  <c r="I116" i="11"/>
  <c r="I120" i="11"/>
  <c r="I127" i="11" s="1"/>
  <c r="F138" i="10"/>
  <c r="J138" i="10"/>
  <c r="P33" i="18"/>
  <c r="Z45" i="18"/>
  <c r="Z51" i="18" s="1"/>
  <c r="AU22" i="18"/>
  <c r="AX10" i="18"/>
  <c r="AX13" i="18" s="1"/>
  <c r="H10" i="17"/>
  <c r="H13" i="17" s="1"/>
  <c r="O22" i="17"/>
  <c r="O21" i="17"/>
  <c r="X10" i="17"/>
  <c r="X13" i="17" s="1"/>
  <c r="AM21" i="17"/>
  <c r="AK22" i="16"/>
  <c r="AT21" i="16"/>
  <c r="AT22" i="16"/>
  <c r="AP21" i="18"/>
  <c r="AP22" i="18"/>
  <c r="D13" i="16"/>
  <c r="N116" i="11"/>
  <c r="N121" i="11"/>
  <c r="N127" i="11" s="1"/>
  <c r="AE22" i="18"/>
  <c r="AI44" i="18"/>
  <c r="Z21" i="16"/>
  <c r="Z22" i="16"/>
  <c r="D23" i="16"/>
  <c r="D44" i="16"/>
  <c r="D22" i="18"/>
  <c r="K21" i="18"/>
  <c r="S10" i="18"/>
  <c r="S13" i="18" s="1"/>
  <c r="X33" i="18"/>
  <c r="AF33" i="18"/>
  <c r="AI22" i="18"/>
  <c r="AK22" i="18"/>
  <c r="AM22" i="18"/>
  <c r="AM21" i="18"/>
  <c r="G27" i="17"/>
  <c r="K21" i="17"/>
  <c r="AR22" i="17"/>
  <c r="D33" i="16"/>
  <c r="F21" i="16"/>
  <c r="F22" i="16"/>
  <c r="J21" i="16"/>
  <c r="J22" i="16"/>
  <c r="N21" i="16"/>
  <c r="N22" i="16"/>
  <c r="AQ22" i="16"/>
  <c r="M22" i="18"/>
  <c r="W21" i="16"/>
  <c r="W22" i="16"/>
  <c r="AK23" i="16"/>
  <c r="AK33" i="16"/>
  <c r="AK44" i="16"/>
  <c r="F121" i="11"/>
  <c r="F127" i="11" s="1"/>
  <c r="F116" i="11"/>
  <c r="D44" i="17"/>
  <c r="AM10" i="18"/>
  <c r="AM13" i="18" s="1"/>
  <c r="AS21" i="18"/>
  <c r="AS22" i="18"/>
  <c r="D33" i="17"/>
  <c r="N21" i="17"/>
  <c r="Y10" i="17"/>
  <c r="Y13" i="17" s="1"/>
  <c r="AX45" i="17"/>
  <c r="AX34" i="17"/>
  <c r="AX24" i="17"/>
  <c r="AW22" i="16"/>
  <c r="AW21" i="16"/>
  <c r="H10" i="18"/>
  <c r="H13" i="18" s="1"/>
  <c r="P10" i="18"/>
  <c r="P13" i="18" s="1"/>
  <c r="Z34" i="18"/>
  <c r="Z40" i="18" s="1"/>
  <c r="AA10" i="18"/>
  <c r="AA13" i="18" s="1"/>
  <c r="G21" i="17"/>
  <c r="J44" i="17"/>
  <c r="W21" i="17"/>
  <c r="AA10" i="17"/>
  <c r="AA13" i="17" s="1"/>
  <c r="AD21" i="17"/>
  <c r="AE10" i="17"/>
  <c r="AE13" i="17" s="1"/>
  <c r="AJ15" i="17"/>
  <c r="AI10" i="17"/>
  <c r="AI13" i="17" s="1"/>
  <c r="AJ14" i="17" s="1"/>
  <c r="AJ10" i="17" s="1"/>
  <c r="AJ13" i="17" s="1"/>
  <c r="AU21" i="17"/>
  <c r="AU22" i="17"/>
  <c r="O10" i="16"/>
  <c r="O13" i="16" s="1"/>
  <c r="AN10" i="16"/>
  <c r="AN13" i="16" s="1"/>
  <c r="F23" i="17"/>
  <c r="F33" i="17"/>
  <c r="AT21" i="17"/>
  <c r="AT22" i="17"/>
  <c r="Z46" i="18"/>
  <c r="AQ10" i="18"/>
  <c r="AQ13" i="18" s="1"/>
  <c r="J22" i="17"/>
  <c r="S21" i="17"/>
  <c r="AA21" i="17"/>
  <c r="AR21" i="17"/>
  <c r="AZ17" i="18"/>
  <c r="AI33" i="18"/>
  <c r="F44" i="17"/>
  <c r="AC21" i="17"/>
  <c r="AZ17" i="17"/>
  <c r="O10" i="17"/>
  <c r="O13" i="17" s="1"/>
  <c r="S10" i="17"/>
  <c r="S13" i="17" s="1"/>
  <c r="U15" i="17"/>
  <c r="T10" i="17"/>
  <c r="T13" i="17" s="1"/>
  <c r="U14" i="17" s="1"/>
  <c r="U10" i="17" s="1"/>
  <c r="U13" i="17" s="1"/>
  <c r="E30" i="16"/>
  <c r="M22" i="16"/>
  <c r="M21" i="16"/>
  <c r="AA21" i="16"/>
  <c r="AC16" i="16"/>
  <c r="AB10" i="16"/>
  <c r="AB13" i="16" s="1"/>
  <c r="AC14" i="16" s="1"/>
  <c r="AF21" i="16"/>
  <c r="AF22" i="16"/>
  <c r="AJ21" i="16"/>
  <c r="AJ22" i="16"/>
  <c r="N138" i="13"/>
  <c r="J138" i="13"/>
  <c r="H127" i="11"/>
  <c r="G22" i="17"/>
  <c r="G27" i="16"/>
  <c r="T22" i="16"/>
  <c r="T21" i="16"/>
  <c r="AC50" i="16"/>
  <c r="AL21" i="16"/>
  <c r="AL22" i="16"/>
  <c r="H138" i="13"/>
  <c r="S31" i="20" s="1"/>
  <c r="T32" i="20" s="1"/>
  <c r="L138" i="13"/>
  <c r="L127" i="11"/>
  <c r="AU10" i="18"/>
  <c r="AU13" i="18" s="1"/>
  <c r="AY10" i="18"/>
  <c r="AY13" i="18" s="1"/>
  <c r="U45" i="17"/>
  <c r="U51" i="17" s="1"/>
  <c r="U44" i="17"/>
  <c r="U33" i="17"/>
  <c r="AN15" i="17"/>
  <c r="AM10" i="17"/>
  <c r="AM13" i="17" s="1"/>
  <c r="AN14" i="17" s="1"/>
  <c r="AS21" i="17"/>
  <c r="O21" i="16"/>
  <c r="O22" i="16"/>
  <c r="D259" i="15"/>
  <c r="AZ259" i="15" s="1"/>
  <c r="BA14" i="15"/>
  <c r="G21" i="16"/>
  <c r="G22" i="16"/>
  <c r="AC260" i="15"/>
  <c r="AN46" i="17"/>
  <c r="AN50" i="17"/>
  <c r="AN33" i="17"/>
  <c r="AN23" i="17"/>
  <c r="T10" i="16"/>
  <c r="T13" i="16" s="1"/>
  <c r="AR21" i="16"/>
  <c r="AU10" i="16"/>
  <c r="AU13" i="16" s="1"/>
  <c r="AW10" i="16"/>
  <c r="AW13" i="16" s="1"/>
  <c r="AX14" i="16" s="1"/>
  <c r="AX10" i="16" s="1"/>
  <c r="AX13" i="16" s="1"/>
  <c r="AX15" i="16"/>
  <c r="AJ260" i="15"/>
  <c r="AW22" i="17"/>
  <c r="X21" i="16"/>
  <c r="X22" i="16"/>
  <c r="AC35" i="16"/>
  <c r="AE22" i="16"/>
  <c r="L120" i="13"/>
  <c r="L127" i="13" s="1"/>
  <c r="L116" i="13"/>
  <c r="D116" i="13"/>
  <c r="D120" i="13"/>
  <c r="D127" i="13" s="1"/>
  <c r="S7" i="20" s="1"/>
  <c r="H138" i="12"/>
  <c r="L138" i="12"/>
  <c r="D138" i="12"/>
  <c r="AJ46" i="17"/>
  <c r="AO10" i="17"/>
  <c r="AO13" i="17" s="1"/>
  <c r="AP10" i="17"/>
  <c r="AP13" i="17" s="1"/>
  <c r="J10" i="16"/>
  <c r="J13" i="16" s="1"/>
  <c r="AE21" i="16"/>
  <c r="AS22" i="16"/>
  <c r="AS21" i="16"/>
  <c r="AZ259" i="14"/>
  <c r="M260" i="14"/>
  <c r="U260" i="14"/>
  <c r="AC260" i="14"/>
  <c r="AK260" i="14"/>
  <c r="H116" i="13"/>
  <c r="M116" i="10"/>
  <c r="M121" i="10"/>
  <c r="M127" i="10" s="1"/>
  <c r="E127" i="10"/>
  <c r="I116" i="10"/>
  <c r="I120" i="10"/>
  <c r="I127" i="10" s="1"/>
  <c r="AH10" i="17"/>
  <c r="AH13" i="17" s="1"/>
  <c r="AW10" i="17"/>
  <c r="AW13" i="17" s="1"/>
  <c r="AX14" i="17" s="1"/>
  <c r="AX10" i="17" s="1"/>
  <c r="AX13" i="17" s="1"/>
  <c r="AZ17" i="16"/>
  <c r="R21" i="16"/>
  <c r="R22" i="16"/>
  <c r="AG22" i="16"/>
  <c r="AG21" i="16"/>
  <c r="AL10" i="16"/>
  <c r="AL13" i="16" s="1"/>
  <c r="AU21" i="16"/>
  <c r="AU22" i="16"/>
  <c r="E260" i="14"/>
  <c r="AZ260" i="14" s="1"/>
  <c r="G259" i="14"/>
  <c r="H127" i="10"/>
  <c r="U10" i="16"/>
  <c r="U13" i="16" s="1"/>
  <c r="X10" i="16"/>
  <c r="X13" i="16" s="1"/>
  <c r="AO10" i="16"/>
  <c r="AO13" i="16" s="1"/>
  <c r="P260" i="15"/>
  <c r="AP260" i="15"/>
  <c r="L260" i="14"/>
  <c r="T260" i="14"/>
  <c r="AB260" i="14"/>
  <c r="M138" i="13"/>
  <c r="I138" i="13"/>
  <c r="H127" i="13"/>
  <c r="L116" i="10"/>
  <c r="D120" i="10"/>
  <c r="D127" i="10" s="1"/>
  <c r="S10" i="20" s="1"/>
  <c r="D116" i="10"/>
  <c r="P10" i="16"/>
  <c r="P13" i="16" s="1"/>
  <c r="AX45" i="16"/>
  <c r="AX51" i="16" s="1"/>
  <c r="AX24" i="16"/>
  <c r="AX34" i="16"/>
  <c r="AX40" i="16" s="1"/>
  <c r="AH260" i="15"/>
  <c r="AK260" i="15"/>
  <c r="J260" i="14"/>
  <c r="N260" i="14"/>
  <c r="V260" i="14"/>
  <c r="AD260" i="14"/>
  <c r="AL260" i="14"/>
  <c r="N138" i="11"/>
  <c r="J138" i="11"/>
  <c r="H116" i="10"/>
  <c r="AM10" i="16"/>
  <c r="AM13" i="16" s="1"/>
  <c r="AX44" i="16"/>
  <c r="AX23" i="16"/>
  <c r="K260" i="15"/>
  <c r="AR260" i="15"/>
  <c r="R260" i="14"/>
  <c r="Z260" i="14"/>
  <c r="AH260" i="14"/>
  <c r="E127" i="12"/>
  <c r="S8" i="20" s="1"/>
  <c r="S9" i="20"/>
  <c r="L127" i="10"/>
  <c r="AG10" i="16"/>
  <c r="AG13" i="16" s="1"/>
  <c r="E260" i="15"/>
  <c r="T260" i="15"/>
  <c r="AB260" i="15"/>
  <c r="L138" i="11"/>
  <c r="H138" i="11"/>
  <c r="AJ260" i="14"/>
  <c r="AR260" i="14"/>
  <c r="M138" i="12"/>
  <c r="I138" i="12"/>
  <c r="I127" i="12"/>
  <c r="I138" i="10"/>
  <c r="AH10" i="16"/>
  <c r="AH13" i="16" s="1"/>
  <c r="D260" i="15"/>
  <c r="AZ260" i="15" s="1"/>
  <c r="M260" i="15"/>
  <c r="AD260" i="15"/>
  <c r="H127" i="12"/>
  <c r="Z260" i="15"/>
  <c r="AI260" i="15"/>
  <c r="AL260" i="15"/>
  <c r="N116" i="12"/>
  <c r="N121" i="12"/>
  <c r="N127" i="12" s="1"/>
  <c r="F127" i="12"/>
  <c r="J116" i="12"/>
  <c r="J120" i="12"/>
  <c r="J127" i="12" s="1"/>
  <c r="D116" i="11"/>
  <c r="AS260" i="14"/>
  <c r="J138" i="12"/>
  <c r="I138" i="11"/>
  <c r="J116" i="10"/>
  <c r="J116" i="13"/>
  <c r="I116" i="12"/>
  <c r="H8" i="20" s="1"/>
  <c r="J127" i="10"/>
  <c r="I116" i="13"/>
  <c r="T43" i="20"/>
  <c r="V260" i="15"/>
  <c r="AS260" i="15"/>
  <c r="F260" i="14"/>
  <c r="S40" i="20"/>
  <c r="B22" i="17"/>
  <c r="L22" i="17" s="1"/>
  <c r="L45" i="17" l="1"/>
  <c r="L51" i="17" s="1"/>
  <c r="L34" i="17"/>
  <c r="L40" i="17" s="1"/>
  <c r="L24" i="17"/>
  <c r="AX46" i="16"/>
  <c r="AX50" i="16"/>
  <c r="AJ23" i="16"/>
  <c r="AJ44" i="16"/>
  <c r="AJ33" i="16"/>
  <c r="AO21" i="16"/>
  <c r="AO22" i="16"/>
  <c r="AX46" i="17"/>
  <c r="AX51" i="17"/>
  <c r="M34" i="18"/>
  <c r="M24" i="18"/>
  <c r="M45" i="18"/>
  <c r="M51" i="18" s="1"/>
  <c r="E22" i="16"/>
  <c r="E21" i="16"/>
  <c r="F24" i="17"/>
  <c r="F34" i="17"/>
  <c r="F40" i="17" s="1"/>
  <c r="F45" i="17"/>
  <c r="F51" i="17" s="1"/>
  <c r="J33" i="18"/>
  <c r="J23" i="18"/>
  <c r="J44" i="18"/>
  <c r="AH23" i="18"/>
  <c r="AH33" i="18"/>
  <c r="AH44" i="18"/>
  <c r="AE39" i="18"/>
  <c r="AN22" i="16"/>
  <c r="AN21" i="16"/>
  <c r="AY21" i="17"/>
  <c r="AY22" i="17"/>
  <c r="AW45" i="17"/>
  <c r="AW51" i="17" s="1"/>
  <c r="AW34" i="17"/>
  <c r="AW40" i="17" s="1"/>
  <c r="AW24" i="17"/>
  <c r="AF45" i="16"/>
  <c r="AF51" i="16" s="1"/>
  <c r="AF34" i="16"/>
  <c r="AF40" i="16" s="1"/>
  <c r="AF24" i="16"/>
  <c r="AB21" i="17"/>
  <c r="AB22" i="17"/>
  <c r="AR24" i="17"/>
  <c r="AR34" i="17"/>
  <c r="AR40" i="17" s="1"/>
  <c r="AR45" i="17"/>
  <c r="AR51" i="17" s="1"/>
  <c r="AZ10" i="16"/>
  <c r="L24" i="16"/>
  <c r="L45" i="16"/>
  <c r="L51" i="16" s="1"/>
  <c r="L34" i="16"/>
  <c r="L40" i="16" s="1"/>
  <c r="AG39" i="18"/>
  <c r="AQ35" i="18"/>
  <c r="AQ39" i="18"/>
  <c r="AC34" i="18"/>
  <c r="AC40" i="18" s="1"/>
  <c r="AC24" i="18"/>
  <c r="AC45" i="18"/>
  <c r="AC51" i="18" s="1"/>
  <c r="AQ50" i="16"/>
  <c r="J24" i="18"/>
  <c r="J45" i="18"/>
  <c r="J51" i="18" s="1"/>
  <c r="J34" i="18"/>
  <c r="J40" i="18" s="1"/>
  <c r="E33" i="18"/>
  <c r="E44" i="18"/>
  <c r="E23" i="18"/>
  <c r="E50" i="17"/>
  <c r="V50" i="18"/>
  <c r="V46" i="18"/>
  <c r="AU33" i="16"/>
  <c r="AU23" i="16"/>
  <c r="AU44" i="16"/>
  <c r="AI22" i="17"/>
  <c r="AI21" i="17"/>
  <c r="K22" i="16"/>
  <c r="K21" i="16"/>
  <c r="H7" i="20"/>
  <c r="U50" i="17"/>
  <c r="U46" i="17"/>
  <c r="AL34" i="16"/>
  <c r="AL40" i="16" s="1"/>
  <c r="AL45" i="16"/>
  <c r="AL51" i="16" s="1"/>
  <c r="AL24" i="16"/>
  <c r="AF23" i="16"/>
  <c r="AF33" i="16"/>
  <c r="AF44" i="16"/>
  <c r="AU34" i="17"/>
  <c r="AU40" i="17" s="1"/>
  <c r="AU24" i="17"/>
  <c r="AU45" i="17"/>
  <c r="AU51" i="17" s="1"/>
  <c r="W23" i="17"/>
  <c r="W44" i="17"/>
  <c r="W33" i="17"/>
  <c r="I22" i="18"/>
  <c r="I21" i="18"/>
  <c r="N23" i="17"/>
  <c r="N44" i="17"/>
  <c r="N33" i="17"/>
  <c r="N34" i="16"/>
  <c r="N40" i="16" s="1"/>
  <c r="N45" i="16"/>
  <c r="N51" i="16" s="1"/>
  <c r="N24" i="16"/>
  <c r="K23" i="17"/>
  <c r="K33" i="17"/>
  <c r="K44" i="17"/>
  <c r="Z35" i="18"/>
  <c r="Z34" i="16"/>
  <c r="Z40" i="16" s="1"/>
  <c r="Z24" i="16"/>
  <c r="Z45" i="16"/>
  <c r="Z51" i="16" s="1"/>
  <c r="AP45" i="18"/>
  <c r="AP51" i="18" s="1"/>
  <c r="AP34" i="18"/>
  <c r="AP40" i="18" s="1"/>
  <c r="AP24" i="18"/>
  <c r="O45" i="17"/>
  <c r="O51" i="17" s="1"/>
  <c r="O24" i="17"/>
  <c r="O34" i="17"/>
  <c r="O40" i="17" s="1"/>
  <c r="L23" i="16"/>
  <c r="L44" i="16"/>
  <c r="L33" i="16"/>
  <c r="R45" i="17"/>
  <c r="R51" i="17" s="1"/>
  <c r="R24" i="17"/>
  <c r="R34" i="17"/>
  <c r="R40" i="17" s="1"/>
  <c r="AG50" i="18"/>
  <c r="AG46" i="18"/>
  <c r="AE45" i="17"/>
  <c r="AE51" i="17" s="1"/>
  <c r="AE24" i="17"/>
  <c r="AE34" i="17"/>
  <c r="AE40" i="17" s="1"/>
  <c r="AQ46" i="18"/>
  <c r="AQ50" i="18"/>
  <c r="S50" i="18"/>
  <c r="AC33" i="18"/>
  <c r="AC44" i="18"/>
  <c r="AC23" i="18"/>
  <c r="W33" i="18"/>
  <c r="W23" i="18"/>
  <c r="W44" i="18"/>
  <c r="E34" i="18"/>
  <c r="E40" i="18" s="1"/>
  <c r="E24" i="18"/>
  <c r="E45" i="18"/>
  <c r="E51" i="18" s="1"/>
  <c r="R21" i="18"/>
  <c r="R22" i="18"/>
  <c r="H21" i="18"/>
  <c r="H22" i="18"/>
  <c r="AH45" i="17"/>
  <c r="AH51" i="17" s="1"/>
  <c r="AH34" i="17"/>
  <c r="AH40" i="17" s="1"/>
  <c r="AH24" i="17"/>
  <c r="AP22" i="16"/>
  <c r="AP21" i="16"/>
  <c r="AM21" i="16"/>
  <c r="AM22" i="16"/>
  <c r="AQ21" i="17"/>
  <c r="AQ22" i="17"/>
  <c r="O34" i="16"/>
  <c r="O40" i="16" s="1"/>
  <c r="O24" i="16"/>
  <c r="O45" i="16"/>
  <c r="O51" i="16" s="1"/>
  <c r="AL33" i="16"/>
  <c r="AL23" i="16"/>
  <c r="AL44" i="16"/>
  <c r="AC10" i="16"/>
  <c r="AC13" i="16" s="1"/>
  <c r="T21" i="17"/>
  <c r="T22" i="17"/>
  <c r="AR23" i="17"/>
  <c r="AR33" i="17"/>
  <c r="AR44" i="17"/>
  <c r="AU33" i="17"/>
  <c r="AU44" i="17"/>
  <c r="AU23" i="17"/>
  <c r="W22" i="17"/>
  <c r="D39" i="17"/>
  <c r="AK50" i="16"/>
  <c r="N23" i="16"/>
  <c r="N44" i="16"/>
  <c r="N33" i="16"/>
  <c r="K22" i="17"/>
  <c r="X39" i="18"/>
  <c r="Z33" i="16"/>
  <c r="Z23" i="16"/>
  <c r="Z44" i="16"/>
  <c r="AP33" i="18"/>
  <c r="AP23" i="18"/>
  <c r="AP44" i="18"/>
  <c r="I21" i="17"/>
  <c r="I22" i="17"/>
  <c r="I33" i="16"/>
  <c r="I44" i="16"/>
  <c r="I23" i="16"/>
  <c r="R33" i="17"/>
  <c r="R23" i="17"/>
  <c r="R44" i="17"/>
  <c r="AF45" i="18"/>
  <c r="AF34" i="18"/>
  <c r="AF40" i="18" s="1"/>
  <c r="AF24" i="18"/>
  <c r="S24" i="16"/>
  <c r="S45" i="16"/>
  <c r="S51" i="16" s="1"/>
  <c r="S34" i="16"/>
  <c r="S40" i="16" s="1"/>
  <c r="AT23" i="18"/>
  <c r="AT33" i="18"/>
  <c r="AT44" i="18"/>
  <c r="W45" i="18"/>
  <c r="W51" i="18" s="1"/>
  <c r="W34" i="18"/>
  <c r="W40" i="18" s="1"/>
  <c r="W24" i="18"/>
  <c r="S45" i="18"/>
  <c r="S51" i="18" s="1"/>
  <c r="S24" i="18"/>
  <c r="S34" i="18"/>
  <c r="S40" i="18" s="1"/>
  <c r="G22" i="18"/>
  <c r="G21" i="18"/>
  <c r="AH44" i="17"/>
  <c r="AH23" i="17"/>
  <c r="AH33" i="17"/>
  <c r="V39" i="18"/>
  <c r="V35" i="18"/>
  <c r="H10" i="20"/>
  <c r="P21" i="16"/>
  <c r="P22" i="16"/>
  <c r="O23" i="17"/>
  <c r="O44" i="17"/>
  <c r="O33" i="17"/>
  <c r="AK21" i="17"/>
  <c r="AK22" i="17"/>
  <c r="J45" i="16"/>
  <c r="J51" i="16" s="1"/>
  <c r="J34" i="16"/>
  <c r="J40" i="16" s="1"/>
  <c r="J24" i="16"/>
  <c r="AT34" i="16"/>
  <c r="AT40" i="16" s="1"/>
  <c r="AT24" i="16"/>
  <c r="AT45" i="16"/>
  <c r="AT51" i="16" s="1"/>
  <c r="AG24" i="18"/>
  <c r="AG34" i="18"/>
  <c r="AG40" i="18" s="1"/>
  <c r="AG45" i="18"/>
  <c r="AG51" i="18" s="1"/>
  <c r="F45" i="18"/>
  <c r="F51" i="18" s="1"/>
  <c r="F34" i="18"/>
  <c r="F40" i="18" s="1"/>
  <c r="F24" i="18"/>
  <c r="V22" i="16"/>
  <c r="V21" i="16"/>
  <c r="AG34" i="16"/>
  <c r="AG40" i="16" s="1"/>
  <c r="AG24" i="16"/>
  <c r="AG45" i="16"/>
  <c r="AG51" i="16" s="1"/>
  <c r="AE24" i="16"/>
  <c r="AE45" i="16"/>
  <c r="AE51" i="16" s="1"/>
  <c r="AE34" i="16"/>
  <c r="AE40" i="16" s="1"/>
  <c r="AV21" i="16"/>
  <c r="AV22" i="16"/>
  <c r="G34" i="16"/>
  <c r="G40" i="16" s="1"/>
  <c r="G24" i="16"/>
  <c r="G45" i="16"/>
  <c r="G51" i="16" s="1"/>
  <c r="AS23" i="17"/>
  <c r="AS33" i="17"/>
  <c r="AS44" i="17"/>
  <c r="AV21" i="18"/>
  <c r="AV22" i="18"/>
  <c r="AC46" i="16"/>
  <c r="AA33" i="16"/>
  <c r="AA23" i="16"/>
  <c r="AA44" i="16"/>
  <c r="AA22" i="17"/>
  <c r="AT44" i="17"/>
  <c r="AT33" i="17"/>
  <c r="AT23" i="17"/>
  <c r="G23" i="17"/>
  <c r="G33" i="17"/>
  <c r="G44" i="17"/>
  <c r="AW45" i="16"/>
  <c r="AW51" i="16" s="1"/>
  <c r="AW24" i="16"/>
  <c r="AW34" i="16"/>
  <c r="AW40" i="16" s="1"/>
  <c r="AS44" i="18"/>
  <c r="AS33" i="18"/>
  <c r="AS23" i="18"/>
  <c r="J44" i="16"/>
  <c r="J33" i="16"/>
  <c r="J23" i="16"/>
  <c r="AM23" i="18"/>
  <c r="AM44" i="18"/>
  <c r="AM33" i="18"/>
  <c r="K23" i="18"/>
  <c r="K33" i="18"/>
  <c r="K44" i="18"/>
  <c r="AE45" i="18"/>
  <c r="AE51" i="18" s="1"/>
  <c r="AE34" i="18"/>
  <c r="AE40" i="18" s="1"/>
  <c r="AE24" i="18"/>
  <c r="AT23" i="16"/>
  <c r="AT44" i="16"/>
  <c r="AT33" i="16"/>
  <c r="AU45" i="18"/>
  <c r="AU34" i="18"/>
  <c r="AU40" i="18" s="1"/>
  <c r="AU24" i="18"/>
  <c r="H34" i="16"/>
  <c r="H40" i="16" s="1"/>
  <c r="H45" i="16"/>
  <c r="H51" i="16" s="1"/>
  <c r="H24" i="16"/>
  <c r="Y50" i="18"/>
  <c r="Y46" i="18"/>
  <c r="P45" i="18"/>
  <c r="P34" i="18"/>
  <c r="P40" i="18" s="1"/>
  <c r="P24" i="18"/>
  <c r="AK35" i="18"/>
  <c r="AK39" i="18"/>
  <c r="AO34" i="18"/>
  <c r="AO40" i="18" s="1"/>
  <c r="AO24" i="18"/>
  <c r="AO45" i="18"/>
  <c r="AO51" i="18" s="1"/>
  <c r="AV22" i="17"/>
  <c r="AD45" i="18"/>
  <c r="AD51" i="18" s="1"/>
  <c r="AD34" i="18"/>
  <c r="AD40" i="18" s="1"/>
  <c r="AD24" i="18"/>
  <c r="N45" i="18"/>
  <c r="N51" i="18" s="1"/>
  <c r="N34" i="18"/>
  <c r="N40" i="18" s="1"/>
  <c r="N24" i="18"/>
  <c r="Q22" i="17"/>
  <c r="AL24" i="18"/>
  <c r="AL45" i="18"/>
  <c r="AL51" i="18" s="1"/>
  <c r="AL34" i="18"/>
  <c r="AL40" i="18" s="1"/>
  <c r="AW33" i="18"/>
  <c r="AW23" i="18"/>
  <c r="AW44" i="18"/>
  <c r="F23" i="18"/>
  <c r="F33" i="18"/>
  <c r="F44" i="18"/>
  <c r="AS24" i="16"/>
  <c r="AS45" i="16"/>
  <c r="AS51" i="16" s="1"/>
  <c r="AS34" i="16"/>
  <c r="AS40" i="16" s="1"/>
  <c r="J34" i="17"/>
  <c r="J40" i="17" s="1"/>
  <c r="J45" i="17"/>
  <c r="J51" i="17" s="1"/>
  <c r="J24" i="17"/>
  <c r="D39" i="16"/>
  <c r="AB22" i="16"/>
  <c r="AB21" i="16"/>
  <c r="AI21" i="16"/>
  <c r="AI22" i="16"/>
  <c r="AU34" i="16"/>
  <c r="AU40" i="16" s="1"/>
  <c r="AU45" i="16"/>
  <c r="AU51" i="16" s="1"/>
  <c r="AU24" i="16"/>
  <c r="AE44" i="16"/>
  <c r="AE23" i="16"/>
  <c r="AE33" i="16"/>
  <c r="V22" i="17"/>
  <c r="V21" i="17"/>
  <c r="AI35" i="18"/>
  <c r="AI39" i="18"/>
  <c r="Q22" i="18"/>
  <c r="Q21" i="18"/>
  <c r="AQ24" i="16"/>
  <c r="AQ34" i="16"/>
  <c r="AQ40" i="16" s="1"/>
  <c r="AQ45" i="16"/>
  <c r="AQ51" i="16" s="1"/>
  <c r="AE23" i="17"/>
  <c r="AE44" i="17"/>
  <c r="AE33" i="17"/>
  <c r="S39" i="18"/>
  <c r="AV39" i="17"/>
  <c r="H9" i="20"/>
  <c r="Y22" i="16"/>
  <c r="Y21" i="16"/>
  <c r="AY22" i="16"/>
  <c r="AY21" i="16"/>
  <c r="O33" i="16"/>
  <c r="O44" i="16"/>
  <c r="O23" i="16"/>
  <c r="AA23" i="17"/>
  <c r="AA44" i="17"/>
  <c r="AA33" i="17"/>
  <c r="AW44" i="16"/>
  <c r="AW23" i="16"/>
  <c r="AW33" i="16"/>
  <c r="AK35" i="16"/>
  <c r="AK39" i="16"/>
  <c r="T22" i="18"/>
  <c r="T21" i="18"/>
  <c r="AY22" i="18"/>
  <c r="AY21" i="18"/>
  <c r="M22" i="17"/>
  <c r="M21" i="17"/>
  <c r="S33" i="16"/>
  <c r="S23" i="16"/>
  <c r="S44" i="16"/>
  <c r="AT24" i="18"/>
  <c r="AT34" i="18"/>
  <c r="AT40" i="18" s="1"/>
  <c r="AT45" i="18"/>
  <c r="AT51" i="18" s="1"/>
  <c r="O22" i="18"/>
  <c r="O21" i="18"/>
  <c r="AW34" i="18"/>
  <c r="AW40" i="18" s="1"/>
  <c r="AW24" i="18"/>
  <c r="AW45" i="18"/>
  <c r="AW51" i="18" s="1"/>
  <c r="N22" i="17"/>
  <c r="AC22" i="17"/>
  <c r="D22" i="17"/>
  <c r="AM22" i="17"/>
  <c r="AH22" i="16"/>
  <c r="AH21" i="16"/>
  <c r="R34" i="16"/>
  <c r="R40" i="16" s="1"/>
  <c r="R24" i="16"/>
  <c r="R45" i="16"/>
  <c r="R51" i="16" s="1"/>
  <c r="AX35" i="16"/>
  <c r="AR23" i="16"/>
  <c r="AR44" i="16"/>
  <c r="AR33" i="16"/>
  <c r="G33" i="16"/>
  <c r="G44" i="16"/>
  <c r="G23" i="16"/>
  <c r="AS22" i="17"/>
  <c r="T33" i="16"/>
  <c r="T23" i="16"/>
  <c r="T44" i="16"/>
  <c r="M23" i="16"/>
  <c r="M44" i="16"/>
  <c r="M33" i="16"/>
  <c r="S23" i="17"/>
  <c r="S44" i="17"/>
  <c r="S33" i="17"/>
  <c r="F39" i="17"/>
  <c r="F35" i="17"/>
  <c r="AF21" i="17"/>
  <c r="AF22" i="17"/>
  <c r="E22" i="17"/>
  <c r="AN21" i="18"/>
  <c r="AN22" i="18"/>
  <c r="W24" i="16"/>
  <c r="W34" i="16"/>
  <c r="W40" i="16" s="1"/>
  <c r="W45" i="16"/>
  <c r="W51" i="16" s="1"/>
  <c r="F34" i="16"/>
  <c r="F40" i="16" s="1"/>
  <c r="F45" i="16"/>
  <c r="F51" i="16" s="1"/>
  <c r="F24" i="16"/>
  <c r="AM45" i="18"/>
  <c r="AM51" i="18" s="1"/>
  <c r="AM24" i="18"/>
  <c r="AM34" i="18"/>
  <c r="AM40" i="18" s="1"/>
  <c r="D45" i="18"/>
  <c r="D34" i="18"/>
  <c r="D24" i="18"/>
  <c r="AK34" i="16"/>
  <c r="AK40" i="16" s="1"/>
  <c r="AK24" i="16"/>
  <c r="AK45" i="16"/>
  <c r="AK51" i="16" s="1"/>
  <c r="H33" i="16"/>
  <c r="H23" i="16"/>
  <c r="H44" i="16"/>
  <c r="J39" i="17"/>
  <c r="X45" i="18"/>
  <c r="X34" i="18"/>
  <c r="X40" i="18" s="1"/>
  <c r="X24" i="18"/>
  <c r="M46" i="18"/>
  <c r="M50" i="18"/>
  <c r="AK50" i="18"/>
  <c r="AK46" i="18"/>
  <c r="AO33" i="18"/>
  <c r="AO44" i="18"/>
  <c r="AO23" i="18"/>
  <c r="AG22" i="17"/>
  <c r="AR24" i="16"/>
  <c r="AR34" i="16"/>
  <c r="AR40" i="16" s="1"/>
  <c r="AR45" i="16"/>
  <c r="AR51" i="16" s="1"/>
  <c r="N33" i="18"/>
  <c r="N23" i="18"/>
  <c r="N44" i="18"/>
  <c r="Q33" i="17"/>
  <c r="Q44" i="17"/>
  <c r="Q23" i="17"/>
  <c r="AL23" i="18"/>
  <c r="AL44" i="18"/>
  <c r="AL33" i="18"/>
  <c r="L44" i="17"/>
  <c r="L33" i="17"/>
  <c r="L23" i="17"/>
  <c r="AE46" i="18"/>
  <c r="AE50" i="18"/>
  <c r="AJ34" i="18"/>
  <c r="AJ40" i="18" s="1"/>
  <c r="AJ24" i="18"/>
  <c r="AJ45" i="18"/>
  <c r="AJ51" i="18" s="1"/>
  <c r="X23" i="16"/>
  <c r="X33" i="16"/>
  <c r="X44" i="16"/>
  <c r="G30" i="16"/>
  <c r="H27" i="16"/>
  <c r="F50" i="17"/>
  <c r="AD23" i="17"/>
  <c r="AD44" i="17"/>
  <c r="AD33" i="17"/>
  <c r="AI45" i="18"/>
  <c r="AI51" i="18" s="1"/>
  <c r="AI34" i="18"/>
  <c r="AI40" i="18" s="1"/>
  <c r="AI24" i="18"/>
  <c r="Y21" i="17"/>
  <c r="Y22" i="17"/>
  <c r="AL21" i="17"/>
  <c r="AL22" i="17"/>
  <c r="U23" i="18"/>
  <c r="U44" i="18"/>
  <c r="U33" i="18"/>
  <c r="AQ35" i="16"/>
  <c r="AQ39" i="16"/>
  <c r="D24" i="16"/>
  <c r="D45" i="16"/>
  <c r="D51" i="16" s="1"/>
  <c r="D34" i="16"/>
  <c r="D40" i="16" s="1"/>
  <c r="E39" i="17"/>
  <c r="T11" i="20"/>
  <c r="T45" i="20" s="1"/>
  <c r="AN39" i="17"/>
  <c r="AN35" i="17"/>
  <c r="U39" i="17"/>
  <c r="U35" i="17"/>
  <c r="G45" i="17"/>
  <c r="G51" i="17" s="1"/>
  <c r="G34" i="17"/>
  <c r="G40" i="17" s="1"/>
  <c r="G24" i="17"/>
  <c r="AR21" i="18"/>
  <c r="AR22" i="18"/>
  <c r="Z21" i="17"/>
  <c r="Z22" i="17"/>
  <c r="AF39" i="18"/>
  <c r="X21" i="17"/>
  <c r="X22" i="17"/>
  <c r="AA22" i="18"/>
  <c r="AA21" i="18"/>
  <c r="AG44" i="16"/>
  <c r="AG23" i="16"/>
  <c r="AG33" i="16"/>
  <c r="AP21" i="17"/>
  <c r="AP22" i="17"/>
  <c r="P21" i="17"/>
  <c r="P22" i="17"/>
  <c r="AT34" i="17"/>
  <c r="AT40" i="17" s="1"/>
  <c r="AT45" i="17"/>
  <c r="AT51" i="17" s="1"/>
  <c r="AT24" i="17"/>
  <c r="J50" i="17"/>
  <c r="AS24" i="18"/>
  <c r="AS45" i="18"/>
  <c r="AS51" i="18" s="1"/>
  <c r="AS34" i="18"/>
  <c r="AS40" i="18" s="1"/>
  <c r="H27" i="17"/>
  <c r="G30" i="17"/>
  <c r="AI50" i="18"/>
  <c r="I45" i="16"/>
  <c r="I51" i="16" s="1"/>
  <c r="I24" i="16"/>
  <c r="I34" i="16"/>
  <c r="I40" i="16" s="1"/>
  <c r="Y35" i="18"/>
  <c r="Y39" i="18"/>
  <c r="G27" i="18"/>
  <c r="F30" i="18"/>
  <c r="AD33" i="18"/>
  <c r="AD23" i="18"/>
  <c r="AD44" i="18"/>
  <c r="Q22" i="16"/>
  <c r="Q21" i="16"/>
  <c r="R44" i="16"/>
  <c r="R23" i="16"/>
  <c r="R33" i="16"/>
  <c r="AS23" i="16"/>
  <c r="AS33" i="16"/>
  <c r="AS44" i="16"/>
  <c r="X45" i="16"/>
  <c r="X51" i="16" s="1"/>
  <c r="X34" i="16"/>
  <c r="X40" i="16" s="1"/>
  <c r="X24" i="16"/>
  <c r="U21" i="16"/>
  <c r="U22" i="16"/>
  <c r="AZ10" i="17"/>
  <c r="AN10" i="17"/>
  <c r="AN13" i="17" s="1"/>
  <c r="T34" i="16"/>
  <c r="T40" i="16" s="1"/>
  <c r="T24" i="16"/>
  <c r="T45" i="16"/>
  <c r="T51" i="16" s="1"/>
  <c r="AJ24" i="16"/>
  <c r="AJ34" i="16"/>
  <c r="AJ40" i="16" s="1"/>
  <c r="AJ45" i="16"/>
  <c r="AJ51" i="16" s="1"/>
  <c r="M24" i="16"/>
  <c r="M45" i="16"/>
  <c r="M51" i="16" s="1"/>
  <c r="M34" i="16"/>
  <c r="M40" i="16" s="1"/>
  <c r="AC44" i="17"/>
  <c r="AC33" i="17"/>
  <c r="AC23" i="17"/>
  <c r="S22" i="17"/>
  <c r="AD22" i="17"/>
  <c r="AB21" i="18"/>
  <c r="AB22" i="18"/>
  <c r="AX35" i="17"/>
  <c r="AX40" i="17"/>
  <c r="D50" i="17"/>
  <c r="W33" i="16"/>
  <c r="W23" i="16"/>
  <c r="W44" i="16"/>
  <c r="F23" i="16"/>
  <c r="F44" i="16"/>
  <c r="F33" i="16"/>
  <c r="AK24" i="18"/>
  <c r="AK45" i="18"/>
  <c r="AK51" i="18" s="1"/>
  <c r="AK34" i="18"/>
  <c r="AK40" i="18" s="1"/>
  <c r="D50" i="16"/>
  <c r="AM33" i="17"/>
  <c r="AM44" i="17"/>
  <c r="AM23" i="17"/>
  <c r="P35" i="18"/>
  <c r="P39" i="18"/>
  <c r="AW33" i="17"/>
  <c r="AW44" i="17"/>
  <c r="AW23" i="17"/>
  <c r="H21" i="17"/>
  <c r="H22" i="17"/>
  <c r="L22" i="18"/>
  <c r="L21" i="18"/>
  <c r="U34" i="18"/>
  <c r="U40" i="18" s="1"/>
  <c r="U24" i="18"/>
  <c r="U45" i="18"/>
  <c r="U51" i="18" s="1"/>
  <c r="AU35" i="18"/>
  <c r="AU39" i="18"/>
  <c r="AG33" i="17"/>
  <c r="AG44" i="17"/>
  <c r="AG23" i="17"/>
  <c r="AA34" i="16"/>
  <c r="AA40" i="16" s="1"/>
  <c r="AA24" i="16"/>
  <c r="AA45" i="16"/>
  <c r="AA51" i="16" s="1"/>
  <c r="AH24" i="18"/>
  <c r="AH34" i="18"/>
  <c r="AH40" i="18" s="1"/>
  <c r="AH45" i="18"/>
  <c r="AH51" i="18" s="1"/>
  <c r="AX33" i="18"/>
  <c r="AX23" i="18"/>
  <c r="AX44" i="18"/>
  <c r="AV50" i="17"/>
  <c r="AJ44" i="18"/>
  <c r="AJ33" i="18"/>
  <c r="AJ23" i="18"/>
  <c r="L44" i="18" l="1"/>
  <c r="L23" i="18"/>
  <c r="L33" i="18"/>
  <c r="Q44" i="16"/>
  <c r="Q33" i="16"/>
  <c r="Q23" i="16"/>
  <c r="P34" i="17"/>
  <c r="P40" i="17" s="1"/>
  <c r="P45" i="17"/>
  <c r="P51" i="17" s="1"/>
  <c r="P24" i="17"/>
  <c r="H39" i="16"/>
  <c r="H35" i="16"/>
  <c r="S39" i="17"/>
  <c r="AA39" i="17"/>
  <c r="AM46" i="18"/>
  <c r="AM50" i="18"/>
  <c r="I35" i="16"/>
  <c r="I39" i="16"/>
  <c r="R23" i="18"/>
  <c r="R44" i="18"/>
  <c r="R33" i="18"/>
  <c r="AI34" i="17"/>
  <c r="AI40" i="17" s="1"/>
  <c r="AI45" i="17"/>
  <c r="AI51" i="17" s="1"/>
  <c r="AI24" i="17"/>
  <c r="L45" i="18"/>
  <c r="L51" i="18" s="1"/>
  <c r="L34" i="18"/>
  <c r="L40" i="18" s="1"/>
  <c r="L24" i="18"/>
  <c r="AC50" i="17"/>
  <c r="AC46" i="17"/>
  <c r="Q34" i="16"/>
  <c r="Q40" i="16" s="1"/>
  <c r="Q45" i="16"/>
  <c r="Q51" i="16" s="1"/>
  <c r="Q24" i="16"/>
  <c r="X34" i="17"/>
  <c r="X40" i="17" s="1"/>
  <c r="X45" i="17"/>
  <c r="X51" i="17" s="1"/>
  <c r="X24" i="17"/>
  <c r="U35" i="18"/>
  <c r="U39" i="18"/>
  <c r="S50" i="17"/>
  <c r="Y45" i="16"/>
  <c r="Y51" i="16" s="1"/>
  <c r="Y24" i="16"/>
  <c r="Y34" i="16"/>
  <c r="Y40" i="16" s="1"/>
  <c r="AS39" i="17"/>
  <c r="P45" i="16"/>
  <c r="P51" i="16" s="1"/>
  <c r="P34" i="16"/>
  <c r="P40" i="16" s="1"/>
  <c r="P24" i="16"/>
  <c r="I34" i="17"/>
  <c r="I40" i="17" s="1"/>
  <c r="I24" i="17"/>
  <c r="I45" i="17"/>
  <c r="I51" i="17" s="1"/>
  <c r="AU50" i="16"/>
  <c r="AU46" i="16"/>
  <c r="J35" i="18"/>
  <c r="J39" i="18"/>
  <c r="AG39" i="17"/>
  <c r="H34" i="17"/>
  <c r="H40" i="17" s="1"/>
  <c r="H24" i="17"/>
  <c r="H45" i="17"/>
  <c r="H51" i="17" s="1"/>
  <c r="AM50" i="17"/>
  <c r="AM46" i="17"/>
  <c r="F50" i="16"/>
  <c r="F46" i="16"/>
  <c r="AS46" i="16"/>
  <c r="AS50" i="16"/>
  <c r="AD46" i="18"/>
  <c r="AD50" i="18"/>
  <c r="AP45" i="17"/>
  <c r="AP51" i="17" s="1"/>
  <c r="AP34" i="17"/>
  <c r="AP40" i="17" s="1"/>
  <c r="AP24" i="17"/>
  <c r="X44" i="17"/>
  <c r="X23" i="17"/>
  <c r="X33" i="17"/>
  <c r="U50" i="18"/>
  <c r="U46" i="18"/>
  <c r="X46" i="16"/>
  <c r="X50" i="16"/>
  <c r="Q39" i="17"/>
  <c r="AN44" i="18"/>
  <c r="AN23" i="18"/>
  <c r="AN33" i="18"/>
  <c r="S50" i="16"/>
  <c r="S46" i="16"/>
  <c r="T45" i="18"/>
  <c r="T51" i="18" s="1"/>
  <c r="T24" i="18"/>
  <c r="T34" i="18"/>
  <c r="T40" i="18" s="1"/>
  <c r="V24" i="17"/>
  <c r="V34" i="17"/>
  <c r="V40" i="17" s="1"/>
  <c r="V45" i="17"/>
  <c r="V51" i="17" s="1"/>
  <c r="AI44" i="16"/>
  <c r="AI33" i="16"/>
  <c r="AI23" i="16"/>
  <c r="AW35" i="18"/>
  <c r="AW39" i="18"/>
  <c r="AA50" i="16"/>
  <c r="AA46" i="16"/>
  <c r="P23" i="16"/>
  <c r="P44" i="16"/>
  <c r="P33" i="16"/>
  <c r="G44" i="18"/>
  <c r="G33" i="18"/>
  <c r="G23" i="18"/>
  <c r="AT46" i="18"/>
  <c r="AT50" i="18"/>
  <c r="AF51" i="18"/>
  <c r="AF46" i="18"/>
  <c r="I33" i="17"/>
  <c r="I44" i="17"/>
  <c r="I23" i="17"/>
  <c r="X35" i="18"/>
  <c r="N50" i="17"/>
  <c r="E35" i="18"/>
  <c r="E39" i="18"/>
  <c r="AJ35" i="18"/>
  <c r="AJ39" i="18"/>
  <c r="H44" i="17"/>
  <c r="H33" i="17"/>
  <c r="H23" i="17"/>
  <c r="AZ21" i="17"/>
  <c r="AM39" i="17"/>
  <c r="AB34" i="18"/>
  <c r="AB40" i="18" s="1"/>
  <c r="AB45" i="18"/>
  <c r="AB51" i="18" s="1"/>
  <c r="AB24" i="18"/>
  <c r="AO22" i="17"/>
  <c r="AO21" i="17"/>
  <c r="AS35" i="16"/>
  <c r="AS39" i="16"/>
  <c r="AP44" i="17"/>
  <c r="AP23" i="17"/>
  <c r="AP33" i="17"/>
  <c r="AD39" i="17"/>
  <c r="X39" i="16"/>
  <c r="X35" i="16"/>
  <c r="L35" i="17"/>
  <c r="L39" i="17"/>
  <c r="N50" i="18"/>
  <c r="N46" i="18"/>
  <c r="AO50" i="18"/>
  <c r="AO46" i="18"/>
  <c r="X51" i="18"/>
  <c r="X46" i="18"/>
  <c r="E24" i="17"/>
  <c r="E34" i="17"/>
  <c r="E45" i="17"/>
  <c r="M35" i="16"/>
  <c r="M39" i="16"/>
  <c r="G50" i="16"/>
  <c r="G46" i="16"/>
  <c r="AE35" i="16"/>
  <c r="AE39" i="16"/>
  <c r="AB23" i="16"/>
  <c r="AB44" i="16"/>
  <c r="AB33" i="16"/>
  <c r="J35" i="16"/>
  <c r="J39" i="16"/>
  <c r="G46" i="17"/>
  <c r="G50" i="17"/>
  <c r="G45" i="18"/>
  <c r="G51" i="18" s="1"/>
  <c r="G34" i="18"/>
  <c r="G40" i="18" s="1"/>
  <c r="G24" i="18"/>
  <c r="AZ24" i="18" s="1"/>
  <c r="AT39" i="18"/>
  <c r="AT35" i="18"/>
  <c r="R46" i="17"/>
  <c r="R50" i="17"/>
  <c r="AP46" i="18"/>
  <c r="AP50" i="18"/>
  <c r="K45" i="17"/>
  <c r="K51" i="17" s="1"/>
  <c r="K34" i="17"/>
  <c r="K40" i="17" s="1"/>
  <c r="K24" i="17"/>
  <c r="AZ21" i="18"/>
  <c r="T45" i="17"/>
  <c r="T51" i="17" s="1"/>
  <c r="T34" i="17"/>
  <c r="T40" i="17" s="1"/>
  <c r="T24" i="17"/>
  <c r="S46" i="18"/>
  <c r="K46" i="17"/>
  <c r="K50" i="17"/>
  <c r="AU35" i="16"/>
  <c r="AU39" i="16"/>
  <c r="AE35" i="18"/>
  <c r="AC35" i="17"/>
  <c r="AC39" i="17"/>
  <c r="AA45" i="18"/>
  <c r="AA51" i="18" s="1"/>
  <c r="AA34" i="18"/>
  <c r="AA40" i="18" s="1"/>
  <c r="AA24" i="18"/>
  <c r="AC24" i="17"/>
  <c r="AC45" i="17"/>
  <c r="AC51" i="17" s="1"/>
  <c r="AC34" i="17"/>
  <c r="AC40" i="17" s="1"/>
  <c r="AL35" i="16"/>
  <c r="AL39" i="16"/>
  <c r="AN33" i="16"/>
  <c r="AN23" i="16"/>
  <c r="AN44" i="16"/>
  <c r="P44" i="17"/>
  <c r="P23" i="17"/>
  <c r="P33" i="17"/>
  <c r="AG34" i="17"/>
  <c r="AG40" i="17" s="1"/>
  <c r="AG24" i="17"/>
  <c r="AG45" i="17"/>
  <c r="AG51" i="17" s="1"/>
  <c r="N24" i="17"/>
  <c r="N45" i="17"/>
  <c r="N51" i="17" s="1"/>
  <c r="N34" i="17"/>
  <c r="N40" i="17" s="1"/>
  <c r="AP45" i="16"/>
  <c r="AP51" i="16" s="1"/>
  <c r="AP24" i="16"/>
  <c r="AP34" i="16"/>
  <c r="AP40" i="16" s="1"/>
  <c r="AN24" i="16"/>
  <c r="AN34" i="16"/>
  <c r="AN40" i="16" s="1"/>
  <c r="AN45" i="16"/>
  <c r="AN51" i="16" s="1"/>
  <c r="AJ46" i="18"/>
  <c r="AJ50" i="18"/>
  <c r="AG35" i="16"/>
  <c r="AG39" i="16"/>
  <c r="AD50" i="17"/>
  <c r="AH44" i="16"/>
  <c r="AH33" i="16"/>
  <c r="AH23" i="16"/>
  <c r="J46" i="16"/>
  <c r="J50" i="16"/>
  <c r="AK45" i="17"/>
  <c r="AK51" i="17" s="1"/>
  <c r="AK24" i="17"/>
  <c r="AK34" i="17"/>
  <c r="AK40" i="17" s="1"/>
  <c r="N35" i="16"/>
  <c r="N39" i="16"/>
  <c r="AO45" i="16"/>
  <c r="AO51" i="16" s="1"/>
  <c r="AO34" i="16"/>
  <c r="AO40" i="16" s="1"/>
  <c r="AO24" i="16"/>
  <c r="AW46" i="17"/>
  <c r="AW50" i="17"/>
  <c r="D46" i="16"/>
  <c r="AD24" i="17"/>
  <c r="AD45" i="17"/>
  <c r="AD51" i="17" s="1"/>
  <c r="AD34" i="17"/>
  <c r="AD40" i="17" s="1"/>
  <c r="U45" i="16"/>
  <c r="U51" i="16" s="1"/>
  <c r="U34" i="16"/>
  <c r="U40" i="16" s="1"/>
  <c r="U24" i="16"/>
  <c r="R39" i="16"/>
  <c r="R35" i="16"/>
  <c r="AI46" i="18"/>
  <c r="Z24" i="17"/>
  <c r="Z34" i="17"/>
  <c r="Z40" i="17" s="1"/>
  <c r="Z45" i="17"/>
  <c r="Z51" i="17" s="1"/>
  <c r="AL44" i="17"/>
  <c r="AL33" i="17"/>
  <c r="AL23" i="17"/>
  <c r="AL39" i="18"/>
  <c r="AL35" i="18"/>
  <c r="N39" i="18"/>
  <c r="N35" i="18"/>
  <c r="D40" i="18"/>
  <c r="D35" i="18"/>
  <c r="AF44" i="17"/>
  <c r="AF23" i="17"/>
  <c r="AF33" i="17"/>
  <c r="AR39" i="16"/>
  <c r="AR35" i="16"/>
  <c r="AH45" i="16"/>
  <c r="AH51" i="16" s="1"/>
  <c r="AH24" i="16"/>
  <c r="AH34" i="16"/>
  <c r="AH40" i="16" s="1"/>
  <c r="O23" i="18"/>
  <c r="O44" i="18"/>
  <c r="O33" i="18"/>
  <c r="M44" i="17"/>
  <c r="M33" i="17"/>
  <c r="M23" i="17"/>
  <c r="AW39" i="16"/>
  <c r="AW35" i="16"/>
  <c r="O35" i="16"/>
  <c r="O39" i="16"/>
  <c r="S35" i="18"/>
  <c r="Q44" i="18"/>
  <c r="Q33" i="18"/>
  <c r="Q23" i="18"/>
  <c r="AE46" i="16"/>
  <c r="AE50" i="16"/>
  <c r="D35" i="16"/>
  <c r="F46" i="18"/>
  <c r="F50" i="18"/>
  <c r="AV34" i="17"/>
  <c r="AV45" i="17"/>
  <c r="AV24" i="17"/>
  <c r="P51" i="18"/>
  <c r="P46" i="18"/>
  <c r="AU51" i="18"/>
  <c r="AU46" i="18"/>
  <c r="K39" i="18"/>
  <c r="K35" i="18"/>
  <c r="AK23" i="17"/>
  <c r="AK44" i="17"/>
  <c r="AK33" i="17"/>
  <c r="R39" i="17"/>
  <c r="R35" i="17"/>
  <c r="AP39" i="18"/>
  <c r="AP35" i="18"/>
  <c r="N50" i="16"/>
  <c r="N46" i="16"/>
  <c r="AD21" i="16"/>
  <c r="AD22" i="16"/>
  <c r="AQ44" i="17"/>
  <c r="AQ33" i="17"/>
  <c r="AQ23" i="17"/>
  <c r="H45" i="18"/>
  <c r="H51" i="18" s="1"/>
  <c r="H24" i="18"/>
  <c r="H34" i="18"/>
  <c r="H40" i="18" s="1"/>
  <c r="I34" i="18"/>
  <c r="I40" i="18" s="1"/>
  <c r="I45" i="18"/>
  <c r="I51" i="18" s="1"/>
  <c r="I24" i="18"/>
  <c r="AF39" i="16"/>
  <c r="AF35" i="16"/>
  <c r="K44" i="16"/>
  <c r="K33" i="16"/>
  <c r="K23" i="16"/>
  <c r="AH39" i="18"/>
  <c r="AH35" i="18"/>
  <c r="E23" i="16"/>
  <c r="E44" i="16"/>
  <c r="E33" i="16"/>
  <c r="AZ21" i="16"/>
  <c r="AO44" i="16"/>
  <c r="AO23" i="16"/>
  <c r="AO33" i="16"/>
  <c r="H30" i="16"/>
  <c r="I27" i="16"/>
  <c r="Y44" i="16"/>
  <c r="Y23" i="16"/>
  <c r="Y33" i="16"/>
  <c r="AS50" i="17"/>
  <c r="Z39" i="16"/>
  <c r="Z35" i="16"/>
  <c r="AP44" i="16"/>
  <c r="AP33" i="16"/>
  <c r="AP23" i="16"/>
  <c r="AC50" i="18"/>
  <c r="AC46" i="18"/>
  <c r="AG50" i="17"/>
  <c r="AG46" i="17"/>
  <c r="F35" i="16"/>
  <c r="F39" i="16"/>
  <c r="Q50" i="17"/>
  <c r="AN34" i="18"/>
  <c r="AN40" i="18" s="1"/>
  <c r="AN45" i="18"/>
  <c r="AN51" i="18" s="1"/>
  <c r="AN24" i="18"/>
  <c r="AA50" i="17"/>
  <c r="AI24" i="16"/>
  <c r="AI34" i="16"/>
  <c r="AI40" i="16" s="1"/>
  <c r="AI45" i="16"/>
  <c r="AI51" i="16" s="1"/>
  <c r="AA45" i="17"/>
  <c r="AA51" i="17" s="1"/>
  <c r="AA34" i="17"/>
  <c r="AA40" i="17" s="1"/>
  <c r="AA24" i="17"/>
  <c r="AH46" i="17"/>
  <c r="AH50" i="17"/>
  <c r="N39" i="17"/>
  <c r="E46" i="18"/>
  <c r="E50" i="18"/>
  <c r="M40" i="18"/>
  <c r="M35" i="18"/>
  <c r="W46" i="16"/>
  <c r="W50" i="16"/>
  <c r="AD39" i="18"/>
  <c r="AD35" i="18"/>
  <c r="J46" i="17"/>
  <c r="AL45" i="17"/>
  <c r="AL51" i="17" s="1"/>
  <c r="AL24" i="17"/>
  <c r="AL34" i="17"/>
  <c r="AL40" i="17" s="1"/>
  <c r="L46" i="17"/>
  <c r="L50" i="17"/>
  <c r="AO39" i="18"/>
  <c r="AO35" i="18"/>
  <c r="M46" i="16"/>
  <c r="M50" i="16"/>
  <c r="G35" i="17"/>
  <c r="G39" i="17"/>
  <c r="T44" i="17"/>
  <c r="T23" i="17"/>
  <c r="T33" i="17"/>
  <c r="I44" i="18"/>
  <c r="I33" i="18"/>
  <c r="I23" i="18"/>
  <c r="AF50" i="16"/>
  <c r="AF46" i="16"/>
  <c r="AG46" i="16"/>
  <c r="AG50" i="16"/>
  <c r="Z33" i="17"/>
  <c r="Z23" i="17"/>
  <c r="Z44" i="17"/>
  <c r="AZ22" i="16"/>
  <c r="AL46" i="18"/>
  <c r="AL50" i="18"/>
  <c r="H46" i="16"/>
  <c r="H50" i="16"/>
  <c r="D51" i="18"/>
  <c r="D46" i="18"/>
  <c r="T46" i="16"/>
  <c r="T50" i="16"/>
  <c r="AR50" i="16"/>
  <c r="AR46" i="16"/>
  <c r="AM34" i="17"/>
  <c r="AM40" i="17" s="1"/>
  <c r="AM24" i="17"/>
  <c r="AM45" i="17"/>
  <c r="AM51" i="17" s="1"/>
  <c r="O34" i="18"/>
  <c r="O40" i="18" s="1"/>
  <c r="O24" i="18"/>
  <c r="O45" i="18"/>
  <c r="O51" i="18" s="1"/>
  <c r="M24" i="17"/>
  <c r="M34" i="17"/>
  <c r="M40" i="17" s="1"/>
  <c r="M45" i="17"/>
  <c r="M51" i="17" s="1"/>
  <c r="AY44" i="16"/>
  <c r="AY23" i="16"/>
  <c r="AY33" i="16"/>
  <c r="Q45" i="18"/>
  <c r="Q51" i="18" s="1"/>
  <c r="Q34" i="18"/>
  <c r="Q40" i="18" s="1"/>
  <c r="Q24" i="18"/>
  <c r="F39" i="18"/>
  <c r="F35" i="18"/>
  <c r="Q34" i="17"/>
  <c r="Q40" i="17" s="1"/>
  <c r="Q24" i="17"/>
  <c r="Q45" i="17"/>
  <c r="Q51" i="17" s="1"/>
  <c r="AT35" i="16"/>
  <c r="AT39" i="16"/>
  <c r="AS39" i="18"/>
  <c r="AS35" i="18"/>
  <c r="AV34" i="18"/>
  <c r="AV40" i="18" s="1"/>
  <c r="AV24" i="18"/>
  <c r="AV45" i="18"/>
  <c r="AV51" i="18" s="1"/>
  <c r="AV45" i="16"/>
  <c r="AV51" i="16" s="1"/>
  <c r="AV24" i="16"/>
  <c r="AV34" i="16"/>
  <c r="AV40" i="16" s="1"/>
  <c r="V44" i="16"/>
  <c r="V33" i="16"/>
  <c r="V23" i="16"/>
  <c r="O35" i="17"/>
  <c r="O39" i="17"/>
  <c r="Z50" i="16"/>
  <c r="Z46" i="16"/>
  <c r="AU50" i="17"/>
  <c r="AU46" i="17"/>
  <c r="AL50" i="16"/>
  <c r="AL46" i="16"/>
  <c r="AM34" i="16"/>
  <c r="AM40" i="16" s="1"/>
  <c r="AM45" i="16"/>
  <c r="AM51" i="16" s="1"/>
  <c r="AM24" i="16"/>
  <c r="H23" i="18"/>
  <c r="H33" i="18"/>
  <c r="H44" i="18"/>
  <c r="W35" i="18"/>
  <c r="W39" i="18"/>
  <c r="L39" i="16"/>
  <c r="L35" i="16"/>
  <c r="W39" i="17"/>
  <c r="K24" i="16"/>
  <c r="K45" i="16"/>
  <c r="K51" i="16" s="1"/>
  <c r="K34" i="16"/>
  <c r="K40" i="16" s="1"/>
  <c r="AQ46" i="16"/>
  <c r="AG35" i="18"/>
  <c r="AB45" i="17"/>
  <c r="AB51" i="17" s="1"/>
  <c r="AB34" i="17"/>
  <c r="AB40" i="17" s="1"/>
  <c r="AB24" i="17"/>
  <c r="AY24" i="17"/>
  <c r="AY45" i="17"/>
  <c r="AY51" i="17" s="1"/>
  <c r="AY34" i="17"/>
  <c r="AY40" i="17" s="1"/>
  <c r="E24" i="16"/>
  <c r="E45" i="16"/>
  <c r="E51" i="16" s="1"/>
  <c r="E34" i="16"/>
  <c r="E40" i="16" s="1"/>
  <c r="AJ39" i="16"/>
  <c r="AJ35" i="16"/>
  <c r="AR44" i="18"/>
  <c r="AR23" i="18"/>
  <c r="AR33" i="18"/>
  <c r="T35" i="16"/>
  <c r="T39" i="16"/>
  <c r="AY45" i="18"/>
  <c r="AY51" i="18" s="1"/>
  <c r="AY24" i="18"/>
  <c r="AY34" i="18"/>
  <c r="AY40" i="18" s="1"/>
  <c r="AE46" i="17"/>
  <c r="AE50" i="17"/>
  <c r="AW50" i="18"/>
  <c r="AW46" i="18"/>
  <c r="AT46" i="17"/>
  <c r="AT50" i="17"/>
  <c r="AR46" i="17"/>
  <c r="AR50" i="17"/>
  <c r="AX39" i="18"/>
  <c r="AX35" i="18"/>
  <c r="AS45" i="17"/>
  <c r="AS51" i="17" s="1"/>
  <c r="AS34" i="17"/>
  <c r="AS40" i="17" s="1"/>
  <c r="AS24" i="17"/>
  <c r="T44" i="18"/>
  <c r="T33" i="18"/>
  <c r="T23" i="18"/>
  <c r="AZ23" i="18" s="1"/>
  <c r="V23" i="17"/>
  <c r="V44" i="17"/>
  <c r="V33" i="17"/>
  <c r="AR39" i="17"/>
  <c r="AR35" i="17"/>
  <c r="AC35" i="18"/>
  <c r="AC39" i="18"/>
  <c r="AB44" i="18"/>
  <c r="AB23" i="18"/>
  <c r="AB33" i="18"/>
  <c r="AF35" i="18"/>
  <c r="J35" i="17"/>
  <c r="AF34" i="17"/>
  <c r="AF40" i="17" s="1"/>
  <c r="AF45" i="17"/>
  <c r="AF51" i="17" s="1"/>
  <c r="AF24" i="17"/>
  <c r="G35" i="16"/>
  <c r="G39" i="16"/>
  <c r="S39" i="16"/>
  <c r="S35" i="16"/>
  <c r="O50" i="16"/>
  <c r="O46" i="16"/>
  <c r="AB24" i="16"/>
  <c r="AB45" i="16"/>
  <c r="AB51" i="16" s="1"/>
  <c r="AB34" i="16"/>
  <c r="AB40" i="16" s="1"/>
  <c r="K46" i="18"/>
  <c r="K50" i="18"/>
  <c r="AA39" i="16"/>
  <c r="AA35" i="16"/>
  <c r="W45" i="17"/>
  <c r="W51" i="17" s="1"/>
  <c r="W34" i="17"/>
  <c r="W40" i="17" s="1"/>
  <c r="W24" i="17"/>
  <c r="AQ24" i="17"/>
  <c r="AQ45" i="17"/>
  <c r="AQ51" i="17" s="1"/>
  <c r="AQ34" i="17"/>
  <c r="AQ40" i="17" s="1"/>
  <c r="W46" i="18"/>
  <c r="W50" i="18"/>
  <c r="K39" i="17"/>
  <c r="AH46" i="18"/>
  <c r="AH50" i="18"/>
  <c r="AW35" i="17"/>
  <c r="AW39" i="17"/>
  <c r="W39" i="16"/>
  <c r="W35" i="16"/>
  <c r="S45" i="17"/>
  <c r="S51" i="17" s="1"/>
  <c r="S24" i="17"/>
  <c r="S34" i="17"/>
  <c r="S40" i="17" s="1"/>
  <c r="U23" i="16"/>
  <c r="U33" i="16"/>
  <c r="U44" i="16"/>
  <c r="H27" i="18"/>
  <c r="G30" i="18"/>
  <c r="Y34" i="17"/>
  <c r="Y40" i="17" s="1"/>
  <c r="Y24" i="17"/>
  <c r="Y45" i="17"/>
  <c r="Y51" i="17" s="1"/>
  <c r="AX46" i="18"/>
  <c r="AX50" i="18"/>
  <c r="R50" i="16"/>
  <c r="R46" i="16"/>
  <c r="I27" i="17"/>
  <c r="H30" i="17"/>
  <c r="AA23" i="18"/>
  <c r="AA33" i="18"/>
  <c r="AA44" i="18"/>
  <c r="AR45" i="18"/>
  <c r="AR51" i="18" s="1"/>
  <c r="AR34" i="18"/>
  <c r="AR40" i="18" s="1"/>
  <c r="AR24" i="18"/>
  <c r="Y33" i="17"/>
  <c r="Y44" i="17"/>
  <c r="Y23" i="17"/>
  <c r="F46" i="17"/>
  <c r="AZ22" i="18"/>
  <c r="AZ22" i="17"/>
  <c r="D45" i="17"/>
  <c r="D34" i="17"/>
  <c r="D24" i="17"/>
  <c r="AY33" i="18"/>
  <c r="AY44" i="18"/>
  <c r="AY23" i="18"/>
  <c r="AW46" i="16"/>
  <c r="AW50" i="16"/>
  <c r="AY24" i="16"/>
  <c r="AY34" i="16"/>
  <c r="AY40" i="16" s="1"/>
  <c r="AY45" i="16"/>
  <c r="AY51" i="16" s="1"/>
  <c r="AE35" i="17"/>
  <c r="AE39" i="17"/>
  <c r="AT50" i="16"/>
  <c r="AT46" i="16"/>
  <c r="AM35" i="18"/>
  <c r="AM39" i="18"/>
  <c r="AS50" i="18"/>
  <c r="AS46" i="18"/>
  <c r="AT35" i="17"/>
  <c r="AT39" i="17"/>
  <c r="AV44" i="18"/>
  <c r="AV33" i="18"/>
  <c r="AV23" i="18"/>
  <c r="AV33" i="16"/>
  <c r="AV23" i="16"/>
  <c r="AV44" i="16"/>
  <c r="V45" i="16"/>
  <c r="V51" i="16" s="1"/>
  <c r="V24" i="16"/>
  <c r="V34" i="16"/>
  <c r="V40" i="16" s="1"/>
  <c r="O46" i="17"/>
  <c r="O50" i="17"/>
  <c r="AH35" i="17"/>
  <c r="AH39" i="17"/>
  <c r="I46" i="16"/>
  <c r="I50" i="16"/>
  <c r="AK46" i="16"/>
  <c r="AU35" i="17"/>
  <c r="AU39" i="17"/>
  <c r="AM33" i="16"/>
  <c r="AM23" i="16"/>
  <c r="AM44" i="16"/>
  <c r="R24" i="18"/>
  <c r="R45" i="18"/>
  <c r="R51" i="18" s="1"/>
  <c r="R34" i="18"/>
  <c r="R40" i="18" s="1"/>
  <c r="L46" i="16"/>
  <c r="L50" i="16"/>
  <c r="W50" i="17"/>
  <c r="W46" i="17"/>
  <c r="AI44" i="17"/>
  <c r="AI33" i="17"/>
  <c r="AI23" i="17"/>
  <c r="AB44" i="17"/>
  <c r="AB23" i="17"/>
  <c r="AB33" i="17"/>
  <c r="AY44" i="17"/>
  <c r="AY33" i="17"/>
  <c r="AY23" i="17"/>
  <c r="J46" i="18"/>
  <c r="J50" i="18"/>
  <c r="AJ50" i="16"/>
  <c r="AJ46" i="16"/>
  <c r="AA46" i="18" l="1"/>
  <c r="AA50" i="18"/>
  <c r="AO46" i="16"/>
  <c r="AO50" i="16"/>
  <c r="AV40" i="17"/>
  <c r="AV35" i="17"/>
  <c r="M50" i="17"/>
  <c r="M46" i="17"/>
  <c r="AP35" i="17"/>
  <c r="AP39" i="17"/>
  <c r="I50" i="17"/>
  <c r="I46" i="17"/>
  <c r="R35" i="18"/>
  <c r="R39" i="18"/>
  <c r="AV50" i="18"/>
  <c r="AV46" i="18"/>
  <c r="AA35" i="18"/>
  <c r="AA39" i="18"/>
  <c r="T35" i="18"/>
  <c r="T39" i="18"/>
  <c r="Z46" i="17"/>
  <c r="Z50" i="17"/>
  <c r="Y35" i="16"/>
  <c r="Y39" i="16"/>
  <c r="K50" i="16"/>
  <c r="K46" i="16"/>
  <c r="O35" i="18"/>
  <c r="O39" i="18"/>
  <c r="AF35" i="17"/>
  <c r="AF39" i="17"/>
  <c r="AH35" i="16"/>
  <c r="AH39" i="16"/>
  <c r="AN46" i="16"/>
  <c r="AN50" i="16"/>
  <c r="AB46" i="16"/>
  <c r="AB50" i="16"/>
  <c r="E51" i="17"/>
  <c r="E46" i="17"/>
  <c r="I35" i="17"/>
  <c r="I39" i="17"/>
  <c r="P39" i="16"/>
  <c r="P35" i="16"/>
  <c r="AI39" i="16"/>
  <c r="AI35" i="16"/>
  <c r="R46" i="18"/>
  <c r="R50" i="18"/>
  <c r="Q35" i="16"/>
  <c r="Q39" i="16"/>
  <c r="AB50" i="17"/>
  <c r="AB46" i="17"/>
  <c r="AY46" i="18"/>
  <c r="AY50" i="18"/>
  <c r="T46" i="18"/>
  <c r="T50" i="18"/>
  <c r="W35" i="17"/>
  <c r="AY35" i="16"/>
  <c r="AY39" i="16"/>
  <c r="I39" i="18"/>
  <c r="I35" i="18"/>
  <c r="Q46" i="17"/>
  <c r="E35" i="16"/>
  <c r="E39" i="16"/>
  <c r="O46" i="18"/>
  <c r="O50" i="18"/>
  <c r="AH46" i="16"/>
  <c r="AH50" i="16"/>
  <c r="E40" i="17"/>
  <c r="E35" i="17"/>
  <c r="AP50" i="17"/>
  <c r="AP46" i="17"/>
  <c r="P46" i="16"/>
  <c r="P50" i="16"/>
  <c r="AI46" i="16"/>
  <c r="AI50" i="16"/>
  <c r="AS35" i="17"/>
  <c r="S35" i="17"/>
  <c r="Q46" i="16"/>
  <c r="Q50" i="16"/>
  <c r="AY35" i="18"/>
  <c r="AY39" i="18"/>
  <c r="Y50" i="17"/>
  <c r="Y46" i="17"/>
  <c r="K35" i="17"/>
  <c r="Z39" i="17"/>
  <c r="Z35" i="17"/>
  <c r="I46" i="18"/>
  <c r="I50" i="18"/>
  <c r="N35" i="17"/>
  <c r="AP39" i="16"/>
  <c r="AP35" i="16"/>
  <c r="Y46" i="16"/>
  <c r="Y50" i="16"/>
  <c r="E46" i="16"/>
  <c r="E50" i="16"/>
  <c r="AQ35" i="17"/>
  <c r="AQ39" i="17"/>
  <c r="AF46" i="17"/>
  <c r="AF50" i="17"/>
  <c r="AL35" i="17"/>
  <c r="AL39" i="17"/>
  <c r="AN35" i="16"/>
  <c r="AN39" i="16"/>
  <c r="AM35" i="17"/>
  <c r="AN35" i="18"/>
  <c r="AN39" i="18"/>
  <c r="L35" i="18"/>
  <c r="L39" i="18"/>
  <c r="AB46" i="18"/>
  <c r="AB50" i="18"/>
  <c r="AA35" i="17"/>
  <c r="Y35" i="17"/>
  <c r="Y39" i="17"/>
  <c r="AZ23" i="16"/>
  <c r="AI50" i="17"/>
  <c r="AI46" i="17"/>
  <c r="I27" i="18"/>
  <c r="H30" i="18"/>
  <c r="V39" i="17"/>
  <c r="V35" i="17"/>
  <c r="AY35" i="17"/>
  <c r="AY39" i="17"/>
  <c r="AV39" i="16"/>
  <c r="AV35" i="16"/>
  <c r="D51" i="17"/>
  <c r="D46" i="17"/>
  <c r="U46" i="16"/>
  <c r="U50" i="16"/>
  <c r="AB35" i="18"/>
  <c r="AB39" i="18"/>
  <c r="V46" i="17"/>
  <c r="V50" i="17"/>
  <c r="AR35" i="18"/>
  <c r="AR39" i="18"/>
  <c r="V35" i="16"/>
  <c r="V39" i="16"/>
  <c r="T46" i="17"/>
  <c r="T50" i="17"/>
  <c r="AA46" i="17"/>
  <c r="AO39" i="16"/>
  <c r="AO35" i="16"/>
  <c r="AD44" i="16"/>
  <c r="AD33" i="16"/>
  <c r="AD23" i="16"/>
  <c r="AK46" i="17"/>
  <c r="AK50" i="17"/>
  <c r="P35" i="17"/>
  <c r="P39" i="17"/>
  <c r="AD35" i="17"/>
  <c r="AO45" i="17"/>
  <c r="AO51" i="17" s="1"/>
  <c r="AO24" i="17"/>
  <c r="AO34" i="17"/>
  <c r="AO40" i="17" s="1"/>
  <c r="H35" i="17"/>
  <c r="H39" i="17"/>
  <c r="Q35" i="17"/>
  <c r="X50" i="17"/>
  <c r="X46" i="17"/>
  <c r="AB35" i="17"/>
  <c r="AB39" i="17"/>
  <c r="AV35" i="18"/>
  <c r="AV39" i="18"/>
  <c r="AR46" i="18"/>
  <c r="AR50" i="18"/>
  <c r="H39" i="18"/>
  <c r="H35" i="18"/>
  <c r="K35" i="16"/>
  <c r="K39" i="16"/>
  <c r="Q50" i="18"/>
  <c r="Q46" i="18"/>
  <c r="P46" i="17"/>
  <c r="P50" i="17"/>
  <c r="AB35" i="16"/>
  <c r="AB39" i="16"/>
  <c r="G50" i="18"/>
  <c r="G46" i="18"/>
  <c r="AI39" i="17"/>
  <c r="AI35" i="17"/>
  <c r="AV46" i="16"/>
  <c r="AV50" i="16"/>
  <c r="AZ24" i="17"/>
  <c r="I30" i="17"/>
  <c r="J27" i="17"/>
  <c r="AY46" i="16"/>
  <c r="AY50" i="16"/>
  <c r="T39" i="17"/>
  <c r="T35" i="17"/>
  <c r="AP46" i="16"/>
  <c r="AP50" i="16"/>
  <c r="J27" i="16"/>
  <c r="I30" i="16"/>
  <c r="AQ50" i="17"/>
  <c r="AQ46" i="17"/>
  <c r="AL46" i="17"/>
  <c r="AL50" i="17"/>
  <c r="X35" i="17"/>
  <c r="X39" i="17"/>
  <c r="AM50" i="16"/>
  <c r="AM46" i="16"/>
  <c r="D40" i="17"/>
  <c r="D35" i="17"/>
  <c r="AD34" i="16"/>
  <c r="AD40" i="16" s="1"/>
  <c r="AD45" i="16"/>
  <c r="AD51" i="16" s="1"/>
  <c r="AD24" i="16"/>
  <c r="AZ24" i="16" s="1"/>
  <c r="AK39" i="17"/>
  <c r="AK35" i="17"/>
  <c r="AD46" i="17"/>
  <c r="AO33" i="17"/>
  <c r="AO44" i="17"/>
  <c r="AO23" i="17"/>
  <c r="AZ23" i="17" s="1"/>
  <c r="N46" i="17"/>
  <c r="AN46" i="18"/>
  <c r="AN50" i="18"/>
  <c r="AG35" i="17"/>
  <c r="L50" i="18"/>
  <c r="L46" i="18"/>
  <c r="AY50" i="17"/>
  <c r="AY46" i="17"/>
  <c r="AM35" i="16"/>
  <c r="AM39" i="16"/>
  <c r="U35" i="16"/>
  <c r="U39" i="16"/>
  <c r="H46" i="18"/>
  <c r="H50" i="18"/>
  <c r="V50" i="16"/>
  <c r="V46" i="16"/>
  <c r="AS46" i="17"/>
  <c r="AV51" i="17"/>
  <c r="AV46" i="17"/>
  <c r="Q35" i="18"/>
  <c r="Q39" i="18"/>
  <c r="M35" i="17"/>
  <c r="M39" i="17"/>
  <c r="H46" i="17"/>
  <c r="H50" i="17"/>
  <c r="G39" i="18"/>
  <c r="G35" i="18"/>
  <c r="S46" i="17"/>
  <c r="J30" i="17" l="1"/>
  <c r="K27" i="17"/>
  <c r="AD50" i="16"/>
  <c r="AD46" i="16"/>
  <c r="K27" i="16"/>
  <c r="J30" i="16"/>
  <c r="J27" i="18"/>
  <c r="I30" i="18"/>
  <c r="AO46" i="17"/>
  <c r="AO50" i="17"/>
  <c r="AO35" i="17"/>
  <c r="AO39" i="17"/>
  <c r="AD35" i="16"/>
  <c r="AD39" i="16"/>
  <c r="K27" i="18" l="1"/>
  <c r="J30" i="18"/>
  <c r="L27" i="17"/>
  <c r="K30" i="17"/>
  <c r="L27" i="16"/>
  <c r="K30" i="16"/>
  <c r="L30" i="16" l="1"/>
  <c r="M27" i="16"/>
  <c r="L27" i="18"/>
  <c r="K30" i="18"/>
  <c r="M27" i="17"/>
  <c r="L30" i="17"/>
  <c r="N27" i="17" l="1"/>
  <c r="M30" i="17"/>
  <c r="M27" i="18"/>
  <c r="L30" i="18"/>
  <c r="N27" i="16"/>
  <c r="M30" i="16"/>
  <c r="O27" i="16" l="1"/>
  <c r="N30" i="16"/>
  <c r="N30" i="17"/>
  <c r="O27" i="17"/>
  <c r="M30" i="18"/>
  <c r="N27" i="18"/>
  <c r="P27" i="16" l="1"/>
  <c r="O30" i="16"/>
  <c r="N30" i="18"/>
  <c r="O27" i="18"/>
  <c r="P27" i="17"/>
  <c r="O30" i="17"/>
  <c r="Q27" i="16" l="1"/>
  <c r="P30" i="16"/>
  <c r="Q27" i="17"/>
  <c r="P30" i="17"/>
  <c r="O30" i="18"/>
  <c r="P27" i="18"/>
  <c r="R27" i="16" l="1"/>
  <c r="Q30" i="16"/>
  <c r="Q27" i="18"/>
  <c r="P30" i="18"/>
  <c r="R27" i="17"/>
  <c r="Q30" i="17"/>
  <c r="R30" i="17" l="1"/>
  <c r="S27" i="17"/>
  <c r="S27" i="16"/>
  <c r="R30" i="16"/>
  <c r="Q30" i="18"/>
  <c r="R27" i="18"/>
  <c r="R30" i="18" l="1"/>
  <c r="S27" i="18"/>
  <c r="S30" i="16"/>
  <c r="T27" i="16"/>
  <c r="T27" i="17"/>
  <c r="S30" i="17"/>
  <c r="U27" i="17" l="1"/>
  <c r="T30" i="17"/>
  <c r="T30" i="16"/>
  <c r="U27" i="16"/>
  <c r="T27" i="18"/>
  <c r="S30" i="18"/>
  <c r="T30" i="18" l="1"/>
  <c r="U27" i="18"/>
  <c r="V27" i="16"/>
  <c r="U30" i="16"/>
  <c r="V27" i="17"/>
  <c r="U30" i="17"/>
  <c r="V30" i="17" l="1"/>
  <c r="W27" i="17"/>
  <c r="V30" i="16"/>
  <c r="W27" i="16"/>
  <c r="U30" i="18"/>
  <c r="V27" i="18"/>
  <c r="V30" i="18" l="1"/>
  <c r="W27" i="18"/>
  <c r="W30" i="16"/>
  <c r="X27" i="16"/>
  <c r="X27" i="17"/>
  <c r="W30" i="17"/>
  <c r="Y27" i="17" l="1"/>
  <c r="X30" i="17"/>
  <c r="Y27" i="16"/>
  <c r="X30" i="16"/>
  <c r="X27" i="18"/>
  <c r="W30" i="18"/>
  <c r="Y30" i="17" l="1"/>
  <c r="Z27" i="17"/>
  <c r="Y27" i="18"/>
  <c r="X30" i="18"/>
  <c r="Y30" i="16"/>
  <c r="Z27" i="16"/>
  <c r="Z30" i="16" l="1"/>
  <c r="AA27" i="16"/>
  <c r="Y30" i="18"/>
  <c r="Z27" i="18"/>
  <c r="Z30" i="17"/>
  <c r="AA27" i="17"/>
  <c r="AB27" i="17" l="1"/>
  <c r="AA30" i="17"/>
  <c r="Z30" i="18"/>
  <c r="AA27" i="18"/>
  <c r="AB27" i="16"/>
  <c r="AA30" i="16"/>
  <c r="AC27" i="17" l="1"/>
  <c r="AB30" i="17"/>
  <c r="AB30" i="16"/>
  <c r="AC27" i="16"/>
  <c r="AB27" i="18"/>
  <c r="AA30" i="18"/>
  <c r="AD27" i="17" l="1"/>
  <c r="AC30" i="17"/>
  <c r="AC27" i="18"/>
  <c r="AB30" i="18"/>
  <c r="AD27" i="16"/>
  <c r="AC30" i="16"/>
  <c r="AD30" i="17" l="1"/>
  <c r="AE27" i="17"/>
  <c r="AE27" i="16"/>
  <c r="AD30" i="16"/>
  <c r="AD27" i="18"/>
  <c r="AC30" i="18"/>
  <c r="AD30" i="18" l="1"/>
  <c r="AE27" i="18"/>
  <c r="AE30" i="16"/>
  <c r="AF27" i="16"/>
  <c r="AF27" i="17"/>
  <c r="AE30" i="17"/>
  <c r="AF30" i="17" l="1"/>
  <c r="AG27" i="17"/>
  <c r="AG27" i="16"/>
  <c r="AF30" i="16"/>
  <c r="AF27" i="18"/>
  <c r="AE30" i="18"/>
  <c r="AG27" i="18" l="1"/>
  <c r="AF30" i="18"/>
  <c r="AH27" i="16"/>
  <c r="AG30" i="16"/>
  <c r="AH27" i="17"/>
  <c r="AG30" i="17"/>
  <c r="AG30" i="18" l="1"/>
  <c r="AH27" i="18"/>
  <c r="AI27" i="17"/>
  <c r="AH30" i="17"/>
  <c r="AI27" i="16"/>
  <c r="AH30" i="16"/>
  <c r="AI30" i="16" l="1"/>
  <c r="AJ27" i="16"/>
  <c r="AI30" i="17"/>
  <c r="AJ27" i="17"/>
  <c r="AH30" i="18"/>
  <c r="AI27" i="18"/>
  <c r="AJ27" i="18" l="1"/>
  <c r="AI30" i="18"/>
  <c r="AJ30" i="17"/>
  <c r="AK27" i="17"/>
  <c r="AK27" i="16"/>
  <c r="AJ30" i="16"/>
  <c r="AK27" i="18" l="1"/>
  <c r="AJ30" i="18"/>
  <c r="AL27" i="16"/>
  <c r="AK30" i="16"/>
  <c r="AL27" i="17"/>
  <c r="AK30" i="17"/>
  <c r="AK30" i="18" l="1"/>
  <c r="AL27" i="18"/>
  <c r="AL30" i="17"/>
  <c r="AM27" i="17"/>
  <c r="AM27" i="16"/>
  <c r="AL30" i="16"/>
  <c r="AN27" i="16" l="1"/>
  <c r="AM30" i="16"/>
  <c r="AM30" i="17"/>
  <c r="AN27" i="17"/>
  <c r="AL30" i="18"/>
  <c r="AM27" i="18"/>
  <c r="AN27" i="18" l="1"/>
  <c r="AM30" i="18"/>
  <c r="AN30" i="16"/>
  <c r="AO27" i="16"/>
  <c r="AN30" i="17"/>
  <c r="AO27" i="17"/>
  <c r="AP27" i="17" l="1"/>
  <c r="AO30" i="17"/>
  <c r="AN30" i="18"/>
  <c r="AO27" i="18"/>
  <c r="AP27" i="16"/>
  <c r="AO30" i="16"/>
  <c r="AQ27" i="16" l="1"/>
  <c r="AP30" i="16"/>
  <c r="AQ27" i="17"/>
  <c r="AP30" i="17"/>
  <c r="AO30" i="18"/>
  <c r="AP27" i="18"/>
  <c r="AR27" i="16" l="1"/>
  <c r="AQ30" i="16"/>
  <c r="AP30" i="18"/>
  <c r="AQ27" i="18"/>
  <c r="AQ30" i="17"/>
  <c r="AR27" i="17"/>
  <c r="AS27" i="16" l="1"/>
  <c r="AR30" i="16"/>
  <c r="AR30" i="17"/>
  <c r="AS27" i="17"/>
  <c r="AR27" i="18"/>
  <c r="AQ30" i="18"/>
  <c r="AS27" i="18" l="1"/>
  <c r="AR30" i="18"/>
  <c r="AS30" i="16"/>
  <c r="AT27" i="16"/>
  <c r="AT27" i="17"/>
  <c r="AS30" i="17"/>
  <c r="AT27" i="18" l="1"/>
  <c r="AS30" i="18"/>
  <c r="AT30" i="17"/>
  <c r="AU27" i="17"/>
  <c r="AT30" i="16"/>
  <c r="AU27" i="16"/>
  <c r="AT30" i="18" l="1"/>
  <c r="AU27" i="18"/>
  <c r="AU30" i="16"/>
  <c r="AV27" i="16"/>
  <c r="AU30" i="17"/>
  <c r="AV27" i="17"/>
  <c r="AV30" i="17" l="1"/>
  <c r="AW27" i="17"/>
  <c r="AV30" i="16"/>
  <c r="AW27" i="16"/>
  <c r="AV27" i="18"/>
  <c r="AU30" i="18"/>
  <c r="AW27" i="18" l="1"/>
  <c r="AV30" i="18"/>
  <c r="AX27" i="16"/>
  <c r="AW30" i="16"/>
  <c r="AX27" i="17"/>
  <c r="AW30" i="17"/>
  <c r="AY27" i="17" l="1"/>
  <c r="AY30" i="17" s="1"/>
  <c r="AZ30" i="17" s="1"/>
  <c r="AX30" i="17"/>
  <c r="AX27" i="18"/>
  <c r="AW30" i="18"/>
  <c r="AY27" i="16"/>
  <c r="AY30" i="16" s="1"/>
  <c r="AZ30" i="16" s="1"/>
  <c r="AX30" i="16"/>
  <c r="AX30" i="18" l="1"/>
  <c r="AY27" i="18"/>
  <c r="AY30" i="18" s="1"/>
  <c r="AZ30" i="18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 s="1"/>
  <c r="G41" i="5"/>
  <c r="H41" i="5"/>
  <c r="G42" i="5"/>
  <c r="H42" i="5"/>
  <c r="G43" i="5"/>
  <c r="H43" i="5"/>
  <c r="G44" i="5"/>
  <c r="H44" i="5" s="1"/>
  <c r="G45" i="5"/>
  <c r="H45" i="5"/>
  <c r="G46" i="5"/>
  <c r="H46" i="5"/>
  <c r="G47" i="5"/>
  <c r="H47" i="5"/>
  <c r="G48" i="5"/>
  <c r="H48" i="5" s="1"/>
  <c r="G49" i="5"/>
  <c r="H49" i="5"/>
  <c r="G50" i="5"/>
  <c r="H50" i="5"/>
  <c r="G51" i="5"/>
  <c r="H51" i="5"/>
  <c r="G52" i="5"/>
  <c r="H52" i="5" s="1"/>
  <c r="G53" i="5"/>
  <c r="H53" i="5"/>
  <c r="G54" i="5"/>
  <c r="H54" i="5"/>
  <c r="G55" i="5"/>
  <c r="H55" i="5"/>
  <c r="G56" i="5"/>
  <c r="H56" i="5" s="1"/>
  <c r="G57" i="5"/>
  <c r="H57" i="5"/>
  <c r="G58" i="5"/>
  <c r="H58" i="5"/>
  <c r="G59" i="5"/>
  <c r="H59" i="5"/>
  <c r="G60" i="5"/>
  <c r="H60" i="5" s="1"/>
  <c r="G61" i="5"/>
  <c r="H61" i="5"/>
  <c r="G62" i="5"/>
  <c r="H62" i="5"/>
  <c r="G63" i="5"/>
  <c r="H63" i="5"/>
  <c r="G64" i="5"/>
  <c r="H64" i="5" s="1"/>
  <c r="G65" i="5"/>
  <c r="H65" i="5"/>
  <c r="G66" i="5"/>
  <c r="H66" i="5"/>
  <c r="G67" i="5"/>
  <c r="H67" i="5"/>
  <c r="G68" i="5"/>
  <c r="H68" i="5" s="1"/>
  <c r="G69" i="5"/>
  <c r="H69" i="5"/>
  <c r="G70" i="5"/>
  <c r="H70" i="5"/>
  <c r="G71" i="5"/>
  <c r="H71" i="5"/>
  <c r="G72" i="5"/>
  <c r="H72" i="5" s="1"/>
  <c r="G73" i="5"/>
  <c r="H73" i="5"/>
  <c r="G74" i="5"/>
  <c r="H74" i="5"/>
  <c r="G75" i="5"/>
  <c r="H75" i="5"/>
  <c r="G76" i="5"/>
  <c r="H76" i="5" s="1"/>
  <c r="G77" i="5"/>
  <c r="H77" i="5"/>
  <c r="G78" i="5"/>
  <c r="H78" i="5"/>
  <c r="G79" i="5"/>
  <c r="H79" i="5"/>
  <c r="G80" i="5"/>
  <c r="H80" i="5" s="1"/>
  <c r="G81" i="5"/>
  <c r="H81" i="5"/>
  <c r="G82" i="5"/>
  <c r="H82" i="5"/>
  <c r="G83" i="5"/>
  <c r="H83" i="5"/>
  <c r="G84" i="5"/>
  <c r="H84" i="5" s="1"/>
  <c r="G85" i="5"/>
  <c r="H85" i="5"/>
  <c r="G86" i="5"/>
  <c r="H86" i="5"/>
  <c r="G87" i="5"/>
  <c r="H87" i="5"/>
  <c r="G88" i="5"/>
  <c r="H88" i="5" s="1"/>
  <c r="G89" i="5"/>
  <c r="H89" i="5"/>
  <c r="G90" i="5"/>
  <c r="H90" i="5"/>
  <c r="G91" i="5"/>
  <c r="H91" i="5"/>
  <c r="G92" i="5"/>
  <c r="H92" i="5" s="1"/>
  <c r="G93" i="5"/>
  <c r="H93" i="5"/>
  <c r="G94" i="5"/>
  <c r="H94" i="5"/>
  <c r="G95" i="5"/>
  <c r="H95" i="5"/>
  <c r="G96" i="5"/>
  <c r="H96" i="5" s="1"/>
  <c r="G97" i="5"/>
  <c r="H97" i="5"/>
  <c r="G98" i="5"/>
  <c r="H98" i="5"/>
  <c r="G99" i="5"/>
  <c r="H99" i="5"/>
  <c r="G100" i="5"/>
  <c r="H100" i="5" s="1"/>
  <c r="G101" i="5"/>
  <c r="H101" i="5"/>
  <c r="G102" i="5"/>
  <c r="H102" i="5"/>
  <c r="G103" i="5"/>
  <c r="H103" i="5"/>
  <c r="G104" i="5"/>
  <c r="H104" i="5" s="1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<sst xmlns="http://schemas.openxmlformats.org/spreadsheetml/2006/main" count="2530" uniqueCount="414">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</sst>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2" t="s">
        <v>165</v>
      </c>
      <c r="E4" s="113"/>
      <c r="F4" s="114"/>
    </row>
    <row r="5" spans="2:6" x14ac:dyDescent="0.2">
      <c r="B5" s="6"/>
      <c r="C5" s="7" t="s">
        <v>111</v>
      </c>
      <c r="D5" s="115">
        <v>2006</v>
      </c>
      <c r="E5" s="116"/>
      <c r="F5" s="117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1257</v>
      </c>
      <c r="E6" s="15" t="s">
        <v>166</v>
      </c>
      <c r="F6" s="15" t="s">
        <v>6</v>
      </c>
      <c r="G6" s="15">
        <f t="shared" ref="G6:G15" si="0">$D6+$C6</f>
        <v>1257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913</v>
      </c>
      <c r="E10" s="15" t="s">
        <v>166</v>
      </c>
      <c r="F10" s="15" t="s">
        <v>6</v>
      </c>
      <c r="G10" s="15">
        <f t="shared" si="0"/>
        <v>913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4981</v>
      </c>
      <c r="E12" s="15" t="s">
        <v>166</v>
      </c>
      <c r="F12" s="15" t="s">
        <v>6</v>
      </c>
      <c r="G12" s="15">
        <f t="shared" si="0"/>
        <v>4981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22</v>
      </c>
      <c r="E21" s="15"/>
      <c r="F21" s="15" t="s">
        <v>6</v>
      </c>
      <c r="G21" s="15">
        <f t="shared" ref="G21:G30" si="2">$D21+$C21</f>
        <v>22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29</v>
      </c>
      <c r="E25" s="15"/>
      <c r="F25" s="15" t="s">
        <v>6</v>
      </c>
      <c r="G25" s="15">
        <f t="shared" si="2"/>
        <v>29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112</v>
      </c>
      <c r="E27" s="15"/>
      <c r="F27" s="15" t="s">
        <v>6</v>
      </c>
      <c r="G27" s="15">
        <f t="shared" si="2"/>
        <v>112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163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2">
        <v>939.86761905794799</v>
      </c>
      <c r="D6" s="93">
        <v>939.8676190579481</v>
      </c>
      <c r="E6" s="93">
        <v>939.8676190579481</v>
      </c>
      <c r="F6" s="93">
        <v>939.8676190579481</v>
      </c>
      <c r="G6" s="93">
        <v>939.8676190579481</v>
      </c>
      <c r="H6" s="93">
        <v>939.8676190579481</v>
      </c>
      <c r="I6" s="93">
        <v>939.8676190579481</v>
      </c>
      <c r="J6" s="93">
        <v>939.8676190579481</v>
      </c>
      <c r="K6" s="93">
        <v>939.8676190579481</v>
      </c>
      <c r="L6" s="93">
        <v>939.8676190579481</v>
      </c>
      <c r="M6" s="93">
        <v>939.8676190579481</v>
      </c>
      <c r="N6" s="93">
        <v>939.8676190579481</v>
      </c>
    </row>
    <row r="7" spans="2:14" x14ac:dyDescent="0.2">
      <c r="B7" s="36" t="s">
        <v>105</v>
      </c>
      <c r="C7" s="94">
        <v>3075.7372188243826</v>
      </c>
      <c r="D7" s="95">
        <v>3075.7372188243826</v>
      </c>
      <c r="E7" s="95">
        <v>3075.7372188243826</v>
      </c>
      <c r="F7" s="95">
        <v>3075.7372188243826</v>
      </c>
      <c r="G7" s="95">
        <v>3075.7372188243826</v>
      </c>
      <c r="H7" s="95">
        <v>3075.7372188243826</v>
      </c>
      <c r="I7" s="95">
        <v>3075.7372188243826</v>
      </c>
      <c r="J7" s="95">
        <v>3075.7372188243826</v>
      </c>
      <c r="K7" s="95">
        <v>3075.7372188243826</v>
      </c>
      <c r="L7" s="95">
        <v>3075.7372188243826</v>
      </c>
      <c r="M7" s="95">
        <v>3075.7372188243826</v>
      </c>
      <c r="N7" s="95">
        <v>3075.7372188243826</v>
      </c>
    </row>
    <row r="8" spans="2:14" x14ac:dyDescent="0.2">
      <c r="B8" s="36" t="s">
        <v>106</v>
      </c>
      <c r="C8" s="94">
        <v>2896.2440953518885</v>
      </c>
      <c r="D8" s="95">
        <v>2896.2440953518885</v>
      </c>
      <c r="E8" s="95">
        <v>2896.2440953518885</v>
      </c>
      <c r="F8" s="95">
        <v>2896.2440953518885</v>
      </c>
      <c r="G8" s="95">
        <v>2896.2440953518885</v>
      </c>
      <c r="H8" s="95">
        <v>2896.2440953518885</v>
      </c>
      <c r="I8" s="95">
        <v>2896.2440953518885</v>
      </c>
      <c r="J8" s="95">
        <v>2896.2440953518885</v>
      </c>
      <c r="K8" s="95">
        <v>2896.2440953518885</v>
      </c>
      <c r="L8" s="95">
        <v>2896.2440953518885</v>
      </c>
      <c r="M8" s="95">
        <v>2896.2440953518885</v>
      </c>
      <c r="N8" s="95">
        <v>2896.2440953518885</v>
      </c>
    </row>
    <row r="9" spans="2:14" x14ac:dyDescent="0.2">
      <c r="B9" s="36" t="s">
        <v>107</v>
      </c>
      <c r="C9" s="86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2:14" x14ac:dyDescent="0.2">
      <c r="B10" s="36" t="s">
        <v>108</v>
      </c>
      <c r="C10" s="86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1" spans="2:14" x14ac:dyDescent="0.2">
      <c r="B11" s="37" t="s">
        <v>109</v>
      </c>
      <c r="C11" s="86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6">
        <v>1</v>
      </c>
      <c r="D17" s="96">
        <v>1</v>
      </c>
      <c r="E17" s="96">
        <v>1</v>
      </c>
      <c r="F17" s="96">
        <v>5</v>
      </c>
      <c r="G17" s="96">
        <v>1</v>
      </c>
      <c r="H17" s="96">
        <v>10</v>
      </c>
      <c r="I17" s="29" t="s">
        <v>110</v>
      </c>
    </row>
    <row r="18" spans="2:33" x14ac:dyDescent="0.2">
      <c r="B18" s="36" t="s">
        <v>105</v>
      </c>
      <c r="C18" s="97">
        <v>1</v>
      </c>
      <c r="D18" s="97">
        <v>1</v>
      </c>
      <c r="E18" s="97">
        <v>1</v>
      </c>
      <c r="F18" s="97">
        <v>5</v>
      </c>
      <c r="G18" s="97">
        <v>1</v>
      </c>
      <c r="H18" s="97">
        <v>10</v>
      </c>
      <c r="I18" s="29" t="s">
        <v>110</v>
      </c>
    </row>
    <row r="19" spans="2:33" x14ac:dyDescent="0.2">
      <c r="B19" s="36" t="s">
        <v>106</v>
      </c>
      <c r="C19" s="97">
        <v>1</v>
      </c>
      <c r="D19" s="97">
        <v>1</v>
      </c>
      <c r="E19" s="97">
        <v>1</v>
      </c>
      <c r="F19" s="97">
        <v>5</v>
      </c>
      <c r="G19" s="97">
        <v>1</v>
      </c>
      <c r="H19" s="97">
        <v>10</v>
      </c>
      <c r="I19" s="29" t="s">
        <v>110</v>
      </c>
    </row>
    <row r="20" spans="2:33" x14ac:dyDescent="0.2">
      <c r="B20" s="36" t="s">
        <v>107</v>
      </c>
      <c r="C20" s="97">
        <v>1</v>
      </c>
      <c r="D20" s="97">
        <v>1</v>
      </c>
      <c r="E20" s="97">
        <v>1</v>
      </c>
      <c r="F20" s="97">
        <v>5</v>
      </c>
      <c r="G20" s="97">
        <v>1</v>
      </c>
      <c r="H20" s="97">
        <v>10</v>
      </c>
    </row>
    <row r="21" spans="2:33" x14ac:dyDescent="0.2">
      <c r="B21" s="36" t="s">
        <v>108</v>
      </c>
      <c r="C21" s="97">
        <v>1</v>
      </c>
      <c r="D21" s="97">
        <v>1</v>
      </c>
      <c r="E21" s="97">
        <v>1</v>
      </c>
      <c r="F21" s="97">
        <v>5</v>
      </c>
      <c r="G21" s="97">
        <v>1</v>
      </c>
      <c r="H21" s="97">
        <v>10</v>
      </c>
    </row>
    <row r="22" spans="2:33" x14ac:dyDescent="0.2">
      <c r="B22" s="37" t="s">
        <v>109</v>
      </c>
      <c r="C22" s="97">
        <v>1</v>
      </c>
      <c r="D22" s="97">
        <v>1</v>
      </c>
      <c r="E22" s="97">
        <v>1</v>
      </c>
      <c r="F22" s="97">
        <v>5</v>
      </c>
      <c r="G22" s="97">
        <v>1</v>
      </c>
      <c r="H22" s="97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2001</v>
      </c>
      <c r="E28" s="49"/>
      <c r="F28" s="45">
        <f>basic_info!$D$5-4</f>
        <v>2002</v>
      </c>
      <c r="G28" s="49"/>
      <c r="H28" s="45">
        <f>basic_info!$D$5-3</f>
        <v>2003</v>
      </c>
      <c r="I28" s="49"/>
      <c r="J28" s="45">
        <f>basic_info!$D$5-2</f>
        <v>2004</v>
      </c>
      <c r="K28" s="49"/>
      <c r="L28" s="45">
        <f>basic_info!$D$5-1</f>
        <v>2005</v>
      </c>
      <c r="N28" s="45">
        <f>basic_info!$D$5</f>
        <v>2006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2006</v>
      </c>
      <c r="D30" s="44">
        <v>0.87020508707976429</v>
      </c>
      <c r="E30" s="35">
        <v>0</v>
      </c>
      <c r="F30" s="47">
        <v>0.86299991590536052</v>
      </c>
      <c r="G30" s="46">
        <v>200000</v>
      </c>
      <c r="H30" s="47">
        <v>0.79485878402772314</v>
      </c>
      <c r="I30" s="46">
        <v>0</v>
      </c>
      <c r="J30" s="47">
        <v>0.74055946737908196</v>
      </c>
      <c r="K30" s="46">
        <v>0</v>
      </c>
      <c r="L30" s="47">
        <v>0.78901217047933125</v>
      </c>
      <c r="M30" s="46"/>
      <c r="N30" s="60"/>
      <c r="O30" s="71" t="s">
        <v>162</v>
      </c>
      <c r="P30" s="41">
        <f>M30+K30+I30+E30+G30</f>
        <v>200000</v>
      </c>
      <c r="Q30" s="70"/>
    </row>
    <row r="31" spans="2:33" x14ac:dyDescent="0.2">
      <c r="B31" s="36"/>
      <c r="C31" s="47">
        <f>basic_info!$D$5+1</f>
        <v>2007</v>
      </c>
      <c r="D31" s="76"/>
      <c r="E31" s="75"/>
      <c r="F31" s="69">
        <v>0.78584368908792024</v>
      </c>
      <c r="G31" s="79">
        <v>0</v>
      </c>
      <c r="H31" s="61">
        <v>0.78609720553568063</v>
      </c>
      <c r="I31" s="62">
        <v>0</v>
      </c>
      <c r="J31" s="61">
        <v>0.73078852244812054</v>
      </c>
      <c r="K31" s="62">
        <v>0</v>
      </c>
      <c r="L31" s="61">
        <v>0.79541919266908367</v>
      </c>
      <c r="M31" s="62"/>
      <c r="N31" s="63">
        <v>0.76138148527371097</v>
      </c>
      <c r="O31" s="87"/>
      <c r="P31" s="63">
        <f>O31+M31+K31+I31+G31</f>
        <v>0</v>
      </c>
    </row>
    <row r="32" spans="2:33" x14ac:dyDescent="0.2">
      <c r="B32" s="36"/>
      <c r="C32" s="47">
        <f>basic_info!$D$5+2</f>
        <v>2008</v>
      </c>
      <c r="D32" s="76"/>
      <c r="E32" s="75"/>
      <c r="F32" s="75"/>
      <c r="G32" s="75"/>
      <c r="H32" s="69">
        <v>0.7399849637887721</v>
      </c>
      <c r="I32" s="79">
        <v>0</v>
      </c>
      <c r="J32" s="61">
        <v>0.69782766257496576</v>
      </c>
      <c r="K32" s="62">
        <v>0</v>
      </c>
      <c r="L32" s="61">
        <v>0.7777456783815756</v>
      </c>
      <c r="M32" s="62"/>
      <c r="N32" s="63">
        <v>0.76161556793937901</v>
      </c>
      <c r="O32" s="87"/>
      <c r="P32" s="63">
        <f>O32+M32+K32+I32</f>
        <v>0</v>
      </c>
    </row>
    <row r="33" spans="2:17" x14ac:dyDescent="0.2">
      <c r="B33" s="36"/>
      <c r="C33" s="47">
        <f>basic_info!$D$5+3</f>
        <v>2009</v>
      </c>
      <c r="D33" s="76"/>
      <c r="E33" s="75"/>
      <c r="F33" s="75"/>
      <c r="G33" s="75"/>
      <c r="H33" s="75"/>
      <c r="I33" s="75"/>
      <c r="J33" s="69">
        <v>0.64606856993436812</v>
      </c>
      <c r="K33" s="79">
        <v>0</v>
      </c>
      <c r="L33" s="61">
        <v>0.72055098531842476</v>
      </c>
      <c r="M33" s="62">
        <v>400000</v>
      </c>
      <c r="N33" s="63">
        <v>0.71377004027579827</v>
      </c>
      <c r="O33" s="87"/>
      <c r="P33" s="63">
        <f>O33+M33+K33</f>
        <v>400000</v>
      </c>
    </row>
    <row r="34" spans="2:17" x14ac:dyDescent="0.2">
      <c r="B34" s="36"/>
      <c r="C34" s="47">
        <f>basic_info!$D$5+4</f>
        <v>2010</v>
      </c>
      <c r="D34" s="76"/>
      <c r="E34" s="75"/>
      <c r="F34" s="75"/>
      <c r="G34" s="75"/>
      <c r="H34" s="75"/>
      <c r="I34" s="75"/>
      <c r="J34" s="75"/>
      <c r="K34" s="75"/>
      <c r="L34" s="69">
        <v>0.6808876388132572</v>
      </c>
      <c r="M34" s="79">
        <v>400000</v>
      </c>
      <c r="N34" s="63">
        <v>0.71201828987937288</v>
      </c>
      <c r="O34" s="87"/>
      <c r="P34" s="63">
        <f>O34+M34</f>
        <v>400000</v>
      </c>
    </row>
    <row r="35" spans="2:17" x14ac:dyDescent="0.2">
      <c r="B35" s="37"/>
      <c r="C35" s="72">
        <f>basic_info!$D$5+5</f>
        <v>2011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0.66759713542461396</v>
      </c>
      <c r="O35" s="98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2006</v>
      </c>
      <c r="D36" s="44">
        <v>1.0710118786053693</v>
      </c>
      <c r="E36" s="35">
        <v>0</v>
      </c>
      <c r="F36" s="73">
        <v>1.0946334830229054</v>
      </c>
      <c r="G36" s="74">
        <v>200000</v>
      </c>
      <c r="H36" s="73">
        <v>1.0994159571183295</v>
      </c>
      <c r="I36" s="74">
        <v>0</v>
      </c>
      <c r="J36" s="73">
        <v>1.1916827819048752</v>
      </c>
      <c r="K36" s="74">
        <v>300000</v>
      </c>
      <c r="L36" s="66">
        <v>1.1318170427930718</v>
      </c>
      <c r="M36" s="67">
        <v>600000</v>
      </c>
      <c r="N36" s="68"/>
      <c r="O36" s="71" t="s">
        <v>162</v>
      </c>
      <c r="P36" s="41">
        <f>M36+K36+I36+E36+G36</f>
        <v>1100000</v>
      </c>
      <c r="Q36" s="70"/>
    </row>
    <row r="37" spans="2:17" x14ac:dyDescent="0.2">
      <c r="B37" s="36"/>
      <c r="C37" s="47">
        <f>basic_info!$D$5+1</f>
        <v>2007</v>
      </c>
      <c r="D37" s="76"/>
      <c r="E37" s="75"/>
      <c r="F37" s="69">
        <v>1.0290085296932949</v>
      </c>
      <c r="G37" s="79">
        <v>0</v>
      </c>
      <c r="H37" s="61">
        <v>1.1054417090410307</v>
      </c>
      <c r="I37" s="62">
        <v>0</v>
      </c>
      <c r="J37" s="61">
        <v>1.1101569663340529</v>
      </c>
      <c r="K37" s="62">
        <v>0</v>
      </c>
      <c r="L37" s="61">
        <v>1.0946302598191511</v>
      </c>
      <c r="M37" s="62">
        <v>300000</v>
      </c>
      <c r="N37" s="61">
        <v>1.0366480005182297</v>
      </c>
      <c r="O37" s="87"/>
      <c r="P37" s="63">
        <f>O37+M37+K37+I37+G37</f>
        <v>300000</v>
      </c>
    </row>
    <row r="38" spans="2:17" x14ac:dyDescent="0.2">
      <c r="B38" s="36"/>
      <c r="C38" s="47">
        <f>basic_info!$D$5+2</f>
        <v>2008</v>
      </c>
      <c r="D38" s="76"/>
      <c r="E38" s="75"/>
      <c r="F38" s="75"/>
      <c r="G38" s="75"/>
      <c r="H38" s="69">
        <v>1.0257547201122916</v>
      </c>
      <c r="I38" s="79">
        <v>0</v>
      </c>
      <c r="J38" s="61">
        <v>1.1300023102276531</v>
      </c>
      <c r="K38" s="62">
        <v>0</v>
      </c>
      <c r="L38" s="61">
        <v>1.0547878477209383</v>
      </c>
      <c r="M38" s="62">
        <v>300000</v>
      </c>
      <c r="N38" s="61">
        <v>0.98750252831704477</v>
      </c>
      <c r="O38" s="87"/>
      <c r="P38" s="63">
        <f>O38+M38+K38+I38</f>
        <v>300000</v>
      </c>
    </row>
    <row r="39" spans="2:17" x14ac:dyDescent="0.2">
      <c r="B39" s="36"/>
      <c r="C39" s="47">
        <f>basic_info!$D$5+3</f>
        <v>2009</v>
      </c>
      <c r="D39" s="76"/>
      <c r="E39" s="75"/>
      <c r="F39" s="75"/>
      <c r="G39" s="75"/>
      <c r="H39" s="75"/>
      <c r="I39" s="75"/>
      <c r="J39" s="69">
        <v>1.051191025570035</v>
      </c>
      <c r="K39" s="79">
        <v>0</v>
      </c>
      <c r="L39" s="61">
        <v>1.0390313119782215</v>
      </c>
      <c r="M39" s="62">
        <v>300000</v>
      </c>
      <c r="N39" s="61">
        <v>0.93822729942509209</v>
      </c>
      <c r="O39" s="87"/>
      <c r="P39" s="63">
        <f>O39+M39+K39</f>
        <v>300000</v>
      </c>
    </row>
    <row r="40" spans="2:17" x14ac:dyDescent="0.2">
      <c r="B40" s="36"/>
      <c r="C40" s="47">
        <f>basic_info!$D$5+4</f>
        <v>2010</v>
      </c>
      <c r="D40" s="76"/>
      <c r="E40" s="75"/>
      <c r="F40" s="75"/>
      <c r="G40" s="75"/>
      <c r="H40" s="75"/>
      <c r="I40" s="75"/>
      <c r="J40" s="75"/>
      <c r="K40" s="75"/>
      <c r="L40" s="69">
        <v>0.95771333889663224</v>
      </c>
      <c r="M40" s="79">
        <v>300000</v>
      </c>
      <c r="N40" s="61">
        <v>0.89726357364389364</v>
      </c>
      <c r="O40" s="87"/>
      <c r="P40" s="63">
        <f>O40+M40</f>
        <v>300000</v>
      </c>
    </row>
    <row r="41" spans="2:17" x14ac:dyDescent="0.2">
      <c r="B41" s="37"/>
      <c r="C41" s="72">
        <f>basic_info!$D$5+5</f>
        <v>2011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0.89032073213160046</v>
      </c>
      <c r="O41" s="87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9">
        <v>9</v>
      </c>
      <c r="D47" s="99">
        <v>8</v>
      </c>
      <c r="E47" s="99">
        <v>8</v>
      </c>
      <c r="F47" s="99">
        <v>9</v>
      </c>
      <c r="G47" s="99">
        <v>8</v>
      </c>
      <c r="H47" s="99">
        <v>8</v>
      </c>
      <c r="I47" s="99">
        <v>9</v>
      </c>
      <c r="J47" s="99">
        <v>8</v>
      </c>
      <c r="K47" s="99">
        <v>8</v>
      </c>
      <c r="L47" s="99">
        <v>9</v>
      </c>
      <c r="M47" s="99">
        <v>8</v>
      </c>
      <c r="N47" s="99">
        <v>8</v>
      </c>
      <c r="O47" s="33">
        <f>SUM(C47:N47)</f>
        <v>100</v>
      </c>
    </row>
    <row r="48" spans="2:17" x14ac:dyDescent="0.2">
      <c r="B48" s="37" t="s">
        <v>113</v>
      </c>
      <c r="C48" s="99">
        <v>9</v>
      </c>
      <c r="D48" s="99">
        <v>8</v>
      </c>
      <c r="E48" s="99">
        <v>8</v>
      </c>
      <c r="F48" s="99">
        <v>9</v>
      </c>
      <c r="G48" s="99">
        <v>8</v>
      </c>
      <c r="H48" s="99">
        <v>8</v>
      </c>
      <c r="I48" s="99">
        <v>9</v>
      </c>
      <c r="J48" s="99">
        <v>8</v>
      </c>
      <c r="K48" s="99">
        <v>8</v>
      </c>
      <c r="L48" s="99">
        <v>9</v>
      </c>
      <c r="M48" s="99">
        <v>8</v>
      </c>
      <c r="N48" s="99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100">
        <v>6.4873756951049213</v>
      </c>
      <c r="D6" s="100"/>
      <c r="E6" s="100">
        <v>17.197852108065369</v>
      </c>
      <c r="F6" s="100">
        <v>54.889000000000003</v>
      </c>
      <c r="G6" s="100">
        <v>21.425772196829712</v>
      </c>
      <c r="H6" s="90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100"/>
      <c r="D7" s="100">
        <v>29.956874702169355</v>
      </c>
      <c r="E7" s="100"/>
      <c r="F7" s="100">
        <v>56.782299999999999</v>
      </c>
      <c r="G7" s="100">
        <v>13.26082529783065</v>
      </c>
      <c r="H7" s="90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100"/>
      <c r="D8" s="100">
        <v>13.284064815444962</v>
      </c>
      <c r="E8" s="100"/>
      <c r="F8" s="100">
        <v>21.920999999999999</v>
      </c>
      <c r="G8" s="100">
        <v>64.794935184555044</v>
      </c>
      <c r="H8" s="90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100">
        <v>100</v>
      </c>
      <c r="D9" s="100"/>
      <c r="E9" s="100"/>
      <c r="F9" s="100"/>
      <c r="G9" s="100"/>
      <c r="H9" s="90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100">
        <v>100</v>
      </c>
      <c r="D10" s="100"/>
      <c r="E10" s="100"/>
      <c r="F10" s="100"/>
      <c r="G10" s="100"/>
      <c r="H10" s="90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101">
        <v>100</v>
      </c>
      <c r="D11" s="101"/>
      <c r="E11" s="101"/>
      <c r="F11" s="101"/>
      <c r="G11" s="101"/>
      <c r="H11" s="89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8">
        <v>100</v>
      </c>
      <c r="D19" s="44">
        <f>100-$C$19</f>
        <v>0</v>
      </c>
      <c r="E19" s="88">
        <v>100</v>
      </c>
      <c r="F19" s="44">
        <f>100-$E$19</f>
        <v>0</v>
      </c>
      <c r="G19" s="88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2">
        <v>19.667000000000002</v>
      </c>
      <c r="D27" s="102">
        <v>100</v>
      </c>
      <c r="E27" s="102">
        <v>12.322000000000003</v>
      </c>
      <c r="F27" s="102">
        <v>100</v>
      </c>
      <c r="G27" s="102"/>
      <c r="H27" s="102">
        <v>36.457000000000001</v>
      </c>
      <c r="I27" s="103">
        <v>87.222999999999999</v>
      </c>
      <c r="P27" s="50"/>
      <c r="Q27" s="50"/>
      <c r="R27" s="50"/>
    </row>
    <row r="28" spans="2:18" x14ac:dyDescent="0.2">
      <c r="B28" s="45" t="s">
        <v>59</v>
      </c>
      <c r="C28" s="102">
        <v>80.332999999999998</v>
      </c>
      <c r="D28" s="102"/>
      <c r="E28" s="102">
        <v>87.677999999999997</v>
      </c>
      <c r="F28" s="102"/>
      <c r="G28" s="102">
        <v>100</v>
      </c>
      <c r="H28" s="102">
        <v>63.542999999999999</v>
      </c>
      <c r="I28" s="103">
        <v>12.777000000000001</v>
      </c>
      <c r="P28" s="50"/>
      <c r="Q28" s="50"/>
      <c r="R28" s="50"/>
    </row>
    <row r="29" spans="2:18" x14ac:dyDescent="0.2">
      <c r="B29" s="45" t="s">
        <v>150</v>
      </c>
      <c r="C29" s="91">
        <f>SUM($C$27:$C$28)</f>
        <v>100</v>
      </c>
      <c r="D29" s="91">
        <f>SUM($D$27:$D$28)</f>
        <v>100</v>
      </c>
      <c r="E29" s="91">
        <f>SUM($E$27:$E$28)</f>
        <v>100</v>
      </c>
      <c r="F29" s="91">
        <f>SUM($F$27:$F$28)</f>
        <v>100</v>
      </c>
      <c r="G29" s="91">
        <f>SUM($G$27:$G$28)</f>
        <v>100</v>
      </c>
      <c r="H29" s="91">
        <f>SUM($H$27:$H$28)</f>
        <v>100</v>
      </c>
      <c r="I29" s="89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5">
        <v>32.415206692186182</v>
      </c>
      <c r="D36" s="105">
        <v>32.415206692186182</v>
      </c>
      <c r="E36" s="105">
        <v>32.415206692186182</v>
      </c>
      <c r="F36" s="105">
        <v>32.415206692186182</v>
      </c>
      <c r="G36" s="105">
        <v>32.415206692186182</v>
      </c>
      <c r="H36" s="105">
        <v>32.415206692186182</v>
      </c>
      <c r="I36" s="105">
        <v>32.415206692186182</v>
      </c>
      <c r="J36" s="105">
        <v>32.415206692186182</v>
      </c>
      <c r="K36" s="105">
        <v>32.415206692186182</v>
      </c>
      <c r="L36" s="105">
        <v>32.415206692186182</v>
      </c>
      <c r="M36" s="105">
        <v>32.415206692186182</v>
      </c>
      <c r="N36" s="107">
        <v>32.415206692186182</v>
      </c>
    </row>
    <row r="37" spans="2:14" x14ac:dyDescent="0.2">
      <c r="B37" s="45" t="s">
        <v>59</v>
      </c>
      <c r="C37" s="106">
        <v>31.303644024619565</v>
      </c>
      <c r="D37" s="106">
        <v>31.303644024619565</v>
      </c>
      <c r="E37" s="106">
        <v>31.303644024619565</v>
      </c>
      <c r="F37" s="106">
        <v>31.303644024619565</v>
      </c>
      <c r="G37" s="106">
        <v>31.303644024619565</v>
      </c>
      <c r="H37" s="106">
        <v>31.303644024619565</v>
      </c>
      <c r="I37" s="106">
        <v>31.303644024619565</v>
      </c>
      <c r="J37" s="106">
        <v>31.303644024619565</v>
      </c>
      <c r="K37" s="106">
        <v>31.303644024619565</v>
      </c>
      <c r="L37" s="106">
        <v>31.303644024619565</v>
      </c>
      <c r="M37" s="106">
        <v>31.303644024619565</v>
      </c>
      <c r="N37" s="104">
        <v>31.303644024619565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8">
        <v>1.6413602579024289</v>
      </c>
      <c r="E6" s="108">
        <v>2.9309669700890559</v>
      </c>
      <c r="F6" s="108">
        <v>1.8132403580864391</v>
      </c>
      <c r="G6" s="108">
        <v>2.3372408497903985</v>
      </c>
      <c r="H6" s="108">
        <v>1.2845225791447716</v>
      </c>
      <c r="I6" s="108">
        <v>2.979409455666842</v>
      </c>
      <c r="J6" s="108">
        <v>2.7044018711713731</v>
      </c>
      <c r="K6" s="108">
        <v>1.2910984227454918</v>
      </c>
      <c r="L6" s="108">
        <v>2.6242304682948983</v>
      </c>
      <c r="M6" s="108">
        <v>1.6208699151900803</v>
      </c>
      <c r="N6" s="108">
        <v>3.1899139069348759</v>
      </c>
      <c r="O6" s="108">
        <v>1.7854660692757169</v>
      </c>
    </row>
    <row r="7" spans="2:15" x14ac:dyDescent="0.2">
      <c r="C7" s="36" t="s">
        <v>127</v>
      </c>
      <c r="D7" s="108">
        <v>1.9280628973082137</v>
      </c>
      <c r="E7" s="108">
        <v>2.4139439426193441</v>
      </c>
      <c r="F7" s="108">
        <v>2.1021270551998272</v>
      </c>
      <c r="G7" s="108">
        <v>3.3130303379713113</v>
      </c>
      <c r="H7" s="108">
        <v>1.8957102655801181</v>
      </c>
      <c r="I7" s="108">
        <v>2.9091637157459798</v>
      </c>
      <c r="J7" s="108">
        <v>2.2046142406675222</v>
      </c>
      <c r="K7" s="108">
        <v>2.7282320857981084</v>
      </c>
      <c r="L7" s="108">
        <v>2.0416701133689292</v>
      </c>
      <c r="M7" s="108">
        <v>1.544743180803734</v>
      </c>
      <c r="N7" s="108">
        <v>1.0234805163159089</v>
      </c>
      <c r="O7" s="108">
        <v>3.4486565314049784</v>
      </c>
    </row>
    <row r="8" spans="2:15" x14ac:dyDescent="0.2">
      <c r="C8" s="36" t="s">
        <v>128</v>
      </c>
      <c r="D8" s="108">
        <v>3.1193758150790258</v>
      </c>
      <c r="E8" s="108">
        <v>1.2123159144951172</v>
      </c>
      <c r="F8" s="108">
        <v>3.246544327050727</v>
      </c>
      <c r="G8" s="108">
        <v>3.5455691511387655</v>
      </c>
      <c r="H8" s="108">
        <v>1.8829678958643186</v>
      </c>
      <c r="I8" s="108">
        <v>3.3675669441616383</v>
      </c>
      <c r="J8" s="108">
        <v>1.7761123782130248</v>
      </c>
      <c r="K8" s="108">
        <v>1.0259531942941396</v>
      </c>
      <c r="L8" s="108">
        <v>2.0131318062040817</v>
      </c>
      <c r="M8" s="108">
        <v>2.4920843959496808</v>
      </c>
      <c r="N8" s="108">
        <v>1.9607899293134348</v>
      </c>
      <c r="O8" s="108">
        <v>3.0695089255961654</v>
      </c>
    </row>
    <row r="9" spans="2:15" x14ac:dyDescent="0.2">
      <c r="C9" s="36" t="s">
        <v>129</v>
      </c>
      <c r="D9" s="108">
        <v>1.7939860950584698</v>
      </c>
      <c r="E9" s="108">
        <v>1.2707251837137448</v>
      </c>
      <c r="F9" s="108">
        <v>3.1408358347921799</v>
      </c>
      <c r="G9" s="108">
        <v>2.662715498198871</v>
      </c>
      <c r="H9" s="108">
        <v>3.5872990939762568</v>
      </c>
      <c r="I9" s="108">
        <v>3.559382358522448</v>
      </c>
      <c r="J9" s="108">
        <v>2.7770423138442908</v>
      </c>
      <c r="K9" s="108">
        <v>1.9931272510061464</v>
      </c>
      <c r="L9" s="108">
        <v>1.8611349449954728</v>
      </c>
      <c r="M9" s="108">
        <v>1.3280374758322138</v>
      </c>
      <c r="N9" s="108">
        <v>1.8280759388775878</v>
      </c>
      <c r="O9" s="108">
        <v>3.3638294294665023</v>
      </c>
    </row>
    <row r="10" spans="2:15" x14ac:dyDescent="0.2">
      <c r="C10" s="36" t="s">
        <v>130</v>
      </c>
      <c r="D10" s="108">
        <v>3.5823837471601769</v>
      </c>
      <c r="E10" s="108">
        <v>2.8887138039474483</v>
      </c>
      <c r="F10" s="108">
        <v>3.0712798942890722</v>
      </c>
      <c r="G10" s="108">
        <v>3.4991544795499383</v>
      </c>
      <c r="H10" s="108">
        <v>3.4204207519851715</v>
      </c>
      <c r="I10" s="108">
        <v>3.3906213075021925</v>
      </c>
      <c r="J10" s="108">
        <v>1.3741148787155513</v>
      </c>
      <c r="K10" s="108">
        <v>2.7999756768617572</v>
      </c>
      <c r="L10" s="108">
        <v>3.2063277566192245</v>
      </c>
      <c r="M10" s="108">
        <v>1.7683458098611293</v>
      </c>
      <c r="N10" s="108">
        <v>1.404990415276745</v>
      </c>
      <c r="O10" s="108">
        <v>1.395807056710975</v>
      </c>
    </row>
    <row r="11" spans="2:15" x14ac:dyDescent="0.2">
      <c r="C11" s="36" t="s">
        <v>131</v>
      </c>
      <c r="D11" s="108">
        <v>1.5634126162439996</v>
      </c>
      <c r="E11" s="108">
        <v>2.825492724224191</v>
      </c>
      <c r="F11" s="108">
        <v>2.4261077498080095</v>
      </c>
      <c r="G11" s="108">
        <v>1.4788146161148596</v>
      </c>
      <c r="H11" s="108">
        <v>1.6312319536793973</v>
      </c>
      <c r="I11" s="108">
        <v>2.6753518206540665</v>
      </c>
      <c r="J11" s="108">
        <v>2.7467054161932642</v>
      </c>
      <c r="K11" s="108">
        <v>1.0058235317992825</v>
      </c>
      <c r="L11" s="108">
        <v>2.1159367376433571</v>
      </c>
      <c r="M11" s="108">
        <v>2.3818816200954238</v>
      </c>
      <c r="N11" s="108">
        <v>2.9454746054693617</v>
      </c>
      <c r="O11" s="108">
        <v>1.6901332570721976</v>
      </c>
    </row>
    <row r="12" spans="2:15" x14ac:dyDescent="0.2">
      <c r="C12" s="37" t="s">
        <v>132</v>
      </c>
      <c r="D12" s="108">
        <v>2.5767122447178412</v>
      </c>
      <c r="E12" s="108">
        <v>1.2046800357942691</v>
      </c>
      <c r="F12" s="108">
        <v>1.7934068276631816</v>
      </c>
      <c r="G12" s="108">
        <v>1.4035809621587139</v>
      </c>
      <c r="H12" s="108">
        <v>3.3035208050736453</v>
      </c>
      <c r="I12" s="108">
        <v>1.3927565700336042</v>
      </c>
      <c r="J12" s="108">
        <v>2.468137956814247</v>
      </c>
      <c r="K12" s="108">
        <v>3.4285179579441802</v>
      </c>
      <c r="L12" s="108">
        <v>2.9047062326299207</v>
      </c>
      <c r="M12" s="108">
        <v>2.5618780193579074</v>
      </c>
      <c r="N12" s="108">
        <v>1.2427315044275211</v>
      </c>
      <c r="O12" s="108">
        <v>1.6039043871404615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09">
        <v>1.491209812986912</v>
      </c>
      <c r="E15" s="109">
        <v>3.2618013331850833</v>
      </c>
      <c r="F15" s="109">
        <v>3.0237106414956294</v>
      </c>
      <c r="G15" s="109">
        <v>2.7381838751964089</v>
      </c>
      <c r="H15" s="109">
        <v>3.0297986425825134</v>
      </c>
      <c r="I15" s="109">
        <v>1.2093428005050653</v>
      </c>
      <c r="J15" s="109">
        <v>2.4254905891329628</v>
      </c>
      <c r="K15" s="109">
        <v>1.5250673493864855</v>
      </c>
      <c r="L15" s="109">
        <v>1.9999269447163752</v>
      </c>
      <c r="M15" s="109">
        <v>1.8993912772498951</v>
      </c>
      <c r="N15" s="109">
        <v>1.0359344375992869</v>
      </c>
      <c r="O15" s="109">
        <v>1.8820005579056711</v>
      </c>
    </row>
    <row r="16" spans="2:15" x14ac:dyDescent="0.2">
      <c r="C16" s="36" t="s">
        <v>127</v>
      </c>
      <c r="D16" s="109">
        <v>2.4854139657124619</v>
      </c>
      <c r="E16" s="109">
        <v>1.2827590898012895</v>
      </c>
      <c r="F16" s="109">
        <v>1.3128360662492942</v>
      </c>
      <c r="G16" s="109">
        <v>2.8676327566913113</v>
      </c>
      <c r="H16" s="109">
        <v>2.6324671186081634</v>
      </c>
      <c r="I16" s="109">
        <v>2.151181862269798</v>
      </c>
      <c r="J16" s="109">
        <v>2.2377761397581777</v>
      </c>
      <c r="K16" s="109">
        <v>3.2868978171370942</v>
      </c>
      <c r="L16" s="109">
        <v>2.276079780218184</v>
      </c>
      <c r="M16" s="109">
        <v>1.5806937869316373</v>
      </c>
      <c r="N16" s="109">
        <v>2.079614683320238</v>
      </c>
      <c r="O16" s="109">
        <v>1.9330968964264734</v>
      </c>
    </row>
    <row r="17" spans="2:15" x14ac:dyDescent="0.2">
      <c r="C17" s="36" t="s">
        <v>128</v>
      </c>
      <c r="D17" s="109">
        <v>1.523863552263987</v>
      </c>
      <c r="E17" s="109">
        <v>1.8421001391424574</v>
      </c>
      <c r="F17" s="109">
        <v>2.8984025054178275</v>
      </c>
      <c r="G17" s="109">
        <v>2.9384936696516206</v>
      </c>
      <c r="H17" s="109">
        <v>1.1075214053509868</v>
      </c>
      <c r="I17" s="109">
        <v>3.1132700009399152</v>
      </c>
      <c r="J17" s="109">
        <v>1.8138681161422598</v>
      </c>
      <c r="K17" s="109">
        <v>1.543829133426879</v>
      </c>
      <c r="L17" s="109">
        <v>2.6688620934549929</v>
      </c>
      <c r="M17" s="109">
        <v>1.1227980605537646</v>
      </c>
      <c r="N17" s="109">
        <v>1.2440141160957516</v>
      </c>
      <c r="O17" s="109">
        <v>2.3072735857534776</v>
      </c>
    </row>
    <row r="18" spans="2:15" x14ac:dyDescent="0.2">
      <c r="C18" s="36" t="s">
        <v>129</v>
      </c>
      <c r="D18" s="109">
        <v>1.0329910183963777</v>
      </c>
      <c r="E18" s="109">
        <v>1.3273504238128981</v>
      </c>
      <c r="F18" s="109">
        <v>2.0092181959322097</v>
      </c>
      <c r="G18" s="109">
        <v>2.9914323423992109</v>
      </c>
      <c r="H18" s="109">
        <v>1.7650309363059495</v>
      </c>
      <c r="I18" s="109">
        <v>2.818254280960244</v>
      </c>
      <c r="J18" s="109">
        <v>3.5758533359852822</v>
      </c>
      <c r="K18" s="109">
        <v>2.9417259558278435</v>
      </c>
      <c r="L18" s="109">
        <v>1.8038153016212806</v>
      </c>
      <c r="M18" s="109">
        <v>3.571363965473398</v>
      </c>
      <c r="N18" s="109">
        <v>2.8972239353437539</v>
      </c>
      <c r="O18" s="109">
        <v>2.7520702901501171</v>
      </c>
    </row>
    <row r="19" spans="2:15" x14ac:dyDescent="0.2">
      <c r="C19" s="36" t="s">
        <v>130</v>
      </c>
      <c r="D19" s="109">
        <v>2.398043110468838</v>
      </c>
      <c r="E19" s="109">
        <v>1.5297261265725361</v>
      </c>
      <c r="F19" s="109">
        <v>1.5572879704661768</v>
      </c>
      <c r="G19" s="109">
        <v>2.430345311524412</v>
      </c>
      <c r="H19" s="109">
        <v>1.2505580081489893</v>
      </c>
      <c r="I19" s="109">
        <v>2.773016231988203</v>
      </c>
      <c r="J19" s="109">
        <v>3.0721952356838407</v>
      </c>
      <c r="K19" s="109">
        <v>2.9595434629675035</v>
      </c>
      <c r="L19" s="109">
        <v>2.0225717824859686</v>
      </c>
      <c r="M19" s="109">
        <v>1.5936981694812882</v>
      </c>
      <c r="N19" s="109">
        <v>1.2353943470801088</v>
      </c>
      <c r="O19" s="109">
        <v>2.2880462861286333</v>
      </c>
    </row>
    <row r="20" spans="2:15" x14ac:dyDescent="0.2">
      <c r="C20" s="36" t="s">
        <v>131</v>
      </c>
      <c r="D20" s="109">
        <v>2.8484981087039856</v>
      </c>
      <c r="E20" s="109">
        <v>2.5010734618089958</v>
      </c>
      <c r="F20" s="109">
        <v>2.5448934068734967</v>
      </c>
      <c r="G20" s="109">
        <v>2.936071651435018</v>
      </c>
      <c r="H20" s="109">
        <v>2.7994462782968519</v>
      </c>
      <c r="I20" s="109">
        <v>2.1576883892766228</v>
      </c>
      <c r="J20" s="109">
        <v>2.6055989260219006</v>
      </c>
      <c r="K20" s="109">
        <v>1.572855195218237</v>
      </c>
      <c r="L20" s="109">
        <v>2.4330986340772522</v>
      </c>
      <c r="M20" s="109">
        <v>2.5065303155834182</v>
      </c>
      <c r="N20" s="109">
        <v>2.3493444396398626</v>
      </c>
      <c r="O20" s="109">
        <v>1.7540135856525532</v>
      </c>
    </row>
    <row r="21" spans="2:15" x14ac:dyDescent="0.2">
      <c r="C21" s="37" t="s">
        <v>132</v>
      </c>
      <c r="D21" s="109">
        <v>1.1684441365135814</v>
      </c>
      <c r="E21" s="109">
        <v>2.4343175024783865</v>
      </c>
      <c r="F21" s="109">
        <v>2.2491592975055905</v>
      </c>
      <c r="G21" s="109">
        <v>1.9075455650313353</v>
      </c>
      <c r="H21" s="109">
        <v>2.7704291228262328</v>
      </c>
      <c r="I21" s="109">
        <v>2.9163125142576392</v>
      </c>
      <c r="J21" s="109">
        <v>2.1834266327299003</v>
      </c>
      <c r="K21" s="109">
        <v>3.0416070684924308</v>
      </c>
      <c r="L21" s="109">
        <v>1.348018759735099</v>
      </c>
      <c r="M21" s="109">
        <v>2.5635044688690174</v>
      </c>
      <c r="N21" s="109">
        <v>2.9240103333670762</v>
      </c>
      <c r="O21" s="109">
        <v>1.8743661826632925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10">
        <v>1.0442298573567141</v>
      </c>
      <c r="E24" s="110">
        <v>1.1212053414582805</v>
      </c>
      <c r="F24" s="110">
        <v>3.1744570169687374</v>
      </c>
      <c r="G24" s="110">
        <v>3.0424475800807942</v>
      </c>
      <c r="H24" s="110">
        <v>3.1770414570519558</v>
      </c>
      <c r="I24" s="110">
        <v>1.3646471472614081</v>
      </c>
      <c r="J24" s="110">
        <v>3.2343510378980422</v>
      </c>
      <c r="K24" s="110">
        <v>2.6128410055284776</v>
      </c>
      <c r="L24" s="110">
        <v>1.5523547026298925</v>
      </c>
      <c r="M24" s="110">
        <v>1.7320440500916376</v>
      </c>
      <c r="N24" s="110">
        <v>1.8632843311928868</v>
      </c>
      <c r="O24" s="110">
        <v>1.3082712903814138</v>
      </c>
    </row>
    <row r="25" spans="2:15" x14ac:dyDescent="0.2">
      <c r="C25" s="36" t="s">
        <v>127</v>
      </c>
      <c r="D25" s="110">
        <v>3.2276651038300579</v>
      </c>
      <c r="E25" s="110">
        <v>2.0990312598602312</v>
      </c>
      <c r="F25" s="110">
        <v>1.7400475990393307</v>
      </c>
      <c r="G25" s="110">
        <v>1.1966579390415117</v>
      </c>
      <c r="H25" s="110">
        <v>2.8778619877245908</v>
      </c>
      <c r="I25" s="110">
        <v>1.5496139690777229</v>
      </c>
      <c r="J25" s="110">
        <v>2.729468168715643</v>
      </c>
      <c r="K25" s="110">
        <v>1.8811673713718666</v>
      </c>
      <c r="L25" s="110">
        <v>3.4262517176169194</v>
      </c>
      <c r="M25" s="110">
        <v>3.3352357398930561</v>
      </c>
      <c r="N25" s="110">
        <v>1.5937840889161472</v>
      </c>
      <c r="O25" s="110">
        <v>2.7341038273926781</v>
      </c>
    </row>
    <row r="26" spans="2:15" x14ac:dyDescent="0.2">
      <c r="C26" s="36" t="s">
        <v>128</v>
      </c>
      <c r="D26" s="110">
        <v>3.4698889272561129</v>
      </c>
      <c r="E26" s="110">
        <v>2.548619981528419</v>
      </c>
      <c r="F26" s="110">
        <v>2.0120505887386946</v>
      </c>
      <c r="G26" s="110">
        <v>3.5161001855648459</v>
      </c>
      <c r="H26" s="110">
        <v>2.1936576976918571</v>
      </c>
      <c r="I26" s="110">
        <v>2.9852856694670971</v>
      </c>
      <c r="J26" s="110">
        <v>2.5138429024309401</v>
      </c>
      <c r="K26" s="110">
        <v>1.1348672627749263</v>
      </c>
      <c r="L26" s="110">
        <v>1.8612576182044469</v>
      </c>
      <c r="M26" s="110">
        <v>1.1220911723856326</v>
      </c>
      <c r="N26" s="110">
        <v>3.2082568942828726</v>
      </c>
      <c r="O26" s="110">
        <v>3.2440858050409935</v>
      </c>
    </row>
    <row r="27" spans="2:15" x14ac:dyDescent="0.2">
      <c r="C27" s="36" t="s">
        <v>129</v>
      </c>
      <c r="D27" s="110">
        <v>1.2637103764139697</v>
      </c>
      <c r="E27" s="110">
        <v>2.770721380759646</v>
      </c>
      <c r="F27" s="110">
        <v>3.4901982378349801</v>
      </c>
      <c r="G27" s="110">
        <v>3.3581219958913908</v>
      </c>
      <c r="H27" s="110">
        <v>1.2054000433338872</v>
      </c>
      <c r="I27" s="110">
        <v>2.2068139635778978</v>
      </c>
      <c r="J27" s="110">
        <v>1.2245729090254189</v>
      </c>
      <c r="K27" s="110">
        <v>3.4604278556825507</v>
      </c>
      <c r="L27" s="110">
        <v>2.1192382579630706</v>
      </c>
      <c r="M27" s="110">
        <v>3.593192323825487</v>
      </c>
      <c r="N27" s="110">
        <v>2.9633640633071181</v>
      </c>
      <c r="O27" s="110">
        <v>1.8108392846720895</v>
      </c>
    </row>
    <row r="28" spans="2:15" x14ac:dyDescent="0.2">
      <c r="C28" s="36" t="s">
        <v>130</v>
      </c>
      <c r="D28" s="110">
        <v>1.0575780983280116</v>
      </c>
      <c r="E28" s="110">
        <v>1.3318970020380365</v>
      </c>
      <c r="F28" s="110">
        <v>2.8648299553570276</v>
      </c>
      <c r="G28" s="110">
        <v>2.704943936933172</v>
      </c>
      <c r="H28" s="110">
        <v>3.1850636473450966</v>
      </c>
      <c r="I28" s="110">
        <v>1.198700295399435</v>
      </c>
      <c r="J28" s="110">
        <v>3.0883572068572924</v>
      </c>
      <c r="K28" s="110">
        <v>3.3668658371528215</v>
      </c>
      <c r="L28" s="110">
        <v>2.9932975232264094</v>
      </c>
      <c r="M28" s="110">
        <v>1.1671323466452665</v>
      </c>
      <c r="N28" s="110">
        <v>3.1089872760868289</v>
      </c>
      <c r="O28" s="110">
        <v>3.2935814421698968</v>
      </c>
    </row>
    <row r="29" spans="2:15" x14ac:dyDescent="0.2">
      <c r="C29" s="36" t="s">
        <v>131</v>
      </c>
      <c r="D29" s="110">
        <v>2.3119499762992128</v>
      </c>
      <c r="E29" s="110">
        <v>2.9880134143341914</v>
      </c>
      <c r="F29" s="110">
        <v>1.666358342085734</v>
      </c>
      <c r="G29" s="110">
        <v>1.298573923616819</v>
      </c>
      <c r="H29" s="110">
        <v>3.3295067732440899</v>
      </c>
      <c r="I29" s="110">
        <v>2.6586923197923968</v>
      </c>
      <c r="J29" s="110">
        <v>3.3844682683760725</v>
      </c>
      <c r="K29" s="110">
        <v>1.100753011530236</v>
      </c>
      <c r="L29" s="110">
        <v>2.0345417041512297</v>
      </c>
      <c r="M29" s="110">
        <v>1.9333246302896305</v>
      </c>
      <c r="N29" s="110">
        <v>3.2416714133643278</v>
      </c>
      <c r="O29" s="110">
        <v>2.2871666109571986</v>
      </c>
    </row>
    <row r="30" spans="2:15" x14ac:dyDescent="0.2">
      <c r="C30" s="37" t="s">
        <v>132</v>
      </c>
      <c r="D30" s="110">
        <v>2.6279296406742674</v>
      </c>
      <c r="E30" s="110">
        <v>3.0187974506952133</v>
      </c>
      <c r="F30" s="110">
        <v>3.1850249313727703</v>
      </c>
      <c r="G30" s="110">
        <v>3.0006519249687993</v>
      </c>
      <c r="H30" s="110">
        <v>1.7394680497134671</v>
      </c>
      <c r="I30" s="110">
        <v>3.4615381128400755</v>
      </c>
      <c r="J30" s="110">
        <v>1.5702559146031243</v>
      </c>
      <c r="K30" s="110">
        <v>2.4491337756799352</v>
      </c>
      <c r="L30" s="110">
        <v>1.1157006280077297</v>
      </c>
      <c r="M30" s="110">
        <v>2.4011084548371402</v>
      </c>
      <c r="N30" s="110">
        <v>2.0027404962429949</v>
      </c>
      <c r="O30" s="110">
        <v>3.5586285971677727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11">
        <v>2.066830085824817</v>
      </c>
      <c r="E33" s="111">
        <v>2.272311215930471</v>
      </c>
      <c r="F33" s="111">
        <v>1.2396588842033647</v>
      </c>
      <c r="G33" s="111">
        <v>2.7999698199915084</v>
      </c>
      <c r="H33" s="111">
        <v>3.4224829712835114</v>
      </c>
      <c r="I33" s="111">
        <v>2.9722617603827652</v>
      </c>
      <c r="J33" s="111">
        <v>2.6592431416433762</v>
      </c>
      <c r="K33" s="111">
        <v>1.6840142957880742</v>
      </c>
      <c r="L33" s="111">
        <v>1.5393281999768298</v>
      </c>
      <c r="M33" s="111">
        <v>3.4054882923636498</v>
      </c>
      <c r="N33" s="111">
        <v>2.452676518015525</v>
      </c>
      <c r="O33" s="111">
        <v>2.2544200047585354</v>
      </c>
    </row>
    <row r="34" spans="3:15" x14ac:dyDescent="0.2">
      <c r="C34" s="36" t="s">
        <v>127</v>
      </c>
      <c r="D34" s="111">
        <v>3.0578886374195178</v>
      </c>
      <c r="E34" s="111">
        <v>2.9689330886838983</v>
      </c>
      <c r="F34" s="111">
        <v>2.4105538155323565</v>
      </c>
      <c r="G34" s="111">
        <v>1.6789227130268505</v>
      </c>
      <c r="H34" s="111">
        <v>3.1593656923780804</v>
      </c>
      <c r="I34" s="111">
        <v>3.2225071304253947</v>
      </c>
      <c r="J34" s="111">
        <v>1.2627039682900909</v>
      </c>
      <c r="K34" s="111">
        <v>2.4235515074134986</v>
      </c>
      <c r="L34" s="111">
        <v>2.4579052059519664</v>
      </c>
      <c r="M34" s="111">
        <v>2.4978508975276705</v>
      </c>
      <c r="N34" s="111">
        <v>2.241136871416705</v>
      </c>
      <c r="O34" s="111">
        <v>1.2555541887443493</v>
      </c>
    </row>
    <row r="35" spans="3:15" x14ac:dyDescent="0.2">
      <c r="C35" s="36" t="s">
        <v>128</v>
      </c>
      <c r="D35" s="111">
        <v>3.2366176929580881</v>
      </c>
      <c r="E35" s="111">
        <v>2.6436592956005525</v>
      </c>
      <c r="F35" s="111">
        <v>3.0237566237110429</v>
      </c>
      <c r="G35" s="111">
        <v>1.3474313291090319</v>
      </c>
      <c r="H35" s="111">
        <v>1.347128440630424</v>
      </c>
      <c r="I35" s="111">
        <v>3.4142997731664066</v>
      </c>
      <c r="J35" s="111">
        <v>1.0469501003050543</v>
      </c>
      <c r="K35" s="111">
        <v>1.8657426250761699</v>
      </c>
      <c r="L35" s="111">
        <v>2.8523154825437134</v>
      </c>
      <c r="M35" s="111">
        <v>2.4007391689196957</v>
      </c>
      <c r="N35" s="111">
        <v>1.6679224211221744</v>
      </c>
      <c r="O35" s="111">
        <v>2.502859792709601</v>
      </c>
    </row>
    <row r="36" spans="3:15" x14ac:dyDescent="0.2">
      <c r="C36" s="36" t="s">
        <v>129</v>
      </c>
      <c r="D36" s="111">
        <v>1.8938431412798722</v>
      </c>
      <c r="E36" s="111">
        <v>2.9239631324732609</v>
      </c>
      <c r="F36" s="111">
        <v>2.1801227935448466</v>
      </c>
      <c r="G36" s="111">
        <v>1.4555784583830236</v>
      </c>
      <c r="H36" s="111">
        <v>3.4891606092379961</v>
      </c>
      <c r="I36" s="111">
        <v>2.5721620971780172</v>
      </c>
      <c r="J36" s="111">
        <v>1.6315155200724014</v>
      </c>
      <c r="K36" s="111">
        <v>2.7367456281214659</v>
      </c>
      <c r="L36" s="111">
        <v>3.4507902361899774</v>
      </c>
      <c r="M36" s="111">
        <v>2.0439674984744345</v>
      </c>
      <c r="N36" s="111">
        <v>3.2142985659037357</v>
      </c>
      <c r="O36" s="111">
        <v>2.327711417849081</v>
      </c>
    </row>
    <row r="37" spans="3:15" x14ac:dyDescent="0.2">
      <c r="C37" s="36" t="s">
        <v>130</v>
      </c>
      <c r="D37" s="111">
        <v>1.009363242274403</v>
      </c>
      <c r="E37" s="111">
        <v>3.3925259476895602</v>
      </c>
      <c r="F37" s="111">
        <v>1.0049243519983491</v>
      </c>
      <c r="G37" s="111">
        <v>1.0250573113607617</v>
      </c>
      <c r="H37" s="111">
        <v>1.1891846774429637</v>
      </c>
      <c r="I37" s="111">
        <v>1.3455804319257774</v>
      </c>
      <c r="J37" s="111">
        <v>2.9957735877373159</v>
      </c>
      <c r="K37" s="111">
        <v>1.2848481597301582</v>
      </c>
      <c r="L37" s="111">
        <v>1.6660237895059469</v>
      </c>
      <c r="M37" s="111">
        <v>3.5781917095542206</v>
      </c>
      <c r="N37" s="111">
        <v>2.8834199361360588</v>
      </c>
      <c r="O37" s="111">
        <v>3.0926219935402885</v>
      </c>
    </row>
    <row r="38" spans="3:15" x14ac:dyDescent="0.2">
      <c r="C38" s="36" t="s">
        <v>131</v>
      </c>
      <c r="D38" s="111">
        <v>3.139189337329658</v>
      </c>
      <c r="E38" s="111">
        <v>1.3981000886085275</v>
      </c>
      <c r="F38" s="111">
        <v>3.3790637728154498</v>
      </c>
      <c r="G38" s="111">
        <v>3.0061026870950545</v>
      </c>
      <c r="H38" s="111">
        <v>2.9279286168247349</v>
      </c>
      <c r="I38" s="111">
        <v>2.6855751017637939</v>
      </c>
      <c r="J38" s="111">
        <v>1.9988051575691987</v>
      </c>
      <c r="K38" s="111">
        <v>2.0862812782434821</v>
      </c>
      <c r="L38" s="111">
        <v>1.8178028750298498</v>
      </c>
      <c r="M38" s="111">
        <v>1.5826266547099925</v>
      </c>
      <c r="N38" s="111">
        <v>1.5709857232900479</v>
      </c>
      <c r="O38" s="111">
        <v>1.3627756999962759</v>
      </c>
    </row>
    <row r="39" spans="3:15" x14ac:dyDescent="0.2">
      <c r="C39" s="37" t="s">
        <v>132</v>
      </c>
      <c r="D39" s="111">
        <v>3.4459171956403605</v>
      </c>
      <c r="E39" s="111">
        <v>3.4015542647736603</v>
      </c>
      <c r="F39" s="111">
        <v>2.9569971623278897</v>
      </c>
      <c r="G39" s="111">
        <v>1.3852966679443792</v>
      </c>
      <c r="H39" s="111">
        <v>2.3899192676776959</v>
      </c>
      <c r="I39" s="111">
        <v>1.3517909140675135</v>
      </c>
      <c r="J39" s="111">
        <v>1.3835832447505192</v>
      </c>
      <c r="K39" s="111">
        <v>2.6714332322245733</v>
      </c>
      <c r="L39" s="111">
        <v>1.7342205463830405</v>
      </c>
      <c r="M39" s="111">
        <v>2.0634457040781684</v>
      </c>
      <c r="N39" s="111">
        <v>2.9045974676546971</v>
      </c>
      <c r="O39" s="111">
        <v>3.0187138518504053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3"/>
    </row>
    <row r="2" spans="1:20" ht="15.75" x14ac:dyDescent="0.25">
      <c r="C2" s="194" t="s">
        <v>165</v>
      </c>
      <c r="D2" s="194"/>
      <c r="E2" s="194"/>
      <c r="F2" s="194"/>
      <c r="G2" s="194"/>
      <c r="H2" s="194"/>
    </row>
    <row r="3" spans="1:20" ht="18.75" x14ac:dyDescent="0.25">
      <c r="C3" s="195" t="s">
        <v>413</v>
      </c>
      <c r="D3" s="195"/>
      <c r="E3" s="195"/>
      <c r="F3" s="195"/>
      <c r="G3" s="195"/>
    </row>
    <row r="5" spans="1:20" ht="15.75" x14ac:dyDescent="0.25">
      <c r="A5" s="196" t="s">
        <v>352</v>
      </c>
      <c r="B5" s="197"/>
      <c r="G5" s="198"/>
      <c r="L5" s="196" t="s">
        <v>353</v>
      </c>
      <c r="M5" s="197"/>
      <c r="R5" s="198"/>
    </row>
    <row r="6" spans="1:20" x14ac:dyDescent="0.2">
      <c r="A6" s="199" t="s">
        <v>354</v>
      </c>
      <c r="B6" s="197"/>
      <c r="G6" s="200"/>
      <c r="H6" s="127"/>
      <c r="L6" s="199" t="s">
        <v>355</v>
      </c>
      <c r="M6" s="197"/>
      <c r="S6" s="141"/>
    </row>
    <row r="7" spans="1:20" x14ac:dyDescent="0.2">
      <c r="A7" s="197"/>
      <c r="B7" s="197" t="s">
        <v>356</v>
      </c>
      <c r="G7" s="200"/>
      <c r="H7" s="201">
        <f>SUM(ORA!$D$116:$O$116)</f>
        <v>6515</v>
      </c>
      <c r="L7" s="197"/>
      <c r="M7" s="197" t="s">
        <v>356</v>
      </c>
      <c r="S7" s="202">
        <f>SUM(ORA!$D$127:$O$127)</f>
        <v>23908600.401716124</v>
      </c>
    </row>
    <row r="8" spans="1:20" x14ac:dyDescent="0.2">
      <c r="A8" s="197"/>
      <c r="B8" s="197" t="s">
        <v>357</v>
      </c>
      <c r="G8" s="200"/>
      <c r="H8" s="203">
        <f>SUM(POJ!$D$116:$O$116)</f>
        <v>49636.331246777707</v>
      </c>
      <c r="L8" s="197"/>
      <c r="M8" s="197" t="s">
        <v>357</v>
      </c>
      <c r="S8" s="204">
        <f>SUM(POJ!$D$127:$O$127)</f>
        <v>175303794.03413582</v>
      </c>
    </row>
    <row r="9" spans="1:20" x14ac:dyDescent="0.2">
      <c r="A9" s="197"/>
      <c r="B9" s="197" t="s">
        <v>358</v>
      </c>
      <c r="G9" s="200"/>
      <c r="H9" s="203">
        <f>SUM(ROJ!$D$116:$O$116)</f>
        <v>33578.628857325341</v>
      </c>
      <c r="L9" s="197"/>
      <c r="M9" s="197" t="s">
        <v>358</v>
      </c>
      <c r="S9" s="204">
        <f>SUM(ROJ!$D$127:$O$127)</f>
        <v>115268836.2918638</v>
      </c>
    </row>
    <row r="10" spans="1:20" x14ac:dyDescent="0.2">
      <c r="A10" s="197"/>
      <c r="B10" s="197" t="s">
        <v>359</v>
      </c>
      <c r="G10" s="200"/>
      <c r="H10" s="205">
        <f>SUM(FCOJ!$D$116:$O$116)</f>
        <v>93605</v>
      </c>
      <c r="L10" s="197"/>
      <c r="M10" s="197" t="s">
        <v>359</v>
      </c>
      <c r="S10" s="206">
        <f>SUM(FCOJ!$D$127:$O$127)</f>
        <v>320012486.75358623</v>
      </c>
    </row>
    <row r="11" spans="1:20" x14ac:dyDescent="0.2">
      <c r="A11" s="197"/>
      <c r="B11" s="197"/>
      <c r="G11" s="200"/>
      <c r="M11" s="197" t="s">
        <v>360</v>
      </c>
      <c r="T11" s="207">
        <f>SUM($S$7:$S$10)</f>
        <v>634493717.48130202</v>
      </c>
    </row>
    <row r="12" spans="1:20" x14ac:dyDescent="0.2">
      <c r="A12" s="199" t="s">
        <v>361</v>
      </c>
      <c r="B12" s="197"/>
      <c r="G12" s="200"/>
    </row>
    <row r="13" spans="1:20" x14ac:dyDescent="0.2">
      <c r="A13" s="197"/>
      <c r="B13" s="197" t="s">
        <v>362</v>
      </c>
      <c r="G13" s="200"/>
      <c r="H13" s="208">
        <f>SUM(grove!$C$48:$AX$53)</f>
        <v>319447.83104484581</v>
      </c>
      <c r="L13" s="199" t="s">
        <v>363</v>
      </c>
      <c r="M13" s="197"/>
    </row>
    <row r="14" spans="1:20" x14ac:dyDescent="0.2">
      <c r="A14" s="197"/>
      <c r="B14" s="197" t="s">
        <v>364</v>
      </c>
      <c r="G14" s="200"/>
      <c r="H14" s="201">
        <f>raw_materials!$P$30</f>
        <v>200000</v>
      </c>
      <c r="L14" s="197"/>
      <c r="M14" s="197" t="s">
        <v>365</v>
      </c>
      <c r="S14" s="202">
        <f>SUM(grove!$C$58:$AX$63)</f>
        <v>464386413.73754036</v>
      </c>
    </row>
    <row r="15" spans="1:20" x14ac:dyDescent="0.2">
      <c r="A15" s="197"/>
      <c r="B15" s="197" t="s">
        <v>366</v>
      </c>
      <c r="G15" s="200"/>
      <c r="H15" s="205">
        <f>raw_materials!$P$36</f>
        <v>1100000</v>
      </c>
      <c r="L15" s="197"/>
      <c r="M15" s="197" t="s">
        <v>367</v>
      </c>
      <c r="S15" s="204">
        <f>(raw_materials!D30*raw_materials!E30+raw_materials!F30*raw_materials!G30+raw_materials!H30*raw_materials!I30+raw_materials!J30*raw_materials!K30+raw_materials!L30*raw_materials!M30)*2000</f>
        <v>345199966.36214423</v>
      </c>
    </row>
    <row r="16" spans="1:20" x14ac:dyDescent="0.2">
      <c r="A16" s="197"/>
      <c r="B16" s="197" t="s">
        <v>368</v>
      </c>
      <c r="G16" s="200"/>
      <c r="H16" s="209">
        <v>99694.940058476292</v>
      </c>
      <c r="L16" s="197"/>
      <c r="M16" s="197" t="s">
        <v>369</v>
      </c>
      <c r="S16" s="204">
        <f>(raw_materials!D36*raw_materials!E36+raw_materials!F36*raw_materials!G36+raw_materials!H36*raw_materials!I36+raw_materials!J36*raw_materials!K36+raw_materials!L36*raw_materials!M36)*2000</f>
        <v>2511043513.7037735</v>
      </c>
    </row>
    <row r="17" spans="1:21" x14ac:dyDescent="0.2">
      <c r="A17" s="197"/>
      <c r="B17" s="197" t="s">
        <v>370</v>
      </c>
      <c r="G17" s="200"/>
      <c r="H17" s="210">
        <v>0</v>
      </c>
      <c r="L17" s="197"/>
      <c r="M17" s="197" t="s">
        <v>371</v>
      </c>
      <c r="S17" s="204">
        <v>146728497.26921377</v>
      </c>
    </row>
    <row r="18" spans="1:21" x14ac:dyDescent="0.2">
      <c r="A18" s="197"/>
      <c r="B18" s="197" t="s">
        <v>372</v>
      </c>
      <c r="G18" s="200"/>
      <c r="H18" s="211">
        <v>803164.25257973</v>
      </c>
      <c r="L18" s="197"/>
      <c r="M18" s="197" t="s">
        <v>373</v>
      </c>
      <c r="S18" s="206">
        <v>292121689.64000005</v>
      </c>
    </row>
    <row r="19" spans="1:21" x14ac:dyDescent="0.2">
      <c r="A19" s="197"/>
      <c r="B19" s="197" t="s">
        <v>374</v>
      </c>
      <c r="G19" s="200"/>
      <c r="H19" s="210">
        <v>1368789.1081609076</v>
      </c>
      <c r="L19" s="197"/>
      <c r="M19" s="197" t="s">
        <v>375</v>
      </c>
      <c r="S19" s="212" t="s">
        <v>376</v>
      </c>
      <c r="T19" s="213">
        <f>SUM($S$14:$S$18)</f>
        <v>3759480080.7126718</v>
      </c>
      <c r="U19" t="s">
        <v>377</v>
      </c>
    </row>
    <row r="20" spans="1:21" x14ac:dyDescent="0.2">
      <c r="A20" s="197"/>
      <c r="B20" s="197" t="s">
        <v>378</v>
      </c>
      <c r="G20" s="200"/>
      <c r="H20" s="205">
        <v>24979.988881234232</v>
      </c>
      <c r="L20" s="197"/>
      <c r="M20" s="197"/>
    </row>
    <row r="21" spans="1:21" x14ac:dyDescent="0.2">
      <c r="A21" s="197"/>
      <c r="B21" s="197"/>
      <c r="G21" s="200"/>
      <c r="L21" s="199" t="s">
        <v>379</v>
      </c>
      <c r="M21" s="197"/>
      <c r="S21" s="141"/>
    </row>
    <row r="22" spans="1:21" x14ac:dyDescent="0.2">
      <c r="A22" s="199" t="s">
        <v>380</v>
      </c>
      <c r="B22" s="197"/>
      <c r="G22" s="200"/>
      <c r="L22" s="197"/>
      <c r="M22" s="197" t="s">
        <v>381</v>
      </c>
      <c r="S22" s="204">
        <v>199389880.11695248</v>
      </c>
    </row>
    <row r="23" spans="1:21" x14ac:dyDescent="0.2">
      <c r="A23" s="197"/>
      <c r="B23" s="197" t="s">
        <v>382</v>
      </c>
      <c r="G23" s="200"/>
      <c r="H23" s="201">
        <f>SUM(raw_materials!$O$31:$O$35)</f>
        <v>400000</v>
      </c>
      <c r="L23" s="197"/>
      <c r="M23" s="197" t="s">
        <v>383</v>
      </c>
      <c r="S23" s="204">
        <v>0</v>
      </c>
    </row>
    <row r="24" spans="1:21" x14ac:dyDescent="0.2">
      <c r="A24" s="197"/>
      <c r="B24" s="197" t="s">
        <v>384</v>
      </c>
      <c r="G24" s="200"/>
      <c r="H24" s="205">
        <f>SUM(raw_materials!$O$37:$O$41)</f>
        <v>0</v>
      </c>
      <c r="L24" s="197"/>
      <c r="M24" s="197" t="s">
        <v>385</v>
      </c>
      <c r="S24" s="206">
        <v>522056764.17682451</v>
      </c>
    </row>
    <row r="25" spans="1:21" x14ac:dyDescent="0.2">
      <c r="A25" s="197"/>
      <c r="B25" s="197"/>
      <c r="G25" s="200"/>
      <c r="L25" s="197"/>
      <c r="M25" s="197" t="s">
        <v>386</v>
      </c>
      <c r="S25" s="212" t="s">
        <v>376</v>
      </c>
      <c r="T25" s="213">
        <f>SUM($S$22:$S$24)</f>
        <v>721446644.29377699</v>
      </c>
      <c r="U25" t="s">
        <v>377</v>
      </c>
    </row>
    <row r="26" spans="1:21" x14ac:dyDescent="0.2">
      <c r="A26" s="199" t="s">
        <v>387</v>
      </c>
      <c r="B26" s="197"/>
      <c r="G26" s="200"/>
      <c r="L26" s="197"/>
      <c r="M26" s="197"/>
    </row>
    <row r="27" spans="1:21" x14ac:dyDescent="0.2">
      <c r="A27" s="197"/>
      <c r="B27" s="197" t="s">
        <v>388</v>
      </c>
      <c r="G27" s="200"/>
      <c r="H27" s="201">
        <f>SUMIF(facilities!$C$6:$C$15,"&gt;0",facilities!$C$6:$C$15)</f>
        <v>0</v>
      </c>
      <c r="L27" s="199" t="s">
        <v>389</v>
      </c>
      <c r="M27" s="197"/>
    </row>
    <row r="28" spans="1:21" x14ac:dyDescent="0.2">
      <c r="A28" s="197"/>
      <c r="B28" s="197" t="s">
        <v>390</v>
      </c>
      <c r="G28" s="200"/>
      <c r="H28" s="203">
        <f>SUMIF(facilities!$C$36:$C$106,"&gt;0",facilities!$C$36:$C$106)</f>
        <v>0</v>
      </c>
      <c r="L28" s="197"/>
      <c r="M28" s="197" t="s">
        <v>391</v>
      </c>
      <c r="S28" s="202">
        <v>95721480</v>
      </c>
    </row>
    <row r="29" spans="1:21" x14ac:dyDescent="0.2">
      <c r="A29" s="197"/>
      <c r="B29" s="197" t="s">
        <v>392</v>
      </c>
      <c r="G29" s="200"/>
      <c r="H29" s="203">
        <f>SUMIF(facilities!$C$6:$C$15,"&lt;0",facilities!$C$6:$C$15)</f>
        <v>0</v>
      </c>
      <c r="L29" s="197"/>
      <c r="M29" s="197" t="s">
        <v>393</v>
      </c>
      <c r="S29" s="204">
        <v>17208998.276535418</v>
      </c>
    </row>
    <row r="30" spans="1:21" x14ac:dyDescent="0.2">
      <c r="A30" s="197"/>
      <c r="B30" s="197" t="s">
        <v>394</v>
      </c>
      <c r="G30" s="200"/>
      <c r="H30" s="205">
        <f>SUMIF(facilities!$C$36:$C$106,"&lt;0",facilities!$C$36:$C$106)</f>
        <v>0</v>
      </c>
      <c r="L30" s="197"/>
      <c r="M30" s="197" t="s">
        <v>395</v>
      </c>
      <c r="S30" s="204">
        <v>177393678.65092263</v>
      </c>
    </row>
    <row r="31" spans="1:21" x14ac:dyDescent="0.2">
      <c r="L31" s="197"/>
      <c r="M31" s="197" t="s">
        <v>396</v>
      </c>
      <c r="S31" s="206">
        <f>SUM(ORA!D138:O138)+SUM(POJ!D138:O138)+SUM(ROJ!D138:O138)+SUM(FCOJ!D138:O138)</f>
        <v>185362266.00185153</v>
      </c>
    </row>
    <row r="32" spans="1:21" x14ac:dyDescent="0.2">
      <c r="A32" s="199" t="s">
        <v>397</v>
      </c>
      <c r="B32" s="197"/>
      <c r="G32" s="200"/>
      <c r="L32" s="197"/>
      <c r="M32" s="197" t="s">
        <v>398</v>
      </c>
      <c r="S32" s="129" t="s">
        <v>376</v>
      </c>
      <c r="T32" s="213">
        <f>SUM($S$28:$S$31)</f>
        <v>475686422.92930961</v>
      </c>
      <c r="U32" t="s">
        <v>377</v>
      </c>
    </row>
    <row r="33" spans="1:21" x14ac:dyDescent="0.2">
      <c r="A33" s="197"/>
      <c r="B33" s="197" t="s">
        <v>399</v>
      </c>
      <c r="G33" s="200"/>
      <c r="H33" s="201">
        <f>COUNTIF(facilities!$H$6:$H$15,"=new")</f>
        <v>0</v>
      </c>
      <c r="M33" s="197"/>
    </row>
    <row r="34" spans="1:21" x14ac:dyDescent="0.2">
      <c r="A34" s="197"/>
      <c r="B34" s="197" t="s">
        <v>400</v>
      </c>
      <c r="G34" s="200"/>
      <c r="H34" s="203">
        <f>COUNTIF(facilities!$H$36:$H$106,"=new")</f>
        <v>0</v>
      </c>
      <c r="L34" s="199" t="s">
        <v>401</v>
      </c>
      <c r="M34" s="197"/>
    </row>
    <row r="35" spans="1:21" x14ac:dyDescent="0.2">
      <c r="B35" s="197" t="s">
        <v>18</v>
      </c>
      <c r="H35" s="205">
        <f>SUMIF(facilities!$C$21:$C$30,"&gt;0",facilities!$C$21:$C$30)</f>
        <v>0</v>
      </c>
      <c r="L35" s="197"/>
      <c r="M35" s="197" t="s">
        <v>402</v>
      </c>
      <c r="S35" s="202">
        <v>41877500</v>
      </c>
    </row>
    <row r="36" spans="1:21" x14ac:dyDescent="0.2">
      <c r="L36" s="197"/>
      <c r="M36" s="197" t="s">
        <v>403</v>
      </c>
      <c r="S36" s="204">
        <f>H33*12000000-H38*70/100*12000000</f>
        <v>0</v>
      </c>
    </row>
    <row r="37" spans="1:21" x14ac:dyDescent="0.2">
      <c r="A37" s="199" t="s">
        <v>404</v>
      </c>
      <c r="L37" s="197"/>
      <c r="M37" s="197" t="s">
        <v>405</v>
      </c>
      <c r="S37" s="204">
        <f>H27*8000+H29*70/100*8000</f>
        <v>0</v>
      </c>
    </row>
    <row r="38" spans="1:21" x14ac:dyDescent="0.2">
      <c r="B38" s="197" t="s">
        <v>399</v>
      </c>
      <c r="H38" s="201">
        <f>COUNTIF(facilities!$H$6:$H$15,"=sold")</f>
        <v>0</v>
      </c>
      <c r="L38" s="197"/>
      <c r="M38" s="197" t="s">
        <v>406</v>
      </c>
      <c r="S38" s="204">
        <v>68950000</v>
      </c>
    </row>
    <row r="39" spans="1:21" x14ac:dyDescent="0.2">
      <c r="B39" s="197" t="s">
        <v>400</v>
      </c>
      <c r="H39" s="203">
        <f>COUNTIF(facilities!$H$36:$H$106,"=sold")</f>
        <v>0</v>
      </c>
      <c r="L39" s="197"/>
      <c r="M39" s="197" t="s">
        <v>407</v>
      </c>
      <c r="S39" s="204">
        <f>H34*9000000-H39*80/100*9000000</f>
        <v>0</v>
      </c>
    </row>
    <row r="40" spans="1:21" x14ac:dyDescent="0.2">
      <c r="B40" s="197" t="s">
        <v>18</v>
      </c>
      <c r="H40" s="205">
        <f>-SUMIF(facilities!$C$21:$C$30,"&lt;0",facilities!$C$21:$C$30)</f>
        <v>0</v>
      </c>
      <c r="L40" s="197"/>
      <c r="M40" s="197" t="s">
        <v>408</v>
      </c>
      <c r="S40" s="204">
        <f>H28*6000+H30*80/100*6000</f>
        <v>0</v>
      </c>
    </row>
    <row r="41" spans="1:21" x14ac:dyDescent="0.2">
      <c r="L41" s="197"/>
      <c r="M41" s="197" t="s">
        <v>409</v>
      </c>
      <c r="S41" s="204">
        <v>52330</v>
      </c>
    </row>
    <row r="42" spans="1:21" x14ac:dyDescent="0.2">
      <c r="L42" s="197"/>
      <c r="M42" s="197" t="s">
        <v>410</v>
      </c>
      <c r="S42" s="206">
        <f>H35*100000-H40*60/100*100000</f>
        <v>0</v>
      </c>
    </row>
    <row r="43" spans="1:21" x14ac:dyDescent="0.2">
      <c r="L43" s="197"/>
      <c r="M43" s="197" t="s">
        <v>411</v>
      </c>
      <c r="S43" s="191" t="s">
        <v>376</v>
      </c>
      <c r="T43" s="213">
        <f>SUM($S$35:$S$42)</f>
        <v>110879830</v>
      </c>
      <c r="U43" t="s">
        <v>377</v>
      </c>
    </row>
    <row r="44" spans="1:21" x14ac:dyDescent="0.2">
      <c r="L44" s="197"/>
      <c r="S44" s="127"/>
    </row>
    <row r="45" spans="1:21" ht="14.25" thickBot="1" x14ac:dyDescent="0.3">
      <c r="L45" s="214" t="s">
        <v>412</v>
      </c>
      <c r="M45" s="197"/>
      <c r="T45" s="215">
        <f>$T$11-$T$19-$T$25-$T$32-$T$43</f>
        <v>-4432999260.4544563</v>
      </c>
    </row>
    <row r="46" spans="1:21" ht="13.5" thickTop="1" x14ac:dyDescent="0.2">
      <c r="M46" s="197"/>
    </row>
    <row r="316" spans="1:1" x14ac:dyDescent="0.2">
      <c r="A316" s="193"/>
    </row>
    <row r="317" spans="1:1" x14ac:dyDescent="0.2">
      <c r="A317" s="193"/>
    </row>
    <row r="318" spans="1:1" x14ac:dyDescent="0.2">
      <c r="A318" s="193"/>
    </row>
    <row r="319" spans="1:1" x14ac:dyDescent="0.2">
      <c r="A319" s="193"/>
    </row>
    <row r="320" spans="1:1" x14ac:dyDescent="0.2">
      <c r="A320" s="193"/>
    </row>
    <row r="321" spans="1:1" x14ac:dyDescent="0.2">
      <c r="A321" s="193"/>
    </row>
    <row r="322" spans="1:1" x14ac:dyDescent="0.2">
      <c r="A322" s="193"/>
    </row>
    <row r="323" spans="1:1" x14ac:dyDescent="0.2">
      <c r="A323" s="193"/>
    </row>
    <row r="325" spans="1:1" x14ac:dyDescent="0.2">
      <c r="A325" s="193"/>
    </row>
    <row r="326" spans="1:1" x14ac:dyDescent="0.2">
      <c r="A326" s="193"/>
    </row>
    <row r="327" spans="1:1" x14ac:dyDescent="0.2">
      <c r="A327" s="193"/>
    </row>
    <row r="328" spans="1:1" x14ac:dyDescent="0.2">
      <c r="A328" s="193"/>
    </row>
    <row r="329" spans="1:1" x14ac:dyDescent="0.2">
      <c r="A329" s="193"/>
    </row>
    <row r="330" spans="1:1" x14ac:dyDescent="0.2">
      <c r="A330" s="193"/>
    </row>
    <row r="331" spans="1:1" x14ac:dyDescent="0.2">
      <c r="A331" s="193"/>
    </row>
    <row r="332" spans="1:1" x14ac:dyDescent="0.2">
      <c r="A332" s="193"/>
    </row>
    <row r="334" spans="1:1" x14ac:dyDescent="0.2">
      <c r="A334" s="193"/>
    </row>
    <row r="335" spans="1:1" x14ac:dyDescent="0.2">
      <c r="A335" s="193"/>
    </row>
    <row r="336" spans="1:1" x14ac:dyDescent="0.2">
      <c r="A336" s="193"/>
    </row>
    <row r="337" spans="1:1" x14ac:dyDescent="0.2">
      <c r="A337" s="193"/>
    </row>
    <row r="338" spans="1:1" x14ac:dyDescent="0.2">
      <c r="A338" s="193"/>
    </row>
    <row r="339" spans="1:1" x14ac:dyDescent="0.2">
      <c r="A339" s="193"/>
    </row>
    <row r="340" spans="1:1" x14ac:dyDescent="0.2">
      <c r="A340" s="193"/>
    </row>
    <row r="341" spans="1:1" x14ac:dyDescent="0.2">
      <c r="A341" s="193"/>
    </row>
    <row r="343" spans="1:1" x14ac:dyDescent="0.2">
      <c r="A343" s="193"/>
    </row>
    <row r="344" spans="1:1" x14ac:dyDescent="0.2">
      <c r="A344" s="193"/>
    </row>
    <row r="345" spans="1:1" x14ac:dyDescent="0.2">
      <c r="A345" s="193"/>
    </row>
    <row r="346" spans="1:1" x14ac:dyDescent="0.2">
      <c r="A346" s="193"/>
    </row>
    <row r="347" spans="1:1" x14ac:dyDescent="0.2">
      <c r="A347" s="193"/>
    </row>
    <row r="348" spans="1:1" x14ac:dyDescent="0.2">
      <c r="A348" s="193"/>
    </row>
    <row r="349" spans="1:1" x14ac:dyDescent="0.2">
      <c r="A349" s="193"/>
    </row>
    <row r="350" spans="1:1" x14ac:dyDescent="0.2">
      <c r="A350" s="193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20" t="s">
        <v>314</v>
      </c>
    </row>
    <row r="4" spans="2:14" x14ac:dyDescent="0.2">
      <c r="B4" s="186" t="s">
        <v>91</v>
      </c>
      <c r="C4" s="186" t="s">
        <v>92</v>
      </c>
      <c r="D4" s="186" t="s">
        <v>93</v>
      </c>
      <c r="E4" s="186" t="s">
        <v>94</v>
      </c>
      <c r="F4" s="186" t="s">
        <v>95</v>
      </c>
      <c r="G4" s="186" t="s">
        <v>96</v>
      </c>
      <c r="H4" s="186" t="s">
        <v>97</v>
      </c>
      <c r="I4" s="186" t="s">
        <v>98</v>
      </c>
      <c r="J4" s="186" t="s">
        <v>99</v>
      </c>
      <c r="K4" s="186" t="s">
        <v>100</v>
      </c>
      <c r="L4" s="186" t="s">
        <v>101</v>
      </c>
      <c r="M4" s="186" t="s">
        <v>102</v>
      </c>
      <c r="N4" s="186" t="s">
        <v>103</v>
      </c>
    </row>
    <row r="5" spans="2:14" x14ac:dyDescent="0.2">
      <c r="B5" s="187" t="s">
        <v>104</v>
      </c>
      <c r="C5">
        <v>0.55883522771319771</v>
      </c>
      <c r="D5">
        <v>0.55318441585592359</v>
      </c>
      <c r="E5">
        <v>0.70346884461452663</v>
      </c>
      <c r="F5">
        <v>0.64695924138865113</v>
      </c>
      <c r="G5">
        <v>0.67869951227141967</v>
      </c>
      <c r="H5">
        <v>0.96902577438933268</v>
      </c>
      <c r="I5">
        <v>0.82481899603521025</v>
      </c>
      <c r="J5">
        <v>0.68513865751575198</v>
      </c>
      <c r="K5">
        <v>0.65609474935925149</v>
      </c>
      <c r="L5">
        <v>0.58115721917719454</v>
      </c>
      <c r="M5">
        <v>0.66775956659429891</v>
      </c>
      <c r="N5">
        <v>0.54341623215852775</v>
      </c>
    </row>
    <row r="6" spans="2:14" x14ac:dyDescent="0.2">
      <c r="B6" s="187" t="s">
        <v>105</v>
      </c>
      <c r="C6">
        <v>0.7100200865033045</v>
      </c>
      <c r="D6">
        <v>0.73926002119227618</v>
      </c>
      <c r="E6">
        <v>0.86110302044447218</v>
      </c>
      <c r="F6">
        <v>0.6710873051600369</v>
      </c>
      <c r="G6">
        <v>0.65151703118338034</v>
      </c>
      <c r="H6">
        <v>0.68242073312215557</v>
      </c>
      <c r="I6">
        <v>0.78094415519541904</v>
      </c>
      <c r="J6">
        <v>0.70649305462017475</v>
      </c>
      <c r="K6">
        <v>0.67670159434339672</v>
      </c>
      <c r="L6">
        <v>0.70632890926100289</v>
      </c>
      <c r="M6">
        <v>0.7123442867312676</v>
      </c>
      <c r="N6">
        <v>0.71660992002357438</v>
      </c>
    </row>
    <row r="7" spans="2:14" x14ac:dyDescent="0.2">
      <c r="B7" s="187" t="s">
        <v>106</v>
      </c>
      <c r="C7">
        <v>0.82279179745259212</v>
      </c>
      <c r="D7">
        <v>0.74451070827954391</v>
      </c>
      <c r="E7">
        <v>0.69482033528786502</v>
      </c>
      <c r="F7">
        <v>0.68947384105166354</v>
      </c>
      <c r="G7">
        <v>0.67778354629504789</v>
      </c>
      <c r="H7">
        <v>0.72612951738689124</v>
      </c>
      <c r="I7">
        <v>0.7324993800740055</v>
      </c>
      <c r="J7">
        <v>0.80577486892084382</v>
      </c>
      <c r="K7">
        <v>0.69331043234822731</v>
      </c>
      <c r="L7">
        <v>0.82293420858502919</v>
      </c>
      <c r="M7">
        <v>0.94801805961471708</v>
      </c>
      <c r="N7">
        <v>0.84232033688890573</v>
      </c>
    </row>
    <row r="8" spans="2:14" x14ac:dyDescent="0.2">
      <c r="B8" s="187" t="s">
        <v>107</v>
      </c>
      <c r="C8">
        <v>0.74879692536592657</v>
      </c>
      <c r="D8">
        <v>0.68711154087686721</v>
      </c>
      <c r="E8">
        <v>0.75027675331177646</v>
      </c>
      <c r="F8">
        <v>0.73196984379663033</v>
      </c>
      <c r="G8">
        <v>0.69741242080390642</v>
      </c>
      <c r="H8">
        <v>0.74566304681928575</v>
      </c>
      <c r="I8">
        <v>0.72089352319759648</v>
      </c>
      <c r="J8">
        <v>0.70385840467823013</v>
      </c>
      <c r="K8">
        <v>0.70557138979423983</v>
      </c>
      <c r="L8">
        <v>0.72682288567351661</v>
      </c>
      <c r="M8">
        <v>0.71433678595128525</v>
      </c>
      <c r="N8">
        <v>0.74513901442930275</v>
      </c>
    </row>
    <row r="9" spans="2:14" x14ac:dyDescent="0.2">
      <c r="B9" s="187" t="s">
        <v>108</v>
      </c>
      <c r="C9">
        <v>2.015954098701477</v>
      </c>
      <c r="D9">
        <v>2.0940645253658294</v>
      </c>
      <c r="E9">
        <v>2.0712749934196473</v>
      </c>
      <c r="F9">
        <v>2.0237683451175692</v>
      </c>
      <c r="G9">
        <v>2.0576640224456786</v>
      </c>
      <c r="H9">
        <v>2.0505997931957247</v>
      </c>
      <c r="I9">
        <v>2.0816740727424623</v>
      </c>
      <c r="J9">
        <v>2.0775564587116242</v>
      </c>
      <c r="K9">
        <v>2.0663436269760131</v>
      </c>
      <c r="L9">
        <v>2.0394291436672209</v>
      </c>
      <c r="M9">
        <v>2.0955815291404725</v>
      </c>
      <c r="N9">
        <v>2.0196475660800934</v>
      </c>
    </row>
    <row r="10" spans="2:14" x14ac:dyDescent="0.2">
      <c r="B10" s="187" t="s">
        <v>109</v>
      </c>
      <c r="C10">
        <v>0.60362987518310551</v>
      </c>
      <c r="D10">
        <v>0.69189168810844426</v>
      </c>
      <c r="E10">
        <v>0.61023002862930298</v>
      </c>
      <c r="F10">
        <v>0.62459366917610171</v>
      </c>
      <c r="G10">
        <v>0.61711676120758063</v>
      </c>
      <c r="H10">
        <v>0.60145544409751894</v>
      </c>
      <c r="I10">
        <v>0.6564655184745789</v>
      </c>
      <c r="J10">
        <v>0.68610692620277403</v>
      </c>
      <c r="K10">
        <v>0.65691781044006348</v>
      </c>
      <c r="L10">
        <v>0.63402983546257019</v>
      </c>
      <c r="M10">
        <v>0.62780972719192507</v>
      </c>
      <c r="N10">
        <v>0.68987215161323545</v>
      </c>
    </row>
    <row r="11" spans="2:14" x14ac:dyDescent="0.2">
      <c r="B11" s="188"/>
      <c r="C11" s="119"/>
      <c r="D11" s="119"/>
      <c r="E11" s="119"/>
      <c r="F11" s="119"/>
      <c r="G11" s="119"/>
    </row>
    <row r="12" spans="2:14" x14ac:dyDescent="0.2">
      <c r="B12" s="121" t="s">
        <v>315</v>
      </c>
      <c r="C12" s="119"/>
      <c r="D12" s="119"/>
      <c r="E12" s="119"/>
      <c r="F12" s="119"/>
      <c r="G12" s="119"/>
    </row>
    <row r="13" spans="2:14" x14ac:dyDescent="0.2">
      <c r="B13" s="187" t="s">
        <v>316</v>
      </c>
      <c r="C13" s="187" t="s">
        <v>92</v>
      </c>
      <c r="D13" s="187" t="s">
        <v>93</v>
      </c>
      <c r="E13" s="186" t="s">
        <v>94</v>
      </c>
      <c r="F13" s="186" t="s">
        <v>95</v>
      </c>
      <c r="G13" s="186" t="s">
        <v>96</v>
      </c>
      <c r="H13" s="186" t="s">
        <v>97</v>
      </c>
      <c r="I13" s="186" t="s">
        <v>98</v>
      </c>
      <c r="J13" s="186" t="s">
        <v>99</v>
      </c>
      <c r="K13" s="186" t="s">
        <v>100</v>
      </c>
      <c r="L13" s="186" t="s">
        <v>101</v>
      </c>
      <c r="M13" s="186" t="s">
        <v>102</v>
      </c>
      <c r="N13" s="186" t="s">
        <v>103</v>
      </c>
    </row>
    <row r="14" spans="2:14" x14ac:dyDescent="0.2">
      <c r="B14" s="186" t="s">
        <v>317</v>
      </c>
      <c r="C14" s="119">
        <v>0.33443643476981971</v>
      </c>
      <c r="D14" s="119">
        <v>0.33567782054389189</v>
      </c>
      <c r="E14" s="119">
        <v>0.33691571328522379</v>
      </c>
      <c r="F14" s="119">
        <v>0.33814662978983101</v>
      </c>
      <c r="G14" s="119">
        <v>0.33936710648358448</v>
      </c>
      <c r="H14">
        <v>0.34057370916807544</v>
      </c>
      <c r="I14">
        <v>0.34176304268382207</v>
      </c>
      <c r="J14">
        <v>0.34293176046362794</v>
      </c>
      <c r="K14">
        <v>0.34407657394921065</v>
      </c>
      <c r="L14">
        <v>0.34519426184460372</v>
      </c>
      <c r="M14">
        <v>0.34628167918029534</v>
      </c>
      <c r="N14">
        <v>0.34733576616259743</v>
      </c>
    </row>
    <row r="15" spans="2:14" x14ac:dyDescent="0.2">
      <c r="B15" s="186" t="s">
        <v>318</v>
      </c>
      <c r="C15">
        <v>1.0035015778325094</v>
      </c>
      <c r="D15">
        <v>1.0061621999876746</v>
      </c>
      <c r="E15">
        <v>1.0088153356382483</v>
      </c>
      <c r="F15">
        <v>1.0114535193452945</v>
      </c>
      <c r="G15">
        <v>1.014069327741915</v>
      </c>
      <c r="H15">
        <v>1.0166554004212462</v>
      </c>
      <c r="I15">
        <v>1.0192044606473001</v>
      </c>
      <c r="J15">
        <v>1.0217093358303679</v>
      </c>
      <c r="K15">
        <v>1.0241629777093797</v>
      </c>
      <c r="L15">
        <v>1.0265584821844214</v>
      </c>
      <c r="M15">
        <v>1.0288891087436103</v>
      </c>
      <c r="N15">
        <v>1.0311482994296646</v>
      </c>
    </row>
    <row r="16" spans="2:14" x14ac:dyDescent="0.2">
      <c r="B16" s="119"/>
    </row>
    <row r="17" spans="2:14" x14ac:dyDescent="0.2">
      <c r="B17" s="120" t="s">
        <v>319</v>
      </c>
    </row>
    <row r="18" spans="2:14" x14ac:dyDescent="0.2">
      <c r="B18" s="118" t="s">
        <v>91</v>
      </c>
      <c r="C18" s="118" t="s">
        <v>92</v>
      </c>
      <c r="D18" s="118" t="s">
        <v>93</v>
      </c>
      <c r="E18" s="118" t="s">
        <v>94</v>
      </c>
      <c r="F18" s="118" t="s">
        <v>95</v>
      </c>
      <c r="G18" s="118" t="s">
        <v>96</v>
      </c>
      <c r="H18" s="118" t="s">
        <v>97</v>
      </c>
      <c r="I18" s="118" t="s">
        <v>98</v>
      </c>
      <c r="J18" s="118" t="s">
        <v>99</v>
      </c>
      <c r="K18" s="118" t="s">
        <v>100</v>
      </c>
      <c r="L18" s="118" t="s">
        <v>101</v>
      </c>
      <c r="M18" s="118" t="s">
        <v>102</v>
      </c>
      <c r="N18" s="118" t="s">
        <v>103</v>
      </c>
    </row>
    <row r="19" spans="2:14" x14ac:dyDescent="0.2">
      <c r="B19" s="189" t="s">
        <v>104</v>
      </c>
      <c r="C19">
        <f>C5</f>
        <v>0.55883522771319771</v>
      </c>
      <c r="D19">
        <f t="shared" ref="D19:N20" si="0">D5</f>
        <v>0.55318441585592359</v>
      </c>
      <c r="E19">
        <f t="shared" si="0"/>
        <v>0.70346884461452663</v>
      </c>
      <c r="F19">
        <f t="shared" si="0"/>
        <v>0.64695924138865113</v>
      </c>
      <c r="G19">
        <f t="shared" si="0"/>
        <v>0.67869951227141967</v>
      </c>
      <c r="H19">
        <f t="shared" si="0"/>
        <v>0.96902577438933268</v>
      </c>
      <c r="I19">
        <f t="shared" si="0"/>
        <v>0.82481899603521025</v>
      </c>
      <c r="J19">
        <f t="shared" si="0"/>
        <v>0.68513865751575198</v>
      </c>
      <c r="K19">
        <f t="shared" si="0"/>
        <v>0.65609474935925149</v>
      </c>
      <c r="L19">
        <f t="shared" si="0"/>
        <v>0.58115721917719454</v>
      </c>
      <c r="M19">
        <f t="shared" si="0"/>
        <v>0.66775956659429891</v>
      </c>
      <c r="N19">
        <f t="shared" si="0"/>
        <v>0.54341623215852775</v>
      </c>
    </row>
    <row r="20" spans="2:14" x14ac:dyDescent="0.2">
      <c r="B20" s="189" t="s">
        <v>105</v>
      </c>
      <c r="C20">
        <f>C6</f>
        <v>0.7100200865033045</v>
      </c>
      <c r="D20">
        <f t="shared" si="0"/>
        <v>0.73926002119227618</v>
      </c>
      <c r="E20">
        <f t="shared" si="0"/>
        <v>0.86110302044447218</v>
      </c>
      <c r="F20">
        <f t="shared" si="0"/>
        <v>0.6710873051600369</v>
      </c>
      <c r="G20">
        <f t="shared" si="0"/>
        <v>0.65151703118338034</v>
      </c>
      <c r="H20">
        <f t="shared" si="0"/>
        <v>0.68242073312215557</v>
      </c>
      <c r="I20">
        <f t="shared" si="0"/>
        <v>0.78094415519541904</v>
      </c>
      <c r="J20">
        <f t="shared" si="0"/>
        <v>0.70649305462017475</v>
      </c>
      <c r="K20">
        <f t="shared" si="0"/>
        <v>0.67670159434339672</v>
      </c>
      <c r="L20">
        <f t="shared" si="0"/>
        <v>0.70632890926100289</v>
      </c>
      <c r="M20">
        <f t="shared" si="0"/>
        <v>0.7123442867312676</v>
      </c>
      <c r="N20">
        <f t="shared" si="0"/>
        <v>0.71660992002357438</v>
      </c>
    </row>
    <row r="21" spans="2:14" x14ac:dyDescent="0.2">
      <c r="B21" s="189" t="s">
        <v>106</v>
      </c>
      <c r="C21">
        <f t="shared" ref="C21:N22" si="1">C7</f>
        <v>0.82279179745259212</v>
      </c>
      <c r="D21">
        <f t="shared" si="1"/>
        <v>0.74451070827954391</v>
      </c>
      <c r="E21">
        <f t="shared" si="1"/>
        <v>0.69482033528786502</v>
      </c>
      <c r="F21">
        <f t="shared" si="1"/>
        <v>0.68947384105166354</v>
      </c>
      <c r="G21">
        <f t="shared" si="1"/>
        <v>0.67778354629504789</v>
      </c>
      <c r="H21">
        <f t="shared" si="1"/>
        <v>0.72612951738689124</v>
      </c>
      <c r="I21">
        <f t="shared" si="1"/>
        <v>0.7324993800740055</v>
      </c>
      <c r="J21">
        <f t="shared" si="1"/>
        <v>0.80577486892084382</v>
      </c>
      <c r="K21">
        <f t="shared" si="1"/>
        <v>0.69331043234822731</v>
      </c>
      <c r="L21">
        <f t="shared" si="1"/>
        <v>0.82293420858502919</v>
      </c>
      <c r="M21">
        <f t="shared" si="1"/>
        <v>0.94801805961471708</v>
      </c>
      <c r="N21">
        <f t="shared" si="1"/>
        <v>0.84232033688890573</v>
      </c>
    </row>
    <row r="22" spans="2:14" x14ac:dyDescent="0.2">
      <c r="B22" s="189" t="s">
        <v>107</v>
      </c>
      <c r="C22">
        <f t="shared" si="1"/>
        <v>0.74879692536592657</v>
      </c>
      <c r="D22">
        <f t="shared" si="1"/>
        <v>0.68711154087686721</v>
      </c>
      <c r="E22">
        <f t="shared" si="1"/>
        <v>0.75027675331177646</v>
      </c>
      <c r="F22">
        <f t="shared" si="1"/>
        <v>0.73196984379663033</v>
      </c>
      <c r="G22">
        <f t="shared" si="1"/>
        <v>0.69741242080390642</v>
      </c>
      <c r="H22">
        <f t="shared" si="1"/>
        <v>0.74566304681928575</v>
      </c>
      <c r="I22">
        <f t="shared" si="1"/>
        <v>0.72089352319759648</v>
      </c>
      <c r="J22">
        <f t="shared" si="1"/>
        <v>0.70385840467823013</v>
      </c>
      <c r="K22">
        <f t="shared" si="1"/>
        <v>0.70557138979423983</v>
      </c>
      <c r="L22">
        <f t="shared" si="1"/>
        <v>0.72682288567351661</v>
      </c>
      <c r="M22">
        <f t="shared" si="1"/>
        <v>0.71433678595128525</v>
      </c>
      <c r="N22">
        <f t="shared" si="1"/>
        <v>0.74513901442930275</v>
      </c>
    </row>
    <row r="23" spans="2:14" x14ac:dyDescent="0.2">
      <c r="B23" s="189" t="s">
        <v>108</v>
      </c>
      <c r="C23">
        <f>C9*C14</f>
        <v>0.6742085014293272</v>
      </c>
      <c r="D23">
        <f t="shared" ref="D23:N24" si="2">D9*D14</f>
        <v>0.70293101595308105</v>
      </c>
      <c r="E23">
        <f t="shared" si="2"/>
        <v>0.69784509181782772</v>
      </c>
      <c r="F23">
        <f t="shared" si="2"/>
        <v>0.68433044537684962</v>
      </c>
      <c r="G23">
        <f t="shared" si="2"/>
        <v>0.69830348541276333</v>
      </c>
      <c r="H23">
        <f t="shared" si="2"/>
        <v>0.69838037758795635</v>
      </c>
      <c r="I23">
        <f t="shared" si="2"/>
        <v>0.71143926497648791</v>
      </c>
      <c r="J23">
        <f t="shared" si="2"/>
        <v>0.7124600938485578</v>
      </c>
      <c r="K23">
        <f t="shared" si="2"/>
        <v>0.71098043577169234</v>
      </c>
      <c r="L23">
        <f t="shared" si="2"/>
        <v>0.70399923783257856</v>
      </c>
      <c r="M23">
        <f t="shared" si="2"/>
        <v>0.72566149076997377</v>
      </c>
      <c r="N23">
        <f t="shared" si="2"/>
        <v>0.70149583474285437</v>
      </c>
    </row>
    <row r="24" spans="2:14" x14ac:dyDescent="0.2">
      <c r="B24" s="189" t="s">
        <v>109</v>
      </c>
      <c r="C24">
        <f>C10*C15</f>
        <v>0.60574353217308707</v>
      </c>
      <c r="D24">
        <f t="shared" si="2"/>
        <v>0.69615526306037834</v>
      </c>
      <c r="E24">
        <f t="shared" si="2"/>
        <v>0.61560941114820822</v>
      </c>
      <c r="F24">
        <f t="shared" si="2"/>
        <v>0.63174746484895861</v>
      </c>
      <c r="G24">
        <f t="shared" si="2"/>
        <v>0.62579917917603922</v>
      </c>
      <c r="H24">
        <f t="shared" si="2"/>
        <v>0.6114729253545016</v>
      </c>
      <c r="I24">
        <f t="shared" si="2"/>
        <v>0.6690725846904334</v>
      </c>
      <c r="J24">
        <f t="shared" si="2"/>
        <v>0.70100185187925157</v>
      </c>
      <c r="K24">
        <f t="shared" si="2"/>
        <v>0.67279090085062121</v>
      </c>
      <c r="L24">
        <f t="shared" si="2"/>
        <v>0.65086870555209442</v>
      </c>
      <c r="M24">
        <f t="shared" si="2"/>
        <v>0.64594659067106885</v>
      </c>
      <c r="N24">
        <f t="shared" si="2"/>
        <v>0.7113604959598715</v>
      </c>
    </row>
    <row r="25" spans="2:14" x14ac:dyDescent="0.2">
      <c r="B25" s="188"/>
    </row>
    <row r="26" spans="2:14" x14ac:dyDescent="0.2">
      <c r="B26" s="121" t="s">
        <v>320</v>
      </c>
    </row>
    <row r="27" spans="2:14" x14ac:dyDescent="0.2">
      <c r="B27" s="118" t="s">
        <v>321</v>
      </c>
      <c r="C27" s="118" t="s">
        <v>92</v>
      </c>
      <c r="D27" s="118" t="s">
        <v>93</v>
      </c>
      <c r="E27" s="118" t="s">
        <v>94</v>
      </c>
      <c r="F27" s="118" t="s">
        <v>95</v>
      </c>
      <c r="G27" s="118" t="s">
        <v>96</v>
      </c>
      <c r="H27" s="118" t="s">
        <v>97</v>
      </c>
      <c r="I27" s="118" t="s">
        <v>98</v>
      </c>
      <c r="J27" s="118" t="s">
        <v>99</v>
      </c>
      <c r="K27" s="118" t="s">
        <v>100</v>
      </c>
      <c r="L27" s="118" t="s">
        <v>101</v>
      </c>
      <c r="M27" s="118" t="s">
        <v>102</v>
      </c>
      <c r="N27" s="118" t="s">
        <v>103</v>
      </c>
    </row>
    <row r="28" spans="2:14" x14ac:dyDescent="0.2">
      <c r="B28" s="118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18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8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18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8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18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20" t="s">
        <v>322</v>
      </c>
    </row>
    <row r="36" spans="2:50" x14ac:dyDescent="0.2">
      <c r="B36" s="186" t="s">
        <v>274</v>
      </c>
      <c r="C36" s="186" t="s">
        <v>92</v>
      </c>
      <c r="D36" s="119"/>
      <c r="E36" s="119"/>
      <c r="F36" s="119"/>
      <c r="G36" s="186" t="s">
        <v>93</v>
      </c>
      <c r="H36" s="119"/>
      <c r="I36" s="119"/>
      <c r="J36" s="119"/>
      <c r="K36" s="186" t="s">
        <v>94</v>
      </c>
      <c r="L36" s="119"/>
      <c r="M36" s="119"/>
      <c r="N36" s="119"/>
      <c r="O36" s="186" t="s">
        <v>95</v>
      </c>
      <c r="P36" s="119"/>
      <c r="Q36" s="119"/>
      <c r="R36" s="119"/>
      <c r="S36" s="186" t="s">
        <v>96</v>
      </c>
      <c r="T36" s="119"/>
      <c r="U36" s="119"/>
      <c r="V36" s="119"/>
      <c r="W36" s="186" t="s">
        <v>97</v>
      </c>
      <c r="X36" s="119"/>
      <c r="Y36" s="119"/>
      <c r="Z36" s="119"/>
      <c r="AA36" s="186" t="s">
        <v>98</v>
      </c>
      <c r="AB36" s="119"/>
      <c r="AC36" s="119"/>
      <c r="AD36" s="119"/>
      <c r="AE36" s="186" t="s">
        <v>99</v>
      </c>
      <c r="AF36" s="119"/>
      <c r="AG36" s="119"/>
      <c r="AH36" s="119"/>
      <c r="AI36" s="186" t="s">
        <v>100</v>
      </c>
      <c r="AJ36" s="119"/>
      <c r="AK36" s="119"/>
      <c r="AL36" s="119"/>
      <c r="AM36" s="186" t="s">
        <v>101</v>
      </c>
      <c r="AN36" s="119"/>
      <c r="AO36" s="119"/>
      <c r="AP36" s="119"/>
      <c r="AQ36" s="186" t="s">
        <v>102</v>
      </c>
      <c r="AR36" s="119"/>
      <c r="AS36" s="119"/>
      <c r="AT36" s="119"/>
      <c r="AU36" s="186" t="s">
        <v>103</v>
      </c>
      <c r="AV36" s="119"/>
      <c r="AW36" s="119"/>
      <c r="AX36" s="119"/>
    </row>
    <row r="37" spans="2:50" x14ac:dyDescent="0.2">
      <c r="B37" s="186" t="s">
        <v>323</v>
      </c>
      <c r="C37" s="186">
        <v>1</v>
      </c>
      <c r="D37" s="186">
        <v>2</v>
      </c>
      <c r="E37" s="186">
        <v>3</v>
      </c>
      <c r="F37" s="186">
        <v>4</v>
      </c>
      <c r="G37" s="186">
        <v>1</v>
      </c>
      <c r="H37" s="186">
        <v>2</v>
      </c>
      <c r="I37" s="186">
        <v>3</v>
      </c>
      <c r="J37" s="186">
        <v>4</v>
      </c>
      <c r="K37" s="186">
        <v>1</v>
      </c>
      <c r="L37" s="186">
        <v>2</v>
      </c>
      <c r="M37" s="186">
        <v>3</v>
      </c>
      <c r="N37" s="186">
        <v>4</v>
      </c>
      <c r="O37" s="186">
        <v>1</v>
      </c>
      <c r="P37" s="186">
        <v>2</v>
      </c>
      <c r="Q37" s="186">
        <v>3</v>
      </c>
      <c r="R37" s="186">
        <v>4</v>
      </c>
      <c r="S37" s="186">
        <v>1</v>
      </c>
      <c r="T37" s="186">
        <v>2</v>
      </c>
      <c r="U37" s="186">
        <v>3</v>
      </c>
      <c r="V37" s="186">
        <v>4</v>
      </c>
      <c r="W37" s="186">
        <v>1</v>
      </c>
      <c r="X37" s="186">
        <v>2</v>
      </c>
      <c r="Y37" s="186">
        <v>3</v>
      </c>
      <c r="Z37" s="186">
        <v>4</v>
      </c>
      <c r="AA37" s="186">
        <v>1</v>
      </c>
      <c r="AB37" s="186">
        <v>2</v>
      </c>
      <c r="AC37" s="186">
        <v>3</v>
      </c>
      <c r="AD37" s="186">
        <v>4</v>
      </c>
      <c r="AE37" s="186">
        <v>1</v>
      </c>
      <c r="AF37" s="186">
        <v>2</v>
      </c>
      <c r="AG37" s="186">
        <v>3</v>
      </c>
      <c r="AH37" s="186">
        <v>4</v>
      </c>
      <c r="AI37" s="186">
        <v>1</v>
      </c>
      <c r="AJ37" s="186">
        <v>2</v>
      </c>
      <c r="AK37" s="186">
        <v>3</v>
      </c>
      <c r="AL37" s="186">
        <v>4</v>
      </c>
      <c r="AM37" s="186">
        <v>1</v>
      </c>
      <c r="AN37" s="186">
        <v>2</v>
      </c>
      <c r="AO37" s="186">
        <v>3</v>
      </c>
      <c r="AP37" s="186">
        <v>4</v>
      </c>
      <c r="AQ37" s="186">
        <v>1</v>
      </c>
      <c r="AR37" s="186">
        <v>2</v>
      </c>
      <c r="AS37" s="186">
        <v>3</v>
      </c>
      <c r="AT37" s="186">
        <v>4</v>
      </c>
      <c r="AU37" s="186">
        <v>1</v>
      </c>
      <c r="AV37" s="186">
        <v>2</v>
      </c>
      <c r="AW37" s="186">
        <v>3</v>
      </c>
      <c r="AX37" s="186">
        <v>4</v>
      </c>
    </row>
    <row r="38" spans="2:50" x14ac:dyDescent="0.2">
      <c r="B38" s="186" t="s">
        <v>104</v>
      </c>
      <c r="C38">
        <v>25054.902514011505</v>
      </c>
      <c r="D38">
        <v>25109.81675262624</v>
      </c>
      <c r="E38">
        <v>25164.733912812586</v>
      </c>
      <c r="F38">
        <v>25219.64518704552</v>
      </c>
      <c r="G38">
        <v>25274.541764850626</v>
      </c>
      <c r="H38">
        <v>25329.41483434946</v>
      </c>
      <c r="I38">
        <v>25384.255583806131</v>
      </c>
      <c r="J38">
        <v>25439.055203174696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2619.7014871775555</v>
      </c>
      <c r="Y38">
        <v>12898.787463796951</v>
      </c>
      <c r="Z38">
        <v>13119.699521724489</v>
      </c>
      <c r="AA38">
        <v>8505.662670632657</v>
      </c>
      <c r="AB38">
        <v>7973.4628238466676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26871.21469072756</v>
      </c>
      <c r="AL38">
        <v>26921.341209603564</v>
      </c>
      <c r="AM38">
        <v>26971.178763785614</v>
      </c>
      <c r="AN38">
        <v>27020.719306543244</v>
      </c>
      <c r="AO38">
        <v>27069.954839740756</v>
      </c>
      <c r="AP38">
        <v>27118.877415268147</v>
      </c>
      <c r="AQ38">
        <v>19017.235395524818</v>
      </c>
      <c r="AR38">
        <v>27215.752159530173</v>
      </c>
      <c r="AS38">
        <v>27263.688694937566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 x14ac:dyDescent="0.2">
      <c r="B39" s="186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15164.725058910377</v>
      </c>
      <c r="H39">
        <v>15197.648900609674</v>
      </c>
      <c r="I39">
        <v>15230.553350283679</v>
      </c>
      <c r="J39">
        <v>15263.433121904818</v>
      </c>
      <c r="K39">
        <v>15296.282931388283</v>
      </c>
      <c r="L39">
        <v>6131.6389990084062</v>
      </c>
      <c r="M39">
        <v>6144.7486171562887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11113.527729530231</v>
      </c>
      <c r="AD39">
        <v>11135.427873913615</v>
      </c>
      <c r="AE39">
        <v>11157.234351741996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11549.183267030601</v>
      </c>
    </row>
    <row r="40" spans="2:50" x14ac:dyDescent="0.2">
      <c r="B40" s="186" t="s">
        <v>106</v>
      </c>
      <c r="C40">
        <v>5010.9805028023011</v>
      </c>
      <c r="D40">
        <v>5021.9633505252477</v>
      </c>
      <c r="E40">
        <v>503.2946782562517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534.383650237903</v>
      </c>
      <c r="AI40">
        <v>5354.0254360298286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2165.5963871792605</v>
      </c>
      <c r="AP40">
        <v>2169.510193221452</v>
      </c>
      <c r="AQ40">
        <v>543.34958272928066</v>
      </c>
      <c r="AR40">
        <v>544.31504319060355</v>
      </c>
      <c r="AS40">
        <v>5452.7377389875128</v>
      </c>
      <c r="AT40">
        <v>5462.2562017647024</v>
      </c>
      <c r="AU40">
        <v>5471.7042848759638</v>
      </c>
      <c r="AV40">
        <v>2192.4321858585163</v>
      </c>
      <c r="AW40">
        <v>2196.1532917444638</v>
      </c>
      <c r="AX40">
        <v>5499.611079538382</v>
      </c>
    </row>
    <row r="41" spans="2:50" x14ac:dyDescent="0.2">
      <c r="B41" s="186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2150.6620160047005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1254.8981519667666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2265.5790161579912</v>
      </c>
      <c r="AN41">
        <v>2269.7404217496323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1313.2090283702314</v>
      </c>
      <c r="AV41">
        <v>3288.648278787774</v>
      </c>
      <c r="AW41">
        <v>3294.2299376166952</v>
      </c>
      <c r="AX41">
        <v>3299.7666477230291</v>
      </c>
    </row>
    <row r="42" spans="2:50" x14ac:dyDescent="0.2">
      <c r="B42" s="186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6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20" t="s">
        <v>324</v>
      </c>
    </row>
    <row r="46" spans="2:50" x14ac:dyDescent="0.2">
      <c r="B46" s="118" t="s">
        <v>274</v>
      </c>
      <c r="C46" s="118" t="s">
        <v>92</v>
      </c>
      <c r="D46" s="119"/>
      <c r="E46" s="119"/>
      <c r="F46" s="119"/>
      <c r="G46" s="118" t="s">
        <v>93</v>
      </c>
      <c r="H46" s="119"/>
      <c r="I46" s="119"/>
      <c r="J46" s="119"/>
      <c r="K46" s="118" t="s">
        <v>94</v>
      </c>
      <c r="L46" s="119"/>
      <c r="M46" s="119"/>
      <c r="N46" s="119"/>
      <c r="O46" s="118" t="s">
        <v>95</v>
      </c>
      <c r="P46" s="119"/>
      <c r="Q46" s="119"/>
      <c r="R46" s="119"/>
      <c r="S46" s="118" t="s">
        <v>96</v>
      </c>
      <c r="T46" s="119"/>
      <c r="U46" s="119"/>
      <c r="V46" s="119"/>
      <c r="W46" s="118" t="s">
        <v>97</v>
      </c>
      <c r="X46" s="119"/>
      <c r="Y46" s="119"/>
      <c r="Z46" s="119"/>
      <c r="AA46" s="118" t="s">
        <v>98</v>
      </c>
      <c r="AB46" s="119"/>
      <c r="AC46" s="119"/>
      <c r="AD46" s="119"/>
      <c r="AE46" s="118" t="s">
        <v>99</v>
      </c>
      <c r="AF46" s="119"/>
      <c r="AG46" s="119"/>
      <c r="AH46" s="119"/>
      <c r="AI46" s="118" t="s">
        <v>100</v>
      </c>
      <c r="AJ46" s="119"/>
      <c r="AK46" s="119"/>
      <c r="AL46" s="119"/>
      <c r="AM46" s="118" t="s">
        <v>101</v>
      </c>
      <c r="AN46" s="119"/>
      <c r="AO46" s="119"/>
      <c r="AP46" s="119"/>
      <c r="AQ46" s="118" t="s">
        <v>102</v>
      </c>
      <c r="AR46" s="119"/>
      <c r="AS46" s="119"/>
      <c r="AT46" s="119"/>
      <c r="AU46" s="118" t="s">
        <v>103</v>
      </c>
      <c r="AV46" s="119"/>
      <c r="AW46" s="119"/>
    </row>
    <row r="47" spans="2:50" x14ac:dyDescent="0.2">
      <c r="B47" s="118" t="s">
        <v>325</v>
      </c>
      <c r="C47" s="118">
        <v>1</v>
      </c>
      <c r="D47" s="118">
        <v>2</v>
      </c>
      <c r="E47" s="118">
        <v>3</v>
      </c>
      <c r="F47" s="118">
        <v>4</v>
      </c>
      <c r="G47" s="118">
        <v>1</v>
      </c>
      <c r="H47" s="118">
        <v>2</v>
      </c>
      <c r="I47" s="118">
        <v>3</v>
      </c>
      <c r="J47" s="118">
        <v>4</v>
      </c>
      <c r="K47" s="118">
        <v>1</v>
      </c>
      <c r="L47" s="118">
        <v>2</v>
      </c>
      <c r="M47" s="118">
        <v>3</v>
      </c>
      <c r="N47" s="118">
        <v>4</v>
      </c>
      <c r="O47" s="118">
        <v>1</v>
      </c>
      <c r="P47" s="118">
        <v>2</v>
      </c>
      <c r="Q47" s="118">
        <v>3</v>
      </c>
      <c r="R47" s="118">
        <v>4</v>
      </c>
      <c r="S47" s="118">
        <v>1</v>
      </c>
      <c r="T47" s="118">
        <v>2</v>
      </c>
      <c r="U47" s="118">
        <v>3</v>
      </c>
      <c r="V47" s="118">
        <v>4</v>
      </c>
      <c r="W47" s="118">
        <v>1</v>
      </c>
      <c r="X47" s="118">
        <v>2</v>
      </c>
      <c r="Y47" s="118">
        <v>3</v>
      </c>
      <c r="Z47" s="118">
        <v>4</v>
      </c>
      <c r="AA47" s="118">
        <v>1</v>
      </c>
      <c r="AB47" s="118">
        <v>2</v>
      </c>
      <c r="AC47" s="118">
        <v>3</v>
      </c>
      <c r="AD47" s="118">
        <v>4</v>
      </c>
      <c r="AE47" s="118">
        <v>1</v>
      </c>
      <c r="AF47" s="118">
        <v>2</v>
      </c>
      <c r="AG47" s="118">
        <v>3</v>
      </c>
      <c r="AH47" s="118">
        <v>4</v>
      </c>
      <c r="AI47" s="118">
        <v>1</v>
      </c>
      <c r="AJ47" s="118">
        <v>2</v>
      </c>
      <c r="AK47" s="118">
        <v>3</v>
      </c>
      <c r="AL47" s="118">
        <v>4</v>
      </c>
      <c r="AM47" s="118">
        <v>1</v>
      </c>
      <c r="AN47" s="118">
        <v>2</v>
      </c>
      <c r="AO47" s="118">
        <v>3</v>
      </c>
      <c r="AP47" s="118">
        <v>4</v>
      </c>
      <c r="AQ47" s="118">
        <v>1</v>
      </c>
      <c r="AR47" s="118">
        <v>2</v>
      </c>
      <c r="AS47" s="118">
        <v>3</v>
      </c>
      <c r="AT47" s="118">
        <v>4</v>
      </c>
      <c r="AU47" s="118">
        <v>1</v>
      </c>
      <c r="AV47" s="118">
        <v>2</v>
      </c>
      <c r="AW47" s="118">
        <v>3</v>
      </c>
      <c r="AX47" s="118">
        <v>4</v>
      </c>
    </row>
    <row r="48" spans="2:50" x14ac:dyDescent="0.2">
      <c r="B48" s="118" t="s">
        <v>104</v>
      </c>
      <c r="C48">
        <v>939.86761905794799</v>
      </c>
      <c r="D48">
        <v>939.86761905794799</v>
      </c>
      <c r="E48">
        <v>939.86761905794799</v>
      </c>
      <c r="F48">
        <v>939.86761905794799</v>
      </c>
      <c r="G48">
        <v>939.8676190579481</v>
      </c>
      <c r="H48">
        <v>939.8676190579481</v>
      </c>
      <c r="I48">
        <v>939.8676190579481</v>
      </c>
      <c r="J48">
        <v>939.8676190579481</v>
      </c>
      <c r="K48">
        <v>939.8676190579481</v>
      </c>
      <c r="L48">
        <v>939.8676190579481</v>
      </c>
      <c r="M48">
        <v>939.8676190579481</v>
      </c>
      <c r="N48">
        <v>939.8676190579481</v>
      </c>
      <c r="O48">
        <v>939.8676190579481</v>
      </c>
      <c r="P48">
        <v>939.8676190579481</v>
      </c>
      <c r="Q48">
        <v>939.8676190579481</v>
      </c>
      <c r="R48">
        <v>939.8676190579481</v>
      </c>
      <c r="S48">
        <v>939.8676190579481</v>
      </c>
      <c r="T48">
        <v>939.8676190579481</v>
      </c>
      <c r="U48">
        <v>939.8676190579481</v>
      </c>
      <c r="V48">
        <v>939.8676190579481</v>
      </c>
      <c r="W48">
        <v>939.8676190579481</v>
      </c>
      <c r="X48">
        <v>939.8676190579481</v>
      </c>
      <c r="Y48">
        <v>939.8676190579481</v>
      </c>
      <c r="Z48">
        <v>939.8676190579481</v>
      </c>
      <c r="AA48">
        <v>939.8676190579481</v>
      </c>
      <c r="AB48">
        <v>939.8676190579481</v>
      </c>
      <c r="AC48">
        <v>939.8676190579481</v>
      </c>
      <c r="AD48">
        <v>939.8676190579481</v>
      </c>
      <c r="AE48">
        <v>939.8676190579481</v>
      </c>
      <c r="AF48">
        <v>939.8676190579481</v>
      </c>
      <c r="AG48">
        <v>939.8676190579481</v>
      </c>
      <c r="AH48">
        <v>939.8676190579481</v>
      </c>
      <c r="AI48">
        <v>939.8676190579481</v>
      </c>
      <c r="AJ48">
        <v>939.8676190579481</v>
      </c>
      <c r="AK48">
        <v>939.8676190579481</v>
      </c>
      <c r="AL48">
        <v>939.8676190579481</v>
      </c>
      <c r="AM48">
        <v>939.8676190579481</v>
      </c>
      <c r="AN48">
        <v>939.8676190579481</v>
      </c>
      <c r="AO48">
        <v>939.8676190579481</v>
      </c>
      <c r="AP48">
        <v>939.8676190579481</v>
      </c>
      <c r="AQ48">
        <v>939.8676190579481</v>
      </c>
      <c r="AR48">
        <v>939.8676190579481</v>
      </c>
      <c r="AS48">
        <v>939.8676190579481</v>
      </c>
      <c r="AT48">
        <v>939.8676190579481</v>
      </c>
      <c r="AU48">
        <v>939.8676190579481</v>
      </c>
      <c r="AV48">
        <v>939.8676190579481</v>
      </c>
      <c r="AW48">
        <v>939.8676190579481</v>
      </c>
      <c r="AX48">
        <v>939.8676190579481</v>
      </c>
    </row>
    <row r="49" spans="2:51" x14ac:dyDescent="0.2">
      <c r="B49" s="118" t="s">
        <v>105</v>
      </c>
      <c r="C49">
        <v>3075.7372188243826</v>
      </c>
      <c r="D49">
        <v>3075.7372188243826</v>
      </c>
      <c r="E49">
        <v>3075.7372188243826</v>
      </c>
      <c r="F49">
        <v>3075.7372188243826</v>
      </c>
      <c r="G49">
        <v>3075.7372188243826</v>
      </c>
      <c r="H49">
        <v>3075.7372188243826</v>
      </c>
      <c r="I49">
        <v>3075.7372188243826</v>
      </c>
      <c r="J49">
        <v>3075.7372188243826</v>
      </c>
      <c r="K49">
        <v>3075.7372188243826</v>
      </c>
      <c r="L49">
        <v>3075.7372188243826</v>
      </c>
      <c r="M49">
        <v>3075.7372188243826</v>
      </c>
      <c r="N49">
        <v>3075.7372188243826</v>
      </c>
      <c r="O49">
        <v>3075.7372188243826</v>
      </c>
      <c r="P49">
        <v>3075.7372188243826</v>
      </c>
      <c r="Q49">
        <v>3075.7372188243826</v>
      </c>
      <c r="R49">
        <v>3075.7372188243826</v>
      </c>
      <c r="S49">
        <v>3075.7372188243826</v>
      </c>
      <c r="T49">
        <v>3075.7372188243826</v>
      </c>
      <c r="U49">
        <v>3075.7372188243826</v>
      </c>
      <c r="V49">
        <v>3075.7372188243826</v>
      </c>
      <c r="W49">
        <v>3075.7372188243826</v>
      </c>
      <c r="X49">
        <v>3075.7372188243826</v>
      </c>
      <c r="Y49">
        <v>3075.7372188243826</v>
      </c>
      <c r="Z49">
        <v>3075.7372188243826</v>
      </c>
      <c r="AA49">
        <v>3075.7372188243826</v>
      </c>
      <c r="AB49">
        <v>3075.7372188243826</v>
      </c>
      <c r="AC49">
        <v>3075.7372188243826</v>
      </c>
      <c r="AD49">
        <v>3075.7372188243826</v>
      </c>
      <c r="AE49">
        <v>3075.7372188243826</v>
      </c>
      <c r="AF49">
        <v>3075.7372188243826</v>
      </c>
      <c r="AG49">
        <v>3075.7372188243826</v>
      </c>
      <c r="AH49">
        <v>3075.7372188243826</v>
      </c>
      <c r="AI49">
        <v>3075.7372188243826</v>
      </c>
      <c r="AJ49">
        <v>3075.7372188243826</v>
      </c>
      <c r="AK49">
        <v>3075.7372188243826</v>
      </c>
      <c r="AL49">
        <v>3075.7372188243826</v>
      </c>
      <c r="AM49">
        <v>3075.7372188243826</v>
      </c>
      <c r="AN49">
        <v>3075.7372188243826</v>
      </c>
      <c r="AO49">
        <v>3075.7372188243826</v>
      </c>
      <c r="AP49">
        <v>3075.7372188243826</v>
      </c>
      <c r="AQ49">
        <v>3075.7372188243826</v>
      </c>
      <c r="AR49">
        <v>3075.7372188243826</v>
      </c>
      <c r="AS49">
        <v>3075.7372188243826</v>
      </c>
      <c r="AT49">
        <v>3075.7372188243826</v>
      </c>
      <c r="AU49">
        <v>3075.7372188243826</v>
      </c>
      <c r="AV49">
        <v>3075.7372188243826</v>
      </c>
      <c r="AW49">
        <v>3075.7372188243826</v>
      </c>
      <c r="AX49">
        <v>3075.7372188243826</v>
      </c>
    </row>
    <row r="50" spans="2:51" x14ac:dyDescent="0.2">
      <c r="B50" s="118" t="s">
        <v>106</v>
      </c>
      <c r="C50">
        <v>2896.2440953518885</v>
      </c>
      <c r="D50">
        <v>2896.2440953518885</v>
      </c>
      <c r="E50">
        <v>503.2946782562517</v>
      </c>
      <c r="F50">
        <v>2896.2440953518885</v>
      </c>
      <c r="G50">
        <v>2896.2440953518885</v>
      </c>
      <c r="H50">
        <v>2896.2440953518885</v>
      </c>
      <c r="I50">
        <v>2896.2440953518885</v>
      </c>
      <c r="J50">
        <v>2896.2440953518885</v>
      </c>
      <c r="K50">
        <v>2896.2440953518885</v>
      </c>
      <c r="L50">
        <v>2896.2440953518885</v>
      </c>
      <c r="M50">
        <v>2896.2440953518885</v>
      </c>
      <c r="N50">
        <v>2896.2440953518885</v>
      </c>
      <c r="O50">
        <v>2896.2440953518885</v>
      </c>
      <c r="P50">
        <v>2896.2440953518885</v>
      </c>
      <c r="Q50">
        <v>2896.2440953518885</v>
      </c>
      <c r="R50">
        <v>2896.2440953518885</v>
      </c>
      <c r="S50">
        <v>2896.2440953518885</v>
      </c>
      <c r="T50">
        <v>2896.2440953518885</v>
      </c>
      <c r="U50">
        <v>2896.2440953518885</v>
      </c>
      <c r="V50">
        <v>2896.2440953518885</v>
      </c>
      <c r="W50">
        <v>2896.2440953518885</v>
      </c>
      <c r="X50">
        <v>2896.2440953518885</v>
      </c>
      <c r="Y50">
        <v>2896.2440953518885</v>
      </c>
      <c r="Z50">
        <v>2896.2440953518885</v>
      </c>
      <c r="AA50">
        <v>2896.2440953518885</v>
      </c>
      <c r="AB50">
        <v>2896.2440953518885</v>
      </c>
      <c r="AC50">
        <v>2896.2440953518885</v>
      </c>
      <c r="AD50">
        <v>2896.2440953518885</v>
      </c>
      <c r="AE50">
        <v>2896.2440953518885</v>
      </c>
      <c r="AF50">
        <v>2896.2440953518885</v>
      </c>
      <c r="AG50">
        <v>2896.2440953518885</v>
      </c>
      <c r="AH50">
        <v>534.383650237903</v>
      </c>
      <c r="AI50">
        <v>2896.2440953518885</v>
      </c>
      <c r="AJ50">
        <v>2896.2440953518885</v>
      </c>
      <c r="AK50">
        <v>2896.2440953518885</v>
      </c>
      <c r="AL50">
        <v>2896.2440953518885</v>
      </c>
      <c r="AM50">
        <v>2896.2440953518885</v>
      </c>
      <c r="AN50">
        <v>2896.2440953518885</v>
      </c>
      <c r="AO50">
        <v>2165.5963871792605</v>
      </c>
      <c r="AP50">
        <v>2169.510193221452</v>
      </c>
      <c r="AQ50">
        <v>543.34958272928066</v>
      </c>
      <c r="AR50">
        <v>544.31504319060355</v>
      </c>
      <c r="AS50">
        <v>2896.2440953518885</v>
      </c>
      <c r="AT50">
        <v>2896.2440953518885</v>
      </c>
      <c r="AU50">
        <v>2896.2440953518885</v>
      </c>
      <c r="AV50">
        <v>2192.4321858585163</v>
      </c>
      <c r="AW50">
        <v>2196.1532917444638</v>
      </c>
      <c r="AX50">
        <v>2896.2440953518885</v>
      </c>
      <c r="AY50" s="128"/>
    </row>
    <row r="51" spans="2:51" x14ac:dyDescent="0.2">
      <c r="B51" s="118" t="s">
        <v>107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 s="9"/>
    </row>
    <row r="52" spans="2:51" x14ac:dyDescent="0.2">
      <c r="B52" s="118" t="s">
        <v>108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</row>
    <row r="53" spans="2:51" x14ac:dyDescent="0.2">
      <c r="B53" s="118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2" t="s">
        <v>274</v>
      </c>
      <c r="C56" s="122" t="s">
        <v>92</v>
      </c>
      <c r="D56" s="119"/>
      <c r="E56" s="119"/>
      <c r="F56" s="119"/>
      <c r="G56" s="122" t="s">
        <v>93</v>
      </c>
      <c r="H56" s="119"/>
      <c r="I56" s="119"/>
      <c r="J56" s="119"/>
      <c r="K56" s="122" t="s">
        <v>94</v>
      </c>
      <c r="L56" s="119"/>
      <c r="M56" s="119"/>
      <c r="N56" s="119"/>
      <c r="O56" s="122" t="s">
        <v>95</v>
      </c>
      <c r="P56" s="119"/>
      <c r="Q56" s="119"/>
      <c r="R56" s="119"/>
      <c r="S56" s="122" t="s">
        <v>96</v>
      </c>
      <c r="T56" s="119"/>
      <c r="U56" s="119"/>
      <c r="V56" s="119"/>
      <c r="W56" s="122" t="s">
        <v>97</v>
      </c>
      <c r="X56" s="119"/>
      <c r="Y56" s="119"/>
      <c r="Z56" s="119"/>
      <c r="AA56" s="122" t="s">
        <v>98</v>
      </c>
      <c r="AB56" s="119"/>
      <c r="AC56" s="119"/>
      <c r="AD56" s="119"/>
      <c r="AE56" s="122" t="s">
        <v>99</v>
      </c>
      <c r="AF56" s="119"/>
      <c r="AG56" s="119"/>
      <c r="AH56" s="119"/>
      <c r="AI56" s="122" t="s">
        <v>100</v>
      </c>
      <c r="AJ56" s="119"/>
      <c r="AK56" s="119"/>
      <c r="AL56" s="119"/>
      <c r="AM56" s="122" t="s">
        <v>101</v>
      </c>
      <c r="AN56" s="119"/>
      <c r="AO56" s="119"/>
      <c r="AP56" s="119"/>
      <c r="AQ56" s="122" t="s">
        <v>102</v>
      </c>
      <c r="AR56" s="119"/>
      <c r="AS56" s="119"/>
      <c r="AT56" s="119"/>
      <c r="AU56" s="122" t="s">
        <v>103</v>
      </c>
      <c r="AV56" s="119"/>
      <c r="AW56" s="119"/>
    </row>
    <row r="57" spans="2:51" x14ac:dyDescent="0.2">
      <c r="B57" s="122" t="s">
        <v>325</v>
      </c>
      <c r="C57" s="122">
        <v>1</v>
      </c>
      <c r="D57" s="122">
        <v>2</v>
      </c>
      <c r="E57" s="122">
        <v>3</v>
      </c>
      <c r="F57" s="122">
        <v>4</v>
      </c>
      <c r="G57" s="122">
        <v>1</v>
      </c>
      <c r="H57" s="122">
        <v>2</v>
      </c>
      <c r="I57" s="122">
        <v>3</v>
      </c>
      <c r="J57" s="122">
        <v>4</v>
      </c>
      <c r="K57" s="122">
        <v>1</v>
      </c>
      <c r="L57" s="122">
        <v>2</v>
      </c>
      <c r="M57" s="122">
        <v>3</v>
      </c>
      <c r="N57" s="122">
        <v>4</v>
      </c>
      <c r="O57" s="122">
        <v>1</v>
      </c>
      <c r="P57" s="122">
        <v>2</v>
      </c>
      <c r="Q57" s="122">
        <v>3</v>
      </c>
      <c r="R57" s="122">
        <v>4</v>
      </c>
      <c r="S57" s="122">
        <v>1</v>
      </c>
      <c r="T57" s="122">
        <v>2</v>
      </c>
      <c r="U57" s="122">
        <v>3</v>
      </c>
      <c r="V57" s="122">
        <v>4</v>
      </c>
      <c r="W57" s="122">
        <v>1</v>
      </c>
      <c r="X57" s="122">
        <v>2</v>
      </c>
      <c r="Y57" s="122">
        <v>3</v>
      </c>
      <c r="Z57" s="122">
        <v>4</v>
      </c>
      <c r="AA57" s="122">
        <v>1</v>
      </c>
      <c r="AB57" s="122">
        <v>2</v>
      </c>
      <c r="AC57" s="122">
        <v>3</v>
      </c>
      <c r="AD57" s="122">
        <v>4</v>
      </c>
      <c r="AE57" s="122">
        <v>1</v>
      </c>
      <c r="AF57" s="122">
        <v>2</v>
      </c>
      <c r="AG57" s="122">
        <v>3</v>
      </c>
      <c r="AH57" s="122">
        <v>4</v>
      </c>
      <c r="AI57" s="122">
        <v>1</v>
      </c>
      <c r="AJ57" s="122">
        <v>2</v>
      </c>
      <c r="AK57" s="122">
        <v>3</v>
      </c>
      <c r="AL57" s="122">
        <v>4</v>
      </c>
      <c r="AM57" s="122">
        <v>1</v>
      </c>
      <c r="AN57" s="122">
        <v>2</v>
      </c>
      <c r="AO57" s="122">
        <v>3</v>
      </c>
      <c r="AP57" s="122">
        <v>4</v>
      </c>
      <c r="AQ57" s="122">
        <v>1</v>
      </c>
      <c r="AR57" s="122">
        <v>2</v>
      </c>
      <c r="AS57" s="122">
        <v>3</v>
      </c>
      <c r="AT57" s="122">
        <v>4</v>
      </c>
      <c r="AU57" s="122">
        <v>1</v>
      </c>
      <c r="AV57" s="122">
        <v>2</v>
      </c>
      <c r="AW57" s="122">
        <v>3</v>
      </c>
      <c r="AX57" s="122">
        <v>4</v>
      </c>
    </row>
    <row r="58" spans="2:51" x14ac:dyDescent="0.2">
      <c r="B58" s="122" t="s">
        <v>104</v>
      </c>
      <c r="C58">
        <v>1050462.2698330185</v>
      </c>
      <c r="D58">
        <v>1050462.2698330185</v>
      </c>
      <c r="E58">
        <v>1050462.2698330185</v>
      </c>
      <c r="F58">
        <v>1050462.2698330185</v>
      </c>
      <c r="G58">
        <v>1039840.2396609375</v>
      </c>
      <c r="H58">
        <v>1039840.2396609375</v>
      </c>
      <c r="I58">
        <v>1039840.2396609375</v>
      </c>
      <c r="J58">
        <v>1039840.2396609375</v>
      </c>
      <c r="K58">
        <v>1322335.1761386015</v>
      </c>
      <c r="L58">
        <v>1322335.1761386015</v>
      </c>
      <c r="M58">
        <v>1322335.1761386015</v>
      </c>
      <c r="N58">
        <v>1322335.1761386015</v>
      </c>
      <c r="O58">
        <v>1216112.0836629756</v>
      </c>
      <c r="P58">
        <v>1216112.0836629756</v>
      </c>
      <c r="Q58">
        <v>1216112.0836629756</v>
      </c>
      <c r="R58">
        <v>1216112.0836629756</v>
      </c>
      <c r="S58">
        <v>1275775.3893086596</v>
      </c>
      <c r="T58">
        <v>1275775.3893086596</v>
      </c>
      <c r="U58">
        <v>1275775.3893086596</v>
      </c>
      <c r="V58">
        <v>1275775.3893086596</v>
      </c>
      <c r="W58">
        <v>1821511.8947621728</v>
      </c>
      <c r="X58">
        <v>1821511.8947621728</v>
      </c>
      <c r="Y58">
        <v>1821511.8947621728</v>
      </c>
      <c r="Z58">
        <v>1821511.8947621728</v>
      </c>
      <c r="AA58">
        <v>1550441.3319147604</v>
      </c>
      <c r="AB58">
        <v>1550441.3319147604</v>
      </c>
      <c r="AC58">
        <v>1550441.3319147604</v>
      </c>
      <c r="AD58">
        <v>1550441.3319147604</v>
      </c>
      <c r="AE58">
        <v>1287879.2775277775</v>
      </c>
      <c r="AF58">
        <v>1287879.2775277775</v>
      </c>
      <c r="AG58">
        <v>1287879.2775277775</v>
      </c>
      <c r="AH58">
        <v>1287879.2775277775</v>
      </c>
      <c r="AI58">
        <v>1233284.4199134021</v>
      </c>
      <c r="AJ58">
        <v>1233284.4199134021</v>
      </c>
      <c r="AK58">
        <v>1233284.4199134021</v>
      </c>
      <c r="AL58">
        <v>1233284.4199134021</v>
      </c>
      <c r="AM58">
        <v>1092421.7037728159</v>
      </c>
      <c r="AN58">
        <v>1092421.7037728159</v>
      </c>
      <c r="AO58">
        <v>1092421.7037728159</v>
      </c>
      <c r="AP58">
        <v>1092421.7037728159</v>
      </c>
      <c r="AQ58">
        <v>1255211.1879163021</v>
      </c>
      <c r="AR58">
        <v>1255211.1879163021</v>
      </c>
      <c r="AS58">
        <v>1255211.1879163021</v>
      </c>
      <c r="AT58">
        <v>1255211.1879163021</v>
      </c>
      <c r="AU58">
        <v>1021478.6405525533</v>
      </c>
      <c r="AV58">
        <v>1021478.6405525533</v>
      </c>
      <c r="AW58">
        <v>1021478.6405525533</v>
      </c>
      <c r="AX58">
        <v>1021478.6405525533</v>
      </c>
    </row>
    <row r="59" spans="2:51" x14ac:dyDescent="0.2">
      <c r="B59" s="122" t="s">
        <v>105</v>
      </c>
      <c r="C59">
        <v>4367670.412342242</v>
      </c>
      <c r="D59">
        <v>4367670.412342242</v>
      </c>
      <c r="E59">
        <v>4367670.412342242</v>
      </c>
      <c r="F59">
        <v>4367670.412342242</v>
      </c>
      <c r="G59">
        <v>4547539.1231399719</v>
      </c>
      <c r="H59">
        <v>4547539.1231399719</v>
      </c>
      <c r="I59">
        <v>4547539.1231399719</v>
      </c>
      <c r="J59">
        <v>4547539.1231399719</v>
      </c>
      <c r="K59">
        <v>5297053.2184463125</v>
      </c>
      <c r="L59">
        <v>5297053.2184463125</v>
      </c>
      <c r="M59">
        <v>5297053.2184463125</v>
      </c>
      <c r="N59">
        <v>5297053.2184463125</v>
      </c>
      <c r="O59">
        <v>4128176.4031225629</v>
      </c>
      <c r="P59">
        <v>4128176.4031225629</v>
      </c>
      <c r="Q59">
        <v>4128176.4031225629</v>
      </c>
      <c r="R59">
        <v>4128176.4031225629</v>
      </c>
      <c r="S59">
        <v>4007790.3630173774</v>
      </c>
      <c r="T59">
        <v>4007790.3630173774</v>
      </c>
      <c r="U59">
        <v>4007790.3630173774</v>
      </c>
      <c r="V59">
        <v>4007790.3630173774</v>
      </c>
      <c r="W59">
        <v>4197893.6955224695</v>
      </c>
      <c r="X59">
        <v>4197893.6955224695</v>
      </c>
      <c r="Y59">
        <v>4197893.6955224695</v>
      </c>
      <c r="Z59">
        <v>4197893.6955224695</v>
      </c>
      <c r="AA59">
        <v>4803958.0079158302</v>
      </c>
      <c r="AB59">
        <v>4803958.0079158302</v>
      </c>
      <c r="AC59">
        <v>4803958.0079158302</v>
      </c>
      <c r="AD59">
        <v>4803958.0079158302</v>
      </c>
      <c r="AE59">
        <v>4345973.9658723976</v>
      </c>
      <c r="AF59">
        <v>4345973.9658723976</v>
      </c>
      <c r="AG59">
        <v>4345973.9658723976</v>
      </c>
      <c r="AH59">
        <v>4345973.9658723976</v>
      </c>
      <c r="AI59">
        <v>4162712.5595195694</v>
      </c>
      <c r="AJ59">
        <v>4162712.5595195694</v>
      </c>
      <c r="AK59">
        <v>4162712.5595195694</v>
      </c>
      <c r="AL59">
        <v>4162712.5595195694</v>
      </c>
      <c r="AM59">
        <v>4344964.2298913933</v>
      </c>
      <c r="AN59">
        <v>4344964.2298913933</v>
      </c>
      <c r="AO59">
        <v>4344964.2298913933</v>
      </c>
      <c r="AP59">
        <v>4344964.2298913933</v>
      </c>
      <c r="AQ59">
        <v>4381967.6706325356</v>
      </c>
      <c r="AR59">
        <v>4381967.6706325356</v>
      </c>
      <c r="AS59">
        <v>4381967.6706325356</v>
      </c>
      <c r="AT59">
        <v>4381967.6706325356</v>
      </c>
      <c r="AU59">
        <v>4408207.6047905441</v>
      </c>
      <c r="AV59">
        <v>4408207.6047905441</v>
      </c>
      <c r="AW59">
        <v>4408207.6047905441</v>
      </c>
      <c r="AX59">
        <v>4408207.6047905441</v>
      </c>
    </row>
    <row r="60" spans="2:51" x14ac:dyDescent="0.2">
      <c r="B60" s="122" t="s">
        <v>106</v>
      </c>
      <c r="C60">
        <v>4766011.7701520743</v>
      </c>
      <c r="D60">
        <v>4766011.7701520743</v>
      </c>
      <c r="E60">
        <v>828213.4659415707</v>
      </c>
      <c r="F60">
        <v>4766011.7701520743</v>
      </c>
      <c r="G60">
        <v>4312569.4855617629</v>
      </c>
      <c r="H60">
        <v>4312569.4855617629</v>
      </c>
      <c r="I60">
        <v>4312569.4855617629</v>
      </c>
      <c r="J60">
        <v>4312569.4855617629</v>
      </c>
      <c r="K60">
        <v>4024738.5868157973</v>
      </c>
      <c r="L60">
        <v>4024738.5868157973</v>
      </c>
      <c r="M60">
        <v>4024738.5868157973</v>
      </c>
      <c r="N60">
        <v>4024738.5868157973</v>
      </c>
      <c r="O60">
        <v>3993769.0820909343</v>
      </c>
      <c r="P60">
        <v>3993769.0820909343</v>
      </c>
      <c r="Q60">
        <v>3993769.0820909343</v>
      </c>
      <c r="R60">
        <v>3993769.0820909343</v>
      </c>
      <c r="S60">
        <v>3926053.1877673916</v>
      </c>
      <c r="T60">
        <v>3926053.1877673916</v>
      </c>
      <c r="U60">
        <v>3926053.1877673916</v>
      </c>
      <c r="V60">
        <v>3926053.1877673916</v>
      </c>
      <c r="W60">
        <v>4206096.6543850005</v>
      </c>
      <c r="X60">
        <v>4206096.6543850005</v>
      </c>
      <c r="Y60">
        <v>4206096.6543850005</v>
      </c>
      <c r="Z60">
        <v>4206096.6543850005</v>
      </c>
      <c r="AA60">
        <v>4242994.0087765148</v>
      </c>
      <c r="AB60">
        <v>4242994.0087765148</v>
      </c>
      <c r="AC60">
        <v>4242994.0087765148</v>
      </c>
      <c r="AD60">
        <v>4242994.0087765148</v>
      </c>
      <c r="AE60">
        <v>4667441.4125898723</v>
      </c>
      <c r="AF60">
        <v>4667441.4125898723</v>
      </c>
      <c r="AG60">
        <v>4667441.4125898723</v>
      </c>
      <c r="AH60">
        <v>861185.83144777664</v>
      </c>
      <c r="AI60">
        <v>4015992.4918688368</v>
      </c>
      <c r="AJ60">
        <v>4015992.4918688368</v>
      </c>
      <c r="AK60">
        <v>4015992.4918688368</v>
      </c>
      <c r="AL60">
        <v>4015992.4918688368</v>
      </c>
      <c r="AM60">
        <v>4766836.6849549403</v>
      </c>
      <c r="AN60">
        <v>4766836.6849549403</v>
      </c>
      <c r="AO60">
        <v>3564286.6979959263</v>
      </c>
      <c r="AP60">
        <v>3570728.3077516984</v>
      </c>
      <c r="AQ60">
        <v>1030210.4342229577</v>
      </c>
      <c r="AR60">
        <v>1032040.9821293138</v>
      </c>
      <c r="AS60">
        <v>5491383.4148921575</v>
      </c>
      <c r="AT60">
        <v>5491383.4148921575</v>
      </c>
      <c r="AU60">
        <v>4879130.6042186134</v>
      </c>
      <c r="AV60">
        <v>3693460.4347968507</v>
      </c>
      <c r="AW60">
        <v>3699729.1611237521</v>
      </c>
      <c r="AX60">
        <v>4879130.6042186134</v>
      </c>
    </row>
    <row r="61" spans="2:51" x14ac:dyDescent="0.2">
      <c r="B61" s="122" t="s">
        <v>107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</row>
    <row r="62" spans="2:51" x14ac:dyDescent="0.2">
      <c r="B62" s="122" t="s">
        <v>108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</row>
    <row r="63" spans="2:51" x14ac:dyDescent="0.2">
      <c r="B63" s="122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</row>
    <row r="64" spans="2:51" x14ac:dyDescent="0.2">
      <c r="B64" s="119"/>
    </row>
    <row r="65" spans="1:14" x14ac:dyDescent="0.2">
      <c r="B65" s="121" t="s">
        <v>327</v>
      </c>
    </row>
    <row r="66" spans="1:14" x14ac:dyDescent="0.2">
      <c r="B66" s="118" t="s">
        <v>328</v>
      </c>
      <c r="C66" s="118" t="s">
        <v>92</v>
      </c>
      <c r="D66" s="118" t="s">
        <v>93</v>
      </c>
      <c r="E66" s="118" t="s">
        <v>94</v>
      </c>
      <c r="F66" s="118" t="s">
        <v>95</v>
      </c>
      <c r="G66" s="118" t="s">
        <v>96</v>
      </c>
      <c r="H66" s="118" t="s">
        <v>97</v>
      </c>
      <c r="I66" s="118" t="s">
        <v>98</v>
      </c>
      <c r="J66" s="118" t="s">
        <v>99</v>
      </c>
      <c r="K66" s="118" t="s">
        <v>100</v>
      </c>
      <c r="L66" s="118" t="s">
        <v>101</v>
      </c>
      <c r="M66" s="118" t="s">
        <v>102</v>
      </c>
      <c r="N66" s="118" t="s">
        <v>103</v>
      </c>
    </row>
    <row r="67" spans="1:14" x14ac:dyDescent="0.2">
      <c r="B67" s="118" t="s">
        <v>329</v>
      </c>
      <c r="C67">
        <v>18000</v>
      </c>
      <c r="D67">
        <v>16000</v>
      </c>
      <c r="E67">
        <v>16000</v>
      </c>
      <c r="F67">
        <v>18000</v>
      </c>
      <c r="G67">
        <v>16000</v>
      </c>
      <c r="H67">
        <v>16000</v>
      </c>
      <c r="I67">
        <v>18000</v>
      </c>
      <c r="J67">
        <v>16000</v>
      </c>
      <c r="K67">
        <v>16000</v>
      </c>
      <c r="L67">
        <v>18000</v>
      </c>
      <c r="M67">
        <v>16000</v>
      </c>
      <c r="N67">
        <v>16000</v>
      </c>
    </row>
    <row r="68" spans="1:14" x14ac:dyDescent="0.2">
      <c r="B68" s="118" t="s">
        <v>330</v>
      </c>
      <c r="C68">
        <v>99000</v>
      </c>
      <c r="D68">
        <v>88000</v>
      </c>
      <c r="E68">
        <v>88000</v>
      </c>
      <c r="F68">
        <v>99000</v>
      </c>
      <c r="G68">
        <v>88000</v>
      </c>
      <c r="H68">
        <v>88000</v>
      </c>
      <c r="I68">
        <v>99000</v>
      </c>
      <c r="J68">
        <v>88000</v>
      </c>
      <c r="K68">
        <v>88000</v>
      </c>
      <c r="L68">
        <v>99000</v>
      </c>
      <c r="M68">
        <v>88000</v>
      </c>
      <c r="N68">
        <v>88000</v>
      </c>
    </row>
    <row r="70" spans="1:14" x14ac:dyDescent="0.2">
      <c r="B70" s="121" t="s">
        <v>331</v>
      </c>
    </row>
    <row r="71" spans="1:14" x14ac:dyDescent="0.2">
      <c r="A71" s="122" t="s">
        <v>121</v>
      </c>
      <c r="B71" s="122" t="s">
        <v>332</v>
      </c>
      <c r="C71" s="122" t="s">
        <v>22</v>
      </c>
      <c r="D71" s="122" t="s">
        <v>59</v>
      </c>
    </row>
    <row r="72" spans="1:14" x14ac:dyDescent="0.2">
      <c r="A72" s="122" t="s">
        <v>104</v>
      </c>
      <c r="B72" s="122" t="s">
        <v>92</v>
      </c>
      <c r="C72">
        <v>6292421.249400001</v>
      </c>
      <c r="D72">
        <v>19998530.8182</v>
      </c>
    </row>
    <row r="73" spans="1:14" x14ac:dyDescent="0.2">
      <c r="B73" s="122" t="s">
        <v>93</v>
      </c>
      <c r="C73">
        <v>5593263.3328000009</v>
      </c>
      <c r="D73">
        <v>17776471.838399999</v>
      </c>
    </row>
    <row r="74" spans="1:14" x14ac:dyDescent="0.2">
      <c r="B74" s="122" t="s">
        <v>94</v>
      </c>
      <c r="C74">
        <v>5593263.3328000009</v>
      </c>
      <c r="D74">
        <v>17776471.838399999</v>
      </c>
    </row>
    <row r="75" spans="1:14" x14ac:dyDescent="0.2">
      <c r="B75" s="122" t="s">
        <v>95</v>
      </c>
      <c r="C75">
        <v>6292421.249400001</v>
      </c>
      <c r="D75">
        <v>19998530.8182</v>
      </c>
    </row>
    <row r="76" spans="1:14" x14ac:dyDescent="0.2">
      <c r="B76" s="122" t="s">
        <v>96</v>
      </c>
      <c r="C76">
        <v>5593263.3328000009</v>
      </c>
      <c r="D76">
        <v>17776471.838399999</v>
      </c>
    </row>
    <row r="77" spans="1:14" x14ac:dyDescent="0.2">
      <c r="B77" s="122" t="s">
        <v>97</v>
      </c>
      <c r="C77">
        <v>5593263.3328000009</v>
      </c>
      <c r="D77">
        <v>17776471.838399999</v>
      </c>
    </row>
    <row r="78" spans="1:14" x14ac:dyDescent="0.2">
      <c r="B78" s="122" t="s">
        <v>98</v>
      </c>
      <c r="C78">
        <v>6292421.249400001</v>
      </c>
      <c r="D78">
        <v>19998530.8182</v>
      </c>
    </row>
    <row r="79" spans="1:14" x14ac:dyDescent="0.2">
      <c r="B79" s="122" t="s">
        <v>99</v>
      </c>
      <c r="C79">
        <v>5593263.3328000009</v>
      </c>
      <c r="D79">
        <v>17776471.838399999</v>
      </c>
    </row>
    <row r="80" spans="1:14" x14ac:dyDescent="0.2">
      <c r="B80" s="122" t="s">
        <v>100</v>
      </c>
      <c r="C80">
        <v>5593263.3328000009</v>
      </c>
      <c r="D80">
        <v>17776471.838399999</v>
      </c>
    </row>
    <row r="81" spans="2:50" x14ac:dyDescent="0.2">
      <c r="B81" s="122" t="s">
        <v>101</v>
      </c>
      <c r="C81">
        <v>6292421.249400001</v>
      </c>
      <c r="D81">
        <v>19998530.8182</v>
      </c>
    </row>
    <row r="82" spans="2:50" x14ac:dyDescent="0.2">
      <c r="B82" s="122" t="s">
        <v>102</v>
      </c>
      <c r="C82">
        <v>5593263.3328000009</v>
      </c>
      <c r="D82">
        <v>17776471.838399999</v>
      </c>
    </row>
    <row r="83" spans="2:50" x14ac:dyDescent="0.2">
      <c r="B83" s="122" t="s">
        <v>103</v>
      </c>
      <c r="C83">
        <v>5593263.3328000009</v>
      </c>
      <c r="D83">
        <v>17776471.838399999</v>
      </c>
    </row>
    <row r="85" spans="2:50" x14ac:dyDescent="0.2">
      <c r="B85" s="120" t="s">
        <v>333</v>
      </c>
    </row>
    <row r="86" spans="2:50" x14ac:dyDescent="0.2">
      <c r="B86" s="118" t="s">
        <v>274</v>
      </c>
      <c r="C86" s="118" t="s">
        <v>92</v>
      </c>
      <c r="D86" s="119"/>
      <c r="E86" s="119"/>
      <c r="F86" s="119"/>
      <c r="G86" s="118" t="s">
        <v>93</v>
      </c>
      <c r="H86" s="119"/>
      <c r="I86" s="119"/>
      <c r="J86" s="119"/>
      <c r="K86" s="118" t="s">
        <v>94</v>
      </c>
      <c r="L86" s="119"/>
      <c r="M86" s="119"/>
      <c r="N86" s="119"/>
      <c r="O86" s="118" t="s">
        <v>95</v>
      </c>
      <c r="P86" s="119"/>
      <c r="Q86" s="119"/>
      <c r="R86" s="119"/>
      <c r="S86" s="118" t="s">
        <v>96</v>
      </c>
      <c r="T86" s="119"/>
      <c r="U86" s="119"/>
      <c r="V86" s="119"/>
      <c r="W86" s="118" t="s">
        <v>97</v>
      </c>
      <c r="X86" s="119"/>
      <c r="Y86" s="119"/>
      <c r="Z86" s="119"/>
      <c r="AA86" s="118" t="s">
        <v>98</v>
      </c>
      <c r="AB86" s="119"/>
      <c r="AC86" s="119"/>
      <c r="AD86" s="119"/>
      <c r="AE86" s="118" t="s">
        <v>99</v>
      </c>
      <c r="AF86" s="119"/>
      <c r="AG86" s="119"/>
      <c r="AH86" s="119"/>
      <c r="AI86" s="118" t="s">
        <v>100</v>
      </c>
      <c r="AJ86" s="119"/>
      <c r="AK86" s="119"/>
      <c r="AL86" s="119"/>
      <c r="AM86" s="118" t="s">
        <v>101</v>
      </c>
      <c r="AN86" s="119"/>
      <c r="AO86" s="119"/>
      <c r="AP86" s="119"/>
      <c r="AQ86" s="118" t="s">
        <v>102</v>
      </c>
      <c r="AR86" s="119"/>
      <c r="AS86" s="119"/>
      <c r="AT86" s="119"/>
      <c r="AU86" s="118" t="s">
        <v>103</v>
      </c>
      <c r="AV86" s="119"/>
      <c r="AW86" s="119"/>
    </row>
    <row r="87" spans="2:50" x14ac:dyDescent="0.2">
      <c r="B87" s="118" t="s">
        <v>334</v>
      </c>
      <c r="C87" s="118">
        <v>1</v>
      </c>
      <c r="D87" s="118">
        <v>2</v>
      </c>
      <c r="E87" s="118">
        <v>3</v>
      </c>
      <c r="F87" s="118">
        <v>4</v>
      </c>
      <c r="G87" s="118">
        <v>1</v>
      </c>
      <c r="H87" s="118">
        <v>2</v>
      </c>
      <c r="I87" s="118">
        <v>3</v>
      </c>
      <c r="J87" s="118">
        <v>4</v>
      </c>
      <c r="K87" s="118">
        <v>1</v>
      </c>
      <c r="L87" s="118">
        <v>2</v>
      </c>
      <c r="M87" s="118">
        <v>3</v>
      </c>
      <c r="N87" s="118">
        <v>4</v>
      </c>
      <c r="O87" s="118">
        <v>1</v>
      </c>
      <c r="P87" s="118">
        <v>2</v>
      </c>
      <c r="Q87" s="118">
        <v>3</v>
      </c>
      <c r="R87" s="118">
        <v>4</v>
      </c>
      <c r="S87" s="118">
        <v>1</v>
      </c>
      <c r="T87" s="118">
        <v>2</v>
      </c>
      <c r="U87" s="118">
        <v>3</v>
      </c>
      <c r="V87" s="118">
        <v>4</v>
      </c>
      <c r="W87" s="118">
        <v>1</v>
      </c>
      <c r="X87" s="118">
        <v>2</v>
      </c>
      <c r="Y87" s="118">
        <v>3</v>
      </c>
      <c r="Z87" s="118">
        <v>4</v>
      </c>
      <c r="AA87" s="118">
        <v>1</v>
      </c>
      <c r="AB87" s="118">
        <v>2</v>
      </c>
      <c r="AC87" s="118">
        <v>3</v>
      </c>
      <c r="AD87" s="118">
        <v>4</v>
      </c>
      <c r="AE87" s="118">
        <v>1</v>
      </c>
      <c r="AF87" s="118">
        <v>2</v>
      </c>
      <c r="AG87" s="118">
        <v>3</v>
      </c>
      <c r="AH87" s="118">
        <v>4</v>
      </c>
      <c r="AI87" s="118">
        <v>1</v>
      </c>
      <c r="AJ87" s="118">
        <v>2</v>
      </c>
      <c r="AK87" s="118">
        <v>3</v>
      </c>
      <c r="AL87" s="118">
        <v>4</v>
      </c>
      <c r="AM87" s="118">
        <v>1</v>
      </c>
      <c r="AN87" s="118">
        <v>2</v>
      </c>
      <c r="AO87" s="118">
        <v>3</v>
      </c>
      <c r="AP87" s="118">
        <v>4</v>
      </c>
      <c r="AQ87" s="118">
        <v>1</v>
      </c>
      <c r="AR87" s="118">
        <v>2</v>
      </c>
      <c r="AS87" s="118">
        <v>3</v>
      </c>
      <c r="AT87" s="118">
        <v>4</v>
      </c>
      <c r="AU87" s="118">
        <v>1</v>
      </c>
      <c r="AV87" s="118">
        <v>2</v>
      </c>
      <c r="AW87" s="118">
        <v>3</v>
      </c>
      <c r="AX87" s="118">
        <v>4</v>
      </c>
    </row>
    <row r="88" spans="2:50" x14ac:dyDescent="0.2">
      <c r="B88" s="118" t="s">
        <v>104</v>
      </c>
      <c r="C88">
        <f>C48+$C$67/4</f>
        <v>5439.8676190579481</v>
      </c>
      <c r="D88">
        <f>D48+$C$67/4</f>
        <v>5439.8676190579481</v>
      </c>
      <c r="E88">
        <f>E48+$C$67/4</f>
        <v>5439.8676190579481</v>
      </c>
      <c r="F88">
        <f>F48+$C$67/4</f>
        <v>5439.8676190579481</v>
      </c>
      <c r="G88">
        <f>G48+$D$67/4</f>
        <v>4939.8676190579481</v>
      </c>
      <c r="H88">
        <f>H48+$D$67/4</f>
        <v>4939.8676190579481</v>
      </c>
      <c r="I88">
        <f>I48+$D$67/4</f>
        <v>4939.8676190579481</v>
      </c>
      <c r="J88">
        <f>J48+$D$67/4</f>
        <v>4939.8676190579481</v>
      </c>
      <c r="K88">
        <f>K48+$E$67/4</f>
        <v>4939.8676190579481</v>
      </c>
      <c r="L88">
        <f>L48+$E$67/4</f>
        <v>4939.8676190579481</v>
      </c>
      <c r="M88">
        <f>M48+$E$67/4</f>
        <v>4939.8676190579481</v>
      </c>
      <c r="N88">
        <f>N48+$E$67/4</f>
        <v>4939.8676190579481</v>
      </c>
      <c r="O88">
        <f>O48+$F$67/4</f>
        <v>5439.8676190579481</v>
      </c>
      <c r="P88">
        <f>P48+$F$67/4</f>
        <v>5439.8676190579481</v>
      </c>
      <c r="Q88">
        <f>Q48+$F$67/4</f>
        <v>5439.8676190579481</v>
      </c>
      <c r="R88">
        <f>R48+$F$67/4</f>
        <v>5439.8676190579481</v>
      </c>
      <c r="S88">
        <f>S48+$G$67/4</f>
        <v>4939.8676190579481</v>
      </c>
      <c r="T88">
        <f>T48+$G$67/4</f>
        <v>4939.8676190579481</v>
      </c>
      <c r="U88">
        <f>U48+$G$67/4</f>
        <v>4939.8676190579481</v>
      </c>
      <c r="V88">
        <f>V48+$G$67/4</f>
        <v>4939.8676190579481</v>
      </c>
      <c r="W88">
        <f>W48+$H$67/4</f>
        <v>4939.8676190579481</v>
      </c>
      <c r="X88">
        <f>X48+$H$67/4</f>
        <v>4939.8676190579481</v>
      </c>
      <c r="Y88">
        <f>Y48+$H$67/4</f>
        <v>4939.8676190579481</v>
      </c>
      <c r="Z88">
        <f>Z48+$H$67/4</f>
        <v>4939.8676190579481</v>
      </c>
      <c r="AA88">
        <f>AA48+$I$67/4</f>
        <v>5439.8676190579481</v>
      </c>
      <c r="AB88">
        <f>AB48+$I$67/4</f>
        <v>5439.8676190579481</v>
      </c>
      <c r="AC88">
        <f>AC48+$I$67/4</f>
        <v>5439.8676190579481</v>
      </c>
      <c r="AD88">
        <f>AD48+$I$67/4</f>
        <v>5439.8676190579481</v>
      </c>
      <c r="AE88">
        <f>AE48+$J$67/4</f>
        <v>4939.8676190579481</v>
      </c>
      <c r="AF88">
        <f>AF48+$J$67/4</f>
        <v>4939.8676190579481</v>
      </c>
      <c r="AG88">
        <f>AG48+$J$67/4</f>
        <v>4939.8676190579481</v>
      </c>
      <c r="AH88">
        <f>AH48+$J$67/4</f>
        <v>4939.8676190579481</v>
      </c>
      <c r="AI88">
        <f>AI48+$K$67/4</f>
        <v>4939.8676190579481</v>
      </c>
      <c r="AJ88">
        <f>AJ48+$K$67/4</f>
        <v>4939.8676190579481</v>
      </c>
      <c r="AK88">
        <f>AK48+$K$67/4</f>
        <v>4939.8676190579481</v>
      </c>
      <c r="AL88">
        <f>AL48+$K$67/4</f>
        <v>4939.8676190579481</v>
      </c>
      <c r="AM88">
        <f>AM48+$L$67/4</f>
        <v>5439.8676190579481</v>
      </c>
      <c r="AN88">
        <f>AN48+$L$67/4</f>
        <v>5439.8676190579481</v>
      </c>
      <c r="AO88">
        <f>AO48+$L$67/4</f>
        <v>5439.8676190579481</v>
      </c>
      <c r="AP88">
        <f>AP48+$L$67/4</f>
        <v>5439.8676190579481</v>
      </c>
      <c r="AQ88">
        <f>AQ48+$M$67/4</f>
        <v>4939.8676190579481</v>
      </c>
      <c r="AR88">
        <f>AR48+$M$67/4</f>
        <v>4939.8676190579481</v>
      </c>
      <c r="AS88">
        <f>AS48+$M$67/4</f>
        <v>4939.8676190579481</v>
      </c>
      <c r="AT88">
        <f>AT48+$M$67/4</f>
        <v>4939.8676190579481</v>
      </c>
      <c r="AU88">
        <f>AU48+$N$67/4</f>
        <v>4939.8676190579481</v>
      </c>
      <c r="AV88">
        <f>AV48+$N$67/4</f>
        <v>4939.8676190579481</v>
      </c>
      <c r="AW88">
        <f>AW48+$N$67/4</f>
        <v>4939.8676190579481</v>
      </c>
      <c r="AX88">
        <f>AX48+$N$67/4</f>
        <v>4939.8676190579481</v>
      </c>
    </row>
    <row r="89" spans="2:50" x14ac:dyDescent="0.2">
      <c r="B89" s="118" t="s">
        <v>105</v>
      </c>
      <c r="C89">
        <f>C49</f>
        <v>3075.7372188243826</v>
      </c>
      <c r="D89">
        <f t="shared" ref="D89:AX93" si="3">D49</f>
        <v>3075.7372188243826</v>
      </c>
      <c r="E89">
        <f t="shared" si="3"/>
        <v>3075.7372188243826</v>
      </c>
      <c r="F89">
        <f t="shared" si="3"/>
        <v>3075.7372188243826</v>
      </c>
      <c r="G89">
        <f t="shared" si="3"/>
        <v>3075.7372188243826</v>
      </c>
      <c r="H89">
        <f t="shared" si="3"/>
        <v>3075.7372188243826</v>
      </c>
      <c r="I89">
        <f t="shared" si="3"/>
        <v>3075.7372188243826</v>
      </c>
      <c r="J89">
        <f t="shared" si="3"/>
        <v>3075.7372188243826</v>
      </c>
      <c r="K89">
        <f t="shared" si="3"/>
        <v>3075.7372188243826</v>
      </c>
      <c r="L89">
        <f t="shared" si="3"/>
        <v>3075.7372188243826</v>
      </c>
      <c r="M89">
        <f t="shared" si="3"/>
        <v>3075.7372188243826</v>
      </c>
      <c r="N89">
        <f t="shared" si="3"/>
        <v>3075.7372188243826</v>
      </c>
      <c r="O89">
        <f t="shared" si="3"/>
        <v>3075.7372188243826</v>
      </c>
      <c r="P89">
        <f t="shared" si="3"/>
        <v>3075.7372188243826</v>
      </c>
      <c r="Q89">
        <f t="shared" si="3"/>
        <v>3075.7372188243826</v>
      </c>
      <c r="R89">
        <f t="shared" si="3"/>
        <v>3075.7372188243826</v>
      </c>
      <c r="S89">
        <f t="shared" si="3"/>
        <v>3075.7372188243826</v>
      </c>
      <c r="T89">
        <f t="shared" si="3"/>
        <v>3075.7372188243826</v>
      </c>
      <c r="U89">
        <f t="shared" si="3"/>
        <v>3075.7372188243826</v>
      </c>
      <c r="V89">
        <f t="shared" si="3"/>
        <v>3075.7372188243826</v>
      </c>
      <c r="W89">
        <f t="shared" si="3"/>
        <v>3075.7372188243826</v>
      </c>
      <c r="X89">
        <f t="shared" si="3"/>
        <v>3075.7372188243826</v>
      </c>
      <c r="Y89">
        <f t="shared" si="3"/>
        <v>3075.7372188243826</v>
      </c>
      <c r="Z89">
        <f t="shared" si="3"/>
        <v>3075.7372188243826</v>
      </c>
      <c r="AA89">
        <f t="shared" si="3"/>
        <v>3075.7372188243826</v>
      </c>
      <c r="AB89">
        <f t="shared" si="3"/>
        <v>3075.7372188243826</v>
      </c>
      <c r="AC89">
        <f t="shared" si="3"/>
        <v>3075.7372188243826</v>
      </c>
      <c r="AD89">
        <f t="shared" si="3"/>
        <v>3075.7372188243826</v>
      </c>
      <c r="AE89">
        <f t="shared" si="3"/>
        <v>3075.7372188243826</v>
      </c>
      <c r="AF89">
        <f t="shared" si="3"/>
        <v>3075.7372188243826</v>
      </c>
      <c r="AG89">
        <f t="shared" si="3"/>
        <v>3075.7372188243826</v>
      </c>
      <c r="AH89">
        <f t="shared" si="3"/>
        <v>3075.7372188243826</v>
      </c>
      <c r="AI89">
        <f t="shared" si="3"/>
        <v>3075.7372188243826</v>
      </c>
      <c r="AJ89">
        <f t="shared" si="3"/>
        <v>3075.7372188243826</v>
      </c>
      <c r="AK89">
        <f t="shared" si="3"/>
        <v>3075.7372188243826</v>
      </c>
      <c r="AL89">
        <f t="shared" si="3"/>
        <v>3075.7372188243826</v>
      </c>
      <c r="AM89">
        <f t="shared" si="3"/>
        <v>3075.7372188243826</v>
      </c>
      <c r="AN89">
        <f t="shared" si="3"/>
        <v>3075.7372188243826</v>
      </c>
      <c r="AO89">
        <f t="shared" si="3"/>
        <v>3075.7372188243826</v>
      </c>
      <c r="AP89">
        <f t="shared" si="3"/>
        <v>3075.7372188243826</v>
      </c>
      <c r="AQ89">
        <f t="shared" si="3"/>
        <v>3075.7372188243826</v>
      </c>
      <c r="AR89">
        <f t="shared" si="3"/>
        <v>3075.7372188243826</v>
      </c>
      <c r="AS89">
        <f t="shared" si="3"/>
        <v>3075.7372188243826</v>
      </c>
      <c r="AT89">
        <f t="shared" si="3"/>
        <v>3075.7372188243826</v>
      </c>
      <c r="AU89">
        <f t="shared" si="3"/>
        <v>3075.7372188243826</v>
      </c>
      <c r="AV89">
        <f t="shared" si="3"/>
        <v>3075.7372188243826</v>
      </c>
      <c r="AW89">
        <f t="shared" si="3"/>
        <v>3075.7372188243826</v>
      </c>
      <c r="AX89">
        <f t="shared" si="3"/>
        <v>3075.7372188243826</v>
      </c>
    </row>
    <row r="90" spans="2:50" x14ac:dyDescent="0.2">
      <c r="B90" s="118" t="s">
        <v>106</v>
      </c>
      <c r="C90">
        <f t="shared" ref="C90:R93" si="4">C50</f>
        <v>2896.2440953518885</v>
      </c>
      <c r="D90">
        <f t="shared" si="4"/>
        <v>2896.2440953518885</v>
      </c>
      <c r="E90">
        <f t="shared" si="4"/>
        <v>503.2946782562517</v>
      </c>
      <c r="F90">
        <f t="shared" si="4"/>
        <v>2896.2440953518885</v>
      </c>
      <c r="G90">
        <f t="shared" si="4"/>
        <v>2896.2440953518885</v>
      </c>
      <c r="H90">
        <f t="shared" si="4"/>
        <v>2896.2440953518885</v>
      </c>
      <c r="I90">
        <f t="shared" si="4"/>
        <v>2896.2440953518885</v>
      </c>
      <c r="J90">
        <f t="shared" si="4"/>
        <v>2896.2440953518885</v>
      </c>
      <c r="K90">
        <f t="shared" si="4"/>
        <v>2896.2440953518885</v>
      </c>
      <c r="L90">
        <f t="shared" si="4"/>
        <v>2896.2440953518885</v>
      </c>
      <c r="M90">
        <f t="shared" si="4"/>
        <v>2896.2440953518885</v>
      </c>
      <c r="N90">
        <f t="shared" si="4"/>
        <v>2896.2440953518885</v>
      </c>
      <c r="O90">
        <f t="shared" si="4"/>
        <v>2896.2440953518885</v>
      </c>
      <c r="P90">
        <f t="shared" si="4"/>
        <v>2896.2440953518885</v>
      </c>
      <c r="Q90">
        <f t="shared" si="4"/>
        <v>2896.2440953518885</v>
      </c>
      <c r="R90">
        <f t="shared" si="4"/>
        <v>2896.2440953518885</v>
      </c>
      <c r="S90">
        <f t="shared" si="3"/>
        <v>2896.2440953518885</v>
      </c>
      <c r="T90">
        <f t="shared" si="3"/>
        <v>2896.2440953518885</v>
      </c>
      <c r="U90">
        <f t="shared" si="3"/>
        <v>2896.2440953518885</v>
      </c>
      <c r="V90">
        <f t="shared" si="3"/>
        <v>2896.2440953518885</v>
      </c>
      <c r="W90">
        <f t="shared" si="3"/>
        <v>2896.2440953518885</v>
      </c>
      <c r="X90">
        <f t="shared" si="3"/>
        <v>2896.2440953518885</v>
      </c>
      <c r="Y90">
        <f t="shared" si="3"/>
        <v>2896.2440953518885</v>
      </c>
      <c r="Z90">
        <f t="shared" si="3"/>
        <v>2896.2440953518885</v>
      </c>
      <c r="AA90">
        <f t="shared" si="3"/>
        <v>2896.2440953518885</v>
      </c>
      <c r="AB90">
        <f t="shared" si="3"/>
        <v>2896.2440953518885</v>
      </c>
      <c r="AC90">
        <f t="shared" si="3"/>
        <v>2896.2440953518885</v>
      </c>
      <c r="AD90">
        <f t="shared" si="3"/>
        <v>2896.2440953518885</v>
      </c>
      <c r="AE90">
        <f t="shared" si="3"/>
        <v>2896.2440953518885</v>
      </c>
      <c r="AF90">
        <f t="shared" si="3"/>
        <v>2896.2440953518885</v>
      </c>
      <c r="AG90">
        <f t="shared" si="3"/>
        <v>2896.2440953518885</v>
      </c>
      <c r="AH90">
        <f t="shared" si="3"/>
        <v>534.383650237903</v>
      </c>
      <c r="AI90">
        <f t="shared" si="3"/>
        <v>2896.2440953518885</v>
      </c>
      <c r="AJ90">
        <f t="shared" si="3"/>
        <v>2896.2440953518885</v>
      </c>
      <c r="AK90">
        <f t="shared" si="3"/>
        <v>2896.2440953518885</v>
      </c>
      <c r="AL90">
        <f t="shared" si="3"/>
        <v>2896.2440953518885</v>
      </c>
      <c r="AM90">
        <f t="shared" si="3"/>
        <v>2896.2440953518885</v>
      </c>
      <c r="AN90">
        <f t="shared" si="3"/>
        <v>2896.2440953518885</v>
      </c>
      <c r="AO90">
        <f t="shared" si="3"/>
        <v>2165.5963871792605</v>
      </c>
      <c r="AP90">
        <f t="shared" si="3"/>
        <v>2169.510193221452</v>
      </c>
      <c r="AQ90">
        <f t="shared" si="3"/>
        <v>543.34958272928066</v>
      </c>
      <c r="AR90">
        <f t="shared" si="3"/>
        <v>544.31504319060355</v>
      </c>
      <c r="AS90">
        <f t="shared" si="3"/>
        <v>2896.2440953518885</v>
      </c>
      <c r="AT90">
        <f t="shared" si="3"/>
        <v>2896.2440953518885</v>
      </c>
      <c r="AU90">
        <f t="shared" si="3"/>
        <v>2896.2440953518885</v>
      </c>
      <c r="AV90">
        <f t="shared" si="3"/>
        <v>2192.4321858585163</v>
      </c>
      <c r="AW90">
        <f t="shared" si="3"/>
        <v>2196.1532917444638</v>
      </c>
      <c r="AX90">
        <f t="shared" si="3"/>
        <v>2896.2440953518885</v>
      </c>
    </row>
    <row r="91" spans="2:50" x14ac:dyDescent="0.2">
      <c r="B91" s="118" t="s">
        <v>107</v>
      </c>
      <c r="C91">
        <f t="shared" si="4"/>
        <v>0</v>
      </c>
      <c r="D91">
        <f t="shared" si="3"/>
        <v>0</v>
      </c>
      <c r="E91">
        <f t="shared" si="3"/>
        <v>0</v>
      </c>
      <c r="F91">
        <f t="shared" si="3"/>
        <v>0</v>
      </c>
      <c r="G91">
        <f t="shared" si="3"/>
        <v>0</v>
      </c>
      <c r="H91">
        <f t="shared" si="3"/>
        <v>0</v>
      </c>
      <c r="I91">
        <f t="shared" si="3"/>
        <v>0</v>
      </c>
      <c r="J91">
        <f t="shared" si="3"/>
        <v>0</v>
      </c>
      <c r="K91">
        <f t="shared" si="3"/>
        <v>0</v>
      </c>
      <c r="L91">
        <f t="shared" si="3"/>
        <v>0</v>
      </c>
      <c r="M91">
        <f t="shared" si="3"/>
        <v>0</v>
      </c>
      <c r="N91">
        <f t="shared" si="3"/>
        <v>0</v>
      </c>
      <c r="O91">
        <f t="shared" si="3"/>
        <v>0</v>
      </c>
      <c r="P91">
        <f t="shared" si="3"/>
        <v>0</v>
      </c>
      <c r="Q91">
        <f t="shared" si="3"/>
        <v>0</v>
      </c>
      <c r="R91">
        <f t="shared" si="3"/>
        <v>0</v>
      </c>
      <c r="S91">
        <f t="shared" si="3"/>
        <v>0</v>
      </c>
      <c r="T91">
        <f t="shared" si="3"/>
        <v>0</v>
      </c>
      <c r="U91">
        <f t="shared" si="3"/>
        <v>0</v>
      </c>
      <c r="V91">
        <f t="shared" si="3"/>
        <v>0</v>
      </c>
      <c r="W91">
        <f t="shared" si="3"/>
        <v>0</v>
      </c>
      <c r="X91">
        <f t="shared" si="3"/>
        <v>0</v>
      </c>
      <c r="Y91">
        <f t="shared" si="3"/>
        <v>0</v>
      </c>
      <c r="Z91">
        <f t="shared" si="3"/>
        <v>0</v>
      </c>
      <c r="AA91">
        <f t="shared" si="3"/>
        <v>0</v>
      </c>
      <c r="AB91">
        <f t="shared" si="3"/>
        <v>0</v>
      </c>
      <c r="AC91">
        <f t="shared" si="3"/>
        <v>0</v>
      </c>
      <c r="AD91">
        <f t="shared" si="3"/>
        <v>0</v>
      </c>
      <c r="AE91">
        <f t="shared" si="3"/>
        <v>0</v>
      </c>
      <c r="AF91">
        <f t="shared" si="3"/>
        <v>0</v>
      </c>
      <c r="AG91">
        <f t="shared" si="3"/>
        <v>0</v>
      </c>
      <c r="AH91">
        <f t="shared" si="3"/>
        <v>0</v>
      </c>
      <c r="AI91">
        <f t="shared" si="3"/>
        <v>0</v>
      </c>
      <c r="AJ91">
        <f t="shared" si="3"/>
        <v>0</v>
      </c>
      <c r="AK91">
        <f t="shared" si="3"/>
        <v>0</v>
      </c>
      <c r="AL91">
        <f t="shared" si="3"/>
        <v>0</v>
      </c>
      <c r="AM91">
        <f t="shared" si="3"/>
        <v>0</v>
      </c>
      <c r="AN91">
        <f t="shared" si="3"/>
        <v>0</v>
      </c>
      <c r="AO91">
        <f t="shared" si="3"/>
        <v>0</v>
      </c>
      <c r="AP91">
        <f t="shared" si="3"/>
        <v>0</v>
      </c>
      <c r="AQ91">
        <f t="shared" si="3"/>
        <v>0</v>
      </c>
      <c r="AR91">
        <f t="shared" si="3"/>
        <v>0</v>
      </c>
      <c r="AS91">
        <f t="shared" si="3"/>
        <v>0</v>
      </c>
      <c r="AT91">
        <f t="shared" si="3"/>
        <v>0</v>
      </c>
      <c r="AU91">
        <f t="shared" si="3"/>
        <v>0</v>
      </c>
      <c r="AV91">
        <f t="shared" si="3"/>
        <v>0</v>
      </c>
      <c r="AW91">
        <f t="shared" si="3"/>
        <v>0</v>
      </c>
      <c r="AX91">
        <f t="shared" si="3"/>
        <v>0</v>
      </c>
    </row>
    <row r="92" spans="2:50" x14ac:dyDescent="0.2">
      <c r="B92" s="118" t="s">
        <v>108</v>
      </c>
      <c r="C92">
        <f t="shared" si="4"/>
        <v>0</v>
      </c>
      <c r="D92">
        <f t="shared" si="4"/>
        <v>0</v>
      </c>
      <c r="E92">
        <f t="shared" si="4"/>
        <v>0</v>
      </c>
      <c r="F92">
        <f t="shared" si="4"/>
        <v>0</v>
      </c>
      <c r="G92">
        <f t="shared" si="4"/>
        <v>0</v>
      </c>
      <c r="H92">
        <f t="shared" si="4"/>
        <v>0</v>
      </c>
      <c r="I92">
        <f t="shared" si="4"/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>
        <f t="shared" si="4"/>
        <v>0</v>
      </c>
      <c r="R92">
        <f t="shared" si="4"/>
        <v>0</v>
      </c>
      <c r="S92">
        <f t="shared" si="3"/>
        <v>0</v>
      </c>
      <c r="T92">
        <f t="shared" si="3"/>
        <v>0</v>
      </c>
      <c r="U92">
        <f t="shared" si="3"/>
        <v>0</v>
      </c>
      <c r="V92">
        <f t="shared" si="3"/>
        <v>0</v>
      </c>
      <c r="W92">
        <f t="shared" si="3"/>
        <v>0</v>
      </c>
      <c r="X92">
        <f t="shared" si="3"/>
        <v>0</v>
      </c>
      <c r="Y92">
        <f t="shared" si="3"/>
        <v>0</v>
      </c>
      <c r="Z92">
        <f t="shared" si="3"/>
        <v>0</v>
      </c>
      <c r="AA92">
        <f t="shared" si="3"/>
        <v>0</v>
      </c>
      <c r="AB92">
        <f t="shared" si="3"/>
        <v>0</v>
      </c>
      <c r="AC92">
        <f t="shared" si="3"/>
        <v>0</v>
      </c>
      <c r="AD92">
        <f t="shared" si="3"/>
        <v>0</v>
      </c>
      <c r="AE92">
        <f t="shared" si="3"/>
        <v>0</v>
      </c>
      <c r="AF92">
        <f t="shared" si="3"/>
        <v>0</v>
      </c>
      <c r="AG92">
        <f t="shared" si="3"/>
        <v>0</v>
      </c>
      <c r="AH92">
        <f t="shared" si="3"/>
        <v>0</v>
      </c>
      <c r="AI92">
        <f t="shared" si="3"/>
        <v>0</v>
      </c>
      <c r="AJ92">
        <f t="shared" si="3"/>
        <v>0</v>
      </c>
      <c r="AK92">
        <f t="shared" si="3"/>
        <v>0</v>
      </c>
      <c r="AL92">
        <f t="shared" si="3"/>
        <v>0</v>
      </c>
      <c r="AM92">
        <f t="shared" si="3"/>
        <v>0</v>
      </c>
      <c r="AN92">
        <f t="shared" si="3"/>
        <v>0</v>
      </c>
      <c r="AO92">
        <f t="shared" si="3"/>
        <v>0</v>
      </c>
      <c r="AP92">
        <f t="shared" si="3"/>
        <v>0</v>
      </c>
      <c r="AQ92">
        <f t="shared" si="3"/>
        <v>0</v>
      </c>
      <c r="AR92">
        <f t="shared" si="3"/>
        <v>0</v>
      </c>
      <c r="AS92">
        <f t="shared" si="3"/>
        <v>0</v>
      </c>
      <c r="AT92">
        <f t="shared" si="3"/>
        <v>0</v>
      </c>
      <c r="AU92">
        <f t="shared" si="3"/>
        <v>0</v>
      </c>
      <c r="AV92">
        <f t="shared" si="3"/>
        <v>0</v>
      </c>
      <c r="AW92">
        <f t="shared" si="3"/>
        <v>0</v>
      </c>
      <c r="AX92">
        <f t="shared" si="3"/>
        <v>0</v>
      </c>
    </row>
    <row r="93" spans="2:50" x14ac:dyDescent="0.2">
      <c r="B93" s="118" t="s">
        <v>109</v>
      </c>
      <c r="C93">
        <f t="shared" si="4"/>
        <v>0</v>
      </c>
      <c r="D93">
        <f t="shared" si="4"/>
        <v>0</v>
      </c>
      <c r="E93">
        <f t="shared" si="4"/>
        <v>0</v>
      </c>
      <c r="F93">
        <f t="shared" si="4"/>
        <v>0</v>
      </c>
      <c r="G93">
        <f t="shared" si="4"/>
        <v>0</v>
      </c>
      <c r="H93">
        <f t="shared" si="4"/>
        <v>0</v>
      </c>
      <c r="I93">
        <f t="shared" si="4"/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>
        <f t="shared" si="4"/>
        <v>0</v>
      </c>
      <c r="R93">
        <f t="shared" si="4"/>
        <v>0</v>
      </c>
      <c r="S93">
        <f t="shared" si="3"/>
        <v>0</v>
      </c>
      <c r="T93">
        <f t="shared" si="3"/>
        <v>0</v>
      </c>
      <c r="U93">
        <f t="shared" si="3"/>
        <v>0</v>
      </c>
      <c r="V93">
        <f t="shared" si="3"/>
        <v>0</v>
      </c>
      <c r="W93">
        <f t="shared" si="3"/>
        <v>0</v>
      </c>
      <c r="X93">
        <f t="shared" si="3"/>
        <v>0</v>
      </c>
      <c r="Y93">
        <f t="shared" si="3"/>
        <v>0</v>
      </c>
      <c r="Z93">
        <f t="shared" si="3"/>
        <v>0</v>
      </c>
      <c r="AA93">
        <f t="shared" si="3"/>
        <v>0</v>
      </c>
      <c r="AB93">
        <f t="shared" si="3"/>
        <v>0</v>
      </c>
      <c r="AC93">
        <f t="shared" si="3"/>
        <v>0</v>
      </c>
      <c r="AD93">
        <f t="shared" si="3"/>
        <v>0</v>
      </c>
      <c r="AE93">
        <f t="shared" si="3"/>
        <v>0</v>
      </c>
      <c r="AF93">
        <f t="shared" si="3"/>
        <v>0</v>
      </c>
      <c r="AG93">
        <f t="shared" si="3"/>
        <v>0</v>
      </c>
      <c r="AH93">
        <f t="shared" si="3"/>
        <v>0</v>
      </c>
      <c r="AI93">
        <f t="shared" si="3"/>
        <v>0</v>
      </c>
      <c r="AJ93">
        <f t="shared" si="3"/>
        <v>0</v>
      </c>
      <c r="AK93">
        <f t="shared" si="3"/>
        <v>0</v>
      </c>
      <c r="AL93">
        <f t="shared" si="3"/>
        <v>0</v>
      </c>
      <c r="AM93">
        <f t="shared" si="3"/>
        <v>0</v>
      </c>
      <c r="AN93">
        <f t="shared" si="3"/>
        <v>0</v>
      </c>
      <c r="AO93">
        <f t="shared" si="3"/>
        <v>0</v>
      </c>
      <c r="AP93">
        <f t="shared" si="3"/>
        <v>0</v>
      </c>
      <c r="AQ93">
        <f t="shared" si="3"/>
        <v>0</v>
      </c>
      <c r="AR93">
        <f t="shared" si="3"/>
        <v>0</v>
      </c>
      <c r="AS93">
        <f t="shared" si="3"/>
        <v>0</v>
      </c>
      <c r="AT93">
        <f t="shared" si="3"/>
        <v>0</v>
      </c>
      <c r="AU93">
        <f t="shared" si="3"/>
        <v>0</v>
      </c>
      <c r="AV93">
        <f t="shared" si="3"/>
        <v>0</v>
      </c>
      <c r="AW93">
        <f t="shared" si="3"/>
        <v>0</v>
      </c>
      <c r="AX93">
        <f t="shared" si="3"/>
        <v>0</v>
      </c>
    </row>
    <row r="94" spans="2:50" x14ac:dyDescent="0.2">
      <c r="B94" s="119"/>
    </row>
    <row r="95" spans="2:50" x14ac:dyDescent="0.2">
      <c r="B95" s="53" t="s">
        <v>335</v>
      </c>
    </row>
    <row r="96" spans="2:50" x14ac:dyDescent="0.2">
      <c r="B96" s="29"/>
      <c r="C96" s="122" t="s">
        <v>92</v>
      </c>
      <c r="D96" s="119"/>
      <c r="E96" s="119"/>
      <c r="F96" s="119"/>
      <c r="G96" s="122" t="s">
        <v>93</v>
      </c>
      <c r="H96" s="119"/>
      <c r="I96" s="119"/>
      <c r="J96" s="119"/>
      <c r="K96" s="122" t="s">
        <v>94</v>
      </c>
      <c r="L96" s="119"/>
      <c r="M96" s="119"/>
      <c r="N96" s="119"/>
      <c r="O96" s="122" t="s">
        <v>95</v>
      </c>
      <c r="P96" s="119"/>
      <c r="Q96" s="119"/>
      <c r="R96" s="119"/>
      <c r="S96" s="122" t="s">
        <v>96</v>
      </c>
      <c r="T96" s="119"/>
      <c r="U96" s="119"/>
      <c r="V96" s="119"/>
      <c r="W96" s="122" t="s">
        <v>97</v>
      </c>
      <c r="X96" s="119"/>
      <c r="Y96" s="119"/>
      <c r="Z96" s="119"/>
      <c r="AA96" s="122" t="s">
        <v>98</v>
      </c>
      <c r="AB96" s="119"/>
      <c r="AC96" s="119"/>
      <c r="AD96" s="119"/>
      <c r="AE96" s="122" t="s">
        <v>99</v>
      </c>
      <c r="AF96" s="119"/>
      <c r="AG96" s="119"/>
      <c r="AH96" s="119"/>
      <c r="AI96" s="122" t="s">
        <v>100</v>
      </c>
      <c r="AJ96" s="119"/>
      <c r="AK96" s="119"/>
      <c r="AL96" s="119"/>
      <c r="AM96" s="122" t="s">
        <v>101</v>
      </c>
      <c r="AN96" s="119"/>
      <c r="AO96" s="119"/>
      <c r="AP96" s="119"/>
      <c r="AQ96" s="122" t="s">
        <v>102</v>
      </c>
      <c r="AR96" s="119"/>
      <c r="AS96" s="119"/>
      <c r="AT96" s="119"/>
      <c r="AU96" s="122" t="s">
        <v>103</v>
      </c>
      <c r="AV96" s="119"/>
      <c r="AW96" s="119"/>
    </row>
    <row r="97" spans="1:50" x14ac:dyDescent="0.2">
      <c r="A97" s="190" t="s">
        <v>121</v>
      </c>
      <c r="B97" s="190" t="s">
        <v>336</v>
      </c>
      <c r="C97" s="122">
        <v>1</v>
      </c>
      <c r="D97" s="122">
        <v>2</v>
      </c>
      <c r="E97" s="122">
        <v>3</v>
      </c>
      <c r="F97" s="122">
        <v>4</v>
      </c>
      <c r="G97" s="122">
        <v>1</v>
      </c>
      <c r="H97" s="122">
        <v>2</v>
      </c>
      <c r="I97" s="122">
        <v>3</v>
      </c>
      <c r="J97" s="122">
        <v>4</v>
      </c>
      <c r="K97" s="122">
        <v>1</v>
      </c>
      <c r="L97" s="122">
        <v>2</v>
      </c>
      <c r="M97" s="122">
        <v>3</v>
      </c>
      <c r="N97" s="122">
        <v>4</v>
      </c>
      <c r="O97" s="122">
        <v>1</v>
      </c>
      <c r="P97" s="122">
        <v>2</v>
      </c>
      <c r="Q97" s="122">
        <v>3</v>
      </c>
      <c r="R97" s="122">
        <v>4</v>
      </c>
      <c r="S97" s="122">
        <v>1</v>
      </c>
      <c r="T97" s="122">
        <v>2</v>
      </c>
      <c r="U97" s="122">
        <v>3</v>
      </c>
      <c r="V97" s="122">
        <v>4</v>
      </c>
      <c r="W97" s="122">
        <v>1</v>
      </c>
      <c r="X97" s="122">
        <v>2</v>
      </c>
      <c r="Y97" s="122">
        <v>3</v>
      </c>
      <c r="Z97" s="122">
        <v>4</v>
      </c>
      <c r="AA97" s="122">
        <v>1</v>
      </c>
      <c r="AB97" s="122">
        <v>2</v>
      </c>
      <c r="AC97" s="122">
        <v>3</v>
      </c>
      <c r="AD97" s="122">
        <v>4</v>
      </c>
      <c r="AE97" s="122">
        <v>1</v>
      </c>
      <c r="AF97" s="122">
        <v>2</v>
      </c>
      <c r="AG97" s="122">
        <v>3</v>
      </c>
      <c r="AH97" s="122">
        <v>4</v>
      </c>
      <c r="AI97" s="122">
        <v>1</v>
      </c>
      <c r="AJ97" s="122">
        <v>2</v>
      </c>
      <c r="AK97" s="122">
        <v>3</v>
      </c>
      <c r="AL97" s="122">
        <v>4</v>
      </c>
      <c r="AM97" s="122">
        <v>1</v>
      </c>
      <c r="AN97" s="122">
        <v>2</v>
      </c>
      <c r="AO97" s="122">
        <v>3</v>
      </c>
      <c r="AP97" s="122">
        <v>4</v>
      </c>
      <c r="AQ97" s="122">
        <v>1</v>
      </c>
      <c r="AR97" s="122">
        <v>2</v>
      </c>
      <c r="AS97" s="122">
        <v>3</v>
      </c>
      <c r="AT97" s="122">
        <v>4</v>
      </c>
      <c r="AU97" s="122">
        <v>1</v>
      </c>
      <c r="AV97" s="122">
        <v>2</v>
      </c>
      <c r="AW97" s="122">
        <v>3</v>
      </c>
      <c r="AX97" s="122">
        <v>4</v>
      </c>
    </row>
    <row r="98" spans="1:50" x14ac:dyDescent="0.2">
      <c r="A98" s="122" t="s">
        <v>104</v>
      </c>
      <c r="B98" s="122" t="s">
        <v>5</v>
      </c>
      <c r="C98">
        <v>35248.116418493053</v>
      </c>
      <c r="D98">
        <v>35248.116418493053</v>
      </c>
      <c r="E98">
        <v>35248.116418493053</v>
      </c>
      <c r="F98">
        <v>35248.116418493053</v>
      </c>
      <c r="G98">
        <v>32008.320996357656</v>
      </c>
      <c r="H98">
        <v>32008.320996357656</v>
      </c>
      <c r="I98">
        <v>32008.320996357656</v>
      </c>
      <c r="J98">
        <v>32008.320996357656</v>
      </c>
      <c r="K98">
        <v>32008.320996357656</v>
      </c>
      <c r="L98">
        <v>32008.320996357656</v>
      </c>
      <c r="M98">
        <v>32008.320996357656</v>
      </c>
      <c r="N98">
        <v>32008.320996357656</v>
      </c>
      <c r="O98">
        <v>35248.116418493053</v>
      </c>
      <c r="P98">
        <v>35248.116418493053</v>
      </c>
      <c r="Q98">
        <v>35248.116418493053</v>
      </c>
      <c r="R98">
        <v>35248.116418493053</v>
      </c>
      <c r="S98">
        <v>32008.320996357656</v>
      </c>
      <c r="T98">
        <v>32008.320996357656</v>
      </c>
      <c r="U98">
        <v>32008.320996357656</v>
      </c>
      <c r="V98">
        <v>32008.320996357656</v>
      </c>
      <c r="W98">
        <v>32008.320996357656</v>
      </c>
      <c r="X98">
        <v>32008.320996357656</v>
      </c>
      <c r="Y98">
        <v>32008.320996357656</v>
      </c>
      <c r="Z98">
        <v>32008.320996357656</v>
      </c>
      <c r="AA98">
        <v>35248.116418493053</v>
      </c>
      <c r="AB98">
        <v>35248.116418493053</v>
      </c>
      <c r="AC98">
        <v>35248.116418493053</v>
      </c>
      <c r="AD98">
        <v>35248.116418493053</v>
      </c>
      <c r="AE98">
        <v>32008.320996357656</v>
      </c>
      <c r="AF98">
        <v>32008.320996357656</v>
      </c>
      <c r="AG98">
        <v>32008.320996357656</v>
      </c>
      <c r="AH98">
        <v>32008.320996357656</v>
      </c>
      <c r="AI98">
        <v>32008.320996357656</v>
      </c>
      <c r="AJ98">
        <v>32008.320996357656</v>
      </c>
      <c r="AK98">
        <v>32008.320996357656</v>
      </c>
      <c r="AL98">
        <v>32008.320996357656</v>
      </c>
      <c r="AM98">
        <v>35248.116418493053</v>
      </c>
      <c r="AN98">
        <v>35248.116418493053</v>
      </c>
      <c r="AO98">
        <v>35248.116418493053</v>
      </c>
      <c r="AP98">
        <v>35248.116418493053</v>
      </c>
      <c r="AQ98">
        <v>32008.320996357656</v>
      </c>
      <c r="AR98">
        <v>32008.320996357656</v>
      </c>
      <c r="AS98">
        <v>32008.320996357656</v>
      </c>
      <c r="AT98">
        <v>32008.320996357656</v>
      </c>
      <c r="AU98">
        <v>32008.320996357656</v>
      </c>
      <c r="AV98">
        <v>32008.320996357656</v>
      </c>
      <c r="AW98">
        <v>32008.320996357656</v>
      </c>
      <c r="AX98">
        <v>32008.320996357656</v>
      </c>
    </row>
    <row r="99" spans="1:50" x14ac:dyDescent="0.2">
      <c r="B99" s="122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2" t="s">
        <v>12</v>
      </c>
      <c r="C100">
        <v>238955.72590299134</v>
      </c>
      <c r="D100">
        <v>238955.72590299134</v>
      </c>
      <c r="E100">
        <v>238955.72590299134</v>
      </c>
      <c r="F100">
        <v>238955.72590299134</v>
      </c>
      <c r="G100">
        <v>216992.34897578109</v>
      </c>
      <c r="H100">
        <v>216992.34897578109</v>
      </c>
      <c r="I100">
        <v>216992.34897578109</v>
      </c>
      <c r="J100">
        <v>216992.34897578109</v>
      </c>
      <c r="K100">
        <v>216992.34897578109</v>
      </c>
      <c r="L100">
        <v>216992.34897578109</v>
      </c>
      <c r="M100">
        <v>216992.34897578109</v>
      </c>
      <c r="N100">
        <v>216992.34897578109</v>
      </c>
      <c r="O100">
        <v>238955.72590299134</v>
      </c>
      <c r="P100">
        <v>238955.72590299134</v>
      </c>
      <c r="Q100">
        <v>238955.72590299134</v>
      </c>
      <c r="R100">
        <v>238955.72590299134</v>
      </c>
      <c r="S100">
        <v>216992.34897578109</v>
      </c>
      <c r="T100">
        <v>216992.34897578109</v>
      </c>
      <c r="U100">
        <v>216992.34897578109</v>
      </c>
      <c r="V100">
        <v>216992.34897578109</v>
      </c>
      <c r="W100">
        <v>216992.34897578109</v>
      </c>
      <c r="X100">
        <v>216992.34897578109</v>
      </c>
      <c r="Y100">
        <v>216992.34897578109</v>
      </c>
      <c r="Z100">
        <v>216992.34897578109</v>
      </c>
      <c r="AA100">
        <v>238955.72590299134</v>
      </c>
      <c r="AB100">
        <v>238955.72590299134</v>
      </c>
      <c r="AC100">
        <v>238955.72590299134</v>
      </c>
      <c r="AD100">
        <v>238955.72590299134</v>
      </c>
      <c r="AE100">
        <v>216992.34897578109</v>
      </c>
      <c r="AF100">
        <v>216992.34897578109</v>
      </c>
      <c r="AG100">
        <v>216992.34897578109</v>
      </c>
      <c r="AH100">
        <v>216992.34897578109</v>
      </c>
      <c r="AI100">
        <v>216992.34897578109</v>
      </c>
      <c r="AJ100">
        <v>216992.34897578109</v>
      </c>
      <c r="AK100">
        <v>216992.34897578109</v>
      </c>
      <c r="AL100">
        <v>216992.34897578109</v>
      </c>
      <c r="AM100">
        <v>238955.72590299134</v>
      </c>
      <c r="AN100">
        <v>238955.72590299134</v>
      </c>
      <c r="AO100">
        <v>238955.72590299134</v>
      </c>
      <c r="AP100">
        <v>238955.72590299134</v>
      </c>
      <c r="AQ100">
        <v>216992.34897578109</v>
      </c>
      <c r="AR100">
        <v>216992.34897578109</v>
      </c>
      <c r="AS100">
        <v>216992.34897578109</v>
      </c>
      <c r="AT100">
        <v>216992.34897578109</v>
      </c>
      <c r="AU100">
        <v>216992.34897578109</v>
      </c>
      <c r="AV100">
        <v>216992.34897578109</v>
      </c>
      <c r="AW100">
        <v>216992.34897578109</v>
      </c>
      <c r="AX100">
        <v>216992.34897578109</v>
      </c>
    </row>
    <row r="101" spans="1:50" x14ac:dyDescent="0.2">
      <c r="B101" s="122" t="s">
        <v>22</v>
      </c>
      <c r="C101">
        <v>964979.58679691993</v>
      </c>
      <c r="D101">
        <v>964979.58679691993</v>
      </c>
      <c r="E101">
        <v>964979.58679691993</v>
      </c>
      <c r="F101">
        <v>964979.58679691993</v>
      </c>
      <c r="G101">
        <v>876284.45169692009</v>
      </c>
      <c r="H101">
        <v>876284.45169692009</v>
      </c>
      <c r="I101">
        <v>876284.45169692009</v>
      </c>
      <c r="J101">
        <v>876284.45169692009</v>
      </c>
      <c r="K101">
        <v>876284.45169692009</v>
      </c>
      <c r="L101">
        <v>876284.45169692009</v>
      </c>
      <c r="M101">
        <v>876284.45169692009</v>
      </c>
      <c r="N101">
        <v>876284.45169692009</v>
      </c>
      <c r="O101">
        <v>964979.58679691993</v>
      </c>
      <c r="P101">
        <v>964979.58679691993</v>
      </c>
      <c r="Q101">
        <v>964979.58679691993</v>
      </c>
      <c r="R101">
        <v>964979.58679691993</v>
      </c>
      <c r="S101">
        <v>876284.45169692009</v>
      </c>
      <c r="T101">
        <v>876284.45169692009</v>
      </c>
      <c r="U101">
        <v>876284.45169692009</v>
      </c>
      <c r="V101">
        <v>876284.45169692009</v>
      </c>
      <c r="W101">
        <v>876284.45169692009</v>
      </c>
      <c r="X101">
        <v>876284.45169692009</v>
      </c>
      <c r="Y101">
        <v>876284.45169692009</v>
      </c>
      <c r="Z101">
        <v>876284.45169692009</v>
      </c>
      <c r="AA101">
        <v>964979.58679691993</v>
      </c>
      <c r="AB101">
        <v>964979.58679691993</v>
      </c>
      <c r="AC101">
        <v>964979.58679691993</v>
      </c>
      <c r="AD101">
        <v>964979.58679691993</v>
      </c>
      <c r="AE101">
        <v>876284.45169692009</v>
      </c>
      <c r="AF101">
        <v>876284.45169692009</v>
      </c>
      <c r="AG101">
        <v>876284.45169692009</v>
      </c>
      <c r="AH101">
        <v>876284.45169692009</v>
      </c>
      <c r="AI101">
        <v>876284.45169692009</v>
      </c>
      <c r="AJ101">
        <v>876284.45169692009</v>
      </c>
      <c r="AK101">
        <v>876284.45169692009</v>
      </c>
      <c r="AL101">
        <v>876284.45169692009</v>
      </c>
      <c r="AM101">
        <v>964979.58679691993</v>
      </c>
      <c r="AN101">
        <v>964979.58679691993</v>
      </c>
      <c r="AO101">
        <v>964979.58679691993</v>
      </c>
      <c r="AP101">
        <v>964979.58679691993</v>
      </c>
      <c r="AQ101">
        <v>876284.45169692009</v>
      </c>
      <c r="AR101">
        <v>876284.45169692009</v>
      </c>
      <c r="AS101">
        <v>876284.45169692009</v>
      </c>
      <c r="AT101">
        <v>876284.45169692009</v>
      </c>
      <c r="AU101">
        <v>876284.45169692009</v>
      </c>
      <c r="AV101">
        <v>876284.45169692009</v>
      </c>
      <c r="AW101">
        <v>876284.45169692009</v>
      </c>
      <c r="AX101">
        <v>876284.45169692009</v>
      </c>
    </row>
    <row r="102" spans="1:50" x14ac:dyDescent="0.2">
      <c r="B102" s="122" t="s">
        <v>59</v>
      </c>
      <c r="C102">
        <v>293085.09008716303</v>
      </c>
      <c r="D102">
        <v>293085.09008716303</v>
      </c>
      <c r="E102">
        <v>293085.09008716303</v>
      </c>
      <c r="F102">
        <v>293085.09008716303</v>
      </c>
      <c r="G102">
        <v>266146.46670408902</v>
      </c>
      <c r="H102">
        <v>266146.46670408902</v>
      </c>
      <c r="I102">
        <v>266146.46670408902</v>
      </c>
      <c r="J102">
        <v>266146.46670408902</v>
      </c>
      <c r="K102">
        <v>266146.46670408902</v>
      </c>
      <c r="L102">
        <v>266146.46670408902</v>
      </c>
      <c r="M102">
        <v>266146.46670408902</v>
      </c>
      <c r="N102">
        <v>266146.46670408902</v>
      </c>
      <c r="O102">
        <v>293085.09008716303</v>
      </c>
      <c r="P102">
        <v>293085.09008716303</v>
      </c>
      <c r="Q102">
        <v>293085.09008716303</v>
      </c>
      <c r="R102">
        <v>293085.09008716303</v>
      </c>
      <c r="S102">
        <v>266146.46670408902</v>
      </c>
      <c r="T102">
        <v>266146.46670408902</v>
      </c>
      <c r="U102">
        <v>266146.46670408902</v>
      </c>
      <c r="V102">
        <v>266146.46670408902</v>
      </c>
      <c r="W102">
        <v>266146.46670408902</v>
      </c>
      <c r="X102">
        <v>266146.46670408902</v>
      </c>
      <c r="Y102">
        <v>266146.46670408902</v>
      </c>
      <c r="Z102">
        <v>266146.46670408902</v>
      </c>
      <c r="AA102">
        <v>293085.09008716303</v>
      </c>
      <c r="AB102">
        <v>293085.09008716303</v>
      </c>
      <c r="AC102">
        <v>293085.09008716303</v>
      </c>
      <c r="AD102">
        <v>293085.09008716303</v>
      </c>
      <c r="AE102">
        <v>266146.46670408902</v>
      </c>
      <c r="AF102">
        <v>266146.46670408902</v>
      </c>
      <c r="AG102">
        <v>266146.46670408902</v>
      </c>
      <c r="AH102">
        <v>266146.46670408902</v>
      </c>
      <c r="AI102">
        <v>266146.46670408902</v>
      </c>
      <c r="AJ102">
        <v>266146.46670408902</v>
      </c>
      <c r="AK102">
        <v>266146.46670408902</v>
      </c>
      <c r="AL102">
        <v>266146.46670408902</v>
      </c>
      <c r="AM102">
        <v>293085.09008716303</v>
      </c>
      <c r="AN102">
        <v>293085.09008716303</v>
      </c>
      <c r="AO102">
        <v>293085.09008716303</v>
      </c>
      <c r="AP102">
        <v>293085.09008716303</v>
      </c>
      <c r="AQ102">
        <v>266146.46670408902</v>
      </c>
      <c r="AR102">
        <v>266146.46670408902</v>
      </c>
      <c r="AS102">
        <v>266146.46670408902</v>
      </c>
      <c r="AT102">
        <v>266146.46670408902</v>
      </c>
      <c r="AU102">
        <v>266146.46670408902</v>
      </c>
      <c r="AV102">
        <v>266146.46670408902</v>
      </c>
      <c r="AW102">
        <v>266146.46670408902</v>
      </c>
      <c r="AX102">
        <v>266146.46670408902</v>
      </c>
    </row>
    <row r="103" spans="1:50" x14ac:dyDescent="0.2">
      <c r="B103" t="s">
        <v>278</v>
      </c>
      <c r="C103" s="122">
        <f>SUM(C$98:C$102)</f>
        <v>1532268.5192055674</v>
      </c>
      <c r="D103" s="122">
        <f t="shared" ref="D103:AX103" si="5">SUM(D$98:D$102)</f>
        <v>1532268.5192055674</v>
      </c>
      <c r="E103" s="122">
        <f t="shared" si="5"/>
        <v>1532268.5192055674</v>
      </c>
      <c r="F103" s="122">
        <f t="shared" si="5"/>
        <v>1532268.5192055674</v>
      </c>
      <c r="G103" s="122">
        <f t="shared" si="5"/>
        <v>1391431.5883731479</v>
      </c>
      <c r="H103" s="122">
        <f t="shared" si="5"/>
        <v>1391431.5883731479</v>
      </c>
      <c r="I103" s="122">
        <f t="shared" si="5"/>
        <v>1391431.5883731479</v>
      </c>
      <c r="J103" s="122">
        <f t="shared" si="5"/>
        <v>1391431.5883731479</v>
      </c>
      <c r="K103" s="122">
        <f t="shared" si="5"/>
        <v>1391431.5883731479</v>
      </c>
      <c r="L103" s="122">
        <f t="shared" si="5"/>
        <v>1391431.5883731479</v>
      </c>
      <c r="M103" s="122">
        <f t="shared" si="5"/>
        <v>1391431.5883731479</v>
      </c>
      <c r="N103" s="122">
        <f t="shared" si="5"/>
        <v>1391431.5883731479</v>
      </c>
      <c r="O103" s="122">
        <f t="shared" si="5"/>
        <v>1532268.5192055674</v>
      </c>
      <c r="P103" s="122">
        <f t="shared" si="5"/>
        <v>1532268.5192055674</v>
      </c>
      <c r="Q103" s="122">
        <f t="shared" si="5"/>
        <v>1532268.5192055674</v>
      </c>
      <c r="R103" s="122">
        <f t="shared" si="5"/>
        <v>1532268.5192055674</v>
      </c>
      <c r="S103" s="122">
        <f t="shared" si="5"/>
        <v>1391431.5883731479</v>
      </c>
      <c r="T103" s="122">
        <f t="shared" si="5"/>
        <v>1391431.5883731479</v>
      </c>
      <c r="U103" s="122">
        <f t="shared" si="5"/>
        <v>1391431.5883731479</v>
      </c>
      <c r="V103" s="122">
        <f t="shared" si="5"/>
        <v>1391431.5883731479</v>
      </c>
      <c r="W103" s="122">
        <f t="shared" si="5"/>
        <v>1391431.5883731479</v>
      </c>
      <c r="X103" s="122">
        <f t="shared" si="5"/>
        <v>1391431.5883731479</v>
      </c>
      <c r="Y103" s="122">
        <f t="shared" si="5"/>
        <v>1391431.5883731479</v>
      </c>
      <c r="Z103" s="122">
        <f t="shared" si="5"/>
        <v>1391431.5883731479</v>
      </c>
      <c r="AA103" s="122">
        <f t="shared" si="5"/>
        <v>1532268.5192055674</v>
      </c>
      <c r="AB103" s="122">
        <f t="shared" si="5"/>
        <v>1532268.5192055674</v>
      </c>
      <c r="AC103" s="122">
        <f t="shared" si="5"/>
        <v>1532268.5192055674</v>
      </c>
      <c r="AD103" s="122">
        <f t="shared" si="5"/>
        <v>1532268.5192055674</v>
      </c>
      <c r="AE103" s="122">
        <f t="shared" si="5"/>
        <v>1391431.5883731479</v>
      </c>
      <c r="AF103" s="122">
        <f t="shared" si="5"/>
        <v>1391431.5883731479</v>
      </c>
      <c r="AG103" s="122">
        <f t="shared" si="5"/>
        <v>1391431.5883731479</v>
      </c>
      <c r="AH103" s="122">
        <f t="shared" si="5"/>
        <v>1391431.5883731479</v>
      </c>
      <c r="AI103" s="122">
        <f t="shared" si="5"/>
        <v>1391431.5883731479</v>
      </c>
      <c r="AJ103" s="122">
        <f t="shared" si="5"/>
        <v>1391431.5883731479</v>
      </c>
      <c r="AK103" s="122">
        <f t="shared" si="5"/>
        <v>1391431.5883731479</v>
      </c>
      <c r="AL103" s="122">
        <f t="shared" si="5"/>
        <v>1391431.5883731479</v>
      </c>
      <c r="AM103" s="122">
        <f t="shared" si="5"/>
        <v>1532268.5192055674</v>
      </c>
      <c r="AN103" s="122">
        <f t="shared" si="5"/>
        <v>1532268.5192055674</v>
      </c>
      <c r="AO103" s="122">
        <f t="shared" si="5"/>
        <v>1532268.5192055674</v>
      </c>
      <c r="AP103" s="122">
        <f t="shared" si="5"/>
        <v>1532268.5192055674</v>
      </c>
      <c r="AQ103" s="122">
        <f t="shared" si="5"/>
        <v>1391431.5883731479</v>
      </c>
      <c r="AR103" s="122">
        <f t="shared" si="5"/>
        <v>1391431.5883731479</v>
      </c>
      <c r="AS103" s="122">
        <f t="shared" si="5"/>
        <v>1391431.5883731479</v>
      </c>
      <c r="AT103" s="122">
        <f t="shared" si="5"/>
        <v>1391431.5883731479</v>
      </c>
      <c r="AU103" s="122">
        <f t="shared" si="5"/>
        <v>1391431.5883731479</v>
      </c>
      <c r="AV103" s="122">
        <f t="shared" si="5"/>
        <v>1391431.5883731479</v>
      </c>
      <c r="AW103" s="122">
        <f t="shared" si="5"/>
        <v>1391431.5883731479</v>
      </c>
      <c r="AX103" s="122">
        <f t="shared" si="5"/>
        <v>1391431.5883731479</v>
      </c>
    </row>
    <row r="104" spans="1:50" x14ac:dyDescent="0.2">
      <c r="A104" s="122" t="s">
        <v>105</v>
      </c>
      <c r="B104" s="122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2" t="s">
        <v>10</v>
      </c>
      <c r="C105">
        <v>71150.102194321546</v>
      </c>
      <c r="D105">
        <v>71150.102194321546</v>
      </c>
      <c r="E105">
        <v>71150.102194321546</v>
      </c>
      <c r="F105">
        <v>71150.102194321546</v>
      </c>
      <c r="G105">
        <v>71150.102194321546</v>
      </c>
      <c r="H105">
        <v>71150.102194321546</v>
      </c>
      <c r="I105">
        <v>71150.102194321546</v>
      </c>
      <c r="J105">
        <v>71150.102194321546</v>
      </c>
      <c r="K105">
        <v>71150.102194321546</v>
      </c>
      <c r="L105">
        <v>71150.102194321546</v>
      </c>
      <c r="M105">
        <v>71150.102194321546</v>
      </c>
      <c r="N105">
        <v>71150.102194321546</v>
      </c>
      <c r="O105">
        <v>71150.102194321546</v>
      </c>
      <c r="P105">
        <v>71150.102194321546</v>
      </c>
      <c r="Q105">
        <v>71150.102194321546</v>
      </c>
      <c r="R105">
        <v>71150.102194321546</v>
      </c>
      <c r="S105">
        <v>71150.102194321546</v>
      </c>
      <c r="T105">
        <v>71150.102194321546</v>
      </c>
      <c r="U105">
        <v>71150.102194321546</v>
      </c>
      <c r="V105">
        <v>71150.102194321546</v>
      </c>
      <c r="W105">
        <v>71150.102194321546</v>
      </c>
      <c r="X105">
        <v>71150.102194321546</v>
      </c>
      <c r="Y105">
        <v>71150.102194321546</v>
      </c>
      <c r="Z105">
        <v>71150.102194321546</v>
      </c>
      <c r="AA105">
        <v>71150.102194321546</v>
      </c>
      <c r="AB105">
        <v>71150.102194321546</v>
      </c>
      <c r="AC105">
        <v>71150.102194321546</v>
      </c>
      <c r="AD105">
        <v>71150.102194321546</v>
      </c>
      <c r="AE105">
        <v>71150.102194321546</v>
      </c>
      <c r="AF105">
        <v>71150.102194321546</v>
      </c>
      <c r="AG105">
        <v>71150.102194321546</v>
      </c>
      <c r="AH105">
        <v>71150.102194321546</v>
      </c>
      <c r="AI105">
        <v>71150.102194321546</v>
      </c>
      <c r="AJ105">
        <v>71150.102194321546</v>
      </c>
      <c r="AK105">
        <v>71150.102194321546</v>
      </c>
      <c r="AL105">
        <v>71150.102194321546</v>
      </c>
      <c r="AM105">
        <v>71150.102194321546</v>
      </c>
      <c r="AN105">
        <v>71150.102194321546</v>
      </c>
      <c r="AO105">
        <v>71150.102194321546</v>
      </c>
      <c r="AP105">
        <v>71150.102194321546</v>
      </c>
      <c r="AQ105">
        <v>71150.102194321546</v>
      </c>
      <c r="AR105">
        <v>71150.102194321546</v>
      </c>
      <c r="AS105">
        <v>71150.102194321546</v>
      </c>
      <c r="AT105">
        <v>71150.102194321546</v>
      </c>
      <c r="AU105">
        <v>71150.102194321546</v>
      </c>
      <c r="AV105">
        <v>71150.102194321546</v>
      </c>
      <c r="AW105">
        <v>71150.102194321546</v>
      </c>
      <c r="AX105">
        <v>71150.102194321546</v>
      </c>
    </row>
    <row r="106" spans="1:50" x14ac:dyDescent="0.2">
      <c r="B106" s="122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2" t="s">
        <v>22</v>
      </c>
      <c r="C107">
        <v>595931.97252199729</v>
      </c>
      <c r="D107">
        <v>595931.97252199729</v>
      </c>
      <c r="E107">
        <v>595931.97252199729</v>
      </c>
      <c r="F107">
        <v>595931.97252199729</v>
      </c>
      <c r="G107">
        <v>595931.97252199729</v>
      </c>
      <c r="H107">
        <v>595931.97252199729</v>
      </c>
      <c r="I107">
        <v>595931.97252199729</v>
      </c>
      <c r="J107">
        <v>595931.97252199729</v>
      </c>
      <c r="K107">
        <v>595931.97252199729</v>
      </c>
      <c r="L107">
        <v>595931.97252199729</v>
      </c>
      <c r="M107">
        <v>595931.97252199729</v>
      </c>
      <c r="N107">
        <v>595931.97252199729</v>
      </c>
      <c r="O107">
        <v>595931.97252199729</v>
      </c>
      <c r="P107">
        <v>595931.97252199729</v>
      </c>
      <c r="Q107">
        <v>595931.97252199729</v>
      </c>
      <c r="R107">
        <v>595931.97252199729</v>
      </c>
      <c r="S107">
        <v>595931.97252199729</v>
      </c>
      <c r="T107">
        <v>595931.97252199729</v>
      </c>
      <c r="U107">
        <v>595931.97252199729</v>
      </c>
      <c r="V107">
        <v>595931.97252199729</v>
      </c>
      <c r="W107">
        <v>595931.97252199729</v>
      </c>
      <c r="X107">
        <v>595931.97252199729</v>
      </c>
      <c r="Y107">
        <v>595931.97252199729</v>
      </c>
      <c r="Z107">
        <v>595931.97252199729</v>
      </c>
      <c r="AA107">
        <v>595931.97252199729</v>
      </c>
      <c r="AB107">
        <v>595931.97252199729</v>
      </c>
      <c r="AC107">
        <v>595931.97252199729</v>
      </c>
      <c r="AD107">
        <v>595931.97252199729</v>
      </c>
      <c r="AE107">
        <v>595931.97252199729</v>
      </c>
      <c r="AF107">
        <v>595931.97252199729</v>
      </c>
      <c r="AG107">
        <v>595931.97252199729</v>
      </c>
      <c r="AH107">
        <v>595931.97252199729</v>
      </c>
      <c r="AI107">
        <v>595931.97252199729</v>
      </c>
      <c r="AJ107">
        <v>595931.97252199729</v>
      </c>
      <c r="AK107">
        <v>595931.97252199729</v>
      </c>
      <c r="AL107">
        <v>595931.97252199729</v>
      </c>
      <c r="AM107">
        <v>595931.97252199729</v>
      </c>
      <c r="AN107">
        <v>595931.97252199729</v>
      </c>
      <c r="AO107">
        <v>595931.97252199729</v>
      </c>
      <c r="AP107">
        <v>595931.97252199729</v>
      </c>
      <c r="AQ107">
        <v>595931.97252199729</v>
      </c>
      <c r="AR107">
        <v>595931.97252199729</v>
      </c>
      <c r="AS107">
        <v>595931.97252199729</v>
      </c>
      <c r="AT107">
        <v>595931.97252199729</v>
      </c>
      <c r="AU107">
        <v>595931.97252199729</v>
      </c>
      <c r="AV107">
        <v>595931.97252199729</v>
      </c>
      <c r="AW107">
        <v>595931.97252199729</v>
      </c>
      <c r="AX107">
        <v>595931.97252199729</v>
      </c>
    </row>
    <row r="108" spans="1:50" x14ac:dyDescent="0.2">
      <c r="B108" s="122" t="s">
        <v>59</v>
      </c>
      <c r="C108">
        <v>239581.74497116488</v>
      </c>
      <c r="D108">
        <v>239581.74497116488</v>
      </c>
      <c r="E108">
        <v>239581.74497116488</v>
      </c>
      <c r="F108">
        <v>239581.74497116488</v>
      </c>
      <c r="G108">
        <v>239581.74497116488</v>
      </c>
      <c r="H108">
        <v>239581.74497116488</v>
      </c>
      <c r="I108">
        <v>239581.74497116488</v>
      </c>
      <c r="J108">
        <v>239581.74497116488</v>
      </c>
      <c r="K108">
        <v>239581.74497116488</v>
      </c>
      <c r="L108">
        <v>239581.74497116488</v>
      </c>
      <c r="M108">
        <v>239581.74497116488</v>
      </c>
      <c r="N108">
        <v>239581.74497116488</v>
      </c>
      <c r="O108">
        <v>239581.74497116488</v>
      </c>
      <c r="P108">
        <v>239581.74497116488</v>
      </c>
      <c r="Q108">
        <v>239581.74497116488</v>
      </c>
      <c r="R108">
        <v>239581.74497116488</v>
      </c>
      <c r="S108">
        <v>239581.74497116488</v>
      </c>
      <c r="T108">
        <v>239581.74497116488</v>
      </c>
      <c r="U108">
        <v>239581.74497116488</v>
      </c>
      <c r="V108">
        <v>239581.74497116488</v>
      </c>
      <c r="W108">
        <v>239581.74497116488</v>
      </c>
      <c r="X108">
        <v>239581.74497116488</v>
      </c>
      <c r="Y108">
        <v>239581.74497116488</v>
      </c>
      <c r="Z108">
        <v>239581.74497116488</v>
      </c>
      <c r="AA108">
        <v>239581.74497116488</v>
      </c>
      <c r="AB108">
        <v>239581.74497116488</v>
      </c>
      <c r="AC108">
        <v>239581.74497116488</v>
      </c>
      <c r="AD108">
        <v>239581.74497116488</v>
      </c>
      <c r="AE108">
        <v>239581.74497116488</v>
      </c>
      <c r="AF108">
        <v>239581.74497116488</v>
      </c>
      <c r="AG108">
        <v>239581.74497116488</v>
      </c>
      <c r="AH108">
        <v>239581.74497116488</v>
      </c>
      <c r="AI108">
        <v>239581.74497116488</v>
      </c>
      <c r="AJ108">
        <v>239581.74497116488</v>
      </c>
      <c r="AK108">
        <v>239581.74497116488</v>
      </c>
      <c r="AL108">
        <v>239581.74497116488</v>
      </c>
      <c r="AM108">
        <v>239581.74497116488</v>
      </c>
      <c r="AN108">
        <v>239581.74497116488</v>
      </c>
      <c r="AO108">
        <v>239581.74497116488</v>
      </c>
      <c r="AP108">
        <v>239581.74497116488</v>
      </c>
      <c r="AQ108">
        <v>239581.74497116488</v>
      </c>
      <c r="AR108">
        <v>239581.74497116488</v>
      </c>
      <c r="AS108">
        <v>239581.74497116488</v>
      </c>
      <c r="AT108">
        <v>239581.74497116488</v>
      </c>
      <c r="AU108">
        <v>239581.74497116488</v>
      </c>
      <c r="AV108">
        <v>239581.74497116488</v>
      </c>
      <c r="AW108">
        <v>239581.74497116488</v>
      </c>
      <c r="AX108">
        <v>239581.74497116488</v>
      </c>
    </row>
    <row r="109" spans="1:50" x14ac:dyDescent="0.2">
      <c r="B109" s="119" t="s">
        <v>278</v>
      </c>
      <c r="C109" s="122">
        <f>SUM(C$104:C$108)</f>
        <v>906663.81968748372</v>
      </c>
      <c r="D109" s="122">
        <f t="shared" ref="D109:AX109" si="6">SUM(D$104:D$108)</f>
        <v>906663.81968748372</v>
      </c>
      <c r="E109" s="122">
        <f t="shared" si="6"/>
        <v>906663.81968748372</v>
      </c>
      <c r="F109" s="122">
        <f t="shared" si="6"/>
        <v>906663.81968748372</v>
      </c>
      <c r="G109" s="122">
        <f t="shared" si="6"/>
        <v>906663.81968748372</v>
      </c>
      <c r="H109" s="122">
        <f t="shared" si="6"/>
        <v>906663.81968748372</v>
      </c>
      <c r="I109" s="122">
        <f t="shared" si="6"/>
        <v>906663.81968748372</v>
      </c>
      <c r="J109" s="122">
        <f t="shared" si="6"/>
        <v>906663.81968748372</v>
      </c>
      <c r="K109" s="122">
        <f t="shared" si="6"/>
        <v>906663.81968748372</v>
      </c>
      <c r="L109" s="122">
        <f t="shared" si="6"/>
        <v>906663.81968748372</v>
      </c>
      <c r="M109" s="122">
        <f t="shared" si="6"/>
        <v>906663.81968748372</v>
      </c>
      <c r="N109" s="122">
        <f t="shared" si="6"/>
        <v>906663.81968748372</v>
      </c>
      <c r="O109" s="122">
        <f t="shared" si="6"/>
        <v>906663.81968748372</v>
      </c>
      <c r="P109" s="122">
        <f t="shared" si="6"/>
        <v>906663.81968748372</v>
      </c>
      <c r="Q109" s="122">
        <f t="shared" si="6"/>
        <v>906663.81968748372</v>
      </c>
      <c r="R109" s="122">
        <f t="shared" si="6"/>
        <v>906663.81968748372</v>
      </c>
      <c r="S109" s="122">
        <f t="shared" si="6"/>
        <v>906663.81968748372</v>
      </c>
      <c r="T109" s="122">
        <f t="shared" si="6"/>
        <v>906663.81968748372</v>
      </c>
      <c r="U109" s="122">
        <f t="shared" si="6"/>
        <v>906663.81968748372</v>
      </c>
      <c r="V109" s="122">
        <f t="shared" si="6"/>
        <v>906663.81968748372</v>
      </c>
      <c r="W109" s="122">
        <f t="shared" si="6"/>
        <v>906663.81968748372</v>
      </c>
      <c r="X109" s="122">
        <f t="shared" si="6"/>
        <v>906663.81968748372</v>
      </c>
      <c r="Y109" s="122">
        <f t="shared" si="6"/>
        <v>906663.81968748372</v>
      </c>
      <c r="Z109" s="122">
        <f t="shared" si="6"/>
        <v>906663.81968748372</v>
      </c>
      <c r="AA109" s="122">
        <f t="shared" si="6"/>
        <v>906663.81968748372</v>
      </c>
      <c r="AB109" s="122">
        <f t="shared" si="6"/>
        <v>906663.81968748372</v>
      </c>
      <c r="AC109" s="122">
        <f t="shared" si="6"/>
        <v>906663.81968748372</v>
      </c>
      <c r="AD109" s="122">
        <f t="shared" si="6"/>
        <v>906663.81968748372</v>
      </c>
      <c r="AE109" s="122">
        <f t="shared" si="6"/>
        <v>906663.81968748372</v>
      </c>
      <c r="AF109" s="122">
        <f t="shared" si="6"/>
        <v>906663.81968748372</v>
      </c>
      <c r="AG109" s="122">
        <f t="shared" si="6"/>
        <v>906663.81968748372</v>
      </c>
      <c r="AH109" s="122">
        <f t="shared" si="6"/>
        <v>906663.81968748372</v>
      </c>
      <c r="AI109" s="122">
        <f t="shared" si="6"/>
        <v>906663.81968748372</v>
      </c>
      <c r="AJ109" s="122">
        <f t="shared" si="6"/>
        <v>906663.81968748372</v>
      </c>
      <c r="AK109" s="122">
        <f t="shared" si="6"/>
        <v>906663.81968748372</v>
      </c>
      <c r="AL109" s="122">
        <f t="shared" si="6"/>
        <v>906663.81968748372</v>
      </c>
      <c r="AM109" s="122">
        <f t="shared" si="6"/>
        <v>906663.81968748372</v>
      </c>
      <c r="AN109" s="122">
        <f t="shared" si="6"/>
        <v>906663.81968748372</v>
      </c>
      <c r="AO109" s="122">
        <f t="shared" si="6"/>
        <v>906663.81968748372</v>
      </c>
      <c r="AP109" s="122">
        <f t="shared" si="6"/>
        <v>906663.81968748372</v>
      </c>
      <c r="AQ109" s="122">
        <f t="shared" si="6"/>
        <v>906663.81968748372</v>
      </c>
      <c r="AR109" s="122">
        <f t="shared" si="6"/>
        <v>906663.81968748372</v>
      </c>
      <c r="AS109" s="122">
        <f t="shared" si="6"/>
        <v>906663.81968748372</v>
      </c>
      <c r="AT109" s="122">
        <f t="shared" si="6"/>
        <v>906663.81968748372</v>
      </c>
      <c r="AU109" s="122">
        <f t="shared" si="6"/>
        <v>906663.81968748372</v>
      </c>
      <c r="AV109" s="122">
        <f t="shared" si="6"/>
        <v>906663.81968748372</v>
      </c>
      <c r="AW109" s="122">
        <f t="shared" si="6"/>
        <v>906663.81968748372</v>
      </c>
      <c r="AX109" s="122">
        <f t="shared" si="6"/>
        <v>906663.81968748372</v>
      </c>
    </row>
    <row r="110" spans="1:50" x14ac:dyDescent="0.2">
      <c r="A110" s="122" t="s">
        <v>106</v>
      </c>
      <c r="B110" s="122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2" t="s">
        <v>10</v>
      </c>
      <c r="C111">
        <v>102502.14915144411</v>
      </c>
      <c r="D111">
        <v>102502.14915144411</v>
      </c>
      <c r="E111">
        <v>17812.306034751688</v>
      </c>
      <c r="F111">
        <v>102502.14915144411</v>
      </c>
      <c r="G111">
        <v>102502.14915144411</v>
      </c>
      <c r="H111">
        <v>102502.14915144411</v>
      </c>
      <c r="I111">
        <v>102502.14915144411</v>
      </c>
      <c r="J111">
        <v>102502.14915144411</v>
      </c>
      <c r="K111">
        <v>102502.14915144411</v>
      </c>
      <c r="L111">
        <v>102502.14915144411</v>
      </c>
      <c r="M111">
        <v>102502.14915144411</v>
      </c>
      <c r="N111">
        <v>102502.14915144411</v>
      </c>
      <c r="O111">
        <v>102502.14915144411</v>
      </c>
      <c r="P111">
        <v>102502.14915144411</v>
      </c>
      <c r="Q111">
        <v>102502.14915144411</v>
      </c>
      <c r="R111">
        <v>102502.14915144411</v>
      </c>
      <c r="S111">
        <v>102502.14915144411</v>
      </c>
      <c r="T111">
        <v>102502.14915144411</v>
      </c>
      <c r="U111">
        <v>102502.14915144411</v>
      </c>
      <c r="V111">
        <v>102502.14915144411</v>
      </c>
      <c r="W111">
        <v>102502.14915144411</v>
      </c>
      <c r="X111">
        <v>102502.14915144411</v>
      </c>
      <c r="Y111">
        <v>102502.14915144411</v>
      </c>
      <c r="Z111">
        <v>102502.14915144411</v>
      </c>
      <c r="AA111">
        <v>102502.14915144411</v>
      </c>
      <c r="AB111">
        <v>102502.14915144411</v>
      </c>
      <c r="AC111">
        <v>102502.14915144411</v>
      </c>
      <c r="AD111">
        <v>102502.14915144411</v>
      </c>
      <c r="AE111">
        <v>102502.14915144411</v>
      </c>
      <c r="AF111">
        <v>102502.14915144411</v>
      </c>
      <c r="AG111">
        <v>102502.14915144411</v>
      </c>
      <c r="AH111">
        <v>18912.588448151349</v>
      </c>
      <c r="AI111">
        <v>102502.14915144411</v>
      </c>
      <c r="AJ111">
        <v>102502.14915144411</v>
      </c>
      <c r="AK111">
        <v>102502.14915144411</v>
      </c>
      <c r="AL111">
        <v>102502.14915144411</v>
      </c>
      <c r="AM111">
        <v>102502.14915144411</v>
      </c>
      <c r="AN111">
        <v>102502.14915144411</v>
      </c>
      <c r="AO111">
        <v>76643.499847517887</v>
      </c>
      <c r="AP111">
        <v>76782.014944132286</v>
      </c>
      <c r="AQ111">
        <v>19229.905400471733</v>
      </c>
      <c r="AR111">
        <v>19264.074403134582</v>
      </c>
      <c r="AS111">
        <v>102502.14915144411</v>
      </c>
      <c r="AT111">
        <v>102502.14915144411</v>
      </c>
      <c r="AU111">
        <v>102502.14915144411</v>
      </c>
      <c r="AV111">
        <v>77593.256479990203</v>
      </c>
      <c r="AW111">
        <v>77724.951647238646</v>
      </c>
      <c r="AX111">
        <v>102502.14915144411</v>
      </c>
    </row>
    <row r="112" spans="1:50" x14ac:dyDescent="0.2">
      <c r="B112" s="122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2" t="s">
        <v>22</v>
      </c>
      <c r="C113">
        <v>13408.785311160886</v>
      </c>
      <c r="D113">
        <v>13408.785311160886</v>
      </c>
      <c r="E113">
        <v>2330.1110220020778</v>
      </c>
      <c r="F113">
        <v>13408.785311160886</v>
      </c>
      <c r="G113">
        <v>13408.785311160886</v>
      </c>
      <c r="H113">
        <v>13408.785311160886</v>
      </c>
      <c r="I113">
        <v>13408.785311160886</v>
      </c>
      <c r="J113">
        <v>13408.785311160886</v>
      </c>
      <c r="K113">
        <v>13408.785311160886</v>
      </c>
      <c r="L113">
        <v>13408.785311160886</v>
      </c>
      <c r="M113">
        <v>13408.785311160886</v>
      </c>
      <c r="N113">
        <v>13408.785311160886</v>
      </c>
      <c r="O113">
        <v>13408.785311160886</v>
      </c>
      <c r="P113">
        <v>13408.785311160886</v>
      </c>
      <c r="Q113">
        <v>13408.785311160886</v>
      </c>
      <c r="R113">
        <v>13408.785311160886</v>
      </c>
      <c r="S113">
        <v>13408.785311160886</v>
      </c>
      <c r="T113">
        <v>13408.785311160886</v>
      </c>
      <c r="U113">
        <v>13408.785311160886</v>
      </c>
      <c r="V113">
        <v>13408.785311160886</v>
      </c>
      <c r="W113">
        <v>13408.785311160886</v>
      </c>
      <c r="X113">
        <v>13408.785311160886</v>
      </c>
      <c r="Y113">
        <v>13408.785311160886</v>
      </c>
      <c r="Z113">
        <v>13408.785311160886</v>
      </c>
      <c r="AA113">
        <v>13408.785311160886</v>
      </c>
      <c r="AB113">
        <v>13408.785311160886</v>
      </c>
      <c r="AC113">
        <v>13408.785311160886</v>
      </c>
      <c r="AD113">
        <v>13408.785311160886</v>
      </c>
      <c r="AE113">
        <v>13408.785311160886</v>
      </c>
      <c r="AF113">
        <v>13408.785311160886</v>
      </c>
      <c r="AG113">
        <v>13408.785311160886</v>
      </c>
      <c r="AH113">
        <v>2474.0441081379031</v>
      </c>
      <c r="AI113">
        <v>13408.785311160886</v>
      </c>
      <c r="AJ113">
        <v>13408.785311160886</v>
      </c>
      <c r="AK113">
        <v>13408.785311160886</v>
      </c>
      <c r="AL113">
        <v>13408.785311160886</v>
      </c>
      <c r="AM113">
        <v>13408.785311160886</v>
      </c>
      <c r="AN113">
        <v>13408.785311160886</v>
      </c>
      <c r="AO113">
        <v>10026.094510788907</v>
      </c>
      <c r="AP113">
        <v>10044.214318112294</v>
      </c>
      <c r="AQ113">
        <v>2515.5538220754079</v>
      </c>
      <c r="AR113">
        <v>2520.0236290481939</v>
      </c>
      <c r="AS113">
        <v>13408.785311160886</v>
      </c>
      <c r="AT113">
        <v>13408.785311160886</v>
      </c>
      <c r="AU113">
        <v>13408.785311160886</v>
      </c>
      <c r="AV113">
        <v>10150.336615838398</v>
      </c>
      <c r="AW113">
        <v>10167.564276319377</v>
      </c>
      <c r="AX113">
        <v>13408.785311160886</v>
      </c>
    </row>
    <row r="114" spans="1:50" x14ac:dyDescent="0.2">
      <c r="B114" s="122" t="s">
        <v>59</v>
      </c>
      <c r="C114">
        <v>665111.47765032982</v>
      </c>
      <c r="D114">
        <v>665111.47765032982</v>
      </c>
      <c r="E114">
        <v>115579.71501289905</v>
      </c>
      <c r="F114">
        <v>665111.47765032982</v>
      </c>
      <c r="G114">
        <v>665111.47765032982</v>
      </c>
      <c r="H114">
        <v>665111.47765032982</v>
      </c>
      <c r="I114">
        <v>665111.47765032982</v>
      </c>
      <c r="J114">
        <v>665111.47765032982</v>
      </c>
      <c r="K114">
        <v>665111.47765032982</v>
      </c>
      <c r="L114">
        <v>665111.47765032982</v>
      </c>
      <c r="M114">
        <v>665111.47765032982</v>
      </c>
      <c r="N114">
        <v>665111.47765032982</v>
      </c>
      <c r="O114">
        <v>665111.47765032982</v>
      </c>
      <c r="P114">
        <v>665111.47765032982</v>
      </c>
      <c r="Q114">
        <v>665111.47765032982</v>
      </c>
      <c r="R114">
        <v>665111.47765032982</v>
      </c>
      <c r="S114">
        <v>665111.47765032982</v>
      </c>
      <c r="T114">
        <v>665111.47765032982</v>
      </c>
      <c r="U114">
        <v>665111.47765032982</v>
      </c>
      <c r="V114">
        <v>665111.47765032982</v>
      </c>
      <c r="W114">
        <v>665111.47765032982</v>
      </c>
      <c r="X114">
        <v>665111.47765032982</v>
      </c>
      <c r="Y114">
        <v>665111.47765032982</v>
      </c>
      <c r="Z114">
        <v>665111.47765032982</v>
      </c>
      <c r="AA114">
        <v>665111.47765032982</v>
      </c>
      <c r="AB114">
        <v>665111.47765032982</v>
      </c>
      <c r="AC114">
        <v>665111.47765032982</v>
      </c>
      <c r="AD114">
        <v>665111.47765032982</v>
      </c>
      <c r="AE114">
        <v>665111.47765032982</v>
      </c>
      <c r="AF114">
        <v>665111.47765032982</v>
      </c>
      <c r="AG114">
        <v>665111.47765032982</v>
      </c>
      <c r="AH114">
        <v>122719.17957893164</v>
      </c>
      <c r="AI114">
        <v>665111.47765032982</v>
      </c>
      <c r="AJ114">
        <v>665111.47765032982</v>
      </c>
      <c r="AK114">
        <v>665111.47765032982</v>
      </c>
      <c r="AL114">
        <v>665111.47765032982</v>
      </c>
      <c r="AM114">
        <v>665111.47765032982</v>
      </c>
      <c r="AN114">
        <v>665111.47765032982</v>
      </c>
      <c r="AO114">
        <v>497321.00114856253</v>
      </c>
      <c r="AP114">
        <v>498219.79187001335</v>
      </c>
      <c r="AQ114">
        <v>124778.17198824674</v>
      </c>
      <c r="AR114">
        <v>124999.88632340032</v>
      </c>
      <c r="AS114">
        <v>665111.47765032982</v>
      </c>
      <c r="AT114">
        <v>665111.47765032982</v>
      </c>
      <c r="AU114">
        <v>665111.47765032982</v>
      </c>
      <c r="AV114">
        <v>503483.74058828439</v>
      </c>
      <c r="AW114">
        <v>504338.27844932582</v>
      </c>
      <c r="AX114">
        <v>665111.47765032982</v>
      </c>
    </row>
    <row r="115" spans="1:50" x14ac:dyDescent="0.2">
      <c r="B115" t="s">
        <v>278</v>
      </c>
      <c r="C115" s="122">
        <f>SUM(C$110:C$114)</f>
        <v>781022.41211293486</v>
      </c>
      <c r="D115" s="122">
        <f t="shared" ref="D115:AX115" si="7">SUM(D$110:D$114)</f>
        <v>781022.41211293486</v>
      </c>
      <c r="E115" s="122">
        <f t="shared" si="7"/>
        <v>135722.13206965281</v>
      </c>
      <c r="F115" s="122">
        <f t="shared" si="7"/>
        <v>781022.41211293486</v>
      </c>
      <c r="G115" s="122">
        <f t="shared" si="7"/>
        <v>781022.41211293486</v>
      </c>
      <c r="H115" s="122">
        <f t="shared" si="7"/>
        <v>781022.41211293486</v>
      </c>
      <c r="I115" s="122">
        <f t="shared" si="7"/>
        <v>781022.41211293486</v>
      </c>
      <c r="J115" s="122">
        <f t="shared" si="7"/>
        <v>781022.41211293486</v>
      </c>
      <c r="K115" s="122">
        <f t="shared" si="7"/>
        <v>781022.41211293486</v>
      </c>
      <c r="L115" s="122">
        <f t="shared" si="7"/>
        <v>781022.41211293486</v>
      </c>
      <c r="M115" s="122">
        <f t="shared" si="7"/>
        <v>781022.41211293486</v>
      </c>
      <c r="N115" s="122">
        <f t="shared" si="7"/>
        <v>781022.41211293486</v>
      </c>
      <c r="O115" s="122">
        <f t="shared" si="7"/>
        <v>781022.41211293486</v>
      </c>
      <c r="P115" s="122">
        <f t="shared" si="7"/>
        <v>781022.41211293486</v>
      </c>
      <c r="Q115" s="122">
        <f t="shared" si="7"/>
        <v>781022.41211293486</v>
      </c>
      <c r="R115" s="122">
        <f t="shared" si="7"/>
        <v>781022.41211293486</v>
      </c>
      <c r="S115" s="122">
        <f t="shared" si="7"/>
        <v>781022.41211293486</v>
      </c>
      <c r="T115" s="122">
        <f t="shared" si="7"/>
        <v>781022.41211293486</v>
      </c>
      <c r="U115" s="122">
        <f t="shared" si="7"/>
        <v>781022.41211293486</v>
      </c>
      <c r="V115" s="122">
        <f t="shared" si="7"/>
        <v>781022.41211293486</v>
      </c>
      <c r="W115" s="122">
        <f t="shared" si="7"/>
        <v>781022.41211293486</v>
      </c>
      <c r="X115" s="122">
        <f t="shared" si="7"/>
        <v>781022.41211293486</v>
      </c>
      <c r="Y115" s="122">
        <f t="shared" si="7"/>
        <v>781022.41211293486</v>
      </c>
      <c r="Z115" s="122">
        <f t="shared" si="7"/>
        <v>781022.41211293486</v>
      </c>
      <c r="AA115" s="122">
        <f t="shared" si="7"/>
        <v>781022.41211293486</v>
      </c>
      <c r="AB115" s="122">
        <f t="shared" si="7"/>
        <v>781022.41211293486</v>
      </c>
      <c r="AC115" s="122">
        <f t="shared" si="7"/>
        <v>781022.41211293486</v>
      </c>
      <c r="AD115" s="122">
        <f t="shared" si="7"/>
        <v>781022.41211293486</v>
      </c>
      <c r="AE115" s="122">
        <f t="shared" si="7"/>
        <v>781022.41211293486</v>
      </c>
      <c r="AF115" s="122">
        <f t="shared" si="7"/>
        <v>781022.41211293486</v>
      </c>
      <c r="AG115" s="122">
        <f t="shared" si="7"/>
        <v>781022.41211293486</v>
      </c>
      <c r="AH115" s="122">
        <f t="shared" si="7"/>
        <v>144105.81213522088</v>
      </c>
      <c r="AI115" s="122">
        <f t="shared" si="7"/>
        <v>781022.41211293486</v>
      </c>
      <c r="AJ115" s="122">
        <f t="shared" si="7"/>
        <v>781022.41211293486</v>
      </c>
      <c r="AK115" s="122">
        <f t="shared" si="7"/>
        <v>781022.41211293486</v>
      </c>
      <c r="AL115" s="122">
        <f t="shared" si="7"/>
        <v>781022.41211293486</v>
      </c>
      <c r="AM115" s="122">
        <f t="shared" si="7"/>
        <v>781022.41211293486</v>
      </c>
      <c r="AN115" s="122">
        <f t="shared" si="7"/>
        <v>781022.41211293486</v>
      </c>
      <c r="AO115" s="122">
        <f t="shared" si="7"/>
        <v>583990.59550686937</v>
      </c>
      <c r="AP115" s="122">
        <f t="shared" si="7"/>
        <v>585046.02113225788</v>
      </c>
      <c r="AQ115" s="122">
        <f t="shared" si="7"/>
        <v>146523.63121079389</v>
      </c>
      <c r="AR115" s="122">
        <f t="shared" si="7"/>
        <v>146783.98435558309</v>
      </c>
      <c r="AS115" s="122">
        <f t="shared" si="7"/>
        <v>781022.41211293486</v>
      </c>
      <c r="AT115" s="122">
        <f t="shared" si="7"/>
        <v>781022.41211293486</v>
      </c>
      <c r="AU115" s="122">
        <f t="shared" si="7"/>
        <v>781022.41211293486</v>
      </c>
      <c r="AV115" s="122">
        <f t="shared" si="7"/>
        <v>591227.33368411299</v>
      </c>
      <c r="AW115" s="122">
        <f t="shared" si="7"/>
        <v>592230.79437288386</v>
      </c>
      <c r="AX115" s="122">
        <f t="shared" si="7"/>
        <v>781022.41211293486</v>
      </c>
    </row>
    <row r="116" spans="1:50" x14ac:dyDescent="0.2">
      <c r="A116" s="122" t="s">
        <v>107</v>
      </c>
      <c r="B116" s="122" t="s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</row>
    <row r="117" spans="1:50" x14ac:dyDescent="0.2">
      <c r="B117" s="122" t="s">
        <v>10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</row>
    <row r="118" spans="1:50" x14ac:dyDescent="0.2">
      <c r="B118" s="122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2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2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 x14ac:dyDescent="0.2">
      <c r="B121" t="s">
        <v>278</v>
      </c>
      <c r="C121" s="122">
        <f>SUM(C$116:C$120)</f>
        <v>0</v>
      </c>
      <c r="D121" s="122">
        <f t="shared" ref="D121:AX121" si="8">SUM(D$116:D$120)</f>
        <v>0</v>
      </c>
      <c r="E121" s="122">
        <f t="shared" si="8"/>
        <v>0</v>
      </c>
      <c r="F121" s="122">
        <f t="shared" si="8"/>
        <v>0</v>
      </c>
      <c r="G121" s="122">
        <f t="shared" si="8"/>
        <v>0</v>
      </c>
      <c r="H121" s="122">
        <f t="shared" si="8"/>
        <v>0</v>
      </c>
      <c r="I121" s="122">
        <f t="shared" si="8"/>
        <v>0</v>
      </c>
      <c r="J121" s="122">
        <f t="shared" si="8"/>
        <v>0</v>
      </c>
      <c r="K121" s="122">
        <f t="shared" si="8"/>
        <v>0</v>
      </c>
      <c r="L121" s="122">
        <f t="shared" si="8"/>
        <v>0</v>
      </c>
      <c r="M121" s="122">
        <f t="shared" si="8"/>
        <v>0</v>
      </c>
      <c r="N121" s="122">
        <f t="shared" si="8"/>
        <v>0</v>
      </c>
      <c r="O121" s="122">
        <f t="shared" si="8"/>
        <v>0</v>
      </c>
      <c r="P121" s="122">
        <f t="shared" si="8"/>
        <v>0</v>
      </c>
      <c r="Q121" s="122">
        <f t="shared" si="8"/>
        <v>0</v>
      </c>
      <c r="R121" s="122">
        <f t="shared" si="8"/>
        <v>0</v>
      </c>
      <c r="S121" s="122">
        <f t="shared" si="8"/>
        <v>0</v>
      </c>
      <c r="T121" s="122">
        <f t="shared" si="8"/>
        <v>0</v>
      </c>
      <c r="U121" s="122">
        <f t="shared" si="8"/>
        <v>0</v>
      </c>
      <c r="V121" s="122">
        <f t="shared" si="8"/>
        <v>0</v>
      </c>
      <c r="W121" s="122">
        <f t="shared" si="8"/>
        <v>0</v>
      </c>
      <c r="X121" s="122">
        <f t="shared" si="8"/>
        <v>0</v>
      </c>
      <c r="Y121" s="122">
        <f t="shared" si="8"/>
        <v>0</v>
      </c>
      <c r="Z121" s="122">
        <f t="shared" si="8"/>
        <v>0</v>
      </c>
      <c r="AA121" s="122">
        <f t="shared" si="8"/>
        <v>0</v>
      </c>
      <c r="AB121" s="122">
        <f t="shared" si="8"/>
        <v>0</v>
      </c>
      <c r="AC121" s="122">
        <f t="shared" si="8"/>
        <v>0</v>
      </c>
      <c r="AD121" s="122">
        <f t="shared" si="8"/>
        <v>0</v>
      </c>
      <c r="AE121" s="122">
        <f t="shared" si="8"/>
        <v>0</v>
      </c>
      <c r="AF121" s="122">
        <f t="shared" si="8"/>
        <v>0</v>
      </c>
      <c r="AG121" s="122">
        <f t="shared" si="8"/>
        <v>0</v>
      </c>
      <c r="AH121" s="122">
        <f t="shared" si="8"/>
        <v>0</v>
      </c>
      <c r="AI121" s="122">
        <f t="shared" si="8"/>
        <v>0</v>
      </c>
      <c r="AJ121" s="122">
        <f t="shared" si="8"/>
        <v>0</v>
      </c>
      <c r="AK121" s="122">
        <f t="shared" si="8"/>
        <v>0</v>
      </c>
      <c r="AL121" s="122">
        <f t="shared" si="8"/>
        <v>0</v>
      </c>
      <c r="AM121" s="122">
        <f t="shared" si="8"/>
        <v>0</v>
      </c>
      <c r="AN121" s="122">
        <f t="shared" si="8"/>
        <v>0</v>
      </c>
      <c r="AO121" s="122">
        <f t="shared" si="8"/>
        <v>0</v>
      </c>
      <c r="AP121" s="122">
        <f t="shared" si="8"/>
        <v>0</v>
      </c>
      <c r="AQ121" s="122">
        <f t="shared" si="8"/>
        <v>0</v>
      </c>
      <c r="AR121" s="122">
        <f t="shared" si="8"/>
        <v>0</v>
      </c>
      <c r="AS121" s="122">
        <f t="shared" si="8"/>
        <v>0</v>
      </c>
      <c r="AT121" s="122">
        <f t="shared" si="8"/>
        <v>0</v>
      </c>
      <c r="AU121" s="122">
        <f t="shared" si="8"/>
        <v>0</v>
      </c>
      <c r="AV121" s="122">
        <f t="shared" si="8"/>
        <v>0</v>
      </c>
      <c r="AW121" s="122">
        <f t="shared" si="8"/>
        <v>0</v>
      </c>
      <c r="AX121" s="122">
        <f t="shared" si="8"/>
        <v>0</v>
      </c>
    </row>
    <row r="122" spans="1:50" x14ac:dyDescent="0.2">
      <c r="A122" s="122" t="s">
        <v>108</v>
      </c>
      <c r="B122" s="122" t="s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</row>
    <row r="123" spans="1:50" x14ac:dyDescent="0.2">
      <c r="B123" s="122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2" t="s">
        <v>12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 x14ac:dyDescent="0.2">
      <c r="B125" s="122" t="s">
        <v>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 x14ac:dyDescent="0.2">
      <c r="B126" s="122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 x14ac:dyDescent="0.2">
      <c r="B127" t="s">
        <v>278</v>
      </c>
      <c r="C127" s="122">
        <f>SUM(C$122:C$126)</f>
        <v>0</v>
      </c>
      <c r="D127" s="122">
        <f t="shared" ref="D127:AX127" si="9">SUM(D$122:D$126)</f>
        <v>0</v>
      </c>
      <c r="E127" s="122">
        <f t="shared" si="9"/>
        <v>0</v>
      </c>
      <c r="F127" s="122">
        <f t="shared" si="9"/>
        <v>0</v>
      </c>
      <c r="G127" s="122">
        <f t="shared" si="9"/>
        <v>0</v>
      </c>
      <c r="H127" s="122">
        <f t="shared" si="9"/>
        <v>0</v>
      </c>
      <c r="I127" s="122">
        <f t="shared" si="9"/>
        <v>0</v>
      </c>
      <c r="J127" s="122">
        <f t="shared" si="9"/>
        <v>0</v>
      </c>
      <c r="K127" s="122">
        <f t="shared" si="9"/>
        <v>0</v>
      </c>
      <c r="L127" s="122">
        <f t="shared" si="9"/>
        <v>0</v>
      </c>
      <c r="M127" s="122">
        <f t="shared" si="9"/>
        <v>0</v>
      </c>
      <c r="N127" s="122">
        <f t="shared" si="9"/>
        <v>0</v>
      </c>
      <c r="O127" s="122">
        <f t="shared" si="9"/>
        <v>0</v>
      </c>
      <c r="P127" s="122">
        <f t="shared" si="9"/>
        <v>0</v>
      </c>
      <c r="Q127" s="122">
        <f t="shared" si="9"/>
        <v>0</v>
      </c>
      <c r="R127" s="122">
        <f t="shared" si="9"/>
        <v>0</v>
      </c>
      <c r="S127" s="122">
        <f t="shared" si="9"/>
        <v>0</v>
      </c>
      <c r="T127" s="122">
        <f t="shared" si="9"/>
        <v>0</v>
      </c>
      <c r="U127" s="122">
        <f t="shared" si="9"/>
        <v>0</v>
      </c>
      <c r="V127" s="122">
        <f t="shared" si="9"/>
        <v>0</v>
      </c>
      <c r="W127" s="122">
        <f t="shared" si="9"/>
        <v>0</v>
      </c>
      <c r="X127" s="122">
        <f t="shared" si="9"/>
        <v>0</v>
      </c>
      <c r="Y127" s="122">
        <f t="shared" si="9"/>
        <v>0</v>
      </c>
      <c r="Z127" s="122">
        <f t="shared" si="9"/>
        <v>0</v>
      </c>
      <c r="AA127" s="122">
        <f t="shared" si="9"/>
        <v>0</v>
      </c>
      <c r="AB127" s="122">
        <f t="shared" si="9"/>
        <v>0</v>
      </c>
      <c r="AC127" s="122">
        <f t="shared" si="9"/>
        <v>0</v>
      </c>
      <c r="AD127" s="122">
        <f t="shared" si="9"/>
        <v>0</v>
      </c>
      <c r="AE127" s="122">
        <f t="shared" si="9"/>
        <v>0</v>
      </c>
      <c r="AF127" s="122">
        <f t="shared" si="9"/>
        <v>0</v>
      </c>
      <c r="AG127" s="122">
        <f t="shared" si="9"/>
        <v>0</v>
      </c>
      <c r="AH127" s="122">
        <f t="shared" si="9"/>
        <v>0</v>
      </c>
      <c r="AI127" s="122">
        <f t="shared" si="9"/>
        <v>0</v>
      </c>
      <c r="AJ127" s="122">
        <f t="shared" si="9"/>
        <v>0</v>
      </c>
      <c r="AK127" s="122">
        <f t="shared" si="9"/>
        <v>0</v>
      </c>
      <c r="AL127" s="122">
        <f t="shared" si="9"/>
        <v>0</v>
      </c>
      <c r="AM127" s="122">
        <f t="shared" si="9"/>
        <v>0</v>
      </c>
      <c r="AN127" s="122">
        <f t="shared" si="9"/>
        <v>0</v>
      </c>
      <c r="AO127" s="122">
        <f t="shared" si="9"/>
        <v>0</v>
      </c>
      <c r="AP127" s="122">
        <f t="shared" si="9"/>
        <v>0</v>
      </c>
      <c r="AQ127" s="122">
        <f t="shared" si="9"/>
        <v>0</v>
      </c>
      <c r="AR127" s="122">
        <f t="shared" si="9"/>
        <v>0</v>
      </c>
      <c r="AS127" s="122">
        <f t="shared" si="9"/>
        <v>0</v>
      </c>
      <c r="AT127" s="122">
        <f t="shared" si="9"/>
        <v>0</v>
      </c>
      <c r="AU127" s="122">
        <f t="shared" si="9"/>
        <v>0</v>
      </c>
      <c r="AV127" s="122">
        <f t="shared" si="9"/>
        <v>0</v>
      </c>
      <c r="AW127" s="122">
        <f t="shared" si="9"/>
        <v>0</v>
      </c>
      <c r="AX127" s="122">
        <f t="shared" si="9"/>
        <v>0</v>
      </c>
    </row>
    <row r="128" spans="1:50" x14ac:dyDescent="0.2">
      <c r="A128" s="122" t="s">
        <v>109</v>
      </c>
      <c r="B128" s="122" t="s">
        <v>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</row>
    <row r="129" spans="2:50" x14ac:dyDescent="0.2">
      <c r="B129" s="122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2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 x14ac:dyDescent="0.2">
      <c r="B131" s="122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22" t="s">
        <v>59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2:50" x14ac:dyDescent="0.2">
      <c r="B133" t="s">
        <v>278</v>
      </c>
      <c r="C133" s="122">
        <f>SUM(C$128:C$132)</f>
        <v>0</v>
      </c>
      <c r="D133" s="122">
        <f t="shared" ref="D133:AX133" si="10">SUM(D$128:D$132)</f>
        <v>0</v>
      </c>
      <c r="E133" s="122">
        <f t="shared" si="10"/>
        <v>0</v>
      </c>
      <c r="F133" s="122">
        <f t="shared" si="10"/>
        <v>0</v>
      </c>
      <c r="G133" s="122">
        <f t="shared" si="10"/>
        <v>0</v>
      </c>
      <c r="H133" s="122">
        <f t="shared" si="10"/>
        <v>0</v>
      </c>
      <c r="I133" s="122">
        <f t="shared" si="10"/>
        <v>0</v>
      </c>
      <c r="J133" s="122">
        <f t="shared" si="10"/>
        <v>0</v>
      </c>
      <c r="K133" s="122">
        <f t="shared" si="10"/>
        <v>0</v>
      </c>
      <c r="L133" s="122">
        <f t="shared" si="10"/>
        <v>0</v>
      </c>
      <c r="M133" s="122">
        <f t="shared" si="10"/>
        <v>0</v>
      </c>
      <c r="N133" s="122">
        <f t="shared" si="10"/>
        <v>0</v>
      </c>
      <c r="O133" s="122">
        <f t="shared" si="10"/>
        <v>0</v>
      </c>
      <c r="P133" s="122">
        <f t="shared" si="10"/>
        <v>0</v>
      </c>
      <c r="Q133" s="122">
        <f t="shared" si="10"/>
        <v>0</v>
      </c>
      <c r="R133" s="122">
        <f t="shared" si="10"/>
        <v>0</v>
      </c>
      <c r="S133" s="122">
        <f t="shared" si="10"/>
        <v>0</v>
      </c>
      <c r="T133" s="122">
        <f t="shared" si="10"/>
        <v>0</v>
      </c>
      <c r="U133" s="122">
        <f t="shared" si="10"/>
        <v>0</v>
      </c>
      <c r="V133" s="122">
        <f t="shared" si="10"/>
        <v>0</v>
      </c>
      <c r="W133" s="122">
        <f t="shared" si="10"/>
        <v>0</v>
      </c>
      <c r="X133" s="122">
        <f t="shared" si="10"/>
        <v>0</v>
      </c>
      <c r="Y133" s="122">
        <f t="shared" si="10"/>
        <v>0</v>
      </c>
      <c r="Z133" s="122">
        <f t="shared" si="10"/>
        <v>0</v>
      </c>
      <c r="AA133" s="122">
        <f t="shared" si="10"/>
        <v>0</v>
      </c>
      <c r="AB133" s="122">
        <f t="shared" si="10"/>
        <v>0</v>
      </c>
      <c r="AC133" s="122">
        <f t="shared" si="10"/>
        <v>0</v>
      </c>
      <c r="AD133" s="122">
        <f t="shared" si="10"/>
        <v>0</v>
      </c>
      <c r="AE133" s="122">
        <f t="shared" si="10"/>
        <v>0</v>
      </c>
      <c r="AF133" s="122">
        <f t="shared" si="10"/>
        <v>0</v>
      </c>
      <c r="AG133" s="122">
        <f t="shared" si="10"/>
        <v>0</v>
      </c>
      <c r="AH133" s="122">
        <f t="shared" si="10"/>
        <v>0</v>
      </c>
      <c r="AI133" s="122">
        <f t="shared" si="10"/>
        <v>0</v>
      </c>
      <c r="AJ133" s="122">
        <f t="shared" si="10"/>
        <v>0</v>
      </c>
      <c r="AK133" s="122">
        <f t="shared" si="10"/>
        <v>0</v>
      </c>
      <c r="AL133" s="122">
        <f t="shared" si="10"/>
        <v>0</v>
      </c>
      <c r="AM133" s="122">
        <f t="shared" si="10"/>
        <v>0</v>
      </c>
      <c r="AN133" s="122">
        <f t="shared" si="10"/>
        <v>0</v>
      </c>
      <c r="AO133" s="122">
        <f t="shared" si="10"/>
        <v>0</v>
      </c>
      <c r="AP133" s="122">
        <f t="shared" si="10"/>
        <v>0</v>
      </c>
      <c r="AQ133" s="122">
        <f t="shared" si="10"/>
        <v>0</v>
      </c>
      <c r="AR133" s="122">
        <f t="shared" si="10"/>
        <v>0</v>
      </c>
      <c r="AS133" s="122">
        <f t="shared" si="10"/>
        <v>0</v>
      </c>
      <c r="AT133" s="122">
        <f t="shared" si="10"/>
        <v>0</v>
      </c>
      <c r="AU133" s="122">
        <f t="shared" si="10"/>
        <v>0</v>
      </c>
      <c r="AV133" s="122">
        <f t="shared" si="10"/>
        <v>0</v>
      </c>
      <c r="AW133" s="122">
        <f t="shared" si="10"/>
        <v>0</v>
      </c>
      <c r="AX133" s="122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5</v>
      </c>
      <c r="E2" s="127"/>
    </row>
    <row r="3" spans="1:52" x14ac:dyDescent="0.2">
      <c r="A3" t="s">
        <v>286</v>
      </c>
      <c r="B3" s="124">
        <v>1257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352.90464976464813</v>
      </c>
      <c r="E7" s="160">
        <v>352.90464976464813</v>
      </c>
      <c r="F7" s="160">
        <v>352.90464976464813</v>
      </c>
      <c r="G7" s="160">
        <v>352.90464976464813</v>
      </c>
      <c r="H7" s="160">
        <v>320.4677712891235</v>
      </c>
      <c r="I7" s="160">
        <v>320.4677712891235</v>
      </c>
      <c r="J7" s="160">
        <v>320.4677712891235</v>
      </c>
      <c r="K7" s="160">
        <v>320.4677712891235</v>
      </c>
      <c r="L7" s="160">
        <v>320.4677712891235</v>
      </c>
      <c r="M7" s="160">
        <v>320.4677712891235</v>
      </c>
      <c r="N7" s="160">
        <v>320.4677712891235</v>
      </c>
      <c r="O7" s="160">
        <v>320.4677712891235</v>
      </c>
      <c r="P7" s="160">
        <v>352.90464976464813</v>
      </c>
      <c r="Q7" s="160">
        <v>352.90464976464813</v>
      </c>
      <c r="R7" s="160">
        <v>352.90464976464813</v>
      </c>
      <c r="S7" s="160">
        <v>352.90464976464813</v>
      </c>
      <c r="T7" s="160">
        <v>320.4677712891235</v>
      </c>
      <c r="U7" s="160">
        <v>320.4677712891235</v>
      </c>
      <c r="V7" s="160">
        <v>320.4677712891235</v>
      </c>
      <c r="W7" s="160">
        <v>320.4677712891235</v>
      </c>
      <c r="X7" s="160">
        <v>320.4677712891235</v>
      </c>
      <c r="Y7" s="160">
        <v>320.4677712891235</v>
      </c>
      <c r="Z7" s="160">
        <v>320.4677712891235</v>
      </c>
      <c r="AA7" s="160">
        <v>320.4677712891235</v>
      </c>
      <c r="AB7" s="160">
        <v>352.90464976464813</v>
      </c>
      <c r="AC7" s="160">
        <v>352.90464976464813</v>
      </c>
      <c r="AD7" s="160">
        <v>352.90464976464813</v>
      </c>
      <c r="AE7" s="160">
        <v>352.90464976464813</v>
      </c>
      <c r="AF7" s="160">
        <v>320.4677712891235</v>
      </c>
      <c r="AG7" s="160">
        <v>320.4677712891235</v>
      </c>
      <c r="AH7" s="160">
        <v>320.4677712891235</v>
      </c>
      <c r="AI7" s="160">
        <v>320.4677712891235</v>
      </c>
      <c r="AJ7" s="160">
        <v>320.4677712891235</v>
      </c>
      <c r="AK7" s="160">
        <v>320.4677712891235</v>
      </c>
      <c r="AL7" s="160">
        <v>320.4677712891235</v>
      </c>
      <c r="AM7" s="160">
        <v>320.4677712891235</v>
      </c>
      <c r="AN7" s="160">
        <v>352.90464976464813</v>
      </c>
      <c r="AO7" s="160">
        <v>352.90464976464813</v>
      </c>
      <c r="AP7" s="160">
        <v>352.90464976464813</v>
      </c>
      <c r="AQ7" s="160">
        <v>352.90464976464813</v>
      </c>
      <c r="AR7" s="160">
        <v>320.4677712891235</v>
      </c>
      <c r="AS7" s="160">
        <v>320.4677712891235</v>
      </c>
      <c r="AT7" s="160">
        <v>320.4677712891235</v>
      </c>
      <c r="AU7" s="160">
        <v>320.4677712891235</v>
      </c>
      <c r="AV7" s="160">
        <v>320.4677712891235</v>
      </c>
      <c r="AW7" s="160">
        <v>320.4677712891235</v>
      </c>
      <c r="AX7" s="160">
        <v>320.4677712891235</v>
      </c>
      <c r="AY7" s="160">
        <v>320.4677712891235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0</v>
      </c>
      <c r="E10" s="160">
        <f t="shared" si="0"/>
        <v>0</v>
      </c>
      <c r="F10" s="160">
        <f t="shared" si="0"/>
        <v>0</v>
      </c>
      <c r="G10" s="160">
        <f t="shared" si="0"/>
        <v>0</v>
      </c>
      <c r="H10" s="160">
        <f t="shared" si="0"/>
        <v>0</v>
      </c>
      <c r="I10" s="160">
        <f t="shared" si="0"/>
        <v>0</v>
      </c>
      <c r="J10" s="160">
        <f t="shared" si="0"/>
        <v>0</v>
      </c>
      <c r="K10" s="160">
        <f t="shared" si="0"/>
        <v>0</v>
      </c>
      <c r="L10" s="160">
        <f t="shared" si="0"/>
        <v>0</v>
      </c>
      <c r="M10" s="160">
        <f t="shared" si="0"/>
        <v>0</v>
      </c>
      <c r="N10" s="160">
        <f t="shared" si="0"/>
        <v>0</v>
      </c>
      <c r="O10" s="160">
        <f t="shared" si="0"/>
        <v>0</v>
      </c>
      <c r="P10" s="160">
        <f t="shared" si="0"/>
        <v>0</v>
      </c>
      <c r="Q10" s="160">
        <f t="shared" si="0"/>
        <v>0</v>
      </c>
      <c r="R10" s="160">
        <f t="shared" si="0"/>
        <v>0</v>
      </c>
      <c r="S10" s="160">
        <f t="shared" si="0"/>
        <v>0</v>
      </c>
      <c r="T10" s="160">
        <f t="shared" si="0"/>
        <v>0</v>
      </c>
      <c r="U10" s="160">
        <f t="shared" si="0"/>
        <v>0</v>
      </c>
      <c r="V10" s="160">
        <f t="shared" si="0"/>
        <v>0</v>
      </c>
      <c r="W10" s="160">
        <f t="shared" si="0"/>
        <v>0</v>
      </c>
      <c r="X10" s="160">
        <f t="shared" si="0"/>
        <v>0</v>
      </c>
      <c r="Y10" s="160">
        <f t="shared" si="0"/>
        <v>0</v>
      </c>
      <c r="Z10" s="160">
        <f t="shared" si="0"/>
        <v>0</v>
      </c>
      <c r="AA10" s="160">
        <f t="shared" si="0"/>
        <v>0</v>
      </c>
      <c r="AB10" s="160">
        <f t="shared" si="0"/>
        <v>0</v>
      </c>
      <c r="AC10" s="160">
        <f t="shared" si="0"/>
        <v>0</v>
      </c>
      <c r="AD10" s="160">
        <f t="shared" si="0"/>
        <v>0</v>
      </c>
      <c r="AE10" s="160">
        <f t="shared" si="0"/>
        <v>0</v>
      </c>
      <c r="AF10" s="160">
        <f t="shared" si="0"/>
        <v>0</v>
      </c>
      <c r="AG10" s="160">
        <f t="shared" si="0"/>
        <v>0</v>
      </c>
      <c r="AH10" s="160">
        <f t="shared" si="0"/>
        <v>0</v>
      </c>
      <c r="AI10" s="160">
        <f t="shared" si="0"/>
        <v>0</v>
      </c>
      <c r="AJ10" s="160">
        <f t="shared" si="0"/>
        <v>0</v>
      </c>
      <c r="AK10" s="160">
        <f t="shared" si="0"/>
        <v>0</v>
      </c>
      <c r="AL10" s="160">
        <f t="shared" si="0"/>
        <v>0</v>
      </c>
      <c r="AM10" s="160">
        <f t="shared" si="0"/>
        <v>0</v>
      </c>
      <c r="AN10" s="160">
        <f t="shared" si="0"/>
        <v>0</v>
      </c>
      <c r="AO10" s="160">
        <f t="shared" si="0"/>
        <v>0</v>
      </c>
      <c r="AP10" s="160">
        <f t="shared" si="0"/>
        <v>0</v>
      </c>
      <c r="AQ10" s="160">
        <f t="shared" si="0"/>
        <v>0</v>
      </c>
      <c r="AR10" s="160">
        <f t="shared" si="0"/>
        <v>0</v>
      </c>
      <c r="AS10" s="160">
        <f t="shared" si="0"/>
        <v>0</v>
      </c>
      <c r="AT10" s="160">
        <f t="shared" si="0"/>
        <v>0</v>
      </c>
      <c r="AU10" s="160">
        <f t="shared" si="0"/>
        <v>0</v>
      </c>
      <c r="AV10" s="160">
        <f t="shared" si="0"/>
        <v>0</v>
      </c>
      <c r="AW10" s="160">
        <f t="shared" si="0"/>
        <v>0</v>
      </c>
      <c r="AX10" s="160">
        <f t="shared" si="0"/>
        <v>0</v>
      </c>
      <c r="AY10" s="160">
        <f t="shared" si="0"/>
        <v>0</v>
      </c>
      <c r="AZ10" s="167">
        <f>SUM($D10:$AY10)</f>
        <v>0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243.33124677770775</v>
      </c>
      <c r="D13" s="154">
        <f t="shared" ref="D13:AY13" si="1">D$7-D$10</f>
        <v>352.90464976464813</v>
      </c>
      <c r="E13" s="154">
        <f t="shared" si="1"/>
        <v>352.90464976464813</v>
      </c>
      <c r="F13" s="154">
        <f t="shared" si="1"/>
        <v>352.90464976464813</v>
      </c>
      <c r="G13" s="154">
        <f t="shared" si="1"/>
        <v>352.90464976464813</v>
      </c>
      <c r="H13" s="154">
        <f t="shared" si="1"/>
        <v>320.4677712891235</v>
      </c>
      <c r="I13" s="154">
        <f t="shared" si="1"/>
        <v>320.4677712891235</v>
      </c>
      <c r="J13" s="154">
        <f t="shared" si="1"/>
        <v>320.4677712891235</v>
      </c>
      <c r="K13" s="154">
        <f t="shared" si="1"/>
        <v>320.4677712891235</v>
      </c>
      <c r="L13" s="154">
        <f t="shared" si="1"/>
        <v>320.4677712891235</v>
      </c>
      <c r="M13" s="154">
        <f t="shared" si="1"/>
        <v>320.4677712891235</v>
      </c>
      <c r="N13" s="154">
        <f t="shared" si="1"/>
        <v>320.4677712891235</v>
      </c>
      <c r="O13" s="154">
        <f t="shared" si="1"/>
        <v>320.4677712891235</v>
      </c>
      <c r="P13" s="154">
        <f t="shared" si="1"/>
        <v>352.90464976464813</v>
      </c>
      <c r="Q13" s="154">
        <f t="shared" si="1"/>
        <v>352.90464976464813</v>
      </c>
      <c r="R13" s="154">
        <f t="shared" si="1"/>
        <v>352.90464976464813</v>
      </c>
      <c r="S13" s="154">
        <f t="shared" si="1"/>
        <v>352.90464976464813</v>
      </c>
      <c r="T13" s="154">
        <f t="shared" si="1"/>
        <v>320.4677712891235</v>
      </c>
      <c r="U13" s="154">
        <f t="shared" si="1"/>
        <v>320.4677712891235</v>
      </c>
      <c r="V13" s="154">
        <f t="shared" si="1"/>
        <v>320.4677712891235</v>
      </c>
      <c r="W13" s="154">
        <f t="shared" si="1"/>
        <v>320.4677712891235</v>
      </c>
      <c r="X13" s="154">
        <f t="shared" si="1"/>
        <v>320.4677712891235</v>
      </c>
      <c r="Y13" s="154">
        <f t="shared" si="1"/>
        <v>320.4677712891235</v>
      </c>
      <c r="Z13" s="154">
        <f t="shared" si="1"/>
        <v>320.4677712891235</v>
      </c>
      <c r="AA13" s="154">
        <f t="shared" si="1"/>
        <v>320.4677712891235</v>
      </c>
      <c r="AB13" s="154">
        <f t="shared" si="1"/>
        <v>352.90464976464813</v>
      </c>
      <c r="AC13" s="154">
        <f t="shared" si="1"/>
        <v>352.90464976464813</v>
      </c>
      <c r="AD13" s="154">
        <f t="shared" si="1"/>
        <v>352.90464976464813</v>
      </c>
      <c r="AE13" s="154">
        <f t="shared" si="1"/>
        <v>352.90464976464813</v>
      </c>
      <c r="AF13" s="154">
        <f t="shared" si="1"/>
        <v>320.4677712891235</v>
      </c>
      <c r="AG13" s="154">
        <f t="shared" si="1"/>
        <v>320.4677712891235</v>
      </c>
      <c r="AH13" s="154">
        <f t="shared" si="1"/>
        <v>320.4677712891235</v>
      </c>
      <c r="AI13" s="154">
        <f t="shared" si="1"/>
        <v>320.4677712891235</v>
      </c>
      <c r="AJ13" s="154">
        <f t="shared" si="1"/>
        <v>320.4677712891235</v>
      </c>
      <c r="AK13" s="154">
        <f t="shared" si="1"/>
        <v>320.4677712891235</v>
      </c>
      <c r="AL13" s="154">
        <f t="shared" si="1"/>
        <v>320.4677712891235</v>
      </c>
      <c r="AM13" s="154">
        <f t="shared" si="1"/>
        <v>320.4677712891235</v>
      </c>
      <c r="AN13" s="154">
        <f t="shared" si="1"/>
        <v>352.90464976464813</v>
      </c>
      <c r="AO13" s="154">
        <f t="shared" si="1"/>
        <v>352.90464976464813</v>
      </c>
      <c r="AP13" s="154">
        <f t="shared" si="1"/>
        <v>352.90464976464813</v>
      </c>
      <c r="AQ13" s="154">
        <f t="shared" si="1"/>
        <v>352.90464976464813</v>
      </c>
      <c r="AR13" s="154">
        <f t="shared" si="1"/>
        <v>320.4677712891235</v>
      </c>
      <c r="AS13" s="154">
        <f t="shared" si="1"/>
        <v>320.4677712891235</v>
      </c>
      <c r="AT13" s="154">
        <f t="shared" si="1"/>
        <v>320.4677712891235</v>
      </c>
      <c r="AU13" s="154">
        <f t="shared" si="1"/>
        <v>320.4677712891235</v>
      </c>
      <c r="AV13" s="154">
        <f t="shared" si="1"/>
        <v>320.4677712891235</v>
      </c>
      <c r="AW13" s="154">
        <f t="shared" si="1"/>
        <v>320.4677712891235</v>
      </c>
      <c r="AX13" s="154">
        <f t="shared" si="1"/>
        <v>320.4677712891235</v>
      </c>
      <c r="AY13" s="154">
        <f t="shared" si="1"/>
        <v>320.4677712891235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320.4677712891235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 t="s">
        <v>339</v>
      </c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shipping_manufacturing!$C$19/100</f>
        <v>1</v>
      </c>
      <c r="C21" s="172" t="s">
        <v>293</v>
      </c>
      <c r="D21" s="123">
        <f>IF(C$20="Yes",0,SUM(C$13:C$16)*$B$21)</f>
        <v>243.33124677770775</v>
      </c>
      <c r="E21" s="123">
        <f t="shared" ref="E21:AY21" si="3">IF(D$20="Yes",0,SUM(D$13:D$16)*$B$21)</f>
        <v>352.90464976464813</v>
      </c>
      <c r="F21" s="123">
        <f t="shared" si="3"/>
        <v>352.90464976464813</v>
      </c>
      <c r="G21" s="123">
        <f t="shared" si="3"/>
        <v>352.90464976464813</v>
      </c>
      <c r="H21" s="123">
        <f t="shared" si="3"/>
        <v>352.90464976464813</v>
      </c>
      <c r="I21" s="123">
        <f t="shared" si="3"/>
        <v>320.4677712891235</v>
      </c>
      <c r="J21" s="123">
        <f t="shared" si="3"/>
        <v>320.4677712891235</v>
      </c>
      <c r="K21" s="123">
        <f t="shared" si="3"/>
        <v>320.4677712891235</v>
      </c>
      <c r="L21" s="123">
        <f t="shared" si="3"/>
        <v>320.4677712891235</v>
      </c>
      <c r="M21" s="123">
        <f t="shared" si="3"/>
        <v>320.4677712891235</v>
      </c>
      <c r="N21" s="123">
        <f t="shared" si="3"/>
        <v>320.4677712891235</v>
      </c>
      <c r="O21" s="123">
        <f t="shared" si="3"/>
        <v>320.4677712891235</v>
      </c>
      <c r="P21" s="123">
        <f t="shared" si="3"/>
        <v>320.4677712891235</v>
      </c>
      <c r="Q21" s="123">
        <f t="shared" si="3"/>
        <v>352.90464976464813</v>
      </c>
      <c r="R21" s="123">
        <f t="shared" si="3"/>
        <v>352.90464976464813</v>
      </c>
      <c r="S21" s="123">
        <f t="shared" si="3"/>
        <v>352.90464976464813</v>
      </c>
      <c r="T21" s="123">
        <f t="shared" si="3"/>
        <v>352.90464976464813</v>
      </c>
      <c r="U21" s="123">
        <f t="shared" si="3"/>
        <v>320.4677712891235</v>
      </c>
      <c r="V21" s="123">
        <f t="shared" si="3"/>
        <v>320.4677712891235</v>
      </c>
      <c r="W21" s="123">
        <f t="shared" si="3"/>
        <v>320.4677712891235</v>
      </c>
      <c r="X21" s="123">
        <f t="shared" si="3"/>
        <v>320.4677712891235</v>
      </c>
      <c r="Y21" s="123">
        <f t="shared" si="3"/>
        <v>320.4677712891235</v>
      </c>
      <c r="Z21" s="123">
        <f t="shared" si="3"/>
        <v>0</v>
      </c>
      <c r="AA21" s="123">
        <f t="shared" si="3"/>
        <v>640.93554257824701</v>
      </c>
      <c r="AB21" s="123">
        <f t="shared" si="3"/>
        <v>320.4677712891235</v>
      </c>
      <c r="AC21" s="123">
        <f t="shared" si="3"/>
        <v>352.90464976464813</v>
      </c>
      <c r="AD21" s="123">
        <f t="shared" si="3"/>
        <v>352.90464976464813</v>
      </c>
      <c r="AE21" s="123">
        <f t="shared" si="3"/>
        <v>352.90464976464813</v>
      </c>
      <c r="AF21" s="123">
        <f t="shared" si="3"/>
        <v>352.90464976464813</v>
      </c>
      <c r="AG21" s="123">
        <f t="shared" si="3"/>
        <v>320.4677712891235</v>
      </c>
      <c r="AH21" s="123">
        <f t="shared" si="3"/>
        <v>320.4677712891235</v>
      </c>
      <c r="AI21" s="123">
        <f t="shared" si="3"/>
        <v>320.4677712891235</v>
      </c>
      <c r="AJ21" s="123">
        <f t="shared" si="3"/>
        <v>320.4677712891235</v>
      </c>
      <c r="AK21" s="123">
        <f t="shared" si="3"/>
        <v>320.4677712891235</v>
      </c>
      <c r="AL21" s="123">
        <f t="shared" si="3"/>
        <v>320.4677712891235</v>
      </c>
      <c r="AM21" s="123">
        <f t="shared" si="3"/>
        <v>320.4677712891235</v>
      </c>
      <c r="AN21" s="123">
        <f t="shared" si="3"/>
        <v>320.4677712891235</v>
      </c>
      <c r="AO21" s="123">
        <f t="shared" si="3"/>
        <v>352.90464976464813</v>
      </c>
      <c r="AP21" s="123">
        <f t="shared" si="3"/>
        <v>352.90464976464813</v>
      </c>
      <c r="AQ21" s="123">
        <f t="shared" si="3"/>
        <v>352.90464976464813</v>
      </c>
      <c r="AR21" s="123">
        <f t="shared" si="3"/>
        <v>352.90464976464813</v>
      </c>
      <c r="AS21" s="123">
        <f t="shared" si="3"/>
        <v>320.4677712891235</v>
      </c>
      <c r="AT21" s="123">
        <f t="shared" si="3"/>
        <v>320.4677712891235</v>
      </c>
      <c r="AU21" s="123">
        <f t="shared" si="3"/>
        <v>320.4677712891235</v>
      </c>
      <c r="AV21" s="123">
        <f t="shared" si="3"/>
        <v>320.4677712891235</v>
      </c>
      <c r="AW21" s="123">
        <f t="shared" si="3"/>
        <v>320.4677712891235</v>
      </c>
      <c r="AX21" s="123">
        <f t="shared" si="3"/>
        <v>320.4677712891235</v>
      </c>
      <c r="AY21" s="123">
        <f t="shared" si="3"/>
        <v>320.4677712891235</v>
      </c>
      <c r="AZ21" s="173">
        <f>SUM($D21:$AY21)</f>
        <v>15824.306552974922</v>
      </c>
    </row>
    <row r="22" spans="1:52" s="127" customFormat="1" x14ac:dyDescent="0.2">
      <c r="A22" s="174" t="s">
        <v>123</v>
      </c>
      <c r="B22" s="175">
        <f>1-$B$21</f>
        <v>0</v>
      </c>
      <c r="C22" s="175" t="s">
        <v>293</v>
      </c>
      <c r="D22" s="130">
        <f>IF(C$20="Yes",0,SUM(C$13:C$16)*$B$22)</f>
        <v>0</v>
      </c>
      <c r="E22" s="130">
        <f t="shared" ref="E22:AY22" si="4">IF(D$20="Yes",0,SUM(D$13:D$16)*$B$22)</f>
        <v>0</v>
      </c>
      <c r="F22" s="130">
        <f t="shared" si="4"/>
        <v>0</v>
      </c>
      <c r="G22" s="130">
        <f t="shared" si="4"/>
        <v>0</v>
      </c>
      <c r="H22" s="130">
        <f t="shared" si="4"/>
        <v>0</v>
      </c>
      <c r="I22" s="130">
        <f t="shared" si="4"/>
        <v>0</v>
      </c>
      <c r="J22" s="130">
        <f t="shared" si="4"/>
        <v>0</v>
      </c>
      <c r="K22" s="130">
        <f t="shared" si="4"/>
        <v>0</v>
      </c>
      <c r="L22" s="130">
        <f t="shared" si="4"/>
        <v>0</v>
      </c>
      <c r="M22" s="130">
        <f t="shared" si="4"/>
        <v>0</v>
      </c>
      <c r="N22" s="130">
        <f t="shared" si="4"/>
        <v>0</v>
      </c>
      <c r="O22" s="130">
        <f t="shared" si="4"/>
        <v>0</v>
      </c>
      <c r="P22" s="130">
        <f t="shared" si="4"/>
        <v>0</v>
      </c>
      <c r="Q22" s="130">
        <f t="shared" si="4"/>
        <v>0</v>
      </c>
      <c r="R22" s="130">
        <f t="shared" si="4"/>
        <v>0</v>
      </c>
      <c r="S22" s="130">
        <f t="shared" si="4"/>
        <v>0</v>
      </c>
      <c r="T22" s="130">
        <f t="shared" si="4"/>
        <v>0</v>
      </c>
      <c r="U22" s="130">
        <f t="shared" si="4"/>
        <v>0</v>
      </c>
      <c r="V22" s="130">
        <f t="shared" si="4"/>
        <v>0</v>
      </c>
      <c r="W22" s="130">
        <f t="shared" si="4"/>
        <v>0</v>
      </c>
      <c r="X22" s="130">
        <f t="shared" si="4"/>
        <v>0</v>
      </c>
      <c r="Y22" s="130">
        <f t="shared" si="4"/>
        <v>0</v>
      </c>
      <c r="Z22" s="130">
        <f t="shared" si="4"/>
        <v>0</v>
      </c>
      <c r="AA22" s="130">
        <f t="shared" si="4"/>
        <v>0</v>
      </c>
      <c r="AB22" s="130">
        <f t="shared" si="4"/>
        <v>0</v>
      </c>
      <c r="AC22" s="130">
        <f t="shared" si="4"/>
        <v>0</v>
      </c>
      <c r="AD22" s="130">
        <f t="shared" si="4"/>
        <v>0</v>
      </c>
      <c r="AE22" s="130">
        <f t="shared" si="4"/>
        <v>0</v>
      </c>
      <c r="AF22" s="130">
        <f t="shared" si="4"/>
        <v>0</v>
      </c>
      <c r="AG22" s="130">
        <f t="shared" si="4"/>
        <v>0</v>
      </c>
      <c r="AH22" s="130">
        <f t="shared" si="4"/>
        <v>0</v>
      </c>
      <c r="AI22" s="130">
        <f t="shared" si="4"/>
        <v>0</v>
      </c>
      <c r="AJ22" s="130">
        <f t="shared" si="4"/>
        <v>0</v>
      </c>
      <c r="AK22" s="130">
        <f t="shared" si="4"/>
        <v>0</v>
      </c>
      <c r="AL22" s="130">
        <f t="shared" si="4"/>
        <v>0</v>
      </c>
      <c r="AM22" s="130">
        <f t="shared" si="4"/>
        <v>0</v>
      </c>
      <c r="AN22" s="130">
        <f t="shared" si="4"/>
        <v>0</v>
      </c>
      <c r="AO22" s="130">
        <f t="shared" si="4"/>
        <v>0</v>
      </c>
      <c r="AP22" s="130">
        <f t="shared" si="4"/>
        <v>0</v>
      </c>
      <c r="AQ22" s="130">
        <f t="shared" si="4"/>
        <v>0</v>
      </c>
      <c r="AR22" s="130">
        <f t="shared" si="4"/>
        <v>0</v>
      </c>
      <c r="AS22" s="130">
        <f t="shared" si="4"/>
        <v>0</v>
      </c>
      <c r="AT22" s="130">
        <f t="shared" si="4"/>
        <v>0</v>
      </c>
      <c r="AU22" s="130">
        <f t="shared" si="4"/>
        <v>0</v>
      </c>
      <c r="AV22" s="130">
        <f t="shared" si="4"/>
        <v>0</v>
      </c>
      <c r="AW22" s="130">
        <f t="shared" si="4"/>
        <v>0</v>
      </c>
      <c r="AX22" s="130">
        <f t="shared" si="4"/>
        <v>0</v>
      </c>
      <c r="AY22" s="130">
        <f t="shared" si="4"/>
        <v>0</v>
      </c>
      <c r="AZ22" s="157">
        <f t="shared" ref="AZ22:AZ30" si="5">SUM($D22:$AY22)</f>
        <v>0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486662.49355541548</v>
      </c>
      <c r="E23">
        <f t="shared" ref="E23:AY23" si="6">E$21*$B$23</f>
        <v>705809.29952929623</v>
      </c>
      <c r="F23">
        <f t="shared" si="6"/>
        <v>705809.29952929623</v>
      </c>
      <c r="G23">
        <f t="shared" si="6"/>
        <v>705809.29952929623</v>
      </c>
      <c r="H23">
        <f t="shared" si="6"/>
        <v>705809.29952929623</v>
      </c>
      <c r="I23">
        <f t="shared" si="6"/>
        <v>640935.54257824703</v>
      </c>
      <c r="J23">
        <f t="shared" si="6"/>
        <v>640935.54257824703</v>
      </c>
      <c r="K23">
        <f t="shared" si="6"/>
        <v>640935.54257824703</v>
      </c>
      <c r="L23">
        <f t="shared" si="6"/>
        <v>640935.54257824703</v>
      </c>
      <c r="M23">
        <f t="shared" si="6"/>
        <v>640935.54257824703</v>
      </c>
      <c r="N23">
        <f t="shared" si="6"/>
        <v>640935.54257824703</v>
      </c>
      <c r="O23">
        <f t="shared" si="6"/>
        <v>640935.54257824703</v>
      </c>
      <c r="P23">
        <f t="shared" si="6"/>
        <v>640935.54257824703</v>
      </c>
      <c r="Q23">
        <f t="shared" si="6"/>
        <v>705809.29952929623</v>
      </c>
      <c r="R23">
        <f t="shared" si="6"/>
        <v>705809.29952929623</v>
      </c>
      <c r="S23">
        <f t="shared" si="6"/>
        <v>705809.29952929623</v>
      </c>
      <c r="T23">
        <f t="shared" si="6"/>
        <v>705809.29952929623</v>
      </c>
      <c r="U23">
        <f t="shared" si="6"/>
        <v>640935.54257824703</v>
      </c>
      <c r="V23">
        <f t="shared" si="6"/>
        <v>640935.54257824703</v>
      </c>
      <c r="W23">
        <f t="shared" si="6"/>
        <v>640935.54257824703</v>
      </c>
      <c r="X23">
        <f t="shared" si="6"/>
        <v>640935.54257824703</v>
      </c>
      <c r="Y23">
        <f t="shared" si="6"/>
        <v>640935.54257824703</v>
      </c>
      <c r="Z23">
        <f t="shared" si="6"/>
        <v>0</v>
      </c>
      <c r="AA23">
        <f t="shared" si="6"/>
        <v>1281871.0851564941</v>
      </c>
      <c r="AB23">
        <f t="shared" si="6"/>
        <v>640935.54257824703</v>
      </c>
      <c r="AC23">
        <f t="shared" si="6"/>
        <v>705809.29952929623</v>
      </c>
      <c r="AD23">
        <f t="shared" si="6"/>
        <v>705809.29952929623</v>
      </c>
      <c r="AE23">
        <f t="shared" si="6"/>
        <v>705809.29952929623</v>
      </c>
      <c r="AF23">
        <f t="shared" si="6"/>
        <v>705809.29952929623</v>
      </c>
      <c r="AG23">
        <f t="shared" si="6"/>
        <v>640935.54257824703</v>
      </c>
      <c r="AH23">
        <f t="shared" si="6"/>
        <v>640935.54257824703</v>
      </c>
      <c r="AI23">
        <f t="shared" si="6"/>
        <v>640935.54257824703</v>
      </c>
      <c r="AJ23">
        <f t="shared" si="6"/>
        <v>640935.54257824703</v>
      </c>
      <c r="AK23">
        <f t="shared" si="6"/>
        <v>640935.54257824703</v>
      </c>
      <c r="AL23">
        <f t="shared" si="6"/>
        <v>640935.54257824703</v>
      </c>
      <c r="AM23">
        <f t="shared" si="6"/>
        <v>640935.54257824703</v>
      </c>
      <c r="AN23">
        <f t="shared" si="6"/>
        <v>640935.54257824703</v>
      </c>
      <c r="AO23">
        <f t="shared" si="6"/>
        <v>705809.29952929623</v>
      </c>
      <c r="AP23">
        <f t="shared" si="6"/>
        <v>705809.29952929623</v>
      </c>
      <c r="AQ23">
        <f t="shared" si="6"/>
        <v>705809.29952929623</v>
      </c>
      <c r="AR23">
        <f t="shared" si="6"/>
        <v>705809.29952929623</v>
      </c>
      <c r="AS23">
        <f t="shared" si="6"/>
        <v>640935.54257824703</v>
      </c>
      <c r="AT23">
        <f t="shared" si="6"/>
        <v>640935.54257824703</v>
      </c>
      <c r="AU23">
        <f t="shared" si="6"/>
        <v>640935.54257824703</v>
      </c>
      <c r="AV23">
        <f t="shared" si="6"/>
        <v>640935.54257824703</v>
      </c>
      <c r="AW23">
        <f t="shared" si="6"/>
        <v>640935.54257824703</v>
      </c>
      <c r="AX23">
        <f t="shared" si="6"/>
        <v>640935.54257824703</v>
      </c>
      <c r="AY23">
        <f t="shared" si="6"/>
        <v>640935.54257824703</v>
      </c>
      <c r="AZ23" s="155">
        <f t="shared" si="5"/>
        <v>31648613.105949793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0</v>
      </c>
      <c r="E24" s="123">
        <f t="shared" ref="E24:AY24" si="7">E$22*$B$24</f>
        <v>0</v>
      </c>
      <c r="F24" s="123">
        <f t="shared" si="7"/>
        <v>0</v>
      </c>
      <c r="G24" s="123">
        <f t="shared" si="7"/>
        <v>0</v>
      </c>
      <c r="H24" s="123">
        <f t="shared" si="7"/>
        <v>0</v>
      </c>
      <c r="I24" s="123">
        <f t="shared" si="7"/>
        <v>0</v>
      </c>
      <c r="J24" s="123">
        <f t="shared" si="7"/>
        <v>0</v>
      </c>
      <c r="K24" s="123">
        <f t="shared" si="7"/>
        <v>0</v>
      </c>
      <c r="L24" s="123">
        <f t="shared" si="7"/>
        <v>0</v>
      </c>
      <c r="M24" s="123">
        <f t="shared" si="7"/>
        <v>0</v>
      </c>
      <c r="N24" s="123">
        <f t="shared" si="7"/>
        <v>0</v>
      </c>
      <c r="O24" s="123">
        <f t="shared" si="7"/>
        <v>0</v>
      </c>
      <c r="P24" s="123">
        <f t="shared" si="7"/>
        <v>0</v>
      </c>
      <c r="Q24" s="123">
        <f t="shared" si="7"/>
        <v>0</v>
      </c>
      <c r="R24" s="123">
        <f t="shared" si="7"/>
        <v>0</v>
      </c>
      <c r="S24" s="123">
        <f t="shared" si="7"/>
        <v>0</v>
      </c>
      <c r="T24" s="123">
        <f t="shared" si="7"/>
        <v>0</v>
      </c>
      <c r="U24" s="123">
        <f t="shared" si="7"/>
        <v>0</v>
      </c>
      <c r="V24" s="123">
        <f t="shared" si="7"/>
        <v>0</v>
      </c>
      <c r="W24" s="123">
        <f t="shared" si="7"/>
        <v>0</v>
      </c>
      <c r="X24" s="123">
        <f t="shared" si="7"/>
        <v>0</v>
      </c>
      <c r="Y24" s="123">
        <f t="shared" si="7"/>
        <v>0</v>
      </c>
      <c r="Z24" s="123">
        <f t="shared" si="7"/>
        <v>0</v>
      </c>
      <c r="AA24" s="123">
        <f t="shared" si="7"/>
        <v>0</v>
      </c>
      <c r="AB24" s="123">
        <f t="shared" si="7"/>
        <v>0</v>
      </c>
      <c r="AC24" s="123">
        <f t="shared" si="7"/>
        <v>0</v>
      </c>
      <c r="AD24" s="123">
        <f t="shared" si="7"/>
        <v>0</v>
      </c>
      <c r="AE24" s="123">
        <f t="shared" si="7"/>
        <v>0</v>
      </c>
      <c r="AF24" s="123">
        <f t="shared" si="7"/>
        <v>0</v>
      </c>
      <c r="AG24" s="123">
        <f t="shared" si="7"/>
        <v>0</v>
      </c>
      <c r="AH24" s="123">
        <f t="shared" si="7"/>
        <v>0</v>
      </c>
      <c r="AI24" s="123">
        <f t="shared" si="7"/>
        <v>0</v>
      </c>
      <c r="AJ24" s="123">
        <f t="shared" si="7"/>
        <v>0</v>
      </c>
      <c r="AK24" s="123">
        <f t="shared" si="7"/>
        <v>0</v>
      </c>
      <c r="AL24" s="123">
        <f t="shared" si="7"/>
        <v>0</v>
      </c>
      <c r="AM24" s="123">
        <f t="shared" si="7"/>
        <v>0</v>
      </c>
      <c r="AN24" s="123">
        <f t="shared" si="7"/>
        <v>0</v>
      </c>
      <c r="AO24" s="123">
        <f t="shared" si="7"/>
        <v>0</v>
      </c>
      <c r="AP24" s="123">
        <f t="shared" si="7"/>
        <v>0</v>
      </c>
      <c r="AQ24" s="123">
        <f t="shared" si="7"/>
        <v>0</v>
      </c>
      <c r="AR24" s="123">
        <f t="shared" si="7"/>
        <v>0</v>
      </c>
      <c r="AS24" s="123">
        <f t="shared" si="7"/>
        <v>0</v>
      </c>
      <c r="AT24" s="123">
        <f t="shared" si="7"/>
        <v>0</v>
      </c>
      <c r="AU24" s="123">
        <f t="shared" si="7"/>
        <v>0</v>
      </c>
      <c r="AV24" s="123">
        <f t="shared" si="7"/>
        <v>0</v>
      </c>
      <c r="AW24" s="123">
        <f t="shared" si="7"/>
        <v>0</v>
      </c>
      <c r="AX24" s="123">
        <f t="shared" si="7"/>
        <v>0</v>
      </c>
      <c r="AY24" s="123">
        <f t="shared" si="7"/>
        <v>0</v>
      </c>
      <c r="AZ24" s="157">
        <f t="shared" si="5"/>
        <v>0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13</v>
      </c>
      <c r="D27" s="140">
        <f>C$27-C$28+C$29</f>
        <v>13</v>
      </c>
      <c r="E27" s="140">
        <f t="shared" ref="E27:AY27" si="8">D27-D28+D29</f>
        <v>13</v>
      </c>
      <c r="F27" s="140">
        <f t="shared" si="8"/>
        <v>10</v>
      </c>
      <c r="G27" s="140">
        <f t="shared" si="8"/>
        <v>12</v>
      </c>
      <c r="H27" s="140">
        <f t="shared" si="8"/>
        <v>10</v>
      </c>
      <c r="I27" s="140">
        <f t="shared" si="8"/>
        <v>12</v>
      </c>
      <c r="J27" s="140">
        <f t="shared" si="8"/>
        <v>11</v>
      </c>
      <c r="K27" s="140">
        <f t="shared" si="8"/>
        <v>11</v>
      </c>
      <c r="L27" s="140">
        <f t="shared" si="8"/>
        <v>11</v>
      </c>
      <c r="M27" s="140">
        <f t="shared" si="8"/>
        <v>11</v>
      </c>
      <c r="N27" s="140">
        <f t="shared" si="8"/>
        <v>11</v>
      </c>
      <c r="O27" s="140">
        <f t="shared" si="8"/>
        <v>11</v>
      </c>
      <c r="P27" s="140">
        <f t="shared" si="8"/>
        <v>11</v>
      </c>
      <c r="Q27" s="140">
        <f t="shared" si="8"/>
        <v>11</v>
      </c>
      <c r="R27" s="140">
        <f t="shared" si="8"/>
        <v>11</v>
      </c>
      <c r="S27" s="140">
        <f t="shared" si="8"/>
        <v>11</v>
      </c>
      <c r="T27" s="140">
        <f t="shared" si="8"/>
        <v>11</v>
      </c>
      <c r="U27" s="140">
        <f t="shared" si="8"/>
        <v>11</v>
      </c>
      <c r="V27" s="140">
        <f t="shared" si="8"/>
        <v>11</v>
      </c>
      <c r="W27" s="140">
        <f t="shared" si="8"/>
        <v>11</v>
      </c>
      <c r="X27" s="140">
        <f t="shared" si="8"/>
        <v>11</v>
      </c>
      <c r="Y27" s="140">
        <f t="shared" si="8"/>
        <v>11</v>
      </c>
      <c r="Z27" s="140">
        <f t="shared" si="8"/>
        <v>11</v>
      </c>
      <c r="AA27" s="140">
        <f t="shared" si="8"/>
        <v>22</v>
      </c>
      <c r="AB27" s="140">
        <f t="shared" si="8"/>
        <v>0</v>
      </c>
      <c r="AC27" s="140">
        <f t="shared" si="8"/>
        <v>22</v>
      </c>
      <c r="AD27" s="140">
        <f t="shared" si="8"/>
        <v>10</v>
      </c>
      <c r="AE27" s="140">
        <f t="shared" si="8"/>
        <v>12</v>
      </c>
      <c r="AF27" s="140">
        <f t="shared" si="8"/>
        <v>10</v>
      </c>
      <c r="AG27" s="140">
        <f t="shared" si="8"/>
        <v>12</v>
      </c>
      <c r="AH27" s="140">
        <f t="shared" si="8"/>
        <v>11</v>
      </c>
      <c r="AI27" s="140">
        <f t="shared" si="8"/>
        <v>11</v>
      </c>
      <c r="AJ27" s="140">
        <f t="shared" si="8"/>
        <v>11</v>
      </c>
      <c r="AK27" s="140">
        <f t="shared" si="8"/>
        <v>11</v>
      </c>
      <c r="AL27" s="140">
        <f t="shared" si="8"/>
        <v>11</v>
      </c>
      <c r="AM27" s="140">
        <f t="shared" si="8"/>
        <v>11</v>
      </c>
      <c r="AN27" s="140">
        <f t="shared" si="8"/>
        <v>11</v>
      </c>
      <c r="AO27" s="140">
        <f t="shared" si="8"/>
        <v>11</v>
      </c>
      <c r="AP27" s="140">
        <f t="shared" si="8"/>
        <v>11</v>
      </c>
      <c r="AQ27" s="140">
        <f t="shared" si="8"/>
        <v>11</v>
      </c>
      <c r="AR27" s="140">
        <f t="shared" si="8"/>
        <v>11</v>
      </c>
      <c r="AS27" s="140">
        <f t="shared" si="8"/>
        <v>11</v>
      </c>
      <c r="AT27" s="140">
        <f t="shared" si="8"/>
        <v>11</v>
      </c>
      <c r="AU27" s="140">
        <f t="shared" si="8"/>
        <v>11</v>
      </c>
      <c r="AV27" s="140">
        <f t="shared" si="8"/>
        <v>11</v>
      </c>
      <c r="AW27" s="140">
        <f t="shared" si="8"/>
        <v>11</v>
      </c>
      <c r="AX27" s="140">
        <f t="shared" si="8"/>
        <v>11</v>
      </c>
      <c r="AY27" s="180">
        <f t="shared" si="8"/>
        <v>11</v>
      </c>
      <c r="AZ27" s="123"/>
    </row>
    <row r="28" spans="1:52" x14ac:dyDescent="0.2">
      <c r="B28" s="181" t="s">
        <v>310</v>
      </c>
      <c r="C28" s="127">
        <v>9</v>
      </c>
      <c r="D28" s="127">
        <v>9</v>
      </c>
      <c r="E28" s="127">
        <v>12</v>
      </c>
      <c r="F28" s="127">
        <v>10</v>
      </c>
      <c r="G28" s="127">
        <v>12</v>
      </c>
      <c r="H28" s="127">
        <v>10</v>
      </c>
      <c r="I28" s="127">
        <v>11</v>
      </c>
      <c r="J28" s="127">
        <v>11</v>
      </c>
      <c r="K28" s="127">
        <v>11</v>
      </c>
      <c r="L28" s="127">
        <v>11</v>
      </c>
      <c r="M28" s="127">
        <v>11</v>
      </c>
      <c r="N28" s="127">
        <v>11</v>
      </c>
      <c r="O28" s="127">
        <v>11</v>
      </c>
      <c r="P28" s="127">
        <v>11</v>
      </c>
      <c r="Q28" s="127">
        <v>11</v>
      </c>
      <c r="R28" s="127">
        <v>11</v>
      </c>
      <c r="S28" s="127">
        <v>11</v>
      </c>
      <c r="T28" s="127">
        <v>11</v>
      </c>
      <c r="U28" s="127">
        <v>11</v>
      </c>
      <c r="V28" s="127">
        <v>11</v>
      </c>
      <c r="W28" s="127">
        <v>11</v>
      </c>
      <c r="X28" s="127">
        <v>11</v>
      </c>
      <c r="Y28" s="127">
        <v>11</v>
      </c>
      <c r="Z28" s="127">
        <v>0</v>
      </c>
      <c r="AA28" s="127">
        <v>22</v>
      </c>
      <c r="AB28" s="127">
        <v>0</v>
      </c>
      <c r="AC28" s="127">
        <v>12</v>
      </c>
      <c r="AD28" s="127">
        <v>10</v>
      </c>
      <c r="AE28" s="127">
        <v>12</v>
      </c>
      <c r="AF28" s="127">
        <v>10</v>
      </c>
      <c r="AG28" s="127">
        <v>11</v>
      </c>
      <c r="AH28" s="127">
        <v>11</v>
      </c>
      <c r="AI28" s="127">
        <v>11</v>
      </c>
      <c r="AJ28" s="127">
        <v>11</v>
      </c>
      <c r="AK28" s="127">
        <v>11</v>
      </c>
      <c r="AL28" s="127">
        <v>11</v>
      </c>
      <c r="AM28" s="127">
        <v>11</v>
      </c>
      <c r="AN28" s="127">
        <v>11</v>
      </c>
      <c r="AO28" s="127">
        <v>11</v>
      </c>
      <c r="AP28" s="127">
        <v>11</v>
      </c>
      <c r="AQ28" s="127">
        <v>11</v>
      </c>
      <c r="AR28" s="127">
        <v>11</v>
      </c>
      <c r="AS28" s="127">
        <v>11</v>
      </c>
      <c r="AT28" s="127">
        <v>11</v>
      </c>
      <c r="AU28" s="127">
        <v>11</v>
      </c>
      <c r="AV28" s="127">
        <v>11</v>
      </c>
      <c r="AW28" s="127">
        <v>11</v>
      </c>
      <c r="AX28" s="127">
        <v>11</v>
      </c>
      <c r="AY28" s="182">
        <v>11</v>
      </c>
      <c r="AZ28" s="123"/>
    </row>
    <row r="29" spans="1:52" x14ac:dyDescent="0.2">
      <c r="B29" s="152" t="s">
        <v>311</v>
      </c>
      <c r="C29" s="141">
        <v>9</v>
      </c>
      <c r="D29" s="141">
        <f>C$28</f>
        <v>9</v>
      </c>
      <c r="E29" s="141">
        <f t="shared" ref="E29:AY29" si="9">D$28</f>
        <v>9</v>
      </c>
      <c r="F29" s="141">
        <f t="shared" si="9"/>
        <v>12</v>
      </c>
      <c r="G29" s="141">
        <f t="shared" si="9"/>
        <v>10</v>
      </c>
      <c r="H29" s="141">
        <f t="shared" si="9"/>
        <v>12</v>
      </c>
      <c r="I29" s="141">
        <f t="shared" si="9"/>
        <v>10</v>
      </c>
      <c r="J29" s="141">
        <f t="shared" si="9"/>
        <v>11</v>
      </c>
      <c r="K29" s="141">
        <f t="shared" si="9"/>
        <v>11</v>
      </c>
      <c r="L29" s="141">
        <f t="shared" si="9"/>
        <v>11</v>
      </c>
      <c r="M29" s="141">
        <f t="shared" si="9"/>
        <v>11</v>
      </c>
      <c r="N29" s="141">
        <f t="shared" si="9"/>
        <v>11</v>
      </c>
      <c r="O29" s="141">
        <f t="shared" si="9"/>
        <v>11</v>
      </c>
      <c r="P29" s="141">
        <f t="shared" si="9"/>
        <v>11</v>
      </c>
      <c r="Q29" s="141">
        <f t="shared" si="9"/>
        <v>11</v>
      </c>
      <c r="R29" s="141">
        <f t="shared" si="9"/>
        <v>11</v>
      </c>
      <c r="S29" s="141">
        <f t="shared" si="9"/>
        <v>11</v>
      </c>
      <c r="T29" s="141">
        <f t="shared" si="9"/>
        <v>11</v>
      </c>
      <c r="U29" s="141">
        <f t="shared" si="9"/>
        <v>11</v>
      </c>
      <c r="V29" s="141">
        <f t="shared" si="9"/>
        <v>11</v>
      </c>
      <c r="W29" s="141">
        <f t="shared" si="9"/>
        <v>11</v>
      </c>
      <c r="X29" s="141">
        <f t="shared" si="9"/>
        <v>11</v>
      </c>
      <c r="Y29" s="141">
        <f t="shared" si="9"/>
        <v>11</v>
      </c>
      <c r="Z29" s="141">
        <f t="shared" si="9"/>
        <v>11</v>
      </c>
      <c r="AA29" s="141">
        <f t="shared" si="9"/>
        <v>0</v>
      </c>
      <c r="AB29" s="141">
        <f t="shared" si="9"/>
        <v>22</v>
      </c>
      <c r="AC29" s="141">
        <f t="shared" si="9"/>
        <v>0</v>
      </c>
      <c r="AD29" s="141">
        <f t="shared" si="9"/>
        <v>12</v>
      </c>
      <c r="AE29" s="141">
        <f t="shared" si="9"/>
        <v>10</v>
      </c>
      <c r="AF29" s="141">
        <f t="shared" si="9"/>
        <v>12</v>
      </c>
      <c r="AG29" s="141">
        <f t="shared" si="9"/>
        <v>10</v>
      </c>
      <c r="AH29" s="141">
        <f t="shared" si="9"/>
        <v>11</v>
      </c>
      <c r="AI29" s="141">
        <f t="shared" si="9"/>
        <v>11</v>
      </c>
      <c r="AJ29" s="141">
        <f t="shared" si="9"/>
        <v>11</v>
      </c>
      <c r="AK29" s="141">
        <f t="shared" si="9"/>
        <v>11</v>
      </c>
      <c r="AL29" s="141">
        <f t="shared" si="9"/>
        <v>11</v>
      </c>
      <c r="AM29" s="141">
        <f t="shared" si="9"/>
        <v>11</v>
      </c>
      <c r="AN29" s="141">
        <f t="shared" si="9"/>
        <v>11</v>
      </c>
      <c r="AO29" s="141">
        <f t="shared" si="9"/>
        <v>11</v>
      </c>
      <c r="AP29" s="141">
        <f t="shared" si="9"/>
        <v>11</v>
      </c>
      <c r="AQ29" s="141">
        <f t="shared" si="9"/>
        <v>11</v>
      </c>
      <c r="AR29" s="141">
        <f t="shared" si="9"/>
        <v>11</v>
      </c>
      <c r="AS29" s="141">
        <f t="shared" si="9"/>
        <v>11</v>
      </c>
      <c r="AT29" s="141">
        <f t="shared" si="9"/>
        <v>11</v>
      </c>
      <c r="AU29" s="141">
        <f t="shared" si="9"/>
        <v>11</v>
      </c>
      <c r="AV29" s="141">
        <f t="shared" si="9"/>
        <v>11</v>
      </c>
      <c r="AW29" s="141">
        <f t="shared" si="9"/>
        <v>11</v>
      </c>
      <c r="AX29" s="141">
        <f t="shared" si="9"/>
        <v>11</v>
      </c>
      <c r="AY29" s="183">
        <f t="shared" si="9"/>
        <v>11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130</v>
      </c>
      <c r="E30" s="133">
        <f t="shared" ref="E30:AY30" si="10">E$27*$B$30</f>
        <v>130</v>
      </c>
      <c r="F30" s="133">
        <f t="shared" si="10"/>
        <v>100</v>
      </c>
      <c r="G30" s="133">
        <f t="shared" si="10"/>
        <v>120</v>
      </c>
      <c r="H30" s="133">
        <f t="shared" si="10"/>
        <v>100</v>
      </c>
      <c r="I30" s="133">
        <f t="shared" si="10"/>
        <v>120</v>
      </c>
      <c r="J30" s="133">
        <f t="shared" si="10"/>
        <v>110</v>
      </c>
      <c r="K30" s="133">
        <f t="shared" si="10"/>
        <v>110</v>
      </c>
      <c r="L30" s="133">
        <f t="shared" si="10"/>
        <v>110</v>
      </c>
      <c r="M30" s="133">
        <f t="shared" si="10"/>
        <v>110</v>
      </c>
      <c r="N30" s="133">
        <f t="shared" si="10"/>
        <v>110</v>
      </c>
      <c r="O30" s="133">
        <f t="shared" si="10"/>
        <v>110</v>
      </c>
      <c r="P30" s="133">
        <f t="shared" si="10"/>
        <v>110</v>
      </c>
      <c r="Q30" s="133">
        <f t="shared" si="10"/>
        <v>110</v>
      </c>
      <c r="R30" s="133">
        <f>R$27*$B$30</f>
        <v>110</v>
      </c>
      <c r="S30" s="133">
        <f t="shared" si="10"/>
        <v>110</v>
      </c>
      <c r="T30" s="133">
        <f t="shared" si="10"/>
        <v>110</v>
      </c>
      <c r="U30" s="133">
        <f t="shared" si="10"/>
        <v>110</v>
      </c>
      <c r="V30" s="133">
        <f t="shared" si="10"/>
        <v>110</v>
      </c>
      <c r="W30" s="133">
        <f t="shared" si="10"/>
        <v>110</v>
      </c>
      <c r="X30" s="133">
        <f t="shared" si="10"/>
        <v>110</v>
      </c>
      <c r="Y30" s="133">
        <f t="shared" si="10"/>
        <v>110</v>
      </c>
      <c r="Z30" s="133">
        <f t="shared" si="10"/>
        <v>110</v>
      </c>
      <c r="AA30" s="133">
        <f t="shared" si="10"/>
        <v>220</v>
      </c>
      <c r="AB30" s="133">
        <f t="shared" si="10"/>
        <v>0</v>
      </c>
      <c r="AC30" s="133">
        <f t="shared" si="10"/>
        <v>220</v>
      </c>
      <c r="AD30" s="133">
        <f t="shared" si="10"/>
        <v>100</v>
      </c>
      <c r="AE30" s="133">
        <f>AE$27*$B$30</f>
        <v>120</v>
      </c>
      <c r="AF30" s="133">
        <f t="shared" si="10"/>
        <v>100</v>
      </c>
      <c r="AG30" s="133">
        <f t="shared" si="10"/>
        <v>120</v>
      </c>
      <c r="AH30" s="133">
        <f t="shared" si="10"/>
        <v>110</v>
      </c>
      <c r="AI30" s="133">
        <f t="shared" si="10"/>
        <v>110</v>
      </c>
      <c r="AJ30" s="133">
        <f t="shared" si="10"/>
        <v>110</v>
      </c>
      <c r="AK30" s="133">
        <f t="shared" si="10"/>
        <v>110</v>
      </c>
      <c r="AL30" s="133">
        <f t="shared" si="10"/>
        <v>110</v>
      </c>
      <c r="AM30" s="133">
        <f t="shared" si="10"/>
        <v>110</v>
      </c>
      <c r="AN30" s="133">
        <f t="shared" si="10"/>
        <v>110</v>
      </c>
      <c r="AO30" s="133">
        <f t="shared" si="10"/>
        <v>110</v>
      </c>
      <c r="AP30" s="133">
        <f t="shared" si="10"/>
        <v>110</v>
      </c>
      <c r="AQ30" s="133">
        <f t="shared" si="10"/>
        <v>110</v>
      </c>
      <c r="AR30" s="133">
        <f t="shared" si="10"/>
        <v>110</v>
      </c>
      <c r="AS30" s="133">
        <f t="shared" si="10"/>
        <v>110</v>
      </c>
      <c r="AT30" s="133">
        <f t="shared" si="10"/>
        <v>110</v>
      </c>
      <c r="AU30" s="133">
        <f t="shared" si="10"/>
        <v>110</v>
      </c>
      <c r="AV30" s="133">
        <f t="shared" si="10"/>
        <v>110</v>
      </c>
      <c r="AW30" s="133">
        <f t="shared" si="10"/>
        <v>110</v>
      </c>
      <c r="AX30" s="133">
        <f t="shared" si="10"/>
        <v>110</v>
      </c>
      <c r="AY30" s="133">
        <f t="shared" si="10"/>
        <v>110</v>
      </c>
      <c r="AZ30" s="157">
        <f t="shared" si="5"/>
        <v>5430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D$21*shipping_manufacturing!$D$27/100</f>
        <v>243.33124677770775</v>
      </c>
      <c r="E33" s="140">
        <f>E$21*shipping_manufacturing!$D$27/100</f>
        <v>352.90464976464813</v>
      </c>
      <c r="F33" s="140">
        <f>F$21*shipping_manufacturing!$D$27/100</f>
        <v>352.90464976464813</v>
      </c>
      <c r="G33" s="140">
        <f>G$21*shipping_manufacturing!$D$27/100</f>
        <v>352.90464976464813</v>
      </c>
      <c r="H33" s="140">
        <f>H$21*shipping_manufacturing!$D$27/100</f>
        <v>352.90464976464813</v>
      </c>
      <c r="I33" s="140">
        <f>I$21*shipping_manufacturing!$D$27/100</f>
        <v>320.4677712891235</v>
      </c>
      <c r="J33" s="140">
        <f>J$21*shipping_manufacturing!$D$27/100</f>
        <v>320.4677712891235</v>
      </c>
      <c r="K33" s="140">
        <f>K$21*shipping_manufacturing!$D$27/100</f>
        <v>320.4677712891235</v>
      </c>
      <c r="L33" s="140">
        <f>L$21*shipping_manufacturing!$D$27/100</f>
        <v>320.4677712891235</v>
      </c>
      <c r="M33" s="140">
        <f>M$21*shipping_manufacturing!$D$27/100</f>
        <v>320.4677712891235</v>
      </c>
      <c r="N33" s="140">
        <f>N$21*shipping_manufacturing!$D$27/100</f>
        <v>320.4677712891235</v>
      </c>
      <c r="O33" s="140">
        <f>O$21*shipping_manufacturing!$D$27/100</f>
        <v>320.4677712891235</v>
      </c>
      <c r="P33" s="140">
        <f>P$21*shipping_manufacturing!$D$27/100</f>
        <v>320.4677712891235</v>
      </c>
      <c r="Q33" s="140">
        <f>Q$21*shipping_manufacturing!$D$27/100</f>
        <v>352.90464976464813</v>
      </c>
      <c r="R33" s="140">
        <f>R$21*shipping_manufacturing!$D$27/100</f>
        <v>352.90464976464813</v>
      </c>
      <c r="S33" s="140">
        <f>S$21*shipping_manufacturing!$D$27/100</f>
        <v>352.90464976464813</v>
      </c>
      <c r="T33" s="140">
        <f>T$21*shipping_manufacturing!$D$27/100</f>
        <v>352.90464976464813</v>
      </c>
      <c r="U33" s="140">
        <f>U$21*shipping_manufacturing!$D$27/100</f>
        <v>320.4677712891235</v>
      </c>
      <c r="V33" s="140">
        <f>V$21*shipping_manufacturing!$D$27/100</f>
        <v>320.4677712891235</v>
      </c>
      <c r="W33" s="140">
        <f>W$21*shipping_manufacturing!$D$27/100</f>
        <v>320.4677712891235</v>
      </c>
      <c r="X33" s="140">
        <f>X$21*shipping_manufacturing!$D$27/100</f>
        <v>320.4677712891235</v>
      </c>
      <c r="Y33" s="140">
        <f>Y$21*shipping_manufacturing!$D$27/100</f>
        <v>320.4677712891235</v>
      </c>
      <c r="Z33" s="140">
        <f>Z$21*shipping_manufacturing!$D$27/100</f>
        <v>0</v>
      </c>
      <c r="AA33" s="140">
        <f>AA$21*shipping_manufacturing!$D$27/100</f>
        <v>640.93554257824701</v>
      </c>
      <c r="AB33" s="140">
        <f>AB$21*shipping_manufacturing!$D$27/100</f>
        <v>320.4677712891235</v>
      </c>
      <c r="AC33" s="140">
        <f>AC$21*shipping_manufacturing!$D$27/100</f>
        <v>352.90464976464813</v>
      </c>
      <c r="AD33" s="140">
        <f>AD$21*shipping_manufacturing!$D$27/100</f>
        <v>352.90464976464813</v>
      </c>
      <c r="AE33" s="140">
        <f>AE$21*shipping_manufacturing!$D$27/100</f>
        <v>352.90464976464813</v>
      </c>
      <c r="AF33" s="140">
        <f>AF$21*shipping_manufacturing!$D$27/100</f>
        <v>352.90464976464813</v>
      </c>
      <c r="AG33" s="140">
        <f>AG$21*shipping_manufacturing!$D$27/100</f>
        <v>320.4677712891235</v>
      </c>
      <c r="AH33" s="140">
        <f>AH$21*shipping_manufacturing!$D$27/100</f>
        <v>320.4677712891235</v>
      </c>
      <c r="AI33" s="140">
        <f>AI$21*shipping_manufacturing!$D$27/100</f>
        <v>320.4677712891235</v>
      </c>
      <c r="AJ33" s="140">
        <f>AJ$21*shipping_manufacturing!$D$27/100</f>
        <v>320.4677712891235</v>
      </c>
      <c r="AK33" s="140">
        <f>AK$21*shipping_manufacturing!$D$27/100</f>
        <v>320.4677712891235</v>
      </c>
      <c r="AL33" s="140">
        <f>AL$21*shipping_manufacturing!$D$27/100</f>
        <v>320.4677712891235</v>
      </c>
      <c r="AM33" s="140">
        <f>AM$21*shipping_manufacturing!$D$27/100</f>
        <v>320.4677712891235</v>
      </c>
      <c r="AN33" s="140">
        <f>AN$21*shipping_manufacturing!$D$27/100</f>
        <v>320.4677712891235</v>
      </c>
      <c r="AO33" s="140">
        <f>AO$21*shipping_manufacturing!$D$27/100</f>
        <v>352.90464976464813</v>
      </c>
      <c r="AP33" s="140">
        <f>AP$21*shipping_manufacturing!$D$27/100</f>
        <v>352.90464976464813</v>
      </c>
      <c r="AQ33" s="140">
        <f>AQ$21*shipping_manufacturing!$D$27/100</f>
        <v>352.90464976464813</v>
      </c>
      <c r="AR33" s="140">
        <f>AR$21*shipping_manufacturing!$D$27/100</f>
        <v>352.90464976464813</v>
      </c>
      <c r="AS33" s="140">
        <f>AS$21*shipping_manufacturing!$D$27/100</f>
        <v>320.4677712891235</v>
      </c>
      <c r="AT33" s="140">
        <f>AT$21*shipping_manufacturing!$D$27/100</f>
        <v>320.4677712891235</v>
      </c>
      <c r="AU33" s="140">
        <f>AU$21*shipping_manufacturing!$D$27/100</f>
        <v>320.4677712891235</v>
      </c>
      <c r="AV33" s="140">
        <f>AV$21*shipping_manufacturing!$D$27/100</f>
        <v>320.4677712891235</v>
      </c>
      <c r="AW33" s="140">
        <f>AW$21*shipping_manufacturing!$D$27/100</f>
        <v>320.4677712891235</v>
      </c>
      <c r="AX33" s="140">
        <f>AX$21*shipping_manufacturing!$D$27/100</f>
        <v>320.4677712891235</v>
      </c>
      <c r="AY33" s="140">
        <f>AY$21*shipping_manufacturing!$D$27/100</f>
        <v>320.4677712891235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D$22*shipping_manufacturing!$E$27/100</f>
        <v>0</v>
      </c>
      <c r="E34" s="127">
        <f>E$22*shipping_manufacturing!$E$27/100</f>
        <v>0</v>
      </c>
      <c r="F34" s="127">
        <f>F$22*shipping_manufacturing!$E$27/100</f>
        <v>0</v>
      </c>
      <c r="G34" s="127">
        <f>G$22*shipping_manufacturing!$E$27/100</f>
        <v>0</v>
      </c>
      <c r="H34" s="127">
        <f>H$22*shipping_manufacturing!$E$27/100</f>
        <v>0</v>
      </c>
      <c r="I34" s="127">
        <f>I$22*shipping_manufacturing!$E$27/100</f>
        <v>0</v>
      </c>
      <c r="J34" s="127">
        <f>J$22*shipping_manufacturing!$E$27/100</f>
        <v>0</v>
      </c>
      <c r="K34" s="127">
        <f>K$22*shipping_manufacturing!$E$27/100</f>
        <v>0</v>
      </c>
      <c r="L34" s="127">
        <f>L$22*shipping_manufacturing!$E$27/100</f>
        <v>0</v>
      </c>
      <c r="M34" s="127">
        <f>M$22*shipping_manufacturing!$E$27/100</f>
        <v>0</v>
      </c>
      <c r="N34" s="127">
        <f>N$22*shipping_manufacturing!$E$27/100</f>
        <v>0</v>
      </c>
      <c r="O34" s="127">
        <f>O$22*shipping_manufacturing!$E$27/100</f>
        <v>0</v>
      </c>
      <c r="P34" s="127">
        <f>P$22*shipping_manufacturing!$E$27/100</f>
        <v>0</v>
      </c>
      <c r="Q34" s="127">
        <f>Q$22*shipping_manufacturing!$E$27/100</f>
        <v>0</v>
      </c>
      <c r="R34" s="127">
        <f>R$22*shipping_manufacturing!$E$27/100</f>
        <v>0</v>
      </c>
      <c r="S34" s="127">
        <f>S$22*shipping_manufacturing!$E$27/100</f>
        <v>0</v>
      </c>
      <c r="T34" s="127">
        <f>T$22*shipping_manufacturing!$E$27/100</f>
        <v>0</v>
      </c>
      <c r="U34" s="127">
        <f>U$22*shipping_manufacturing!$E$27/100</f>
        <v>0</v>
      </c>
      <c r="V34" s="127">
        <f>V$22*shipping_manufacturing!$E$27/100</f>
        <v>0</v>
      </c>
      <c r="W34" s="127">
        <f>W$22*shipping_manufacturing!$E$27/100</f>
        <v>0</v>
      </c>
      <c r="X34" s="127">
        <f>X$22*shipping_manufacturing!$E$27/100</f>
        <v>0</v>
      </c>
      <c r="Y34" s="127">
        <f>Y$22*shipping_manufacturing!$E$27/100</f>
        <v>0</v>
      </c>
      <c r="Z34" s="127">
        <f>Z$22*shipping_manufacturing!$E$27/100</f>
        <v>0</v>
      </c>
      <c r="AA34" s="127">
        <f>AA$22*shipping_manufacturing!$E$27/100</f>
        <v>0</v>
      </c>
      <c r="AB34" s="127">
        <f>AB$22*shipping_manufacturing!$E$27/100</f>
        <v>0</v>
      </c>
      <c r="AC34" s="127">
        <f>AC$22*shipping_manufacturing!$E$27/100</f>
        <v>0</v>
      </c>
      <c r="AD34" s="127">
        <f>AD$22*shipping_manufacturing!$E$27/100</f>
        <v>0</v>
      </c>
      <c r="AE34" s="127">
        <f>AE$22*shipping_manufacturing!$E$27/100</f>
        <v>0</v>
      </c>
      <c r="AF34" s="127">
        <f>AF$22*shipping_manufacturing!$E$27/100</f>
        <v>0</v>
      </c>
      <c r="AG34" s="127">
        <f>AG$22*shipping_manufacturing!$E$27/100</f>
        <v>0</v>
      </c>
      <c r="AH34" s="127">
        <f>AH$22*shipping_manufacturing!$E$27/100</f>
        <v>0</v>
      </c>
      <c r="AI34" s="127">
        <f>AI$22*shipping_manufacturing!$E$27/100</f>
        <v>0</v>
      </c>
      <c r="AJ34" s="127">
        <f>AJ$22*shipping_manufacturing!$E$27/100</f>
        <v>0</v>
      </c>
      <c r="AK34" s="127">
        <f>AK$22*shipping_manufacturing!$E$27/100</f>
        <v>0</v>
      </c>
      <c r="AL34" s="127">
        <f>AL$22*shipping_manufacturing!$E$27/100</f>
        <v>0</v>
      </c>
      <c r="AM34" s="127">
        <f>AM$22*shipping_manufacturing!$E$27/100</f>
        <v>0</v>
      </c>
      <c r="AN34" s="127">
        <f>AN$22*shipping_manufacturing!$E$27/100</f>
        <v>0</v>
      </c>
      <c r="AO34" s="127">
        <f>AO$22*shipping_manufacturing!$E$27/100</f>
        <v>0</v>
      </c>
      <c r="AP34" s="127">
        <f>AP$22*shipping_manufacturing!$E$27/100</f>
        <v>0</v>
      </c>
      <c r="AQ34" s="127">
        <f>AQ$22*shipping_manufacturing!$E$27/100</f>
        <v>0</v>
      </c>
      <c r="AR34" s="127">
        <f>AR$22*shipping_manufacturing!$E$27/100</f>
        <v>0</v>
      </c>
      <c r="AS34" s="127">
        <f>AS$22*shipping_manufacturing!$E$27/100</f>
        <v>0</v>
      </c>
      <c r="AT34" s="127">
        <f>AT$22*shipping_manufacturing!$E$27/100</f>
        <v>0</v>
      </c>
      <c r="AU34" s="127">
        <f>AU$22*shipping_manufacturing!$E$27/100</f>
        <v>0</v>
      </c>
      <c r="AV34" s="127">
        <f>AV$22*shipping_manufacturing!$E$27/100</f>
        <v>0</v>
      </c>
      <c r="AW34" s="127">
        <f>AW$22*shipping_manufacturing!$E$27/100</f>
        <v>0</v>
      </c>
      <c r="AX34" s="127">
        <f>AX$22*shipping_manufacturing!$E$27/100</f>
        <v>0</v>
      </c>
      <c r="AY34" s="127">
        <f>AY$22*shipping_manufacturing!$E$27/100</f>
        <v>0</v>
      </c>
    </row>
    <row r="35" spans="1:52" x14ac:dyDescent="0.2">
      <c r="A35" s="127">
        <v>1335</v>
      </c>
      <c r="B35" s="181" t="s">
        <v>343</v>
      </c>
      <c r="C35" s="127"/>
      <c r="D35" s="127">
        <f>SUM(D33:D34)</f>
        <v>243.33124677770775</v>
      </c>
      <c r="E35" s="127">
        <f t="shared" ref="E35:AY35" si="11">SUM(E33:E34)</f>
        <v>352.90464976464813</v>
      </c>
      <c r="F35" s="127">
        <f t="shared" si="11"/>
        <v>352.90464976464813</v>
      </c>
      <c r="G35" s="127">
        <f t="shared" si="11"/>
        <v>352.90464976464813</v>
      </c>
      <c r="H35" s="127">
        <f t="shared" si="11"/>
        <v>352.90464976464813</v>
      </c>
      <c r="I35" s="127">
        <f t="shared" si="11"/>
        <v>320.4677712891235</v>
      </c>
      <c r="J35" s="127">
        <f t="shared" si="11"/>
        <v>320.4677712891235</v>
      </c>
      <c r="K35" s="127">
        <f t="shared" si="11"/>
        <v>320.4677712891235</v>
      </c>
      <c r="L35" s="127">
        <f t="shared" si="11"/>
        <v>320.4677712891235</v>
      </c>
      <c r="M35" s="127">
        <f t="shared" si="11"/>
        <v>320.4677712891235</v>
      </c>
      <c r="N35" s="127">
        <f t="shared" si="11"/>
        <v>320.4677712891235</v>
      </c>
      <c r="O35" s="127">
        <f t="shared" si="11"/>
        <v>320.4677712891235</v>
      </c>
      <c r="P35" s="127">
        <f t="shared" si="11"/>
        <v>320.4677712891235</v>
      </c>
      <c r="Q35" s="127">
        <f t="shared" si="11"/>
        <v>352.90464976464813</v>
      </c>
      <c r="R35" s="127">
        <f t="shared" si="11"/>
        <v>352.90464976464813</v>
      </c>
      <c r="S35" s="127">
        <f t="shared" si="11"/>
        <v>352.90464976464813</v>
      </c>
      <c r="T35" s="127">
        <f t="shared" si="11"/>
        <v>352.90464976464813</v>
      </c>
      <c r="U35" s="127">
        <f t="shared" si="11"/>
        <v>320.4677712891235</v>
      </c>
      <c r="V35" s="127">
        <f t="shared" si="11"/>
        <v>320.4677712891235</v>
      </c>
      <c r="W35" s="127">
        <f t="shared" si="11"/>
        <v>320.4677712891235</v>
      </c>
      <c r="X35" s="127">
        <f t="shared" si="11"/>
        <v>320.4677712891235</v>
      </c>
      <c r="Y35" s="127">
        <f t="shared" si="11"/>
        <v>320.4677712891235</v>
      </c>
      <c r="Z35" s="127">
        <f t="shared" si="11"/>
        <v>0</v>
      </c>
      <c r="AA35" s="127">
        <f t="shared" si="11"/>
        <v>640.93554257824701</v>
      </c>
      <c r="AB35" s="127">
        <f t="shared" si="11"/>
        <v>320.4677712891235</v>
      </c>
      <c r="AC35" s="127">
        <f t="shared" si="11"/>
        <v>352.90464976464813</v>
      </c>
      <c r="AD35" s="127">
        <f t="shared" si="11"/>
        <v>352.90464976464813</v>
      </c>
      <c r="AE35" s="127">
        <f t="shared" si="11"/>
        <v>352.90464976464813</v>
      </c>
      <c r="AF35" s="127">
        <f t="shared" si="11"/>
        <v>352.90464976464813</v>
      </c>
      <c r="AG35" s="127">
        <f t="shared" si="11"/>
        <v>320.4677712891235</v>
      </c>
      <c r="AH35" s="127">
        <f t="shared" si="11"/>
        <v>320.4677712891235</v>
      </c>
      <c r="AI35" s="127">
        <f t="shared" si="11"/>
        <v>320.4677712891235</v>
      </c>
      <c r="AJ35" s="127">
        <f t="shared" si="11"/>
        <v>320.4677712891235</v>
      </c>
      <c r="AK35" s="127">
        <f t="shared" si="11"/>
        <v>320.4677712891235</v>
      </c>
      <c r="AL35" s="127">
        <f t="shared" si="11"/>
        <v>320.4677712891235</v>
      </c>
      <c r="AM35" s="127">
        <f t="shared" si="11"/>
        <v>320.4677712891235</v>
      </c>
      <c r="AN35" s="127">
        <f t="shared" si="11"/>
        <v>320.4677712891235</v>
      </c>
      <c r="AO35" s="127">
        <f t="shared" si="11"/>
        <v>352.90464976464813</v>
      </c>
      <c r="AP35" s="127">
        <f t="shared" si="11"/>
        <v>352.90464976464813</v>
      </c>
      <c r="AQ35" s="127">
        <f t="shared" si="11"/>
        <v>352.90464976464813</v>
      </c>
      <c r="AR35" s="127">
        <f t="shared" si="11"/>
        <v>352.90464976464813</v>
      </c>
      <c r="AS35" s="127">
        <f t="shared" si="11"/>
        <v>320.4677712891235</v>
      </c>
      <c r="AT35" s="127">
        <f t="shared" si="11"/>
        <v>320.4677712891235</v>
      </c>
      <c r="AU35" s="127">
        <f t="shared" si="11"/>
        <v>320.4677712891235</v>
      </c>
      <c r="AV35" s="127">
        <f t="shared" si="11"/>
        <v>320.4677712891235</v>
      </c>
      <c r="AW35" s="127">
        <f t="shared" si="11"/>
        <v>320.4677712891235</v>
      </c>
      <c r="AX35" s="127">
        <f t="shared" si="11"/>
        <v>320.4677712891235</v>
      </c>
      <c r="AY35" s="127">
        <f t="shared" si="11"/>
        <v>320.4677712891235</v>
      </c>
    </row>
    <row r="36" spans="1:52" x14ac:dyDescent="0.2">
      <c r="A36" s="127"/>
      <c r="B36" s="181" t="s">
        <v>344</v>
      </c>
      <c r="C36" s="127"/>
      <c r="D36" s="127">
        <v>243.33124677770775</v>
      </c>
      <c r="E36" s="127">
        <v>352.90464976464813</v>
      </c>
      <c r="F36" s="127">
        <v>300</v>
      </c>
      <c r="G36" s="127">
        <v>352.90464976464813</v>
      </c>
      <c r="H36" s="127">
        <v>300</v>
      </c>
      <c r="I36" s="127">
        <v>320.4677712891235</v>
      </c>
      <c r="J36" s="127">
        <v>320.4677712891235</v>
      </c>
      <c r="K36" s="127">
        <v>320.4677712891235</v>
      </c>
      <c r="L36" s="127">
        <v>320.4677712891235</v>
      </c>
      <c r="M36" s="127">
        <v>320.4677712891235</v>
      </c>
      <c r="N36" s="127">
        <v>320.4677712891235</v>
      </c>
      <c r="O36" s="127">
        <v>320.4677712891235</v>
      </c>
      <c r="P36" s="127">
        <v>320.4677712891235</v>
      </c>
      <c r="Q36" s="127">
        <v>330</v>
      </c>
      <c r="R36" s="127">
        <v>330</v>
      </c>
      <c r="S36" s="127">
        <v>330</v>
      </c>
      <c r="T36" s="127">
        <v>330</v>
      </c>
      <c r="U36" s="127">
        <v>320.4677712891235</v>
      </c>
      <c r="V36" s="127">
        <v>320.4677712891235</v>
      </c>
      <c r="W36" s="127">
        <v>320.4677712891235</v>
      </c>
      <c r="X36" s="127">
        <v>320.4677712891235</v>
      </c>
      <c r="Y36" s="127">
        <v>320.4677712891235</v>
      </c>
      <c r="Z36" s="127"/>
      <c r="AA36" s="127">
        <v>640.93554257824701</v>
      </c>
      <c r="AB36" s="127"/>
      <c r="AC36" s="127">
        <v>352.90464976464813</v>
      </c>
      <c r="AD36" s="127">
        <v>300</v>
      </c>
      <c r="AE36" s="127">
        <v>352.90464976464813</v>
      </c>
      <c r="AF36" s="127">
        <v>300</v>
      </c>
      <c r="AG36" s="127">
        <v>320.4677712891235</v>
      </c>
      <c r="AH36" s="127">
        <v>320.4677712891235</v>
      </c>
      <c r="AI36" s="127">
        <v>320.4677712891235</v>
      </c>
      <c r="AJ36" s="127">
        <v>320.4677712891235</v>
      </c>
      <c r="AK36" s="127">
        <v>320.4677712891235</v>
      </c>
      <c r="AL36" s="127">
        <v>320.4677712891235</v>
      </c>
      <c r="AM36" s="127">
        <v>320.4677712891235</v>
      </c>
      <c r="AN36" s="127">
        <v>320.4677712891235</v>
      </c>
      <c r="AO36" s="127">
        <v>330</v>
      </c>
      <c r="AP36" s="127">
        <v>330</v>
      </c>
      <c r="AQ36" s="127">
        <v>330</v>
      </c>
      <c r="AR36" s="127">
        <v>330</v>
      </c>
      <c r="AS36" s="127">
        <v>320.4677712891235</v>
      </c>
      <c r="AT36" s="127">
        <v>320.4677712891235</v>
      </c>
      <c r="AU36" s="127">
        <v>320.4677712891235</v>
      </c>
      <c r="AV36" s="127">
        <v>320.4677712891235</v>
      </c>
      <c r="AW36" s="127">
        <v>320.4677712891235</v>
      </c>
      <c r="AX36" s="127">
        <v>320.4677712891235</v>
      </c>
      <c r="AY36" s="127">
        <v>320.4677712891235</v>
      </c>
    </row>
    <row r="37" spans="1:52" x14ac:dyDescent="0.2">
      <c r="A37" s="127"/>
      <c r="B37" s="181" t="s">
        <v>345</v>
      </c>
      <c r="C37" s="127"/>
      <c r="D37" s="127">
        <v>0</v>
      </c>
      <c r="E37" s="127">
        <v>0</v>
      </c>
      <c r="F37" s="127">
        <v>0</v>
      </c>
      <c r="G37" s="127">
        <v>0</v>
      </c>
      <c r="H37" s="127">
        <v>0</v>
      </c>
      <c r="I37" s="127">
        <v>0</v>
      </c>
      <c r="J37" s="127">
        <v>0</v>
      </c>
      <c r="K37" s="127">
        <v>0</v>
      </c>
      <c r="L37" s="127">
        <v>0</v>
      </c>
      <c r="M37" s="127">
        <v>0</v>
      </c>
      <c r="N37" s="127">
        <v>0</v>
      </c>
      <c r="O37" s="127">
        <v>0</v>
      </c>
      <c r="P37" s="127">
        <v>0</v>
      </c>
      <c r="Q37" s="127">
        <v>0</v>
      </c>
      <c r="R37" s="127">
        <v>0</v>
      </c>
      <c r="S37" s="127">
        <v>0</v>
      </c>
      <c r="T37" s="127">
        <v>0</v>
      </c>
      <c r="U37" s="127">
        <v>0</v>
      </c>
      <c r="V37" s="127">
        <v>0</v>
      </c>
      <c r="W37" s="127">
        <v>0</v>
      </c>
      <c r="X37" s="127">
        <v>0</v>
      </c>
      <c r="Y37" s="127">
        <v>0</v>
      </c>
      <c r="Z37" s="127"/>
      <c r="AA37" s="127">
        <v>0</v>
      </c>
      <c r="AB37" s="127"/>
      <c r="AC37" s="127">
        <v>0</v>
      </c>
      <c r="AD37" s="127">
        <v>0</v>
      </c>
      <c r="AE37" s="127">
        <v>0</v>
      </c>
      <c r="AF37" s="127">
        <v>0</v>
      </c>
      <c r="AG37" s="127">
        <v>0</v>
      </c>
      <c r="AH37" s="127">
        <v>0</v>
      </c>
      <c r="AI37" s="127">
        <v>0</v>
      </c>
      <c r="AJ37" s="127">
        <v>0</v>
      </c>
      <c r="AK37" s="127">
        <v>0</v>
      </c>
      <c r="AL37" s="127">
        <v>0</v>
      </c>
      <c r="AM37" s="127">
        <v>0</v>
      </c>
      <c r="AN37" s="127">
        <v>0</v>
      </c>
      <c r="AO37" s="127">
        <v>0</v>
      </c>
      <c r="AP37" s="127">
        <v>0</v>
      </c>
      <c r="AQ37" s="127">
        <v>0</v>
      </c>
      <c r="AR37" s="127">
        <v>0</v>
      </c>
      <c r="AS37" s="127">
        <v>0</v>
      </c>
      <c r="AT37" s="127">
        <v>0</v>
      </c>
      <c r="AU37" s="127">
        <v>0</v>
      </c>
      <c r="AV37" s="127">
        <v>0</v>
      </c>
      <c r="AW37" s="127">
        <v>0</v>
      </c>
      <c r="AX37" s="127">
        <v>0</v>
      </c>
      <c r="AY37" s="127">
        <v>0</v>
      </c>
    </row>
    <row r="38" spans="1:52" x14ac:dyDescent="0.2">
      <c r="A38" s="127"/>
      <c r="B38" s="181" t="s">
        <v>346</v>
      </c>
      <c r="C38" s="127"/>
      <c r="D38" s="127">
        <v>9</v>
      </c>
      <c r="E38" s="127">
        <v>12</v>
      </c>
      <c r="F38" s="127">
        <v>10</v>
      </c>
      <c r="G38" s="127">
        <v>12</v>
      </c>
      <c r="H38" s="127">
        <v>10</v>
      </c>
      <c r="I38" s="127">
        <v>11</v>
      </c>
      <c r="J38" s="127">
        <v>11</v>
      </c>
      <c r="K38" s="127">
        <v>11</v>
      </c>
      <c r="L38" s="127">
        <v>11</v>
      </c>
      <c r="M38" s="127">
        <v>11</v>
      </c>
      <c r="N38" s="127">
        <v>11</v>
      </c>
      <c r="O38" s="127">
        <v>11</v>
      </c>
      <c r="P38" s="127">
        <v>11</v>
      </c>
      <c r="Q38" s="127">
        <v>11</v>
      </c>
      <c r="R38" s="127">
        <v>11</v>
      </c>
      <c r="S38" s="127">
        <v>11</v>
      </c>
      <c r="T38" s="127">
        <v>11</v>
      </c>
      <c r="U38" s="127">
        <v>11</v>
      </c>
      <c r="V38" s="127">
        <v>11</v>
      </c>
      <c r="W38" s="127">
        <v>11</v>
      </c>
      <c r="X38" s="127">
        <v>11</v>
      </c>
      <c r="Y38" s="127">
        <v>11</v>
      </c>
      <c r="Z38" s="127"/>
      <c r="AA38" s="127">
        <v>22</v>
      </c>
      <c r="AB38" s="127"/>
      <c r="AC38" s="127">
        <v>12</v>
      </c>
      <c r="AD38" s="127">
        <v>10</v>
      </c>
      <c r="AE38" s="127">
        <v>12</v>
      </c>
      <c r="AF38" s="127">
        <v>10</v>
      </c>
      <c r="AG38" s="127">
        <v>11</v>
      </c>
      <c r="AH38" s="127">
        <v>11</v>
      </c>
      <c r="AI38" s="127">
        <v>11</v>
      </c>
      <c r="AJ38" s="127">
        <v>11</v>
      </c>
      <c r="AK38" s="127">
        <v>11</v>
      </c>
      <c r="AL38" s="127">
        <v>11</v>
      </c>
      <c r="AM38" s="127">
        <v>11</v>
      </c>
      <c r="AN38" s="127">
        <v>11</v>
      </c>
      <c r="AO38" s="127">
        <v>11</v>
      </c>
      <c r="AP38" s="127">
        <v>11</v>
      </c>
      <c r="AQ38" s="127">
        <v>11</v>
      </c>
      <c r="AR38" s="127">
        <v>11</v>
      </c>
      <c r="AS38" s="127">
        <v>11</v>
      </c>
      <c r="AT38" s="127">
        <v>11</v>
      </c>
      <c r="AU38" s="127">
        <v>11</v>
      </c>
      <c r="AV38" s="127">
        <v>11</v>
      </c>
      <c r="AW38" s="127">
        <v>11</v>
      </c>
      <c r="AX38" s="127">
        <v>11</v>
      </c>
      <c r="AY38" s="127">
        <v>11</v>
      </c>
    </row>
    <row r="39" spans="1:52" x14ac:dyDescent="0.2">
      <c r="A39" s="127"/>
      <c r="B39" s="181" t="s">
        <v>347</v>
      </c>
      <c r="C39" s="127"/>
      <c r="D39" s="127">
        <f>D33-D36</f>
        <v>0</v>
      </c>
      <c r="E39" s="127">
        <f t="shared" ref="E39:AY39" si="12">E33-E36</f>
        <v>0</v>
      </c>
      <c r="F39" s="127">
        <f t="shared" si="12"/>
        <v>52.904649764648127</v>
      </c>
      <c r="G39" s="127">
        <f t="shared" si="12"/>
        <v>0</v>
      </c>
      <c r="H39" s="127">
        <f t="shared" si="12"/>
        <v>52.904649764648127</v>
      </c>
      <c r="I39" s="127">
        <f t="shared" si="12"/>
        <v>0</v>
      </c>
      <c r="J39" s="127">
        <f t="shared" si="12"/>
        <v>0</v>
      </c>
      <c r="K39" s="127">
        <f t="shared" si="12"/>
        <v>0</v>
      </c>
      <c r="L39" s="127">
        <f t="shared" si="12"/>
        <v>0</v>
      </c>
      <c r="M39" s="127">
        <f t="shared" si="12"/>
        <v>0</v>
      </c>
      <c r="N39" s="127">
        <f t="shared" si="12"/>
        <v>0</v>
      </c>
      <c r="O39" s="127">
        <f t="shared" si="12"/>
        <v>0</v>
      </c>
      <c r="P39" s="127">
        <f t="shared" si="12"/>
        <v>0</v>
      </c>
      <c r="Q39" s="127">
        <f t="shared" si="12"/>
        <v>22.904649764648127</v>
      </c>
      <c r="R39" s="127">
        <f t="shared" si="12"/>
        <v>22.904649764648127</v>
      </c>
      <c r="S39" s="127">
        <f t="shared" si="12"/>
        <v>22.904649764648127</v>
      </c>
      <c r="T39" s="127">
        <f t="shared" si="12"/>
        <v>22.904649764648127</v>
      </c>
      <c r="U39" s="127">
        <f t="shared" si="12"/>
        <v>0</v>
      </c>
      <c r="V39" s="127">
        <f t="shared" si="12"/>
        <v>0</v>
      </c>
      <c r="W39" s="127">
        <f t="shared" si="12"/>
        <v>0</v>
      </c>
      <c r="X39" s="127">
        <f t="shared" si="12"/>
        <v>0</v>
      </c>
      <c r="Y39" s="127">
        <f t="shared" si="12"/>
        <v>0</v>
      </c>
      <c r="Z39" s="127">
        <f t="shared" si="12"/>
        <v>0</v>
      </c>
      <c r="AA39" s="127">
        <f t="shared" si="12"/>
        <v>0</v>
      </c>
      <c r="AB39" s="127">
        <f t="shared" si="12"/>
        <v>320.4677712891235</v>
      </c>
      <c r="AC39" s="127">
        <f t="shared" si="12"/>
        <v>0</v>
      </c>
      <c r="AD39" s="127">
        <f t="shared" si="12"/>
        <v>52.904649764648127</v>
      </c>
      <c r="AE39" s="127">
        <f t="shared" si="12"/>
        <v>0</v>
      </c>
      <c r="AF39" s="127">
        <f t="shared" si="12"/>
        <v>52.904649764648127</v>
      </c>
      <c r="AG39" s="127">
        <f t="shared" si="12"/>
        <v>0</v>
      </c>
      <c r="AH39" s="127">
        <f t="shared" si="12"/>
        <v>0</v>
      </c>
      <c r="AI39" s="127">
        <f t="shared" si="12"/>
        <v>0</v>
      </c>
      <c r="AJ39" s="127">
        <f t="shared" si="12"/>
        <v>0</v>
      </c>
      <c r="AK39" s="127">
        <f t="shared" si="12"/>
        <v>0</v>
      </c>
      <c r="AL39" s="127">
        <f t="shared" si="12"/>
        <v>0</v>
      </c>
      <c r="AM39" s="127">
        <f t="shared" si="12"/>
        <v>0</v>
      </c>
      <c r="AN39" s="127">
        <f t="shared" si="12"/>
        <v>0</v>
      </c>
      <c r="AO39" s="127">
        <f t="shared" si="12"/>
        <v>22.904649764648127</v>
      </c>
      <c r="AP39" s="127">
        <f t="shared" si="12"/>
        <v>22.904649764648127</v>
      </c>
      <c r="AQ39" s="127">
        <f t="shared" si="12"/>
        <v>22.904649764648127</v>
      </c>
      <c r="AR39" s="127">
        <f t="shared" si="12"/>
        <v>22.904649764648127</v>
      </c>
      <c r="AS39" s="127">
        <f t="shared" si="12"/>
        <v>0</v>
      </c>
      <c r="AT39" s="127">
        <f t="shared" si="12"/>
        <v>0</v>
      </c>
      <c r="AU39" s="127">
        <f t="shared" si="12"/>
        <v>0</v>
      </c>
      <c r="AV39" s="127">
        <f t="shared" si="12"/>
        <v>0</v>
      </c>
      <c r="AW39" s="127">
        <f t="shared" si="12"/>
        <v>0</v>
      </c>
      <c r="AX39" s="127">
        <f t="shared" si="12"/>
        <v>0</v>
      </c>
      <c r="AY39" s="127">
        <f t="shared" si="12"/>
        <v>0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0</v>
      </c>
      <c r="G40" s="127">
        <f t="shared" si="13"/>
        <v>0</v>
      </c>
      <c r="H40" s="127">
        <f t="shared" si="13"/>
        <v>0</v>
      </c>
      <c r="I40" s="127">
        <f t="shared" si="13"/>
        <v>0</v>
      </c>
      <c r="J40" s="127">
        <f t="shared" si="13"/>
        <v>0</v>
      </c>
      <c r="K40" s="127">
        <f t="shared" si="13"/>
        <v>0</v>
      </c>
      <c r="L40" s="127">
        <f t="shared" si="13"/>
        <v>0</v>
      </c>
      <c r="M40" s="127">
        <f t="shared" si="13"/>
        <v>0</v>
      </c>
      <c r="N40" s="127">
        <f t="shared" si="13"/>
        <v>0</v>
      </c>
      <c r="O40" s="127">
        <f t="shared" si="13"/>
        <v>0</v>
      </c>
      <c r="P40" s="127">
        <f t="shared" si="13"/>
        <v>0</v>
      </c>
      <c r="Q40" s="127">
        <f t="shared" si="13"/>
        <v>0</v>
      </c>
      <c r="R40" s="127">
        <f t="shared" si="13"/>
        <v>0</v>
      </c>
      <c r="S40" s="127">
        <f t="shared" si="13"/>
        <v>0</v>
      </c>
      <c r="T40" s="127">
        <f t="shared" si="13"/>
        <v>0</v>
      </c>
      <c r="U40" s="127">
        <f t="shared" si="13"/>
        <v>0</v>
      </c>
      <c r="V40" s="127">
        <f t="shared" si="13"/>
        <v>0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0</v>
      </c>
      <c r="AA40" s="127">
        <f t="shared" si="13"/>
        <v>0</v>
      </c>
      <c r="AB40" s="127">
        <f t="shared" si="13"/>
        <v>0</v>
      </c>
      <c r="AC40" s="127">
        <f t="shared" si="13"/>
        <v>0</v>
      </c>
      <c r="AD40" s="127">
        <f t="shared" si="13"/>
        <v>0</v>
      </c>
      <c r="AE40" s="127">
        <f t="shared" si="13"/>
        <v>0</v>
      </c>
      <c r="AF40" s="127">
        <f t="shared" si="13"/>
        <v>0</v>
      </c>
      <c r="AG40" s="127">
        <f t="shared" si="13"/>
        <v>0</v>
      </c>
      <c r="AH40" s="127">
        <f t="shared" si="13"/>
        <v>0</v>
      </c>
      <c r="AI40" s="127">
        <f t="shared" si="13"/>
        <v>0</v>
      </c>
      <c r="AJ40" s="127">
        <f t="shared" si="13"/>
        <v>0</v>
      </c>
      <c r="AK40" s="127">
        <f t="shared" si="13"/>
        <v>0</v>
      </c>
      <c r="AL40" s="127">
        <f t="shared" si="13"/>
        <v>0</v>
      </c>
      <c r="AM40" s="127">
        <f t="shared" si="13"/>
        <v>0</v>
      </c>
      <c r="AN40" s="127">
        <f t="shared" si="13"/>
        <v>0</v>
      </c>
      <c r="AO40" s="127">
        <f t="shared" si="13"/>
        <v>0</v>
      </c>
      <c r="AP40" s="127">
        <f t="shared" si="13"/>
        <v>0</v>
      </c>
      <c r="AQ40" s="127">
        <f t="shared" si="13"/>
        <v>0</v>
      </c>
      <c r="AR40" s="127">
        <f t="shared" si="13"/>
        <v>0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0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2</v>
      </c>
      <c r="E41" s="127">
        <v>1</v>
      </c>
      <c r="F41" s="127">
        <v>1</v>
      </c>
      <c r="G41" s="127">
        <v>2</v>
      </c>
      <c r="H41" s="127">
        <v>2</v>
      </c>
      <c r="I41" s="127">
        <v>3</v>
      </c>
      <c r="J41" s="127">
        <v>1</v>
      </c>
      <c r="K41" s="127">
        <v>3</v>
      </c>
      <c r="L41" s="127">
        <v>3</v>
      </c>
      <c r="M41" s="127">
        <v>2</v>
      </c>
      <c r="N41" s="127">
        <v>1</v>
      </c>
      <c r="O41" s="127">
        <v>1</v>
      </c>
      <c r="P41" s="127">
        <v>1</v>
      </c>
      <c r="Q41" s="127">
        <v>1</v>
      </c>
      <c r="R41" s="127">
        <v>2</v>
      </c>
      <c r="S41" s="127">
        <v>2</v>
      </c>
      <c r="T41" s="127">
        <v>1</v>
      </c>
      <c r="U41" s="127">
        <v>2</v>
      </c>
      <c r="V41" s="127">
        <v>1</v>
      </c>
      <c r="W41" s="127">
        <v>1</v>
      </c>
      <c r="X41" s="127">
        <v>2</v>
      </c>
      <c r="Y41" s="127">
        <v>1</v>
      </c>
      <c r="Z41" s="127">
        <v>1</v>
      </c>
      <c r="AA41" s="127">
        <v>1</v>
      </c>
      <c r="AB41" s="127">
        <v>1</v>
      </c>
      <c r="AC41" s="127">
        <v>1</v>
      </c>
      <c r="AD41" s="127">
        <v>2</v>
      </c>
      <c r="AE41" s="127">
        <v>1</v>
      </c>
      <c r="AF41" s="127">
        <v>1</v>
      </c>
      <c r="AG41" s="127">
        <v>1</v>
      </c>
      <c r="AH41" s="127">
        <v>1</v>
      </c>
      <c r="AI41" s="127">
        <v>1</v>
      </c>
      <c r="AJ41" s="127">
        <v>1</v>
      </c>
      <c r="AK41" s="127">
        <v>2</v>
      </c>
      <c r="AL41" s="127">
        <v>1</v>
      </c>
      <c r="AM41" s="127">
        <v>1</v>
      </c>
      <c r="AN41" s="127">
        <v>1</v>
      </c>
      <c r="AO41" s="127">
        <v>1</v>
      </c>
      <c r="AP41" s="127">
        <v>1</v>
      </c>
      <c r="AQ41" s="127">
        <v>1</v>
      </c>
      <c r="AR41" s="127">
        <v>1</v>
      </c>
      <c r="AS41" s="127">
        <v>2</v>
      </c>
      <c r="AT41" s="127">
        <v>2</v>
      </c>
      <c r="AU41" s="127">
        <v>2</v>
      </c>
      <c r="AV41" s="127">
        <v>2</v>
      </c>
      <c r="AW41" s="127">
        <v>1</v>
      </c>
      <c r="AX41" s="127">
        <v>1</v>
      </c>
      <c r="AY41" s="127">
        <v>1</v>
      </c>
    </row>
    <row r="42" spans="1:52" x14ac:dyDescent="0.2">
      <c r="A42" s="127"/>
      <c r="B42" s="192" t="s">
        <v>350</v>
      </c>
      <c r="C42" s="127"/>
      <c r="D42" s="127">
        <v>432540</v>
      </c>
      <c r="E42" s="127">
        <v>576720</v>
      </c>
      <c r="F42" s="127">
        <v>480600</v>
      </c>
      <c r="G42" s="127">
        <v>576720</v>
      </c>
      <c r="H42" s="127">
        <v>480600</v>
      </c>
      <c r="I42" s="127">
        <v>528660</v>
      </c>
      <c r="J42" s="127">
        <v>528660</v>
      </c>
      <c r="K42" s="127">
        <v>528660</v>
      </c>
      <c r="L42" s="127">
        <v>528660</v>
      </c>
      <c r="M42" s="127">
        <v>528660</v>
      </c>
      <c r="N42" s="127">
        <v>528660</v>
      </c>
      <c r="O42" s="127">
        <v>528660</v>
      </c>
      <c r="P42" s="127">
        <v>528660</v>
      </c>
      <c r="Q42" s="127">
        <v>528660</v>
      </c>
      <c r="R42" s="127">
        <v>528660</v>
      </c>
      <c r="S42" s="127">
        <v>528660</v>
      </c>
      <c r="T42" s="127">
        <v>528660</v>
      </c>
      <c r="U42" s="127">
        <v>528660</v>
      </c>
      <c r="V42" s="127">
        <v>528660</v>
      </c>
      <c r="W42" s="127">
        <v>528660</v>
      </c>
      <c r="X42" s="127">
        <v>528660</v>
      </c>
      <c r="Y42" s="127">
        <v>528660</v>
      </c>
      <c r="Z42" s="127">
        <v>0</v>
      </c>
      <c r="AA42" s="127">
        <v>1057320</v>
      </c>
      <c r="AB42" s="127">
        <v>0</v>
      </c>
      <c r="AC42" s="127">
        <v>576720</v>
      </c>
      <c r="AD42" s="127">
        <v>480600</v>
      </c>
      <c r="AE42" s="127">
        <v>576720</v>
      </c>
      <c r="AF42" s="127">
        <v>480600</v>
      </c>
      <c r="AG42" s="127">
        <v>528660</v>
      </c>
      <c r="AH42" s="127">
        <v>528660</v>
      </c>
      <c r="AI42" s="127">
        <v>528660</v>
      </c>
      <c r="AJ42" s="127">
        <v>528660</v>
      </c>
      <c r="AK42" s="127">
        <v>528660</v>
      </c>
      <c r="AL42" s="127">
        <v>528660</v>
      </c>
      <c r="AM42" s="127">
        <v>528660</v>
      </c>
      <c r="AN42" s="127">
        <v>528660</v>
      </c>
      <c r="AO42" s="127">
        <v>528660</v>
      </c>
      <c r="AP42" s="127">
        <v>528660</v>
      </c>
      <c r="AQ42" s="127">
        <v>528660</v>
      </c>
      <c r="AR42" s="127">
        <v>528660</v>
      </c>
      <c r="AS42" s="127">
        <v>528660</v>
      </c>
      <c r="AT42" s="127">
        <v>528660</v>
      </c>
      <c r="AU42" s="127">
        <v>528660</v>
      </c>
      <c r="AV42" s="127">
        <v>528660</v>
      </c>
      <c r="AW42" s="127">
        <v>528660</v>
      </c>
      <c r="AX42" s="127">
        <v>528660</v>
      </c>
      <c r="AY42" s="127">
        <v>528660</v>
      </c>
      <c r="AZ42">
        <f>SUM($D$42:$AY$42)</f>
        <v>24750900</v>
      </c>
    </row>
    <row r="43" spans="1:52" x14ac:dyDescent="0.2">
      <c r="A43" s="127"/>
      <c r="B43" s="192" t="s">
        <v>351</v>
      </c>
      <c r="C43" s="127"/>
      <c r="D43" s="127">
        <v>0</v>
      </c>
      <c r="E43" s="127">
        <v>0</v>
      </c>
      <c r="F43" s="127">
        <v>45908.009833273412</v>
      </c>
      <c r="G43" s="127">
        <v>0</v>
      </c>
      <c r="H43" s="127">
        <v>45908.009833273412</v>
      </c>
      <c r="I43" s="127">
        <v>0</v>
      </c>
      <c r="J43" s="127">
        <v>0</v>
      </c>
      <c r="K43" s="127">
        <v>0</v>
      </c>
      <c r="L43" s="127">
        <v>0</v>
      </c>
      <c r="M43" s="127">
        <v>0</v>
      </c>
      <c r="N43" s="127">
        <v>0</v>
      </c>
      <c r="O43" s="127">
        <v>0</v>
      </c>
      <c r="P43" s="127">
        <v>0</v>
      </c>
      <c r="Q43" s="127">
        <v>19875.509833273412</v>
      </c>
      <c r="R43" s="127">
        <v>19875.509833273412</v>
      </c>
      <c r="S43" s="127">
        <v>19875.509833273412</v>
      </c>
      <c r="T43" s="127">
        <v>19875.509833273412</v>
      </c>
      <c r="U43" s="127">
        <v>0</v>
      </c>
      <c r="V43" s="127">
        <v>0</v>
      </c>
      <c r="W43" s="127">
        <v>0</v>
      </c>
      <c r="X43" s="127">
        <v>0</v>
      </c>
      <c r="Y43" s="127">
        <v>0</v>
      </c>
      <c r="Z43" s="127">
        <v>0</v>
      </c>
      <c r="AA43" s="127">
        <v>0</v>
      </c>
      <c r="AB43" s="127">
        <v>278085.90853613697</v>
      </c>
      <c r="AC43" s="127">
        <v>0</v>
      </c>
      <c r="AD43" s="127">
        <v>45908.009833273412</v>
      </c>
      <c r="AE43" s="127">
        <v>0</v>
      </c>
      <c r="AF43" s="127">
        <v>45908.009833273412</v>
      </c>
      <c r="AG43" s="127">
        <v>0</v>
      </c>
      <c r="AH43" s="127">
        <v>0</v>
      </c>
      <c r="AI43" s="127">
        <v>0</v>
      </c>
      <c r="AJ43" s="127">
        <v>0</v>
      </c>
      <c r="AK43" s="127">
        <v>0</v>
      </c>
      <c r="AL43" s="127">
        <v>0</v>
      </c>
      <c r="AM43" s="127">
        <v>0</v>
      </c>
      <c r="AN43" s="127">
        <v>0</v>
      </c>
      <c r="AO43" s="127">
        <v>19875.509833273412</v>
      </c>
      <c r="AP43" s="127">
        <v>19875.509833273412</v>
      </c>
      <c r="AQ43" s="127">
        <v>19875.509833273412</v>
      </c>
      <c r="AR43" s="127">
        <v>19875.509833273412</v>
      </c>
      <c r="AS43" s="127">
        <v>0</v>
      </c>
      <c r="AT43" s="127">
        <v>0</v>
      </c>
      <c r="AU43" s="127">
        <v>0</v>
      </c>
      <c r="AV43" s="127">
        <v>0</v>
      </c>
      <c r="AW43" s="127">
        <v>0</v>
      </c>
      <c r="AX43" s="127">
        <v>0</v>
      </c>
      <c r="AY43" s="127">
        <v>0</v>
      </c>
      <c r="AZ43">
        <f>SUM($D$43:$AY$43)</f>
        <v>620722.02653541777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D$21*shipping_manufacturing!$D$28/100</f>
        <v>0</v>
      </c>
      <c r="E44" s="140">
        <f>E$21*shipping_manufacturing!$D$28/100</f>
        <v>0</v>
      </c>
      <c r="F44" s="140">
        <f>F$21*shipping_manufacturing!$D$28/100</f>
        <v>0</v>
      </c>
      <c r="G44" s="140">
        <f>G$21*shipping_manufacturing!$D$28/100</f>
        <v>0</v>
      </c>
      <c r="H44" s="140">
        <f>H$21*shipping_manufacturing!$D$28/100</f>
        <v>0</v>
      </c>
      <c r="I44" s="140">
        <f>I$21*shipping_manufacturing!$D$28/100</f>
        <v>0</v>
      </c>
      <c r="J44" s="140">
        <f>J$21*shipping_manufacturing!$D$28/100</f>
        <v>0</v>
      </c>
      <c r="K44" s="140">
        <f>K$21*shipping_manufacturing!$D$28/100</f>
        <v>0</v>
      </c>
      <c r="L44" s="140">
        <f>L$21*shipping_manufacturing!$D$28/100</f>
        <v>0</v>
      </c>
      <c r="M44" s="140">
        <f>M$21*shipping_manufacturing!$D$28/100</f>
        <v>0</v>
      </c>
      <c r="N44" s="140">
        <f>N$21*shipping_manufacturing!$D$28/100</f>
        <v>0</v>
      </c>
      <c r="O44" s="140">
        <f>O$21*shipping_manufacturing!$D$28/100</f>
        <v>0</v>
      </c>
      <c r="P44" s="140">
        <f>P$21*shipping_manufacturing!$D$28/100</f>
        <v>0</v>
      </c>
      <c r="Q44" s="140">
        <f>Q$21*shipping_manufacturing!$D$28/100</f>
        <v>0</v>
      </c>
      <c r="R44" s="140">
        <f>R$21*shipping_manufacturing!$D$28/100</f>
        <v>0</v>
      </c>
      <c r="S44" s="140">
        <f>S$21*shipping_manufacturing!$D$28/100</f>
        <v>0</v>
      </c>
      <c r="T44" s="140">
        <f>T$21*shipping_manufacturing!$D$28/100</f>
        <v>0</v>
      </c>
      <c r="U44" s="140">
        <f>U$21*shipping_manufacturing!$D$28/100</f>
        <v>0</v>
      </c>
      <c r="V44" s="140">
        <f>V$21*shipping_manufacturing!$D$28/100</f>
        <v>0</v>
      </c>
      <c r="W44" s="140">
        <f>W$21*shipping_manufacturing!$D$28/100</f>
        <v>0</v>
      </c>
      <c r="X44" s="140">
        <f>X$21*shipping_manufacturing!$D$28/100</f>
        <v>0</v>
      </c>
      <c r="Y44" s="140">
        <f>Y$21*shipping_manufacturing!$D$28/100</f>
        <v>0</v>
      </c>
      <c r="Z44" s="140">
        <f>Z$21*shipping_manufacturing!$D$28/100</f>
        <v>0</v>
      </c>
      <c r="AA44" s="140">
        <f>AA$21*shipping_manufacturing!$D$28/100</f>
        <v>0</v>
      </c>
      <c r="AB44" s="140">
        <f>AB$21*shipping_manufacturing!$D$28/100</f>
        <v>0</v>
      </c>
      <c r="AC44" s="140">
        <f>AC$21*shipping_manufacturing!$D$28/100</f>
        <v>0</v>
      </c>
      <c r="AD44" s="140">
        <f>AD$21*shipping_manufacturing!$D$28/100</f>
        <v>0</v>
      </c>
      <c r="AE44" s="140">
        <f>AE$21*shipping_manufacturing!$D$28/100</f>
        <v>0</v>
      </c>
      <c r="AF44" s="140">
        <f>AF$21*shipping_manufacturing!$D$28/100</f>
        <v>0</v>
      </c>
      <c r="AG44" s="140">
        <f>AG$21*shipping_manufacturing!$D$28/100</f>
        <v>0</v>
      </c>
      <c r="AH44" s="140">
        <f>AH$21*shipping_manufacturing!$D$28/100</f>
        <v>0</v>
      </c>
      <c r="AI44" s="140">
        <f>AI$21*shipping_manufacturing!$D$28/100</f>
        <v>0</v>
      </c>
      <c r="AJ44" s="140">
        <f>AJ$21*shipping_manufacturing!$D$28/100</f>
        <v>0</v>
      </c>
      <c r="AK44" s="140">
        <f>AK$21*shipping_manufacturing!$D$28/100</f>
        <v>0</v>
      </c>
      <c r="AL44" s="140">
        <f>AL$21*shipping_manufacturing!$D$28/100</f>
        <v>0</v>
      </c>
      <c r="AM44" s="140">
        <f>AM$21*shipping_manufacturing!$D$28/100</f>
        <v>0</v>
      </c>
      <c r="AN44" s="140">
        <f>AN$21*shipping_manufacturing!$D$28/100</f>
        <v>0</v>
      </c>
      <c r="AO44" s="140">
        <f>AO$21*shipping_manufacturing!$D$28/100</f>
        <v>0</v>
      </c>
      <c r="AP44" s="140">
        <f>AP$21*shipping_manufacturing!$D$28/100</f>
        <v>0</v>
      </c>
      <c r="AQ44" s="140">
        <f>AQ$21*shipping_manufacturing!$D$28/100</f>
        <v>0</v>
      </c>
      <c r="AR44" s="140">
        <f>AR$21*shipping_manufacturing!$D$28/100</f>
        <v>0</v>
      </c>
      <c r="AS44" s="140">
        <f>AS$21*shipping_manufacturing!$D$28/100</f>
        <v>0</v>
      </c>
      <c r="AT44" s="140">
        <f>AT$21*shipping_manufacturing!$D$28/100</f>
        <v>0</v>
      </c>
      <c r="AU44" s="140">
        <f>AU$21*shipping_manufacturing!$D$28/100</f>
        <v>0</v>
      </c>
      <c r="AV44" s="140">
        <f>AV$21*shipping_manufacturing!$D$28/100</f>
        <v>0</v>
      </c>
      <c r="AW44" s="140">
        <f>AW$21*shipping_manufacturing!$D$28/100</f>
        <v>0</v>
      </c>
      <c r="AX44" s="140">
        <f>AX$21*shipping_manufacturing!$D$28/100</f>
        <v>0</v>
      </c>
      <c r="AY44" s="140">
        <f>AY$21*shipping_manufacturing!$D$28/100</f>
        <v>0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D$22*shipping_manufacturing!$E$28/100</f>
        <v>0</v>
      </c>
      <c r="E45" s="127">
        <f>E$22*shipping_manufacturing!$E$28/100</f>
        <v>0</v>
      </c>
      <c r="F45" s="127">
        <f>F$22*shipping_manufacturing!$E$28/100</f>
        <v>0</v>
      </c>
      <c r="G45" s="127">
        <f>G$22*shipping_manufacturing!$E$28/100</f>
        <v>0</v>
      </c>
      <c r="H45" s="127">
        <f>H$22*shipping_manufacturing!$E$28/100</f>
        <v>0</v>
      </c>
      <c r="I45" s="127">
        <f>I$22*shipping_manufacturing!$E$28/100</f>
        <v>0</v>
      </c>
      <c r="J45" s="127">
        <f>J$22*shipping_manufacturing!$E$28/100</f>
        <v>0</v>
      </c>
      <c r="K45" s="127">
        <f>K$22*shipping_manufacturing!$E$28/100</f>
        <v>0</v>
      </c>
      <c r="L45" s="127">
        <f>L$22*shipping_manufacturing!$E$28/100</f>
        <v>0</v>
      </c>
      <c r="M45" s="127">
        <f>M$22*shipping_manufacturing!$E$28/100</f>
        <v>0</v>
      </c>
      <c r="N45" s="127">
        <f>N$22*shipping_manufacturing!$E$28/100</f>
        <v>0</v>
      </c>
      <c r="O45" s="127">
        <f>O$22*shipping_manufacturing!$E$28/100</f>
        <v>0</v>
      </c>
      <c r="P45" s="127">
        <f>P$22*shipping_manufacturing!$E$28/100</f>
        <v>0</v>
      </c>
      <c r="Q45" s="127">
        <f>Q$22*shipping_manufacturing!$E$28/100</f>
        <v>0</v>
      </c>
      <c r="R45" s="127">
        <f>R$22*shipping_manufacturing!$E$28/100</f>
        <v>0</v>
      </c>
      <c r="S45" s="127">
        <f>S$22*shipping_manufacturing!$E$28/100</f>
        <v>0</v>
      </c>
      <c r="T45" s="127">
        <f>T$22*shipping_manufacturing!$E$28/100</f>
        <v>0</v>
      </c>
      <c r="U45" s="127">
        <f>U$22*shipping_manufacturing!$E$28/100</f>
        <v>0</v>
      </c>
      <c r="V45" s="127">
        <f>V$22*shipping_manufacturing!$E$28/100</f>
        <v>0</v>
      </c>
      <c r="W45" s="127">
        <f>W$22*shipping_manufacturing!$E$28/100</f>
        <v>0</v>
      </c>
      <c r="X45" s="127">
        <f>X$22*shipping_manufacturing!$E$28/100</f>
        <v>0</v>
      </c>
      <c r="Y45" s="127">
        <f>Y$22*shipping_manufacturing!$E$28/100</f>
        <v>0</v>
      </c>
      <c r="Z45" s="127">
        <f>Z$22*shipping_manufacturing!$E$28/100</f>
        <v>0</v>
      </c>
      <c r="AA45" s="127">
        <f>AA$22*shipping_manufacturing!$E$28/100</f>
        <v>0</v>
      </c>
      <c r="AB45" s="127">
        <f>AB$22*shipping_manufacturing!$E$28/100</f>
        <v>0</v>
      </c>
      <c r="AC45" s="127">
        <f>AC$22*shipping_manufacturing!$E$28/100</f>
        <v>0</v>
      </c>
      <c r="AD45" s="127">
        <f>AD$22*shipping_manufacturing!$E$28/100</f>
        <v>0</v>
      </c>
      <c r="AE45" s="127">
        <f>AE$22*shipping_manufacturing!$E$28/100</f>
        <v>0</v>
      </c>
      <c r="AF45" s="127">
        <f>AF$22*shipping_manufacturing!$E$28/100</f>
        <v>0</v>
      </c>
      <c r="AG45" s="127">
        <f>AG$22*shipping_manufacturing!$E$28/100</f>
        <v>0</v>
      </c>
      <c r="AH45" s="127">
        <f>AH$22*shipping_manufacturing!$E$28/100</f>
        <v>0</v>
      </c>
      <c r="AI45" s="127">
        <f>AI$22*shipping_manufacturing!$E$28/100</f>
        <v>0</v>
      </c>
      <c r="AJ45" s="127">
        <f>AJ$22*shipping_manufacturing!$E$28/100</f>
        <v>0</v>
      </c>
      <c r="AK45" s="127">
        <f>AK$22*shipping_manufacturing!$E$28/100</f>
        <v>0</v>
      </c>
      <c r="AL45" s="127">
        <f>AL$22*shipping_manufacturing!$E$28/100</f>
        <v>0</v>
      </c>
      <c r="AM45" s="127">
        <f>AM$22*shipping_manufacturing!$E$28/100</f>
        <v>0</v>
      </c>
      <c r="AN45" s="127">
        <f>AN$22*shipping_manufacturing!$E$28/100</f>
        <v>0</v>
      </c>
      <c r="AO45" s="127">
        <f>AO$22*shipping_manufacturing!$E$28/100</f>
        <v>0</v>
      </c>
      <c r="AP45" s="127">
        <f>AP$22*shipping_manufacturing!$E$28/100</f>
        <v>0</v>
      </c>
      <c r="AQ45" s="127">
        <f>AQ$22*shipping_manufacturing!$E$28/100</f>
        <v>0</v>
      </c>
      <c r="AR45" s="127">
        <f>AR$22*shipping_manufacturing!$E$28/100</f>
        <v>0</v>
      </c>
      <c r="AS45" s="127">
        <f>AS$22*shipping_manufacturing!$E$28/100</f>
        <v>0</v>
      </c>
      <c r="AT45" s="127">
        <f>AT$22*shipping_manufacturing!$E$28/100</f>
        <v>0</v>
      </c>
      <c r="AU45" s="127">
        <f>AU$22*shipping_manufacturing!$E$28/100</f>
        <v>0</v>
      </c>
      <c r="AV45" s="127">
        <f>AV$22*shipping_manufacturing!$E$28/100</f>
        <v>0</v>
      </c>
      <c r="AW45" s="127">
        <f>AW$22*shipping_manufacturing!$E$28/100</f>
        <v>0</v>
      </c>
      <c r="AX45" s="127">
        <f>AX$22*shipping_manufacturing!$E$28/100</f>
        <v>0</v>
      </c>
      <c r="AY45" s="127">
        <f>AY$22*shipping_manufacturing!$E$28/100</f>
        <v>0</v>
      </c>
    </row>
    <row r="46" spans="1:52" x14ac:dyDescent="0.2">
      <c r="A46" s="127">
        <v>718</v>
      </c>
      <c r="B46" s="181" t="s">
        <v>343</v>
      </c>
      <c r="C46" s="127"/>
      <c r="D46" s="127">
        <f>SUM(D44:D45)</f>
        <v>0</v>
      </c>
      <c r="E46" s="127">
        <f t="shared" ref="E46:AY46" si="14">SUM(E44:E45)</f>
        <v>0</v>
      </c>
      <c r="F46" s="127">
        <f t="shared" si="14"/>
        <v>0</v>
      </c>
      <c r="G46" s="127">
        <f t="shared" si="14"/>
        <v>0</v>
      </c>
      <c r="H46" s="127">
        <f t="shared" si="14"/>
        <v>0</v>
      </c>
      <c r="I46" s="127">
        <f t="shared" si="14"/>
        <v>0</v>
      </c>
      <c r="J46" s="127">
        <f t="shared" si="14"/>
        <v>0</v>
      </c>
      <c r="K46" s="127">
        <f t="shared" si="14"/>
        <v>0</v>
      </c>
      <c r="L46" s="127">
        <f t="shared" si="14"/>
        <v>0</v>
      </c>
      <c r="M46" s="127">
        <f t="shared" si="14"/>
        <v>0</v>
      </c>
      <c r="N46" s="127">
        <f t="shared" si="14"/>
        <v>0</v>
      </c>
      <c r="O46" s="127">
        <f t="shared" si="14"/>
        <v>0</v>
      </c>
      <c r="P46" s="127">
        <f t="shared" si="14"/>
        <v>0</v>
      </c>
      <c r="Q46" s="127">
        <f t="shared" si="14"/>
        <v>0</v>
      </c>
      <c r="R46" s="127">
        <f t="shared" si="14"/>
        <v>0</v>
      </c>
      <c r="S46" s="127">
        <f t="shared" si="14"/>
        <v>0</v>
      </c>
      <c r="T46" s="127">
        <f t="shared" si="14"/>
        <v>0</v>
      </c>
      <c r="U46" s="127">
        <f t="shared" si="14"/>
        <v>0</v>
      </c>
      <c r="V46" s="127">
        <f t="shared" si="14"/>
        <v>0</v>
      </c>
      <c r="W46" s="127">
        <f t="shared" si="14"/>
        <v>0</v>
      </c>
      <c r="X46" s="127">
        <f t="shared" si="14"/>
        <v>0</v>
      </c>
      <c r="Y46" s="127">
        <f t="shared" si="14"/>
        <v>0</v>
      </c>
      <c r="Z46" s="127">
        <f t="shared" si="14"/>
        <v>0</v>
      </c>
      <c r="AA46" s="127">
        <f t="shared" si="14"/>
        <v>0</v>
      </c>
      <c r="AB46" s="127">
        <f t="shared" si="14"/>
        <v>0</v>
      </c>
      <c r="AC46" s="127">
        <f t="shared" si="14"/>
        <v>0</v>
      </c>
      <c r="AD46" s="127">
        <f t="shared" si="14"/>
        <v>0</v>
      </c>
      <c r="AE46" s="127">
        <f t="shared" si="14"/>
        <v>0</v>
      </c>
      <c r="AF46" s="127">
        <f t="shared" si="14"/>
        <v>0</v>
      </c>
      <c r="AG46" s="127">
        <f t="shared" si="14"/>
        <v>0</v>
      </c>
      <c r="AH46" s="127">
        <f t="shared" si="14"/>
        <v>0</v>
      </c>
      <c r="AI46" s="127">
        <f t="shared" si="14"/>
        <v>0</v>
      </c>
      <c r="AJ46" s="127">
        <f t="shared" si="14"/>
        <v>0</v>
      </c>
      <c r="AK46" s="127">
        <f t="shared" si="14"/>
        <v>0</v>
      </c>
      <c r="AL46" s="127">
        <f t="shared" si="14"/>
        <v>0</v>
      </c>
      <c r="AM46" s="127">
        <f t="shared" si="14"/>
        <v>0</v>
      </c>
      <c r="AN46" s="127">
        <f t="shared" si="14"/>
        <v>0</v>
      </c>
      <c r="AO46" s="127">
        <f t="shared" si="14"/>
        <v>0</v>
      </c>
      <c r="AP46" s="127">
        <f t="shared" si="14"/>
        <v>0</v>
      </c>
      <c r="AQ46" s="127">
        <f t="shared" si="14"/>
        <v>0</v>
      </c>
      <c r="AR46" s="127">
        <f t="shared" si="14"/>
        <v>0</v>
      </c>
      <c r="AS46" s="127">
        <f t="shared" si="14"/>
        <v>0</v>
      </c>
      <c r="AT46" s="127">
        <f t="shared" si="14"/>
        <v>0</v>
      </c>
      <c r="AU46" s="127">
        <f t="shared" si="14"/>
        <v>0</v>
      </c>
      <c r="AV46" s="127">
        <f t="shared" si="14"/>
        <v>0</v>
      </c>
      <c r="AW46" s="127">
        <f t="shared" si="14"/>
        <v>0</v>
      </c>
      <c r="AX46" s="127">
        <f t="shared" si="14"/>
        <v>0</v>
      </c>
      <c r="AY46" s="127">
        <f t="shared" si="14"/>
        <v>0</v>
      </c>
    </row>
    <row r="47" spans="1:52" x14ac:dyDescent="0.2">
      <c r="A47" s="127"/>
      <c r="B47" s="181" t="s">
        <v>344</v>
      </c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2" x14ac:dyDescent="0.2">
      <c r="A48" s="127"/>
      <c r="B48" s="181" t="s">
        <v>345</v>
      </c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2" x14ac:dyDescent="0.2">
      <c r="A49" s="127"/>
      <c r="B49" s="181" t="s">
        <v>346</v>
      </c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2" x14ac:dyDescent="0.2">
      <c r="A50" s="127"/>
      <c r="B50" s="181" t="s">
        <v>347</v>
      </c>
      <c r="C50" s="127"/>
      <c r="D50" s="127">
        <f>D44-D47</f>
        <v>0</v>
      </c>
      <c r="E50" s="127">
        <f t="shared" ref="E50:AY50" si="15">E44-E47</f>
        <v>0</v>
      </c>
      <c r="F50" s="127">
        <f t="shared" si="15"/>
        <v>0</v>
      </c>
      <c r="G50" s="127">
        <f t="shared" si="15"/>
        <v>0</v>
      </c>
      <c r="H50" s="127">
        <f t="shared" si="15"/>
        <v>0</v>
      </c>
      <c r="I50" s="127">
        <f t="shared" si="15"/>
        <v>0</v>
      </c>
      <c r="J50" s="127">
        <f t="shared" si="15"/>
        <v>0</v>
      </c>
      <c r="K50" s="127">
        <f t="shared" si="15"/>
        <v>0</v>
      </c>
      <c r="L50" s="127">
        <f t="shared" si="15"/>
        <v>0</v>
      </c>
      <c r="M50" s="127">
        <f t="shared" si="15"/>
        <v>0</v>
      </c>
      <c r="N50" s="127">
        <f t="shared" si="15"/>
        <v>0</v>
      </c>
      <c r="O50" s="127">
        <f t="shared" si="15"/>
        <v>0</v>
      </c>
      <c r="P50" s="127">
        <f t="shared" si="15"/>
        <v>0</v>
      </c>
      <c r="Q50" s="127">
        <f t="shared" si="15"/>
        <v>0</v>
      </c>
      <c r="R50" s="127">
        <f t="shared" si="15"/>
        <v>0</v>
      </c>
      <c r="S50" s="127">
        <f t="shared" si="15"/>
        <v>0</v>
      </c>
      <c r="T50" s="127">
        <f t="shared" si="15"/>
        <v>0</v>
      </c>
      <c r="U50" s="127">
        <f t="shared" si="15"/>
        <v>0</v>
      </c>
      <c r="V50" s="127">
        <f t="shared" si="15"/>
        <v>0</v>
      </c>
      <c r="W50" s="127">
        <f t="shared" si="15"/>
        <v>0</v>
      </c>
      <c r="X50" s="127">
        <f t="shared" si="15"/>
        <v>0</v>
      </c>
      <c r="Y50" s="127">
        <f t="shared" si="15"/>
        <v>0</v>
      </c>
      <c r="Z50" s="127">
        <f t="shared" si="15"/>
        <v>0</v>
      </c>
      <c r="AA50" s="127">
        <f t="shared" si="15"/>
        <v>0</v>
      </c>
      <c r="AB50" s="127">
        <f t="shared" si="15"/>
        <v>0</v>
      </c>
      <c r="AC50" s="127">
        <f t="shared" si="15"/>
        <v>0</v>
      </c>
      <c r="AD50" s="127">
        <f t="shared" si="15"/>
        <v>0</v>
      </c>
      <c r="AE50" s="127">
        <f t="shared" si="15"/>
        <v>0</v>
      </c>
      <c r="AF50" s="127">
        <f t="shared" si="15"/>
        <v>0</v>
      </c>
      <c r="AG50" s="127">
        <f t="shared" si="15"/>
        <v>0</v>
      </c>
      <c r="AH50" s="127">
        <f t="shared" si="15"/>
        <v>0</v>
      </c>
      <c r="AI50" s="127">
        <f t="shared" si="15"/>
        <v>0</v>
      </c>
      <c r="AJ50" s="127">
        <f t="shared" si="15"/>
        <v>0</v>
      </c>
      <c r="AK50" s="127">
        <f t="shared" si="15"/>
        <v>0</v>
      </c>
      <c r="AL50" s="127">
        <f t="shared" si="15"/>
        <v>0</v>
      </c>
      <c r="AM50" s="127">
        <f t="shared" si="15"/>
        <v>0</v>
      </c>
      <c r="AN50" s="127">
        <f t="shared" si="15"/>
        <v>0</v>
      </c>
      <c r="AO50" s="127">
        <f t="shared" si="15"/>
        <v>0</v>
      </c>
      <c r="AP50" s="127">
        <f t="shared" si="15"/>
        <v>0</v>
      </c>
      <c r="AQ50" s="127">
        <f t="shared" si="15"/>
        <v>0</v>
      </c>
      <c r="AR50" s="127">
        <f t="shared" si="15"/>
        <v>0</v>
      </c>
      <c r="AS50" s="127">
        <f t="shared" si="15"/>
        <v>0</v>
      </c>
      <c r="AT50" s="127">
        <f t="shared" si="15"/>
        <v>0</v>
      </c>
      <c r="AU50" s="127">
        <f t="shared" si="15"/>
        <v>0</v>
      </c>
      <c r="AV50" s="127">
        <f t="shared" si="15"/>
        <v>0</v>
      </c>
      <c r="AW50" s="127">
        <f t="shared" si="15"/>
        <v>0</v>
      </c>
      <c r="AX50" s="127">
        <f t="shared" si="15"/>
        <v>0</v>
      </c>
      <c r="AY50" s="127">
        <f t="shared" si="15"/>
        <v>0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0</v>
      </c>
      <c r="H51" s="127">
        <f t="shared" si="16"/>
        <v>0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0</v>
      </c>
      <c r="M51" s="127">
        <f t="shared" si="16"/>
        <v>0</v>
      </c>
      <c r="N51" s="127">
        <f t="shared" si="16"/>
        <v>0</v>
      </c>
      <c r="O51" s="127">
        <f t="shared" si="16"/>
        <v>0</v>
      </c>
      <c r="P51" s="127">
        <f t="shared" si="16"/>
        <v>0</v>
      </c>
      <c r="Q51" s="127">
        <f t="shared" si="16"/>
        <v>0</v>
      </c>
      <c r="R51" s="127">
        <f t="shared" si="16"/>
        <v>0</v>
      </c>
      <c r="S51" s="127">
        <f t="shared" si="16"/>
        <v>0</v>
      </c>
      <c r="T51" s="127">
        <f t="shared" si="16"/>
        <v>0</v>
      </c>
      <c r="U51" s="127">
        <f t="shared" si="16"/>
        <v>0</v>
      </c>
      <c r="V51" s="127">
        <f t="shared" si="16"/>
        <v>0</v>
      </c>
      <c r="W51" s="127">
        <f t="shared" si="16"/>
        <v>0</v>
      </c>
      <c r="X51" s="127">
        <f t="shared" si="16"/>
        <v>0</v>
      </c>
      <c r="Y51" s="127">
        <f t="shared" si="16"/>
        <v>0</v>
      </c>
      <c r="Z51" s="127">
        <f t="shared" si="16"/>
        <v>0</v>
      </c>
      <c r="AA51" s="127">
        <f t="shared" si="16"/>
        <v>0</v>
      </c>
      <c r="AB51" s="127">
        <f t="shared" si="16"/>
        <v>0</v>
      </c>
      <c r="AC51" s="127">
        <f t="shared" si="16"/>
        <v>0</v>
      </c>
      <c r="AD51" s="127">
        <f t="shared" si="16"/>
        <v>0</v>
      </c>
      <c r="AE51" s="127">
        <f t="shared" si="16"/>
        <v>0</v>
      </c>
      <c r="AF51" s="127">
        <f t="shared" si="16"/>
        <v>0</v>
      </c>
      <c r="AG51" s="127">
        <f t="shared" si="16"/>
        <v>0</v>
      </c>
      <c r="AH51" s="127">
        <f t="shared" si="16"/>
        <v>0</v>
      </c>
      <c r="AI51" s="127">
        <f t="shared" si="16"/>
        <v>0</v>
      </c>
      <c r="AJ51" s="127">
        <f t="shared" si="16"/>
        <v>0</v>
      </c>
      <c r="AK51" s="127">
        <f t="shared" si="16"/>
        <v>0</v>
      </c>
      <c r="AL51" s="127">
        <f t="shared" si="16"/>
        <v>0</v>
      </c>
      <c r="AM51" s="127">
        <f t="shared" si="16"/>
        <v>0</v>
      </c>
      <c r="AN51" s="127">
        <f t="shared" si="16"/>
        <v>0</v>
      </c>
      <c r="AO51" s="127">
        <f t="shared" si="16"/>
        <v>0</v>
      </c>
      <c r="AP51" s="127">
        <f t="shared" si="16"/>
        <v>0</v>
      </c>
      <c r="AQ51" s="127">
        <f t="shared" si="16"/>
        <v>0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0</v>
      </c>
      <c r="AV51" s="127">
        <f t="shared" si="16"/>
        <v>0</v>
      </c>
      <c r="AW51" s="127">
        <f t="shared" si="16"/>
        <v>0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3</v>
      </c>
      <c r="E52" s="127">
        <v>1</v>
      </c>
      <c r="F52" s="127">
        <v>3</v>
      </c>
      <c r="G52" s="127">
        <v>1</v>
      </c>
      <c r="H52" s="127">
        <v>1</v>
      </c>
      <c r="I52" s="127">
        <v>1</v>
      </c>
      <c r="J52" s="127">
        <v>2</v>
      </c>
      <c r="K52" s="127">
        <v>2</v>
      </c>
      <c r="L52" s="127">
        <v>2</v>
      </c>
      <c r="M52" s="127">
        <v>1</v>
      </c>
      <c r="N52" s="127">
        <v>1</v>
      </c>
      <c r="O52" s="127">
        <v>1</v>
      </c>
      <c r="P52" s="127">
        <v>2</v>
      </c>
      <c r="Q52" s="127">
        <v>2</v>
      </c>
      <c r="R52" s="127">
        <v>1</v>
      </c>
      <c r="S52" s="127">
        <v>2</v>
      </c>
      <c r="T52" s="127">
        <v>1</v>
      </c>
      <c r="U52" s="127">
        <v>1</v>
      </c>
      <c r="V52" s="127">
        <v>2</v>
      </c>
      <c r="W52" s="127">
        <v>1</v>
      </c>
      <c r="X52" s="127">
        <v>1</v>
      </c>
      <c r="Y52" s="127">
        <v>1</v>
      </c>
      <c r="Z52" s="127">
        <v>1</v>
      </c>
      <c r="AA52" s="127">
        <v>1</v>
      </c>
      <c r="AB52" s="127">
        <v>2</v>
      </c>
      <c r="AC52" s="127">
        <v>1</v>
      </c>
      <c r="AD52" s="127">
        <v>1</v>
      </c>
      <c r="AE52" s="127">
        <v>2</v>
      </c>
      <c r="AF52" s="127">
        <v>2</v>
      </c>
      <c r="AG52" s="127">
        <v>1</v>
      </c>
      <c r="AH52" s="127">
        <v>1</v>
      </c>
      <c r="AI52" s="127">
        <v>2</v>
      </c>
      <c r="AJ52" s="127">
        <v>1</v>
      </c>
      <c r="AK52" s="127">
        <v>1</v>
      </c>
      <c r="AL52" s="127">
        <v>3</v>
      </c>
      <c r="AM52" s="127">
        <v>1</v>
      </c>
      <c r="AN52" s="127">
        <v>1</v>
      </c>
      <c r="AO52" s="127">
        <v>1</v>
      </c>
      <c r="AP52" s="127">
        <v>1</v>
      </c>
      <c r="AQ52" s="127">
        <v>1</v>
      </c>
      <c r="AR52" s="127">
        <v>3</v>
      </c>
      <c r="AS52" s="127">
        <v>1</v>
      </c>
      <c r="AT52" s="127">
        <v>1</v>
      </c>
      <c r="AU52" s="127">
        <v>2</v>
      </c>
      <c r="AV52" s="127">
        <v>1</v>
      </c>
      <c r="AW52" s="127">
        <v>2</v>
      </c>
      <c r="AX52" s="127">
        <v>1</v>
      </c>
      <c r="AY52" s="127">
        <v>1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0</v>
      </c>
      <c r="F53" s="127">
        <v>0</v>
      </c>
      <c r="G53" s="127">
        <v>0</v>
      </c>
      <c r="H53" s="127">
        <v>0</v>
      </c>
      <c r="I53" s="127">
        <v>0</v>
      </c>
      <c r="J53" s="127">
        <v>0</v>
      </c>
      <c r="K53" s="127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7">
        <v>0</v>
      </c>
      <c r="R53" s="127">
        <v>0</v>
      </c>
      <c r="S53" s="127">
        <v>0</v>
      </c>
      <c r="T53" s="127">
        <v>0</v>
      </c>
      <c r="U53" s="127">
        <v>0</v>
      </c>
      <c r="V53" s="127">
        <v>0</v>
      </c>
      <c r="W53" s="127">
        <v>0</v>
      </c>
      <c r="X53" s="127">
        <v>0</v>
      </c>
      <c r="Y53" s="127">
        <v>0</v>
      </c>
      <c r="Z53" s="127">
        <v>0</v>
      </c>
      <c r="AA53" s="127">
        <v>0</v>
      </c>
      <c r="AB53" s="127">
        <v>0</v>
      </c>
      <c r="AC53" s="127">
        <v>0</v>
      </c>
      <c r="AD53" s="127">
        <v>0</v>
      </c>
      <c r="AE53" s="127">
        <v>0</v>
      </c>
      <c r="AF53" s="127">
        <v>0</v>
      </c>
      <c r="AG53" s="127">
        <v>0</v>
      </c>
      <c r="AH53" s="127">
        <v>0</v>
      </c>
      <c r="AI53" s="127">
        <v>0</v>
      </c>
      <c r="AJ53" s="127">
        <v>0</v>
      </c>
      <c r="AK53" s="127">
        <v>0</v>
      </c>
      <c r="AL53" s="127">
        <v>0</v>
      </c>
      <c r="AM53" s="127">
        <v>0</v>
      </c>
      <c r="AN53" s="127">
        <v>0</v>
      </c>
      <c r="AO53" s="127">
        <v>0</v>
      </c>
      <c r="AP53" s="127">
        <v>0</v>
      </c>
      <c r="AQ53" s="127">
        <v>0</v>
      </c>
      <c r="AR53" s="127">
        <v>0</v>
      </c>
      <c r="AS53" s="127">
        <v>0</v>
      </c>
      <c r="AT53" s="127">
        <v>0</v>
      </c>
      <c r="AU53" s="127">
        <v>0</v>
      </c>
      <c r="AV53" s="127">
        <v>0</v>
      </c>
      <c r="AW53" s="127">
        <v>0</v>
      </c>
      <c r="AX53" s="127">
        <v>0</v>
      </c>
      <c r="AY53" s="127">
        <v>0</v>
      </c>
      <c r="AZ53">
        <f>SUM($D$53:$AY$53)</f>
        <v>0</v>
      </c>
    </row>
    <row r="54" spans="1:52" x14ac:dyDescent="0.2">
      <c r="A54" s="141"/>
      <c r="B54" s="156" t="s">
        <v>351</v>
      </c>
      <c r="C54" s="141"/>
      <c r="D54" s="141">
        <v>0</v>
      </c>
      <c r="E54" s="141">
        <v>0</v>
      </c>
      <c r="F54" s="141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141">
        <v>0</v>
      </c>
      <c r="M54" s="141">
        <v>0</v>
      </c>
      <c r="N54" s="141">
        <v>0</v>
      </c>
      <c r="O54" s="141">
        <v>0</v>
      </c>
      <c r="P54" s="141">
        <v>0</v>
      </c>
      <c r="Q54" s="141">
        <v>0</v>
      </c>
      <c r="R54" s="141">
        <v>0</v>
      </c>
      <c r="S54" s="141">
        <v>0</v>
      </c>
      <c r="T54" s="141">
        <v>0</v>
      </c>
      <c r="U54" s="141">
        <v>0</v>
      </c>
      <c r="V54" s="141">
        <v>0</v>
      </c>
      <c r="W54" s="141">
        <v>0</v>
      </c>
      <c r="X54" s="141">
        <v>0</v>
      </c>
      <c r="Y54" s="141">
        <v>0</v>
      </c>
      <c r="Z54" s="141">
        <v>0</v>
      </c>
      <c r="AA54" s="141">
        <v>0</v>
      </c>
      <c r="AB54" s="141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141">
        <v>0</v>
      </c>
      <c r="AI54" s="141">
        <v>0</v>
      </c>
      <c r="AJ54" s="141">
        <v>0</v>
      </c>
      <c r="AK54" s="141">
        <v>0</v>
      </c>
      <c r="AL54" s="141">
        <v>0</v>
      </c>
      <c r="AM54" s="141">
        <v>0</v>
      </c>
      <c r="AN54" s="141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141">
        <v>0</v>
      </c>
      <c r="AU54" s="141">
        <v>0</v>
      </c>
      <c r="AV54" s="141">
        <v>0</v>
      </c>
      <c r="AW54" s="141">
        <v>0</v>
      </c>
      <c r="AX54" s="141">
        <v>0</v>
      </c>
      <c r="AY54" s="141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10</v>
      </c>
      <c r="E2" s="127"/>
    </row>
    <row r="3" spans="1:52" x14ac:dyDescent="0.2">
      <c r="A3" t="s">
        <v>286</v>
      </c>
      <c r="B3" s="124">
        <v>913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1306.1336876512512</v>
      </c>
      <c r="E7" s="160">
        <v>1306.1336876512512</v>
      </c>
      <c r="F7" s="160">
        <v>988.25273608345435</v>
      </c>
      <c r="G7" s="160">
        <v>1306.1336876512512</v>
      </c>
      <c r="H7" s="160">
        <v>1306.1336876512512</v>
      </c>
      <c r="I7" s="160">
        <v>1306.1336876512512</v>
      </c>
      <c r="J7" s="160">
        <v>1306.1336876512512</v>
      </c>
      <c r="K7" s="160">
        <v>1306.1336876512512</v>
      </c>
      <c r="L7" s="160">
        <v>1306.1336876512512</v>
      </c>
      <c r="M7" s="160">
        <v>1306.1336876512512</v>
      </c>
      <c r="N7" s="160">
        <v>1306.1336876512512</v>
      </c>
      <c r="O7" s="160">
        <v>1306.1336876512512</v>
      </c>
      <c r="P7" s="160">
        <v>1306.1336876512512</v>
      </c>
      <c r="Q7" s="160">
        <v>1306.1336876512512</v>
      </c>
      <c r="R7" s="160">
        <v>1306.1336876512512</v>
      </c>
      <c r="S7" s="160">
        <v>1306.1336876512512</v>
      </c>
      <c r="T7" s="160">
        <v>1306.1336876512512</v>
      </c>
      <c r="U7" s="160">
        <v>1306.1336876512512</v>
      </c>
      <c r="V7" s="160">
        <v>1306.1336876512512</v>
      </c>
      <c r="W7" s="160">
        <v>1306.1336876512512</v>
      </c>
      <c r="X7" s="160">
        <v>1306.1336876512512</v>
      </c>
      <c r="Y7" s="160">
        <v>1306.1336876512512</v>
      </c>
      <c r="Z7" s="160">
        <v>1306.1336876512512</v>
      </c>
      <c r="AA7" s="160">
        <v>1306.1336876512512</v>
      </c>
      <c r="AB7" s="160">
        <v>1306.1336876512512</v>
      </c>
      <c r="AC7" s="160">
        <v>1306.1336876512512</v>
      </c>
      <c r="AD7" s="160">
        <v>1306.1336876512512</v>
      </c>
      <c r="AE7" s="160">
        <v>1306.1336876512512</v>
      </c>
      <c r="AF7" s="160">
        <v>1306.1336876512512</v>
      </c>
      <c r="AG7" s="160">
        <v>1306.1336876512512</v>
      </c>
      <c r="AH7" s="160">
        <v>1306.1336876512512</v>
      </c>
      <c r="AI7" s="160">
        <v>992.38261527195255</v>
      </c>
      <c r="AJ7" s="160">
        <v>1306.1336876512512</v>
      </c>
      <c r="AK7" s="160">
        <v>1306.1336876512512</v>
      </c>
      <c r="AL7" s="160">
        <v>1306.1336876512512</v>
      </c>
      <c r="AM7" s="160">
        <v>1306.1336876512512</v>
      </c>
      <c r="AN7" s="160">
        <v>1306.1336876512512</v>
      </c>
      <c r="AO7" s="160">
        <v>1306.1336876512512</v>
      </c>
      <c r="AP7" s="160">
        <v>1209.0739725250362</v>
      </c>
      <c r="AQ7" s="160">
        <v>1209.5938850564316</v>
      </c>
      <c r="AR7" s="160">
        <v>993.57365555541617</v>
      </c>
      <c r="AS7" s="160">
        <v>993.70190794886571</v>
      </c>
      <c r="AT7" s="160">
        <v>1306.1336876512512</v>
      </c>
      <c r="AU7" s="160">
        <v>1306.1336876512512</v>
      </c>
      <c r="AV7" s="160">
        <v>1306.1336876512512</v>
      </c>
      <c r="AW7" s="160">
        <v>1212.6388574153307</v>
      </c>
      <c r="AX7" s="160">
        <v>1213.1331715330714</v>
      </c>
      <c r="AY7" s="160">
        <v>1306.1336876512512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393.13368765125119</v>
      </c>
      <c r="E10" s="160">
        <f t="shared" si="0"/>
        <v>393.13368765125119</v>
      </c>
      <c r="F10" s="160">
        <f t="shared" si="0"/>
        <v>75.252736083454352</v>
      </c>
      <c r="G10" s="160">
        <f t="shared" si="0"/>
        <v>393.13368765125119</v>
      </c>
      <c r="H10" s="160">
        <f t="shared" si="0"/>
        <v>393.13368765125119</v>
      </c>
      <c r="I10" s="160">
        <f t="shared" si="0"/>
        <v>393.13368765125119</v>
      </c>
      <c r="J10" s="160">
        <f t="shared" si="0"/>
        <v>393.13368765125119</v>
      </c>
      <c r="K10" s="160">
        <f t="shared" si="0"/>
        <v>393.13368765125119</v>
      </c>
      <c r="L10" s="160">
        <f t="shared" si="0"/>
        <v>393.13368765125119</v>
      </c>
      <c r="M10" s="160">
        <f t="shared" si="0"/>
        <v>393.13368765125119</v>
      </c>
      <c r="N10" s="160">
        <f t="shared" si="0"/>
        <v>393.13368765125119</v>
      </c>
      <c r="O10" s="160">
        <f t="shared" si="0"/>
        <v>393.13368765125119</v>
      </c>
      <c r="P10" s="160">
        <f t="shared" si="0"/>
        <v>393.13368765125119</v>
      </c>
      <c r="Q10" s="160">
        <f t="shared" si="0"/>
        <v>393.13368765125119</v>
      </c>
      <c r="R10" s="160">
        <f t="shared" si="0"/>
        <v>393.13368765125119</v>
      </c>
      <c r="S10" s="160">
        <f t="shared" si="0"/>
        <v>393.13368765125119</v>
      </c>
      <c r="T10" s="160">
        <f t="shared" si="0"/>
        <v>393.13368765125119</v>
      </c>
      <c r="U10" s="160">
        <f t="shared" si="0"/>
        <v>1306.1336876512514</v>
      </c>
      <c r="V10" s="160">
        <f t="shared" si="0"/>
        <v>393.13368765125119</v>
      </c>
      <c r="W10" s="160">
        <f t="shared" si="0"/>
        <v>393.13368765125119</v>
      </c>
      <c r="X10" s="160">
        <f t="shared" si="0"/>
        <v>393.13368765125119</v>
      </c>
      <c r="Y10" s="160">
        <f t="shared" si="0"/>
        <v>393.13368765125119</v>
      </c>
      <c r="Z10" s="160">
        <f t="shared" si="0"/>
        <v>393.13368765125119</v>
      </c>
      <c r="AA10" s="160">
        <f t="shared" si="0"/>
        <v>393.13368765125119</v>
      </c>
      <c r="AB10" s="160">
        <f t="shared" si="0"/>
        <v>393.13368765125119</v>
      </c>
      <c r="AC10" s="160">
        <f t="shared" si="0"/>
        <v>393.13368765125119</v>
      </c>
      <c r="AD10" s="160">
        <f t="shared" si="0"/>
        <v>393.13368765125119</v>
      </c>
      <c r="AE10" s="160">
        <f t="shared" si="0"/>
        <v>393.13368765125119</v>
      </c>
      <c r="AF10" s="160">
        <f t="shared" si="0"/>
        <v>393.13368765125119</v>
      </c>
      <c r="AG10" s="160">
        <f t="shared" si="0"/>
        <v>393.13368765125119</v>
      </c>
      <c r="AH10" s="160">
        <f t="shared" si="0"/>
        <v>393.13368765125119</v>
      </c>
      <c r="AI10" s="160">
        <f t="shared" si="0"/>
        <v>79.382615271952545</v>
      </c>
      <c r="AJ10" s="160">
        <f t="shared" si="0"/>
        <v>1306.1336876512514</v>
      </c>
      <c r="AK10" s="160">
        <f t="shared" si="0"/>
        <v>393.13368765125119</v>
      </c>
      <c r="AL10" s="160">
        <f t="shared" si="0"/>
        <v>393.13368765125119</v>
      </c>
      <c r="AM10" s="160">
        <f t="shared" si="0"/>
        <v>393.13368765125119</v>
      </c>
      <c r="AN10" s="160">
        <f t="shared" si="0"/>
        <v>1306.1336876512514</v>
      </c>
      <c r="AO10" s="160">
        <f t="shared" si="0"/>
        <v>393.13368765125119</v>
      </c>
      <c r="AP10" s="160">
        <f t="shared" si="0"/>
        <v>296.0739725250362</v>
      </c>
      <c r="AQ10" s="160">
        <f t="shared" si="0"/>
        <v>296.59388505643165</v>
      </c>
      <c r="AR10" s="160">
        <f t="shared" si="0"/>
        <v>80.573655555416167</v>
      </c>
      <c r="AS10" s="160">
        <f t="shared" si="0"/>
        <v>80.70190794886571</v>
      </c>
      <c r="AT10" s="160">
        <f t="shared" si="0"/>
        <v>393.13368765125119</v>
      </c>
      <c r="AU10" s="160">
        <f t="shared" si="0"/>
        <v>393.13368765125119</v>
      </c>
      <c r="AV10" s="160">
        <f t="shared" si="0"/>
        <v>393.13368765125119</v>
      </c>
      <c r="AW10" s="160">
        <f t="shared" si="0"/>
        <v>299.63885741533068</v>
      </c>
      <c r="AX10" s="160">
        <f t="shared" si="0"/>
        <v>1213.1331715330716</v>
      </c>
      <c r="AY10" s="160">
        <f t="shared" si="0"/>
        <v>393.13368765125119</v>
      </c>
      <c r="AZ10" s="167">
        <f>SUM($D10:$AY10)</f>
        <v>20885.698307439598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1122.4784326966919</v>
      </c>
      <c r="D13" s="154">
        <f t="shared" ref="D13:AY13" si="1">D$7-D$10</f>
        <v>913</v>
      </c>
      <c r="E13" s="154">
        <f t="shared" si="1"/>
        <v>913</v>
      </c>
      <c r="F13" s="154">
        <f t="shared" si="1"/>
        <v>913</v>
      </c>
      <c r="G13" s="154">
        <f t="shared" si="1"/>
        <v>913</v>
      </c>
      <c r="H13" s="154">
        <f t="shared" si="1"/>
        <v>913</v>
      </c>
      <c r="I13" s="154">
        <f t="shared" si="1"/>
        <v>913</v>
      </c>
      <c r="J13" s="154">
        <f t="shared" si="1"/>
        <v>913</v>
      </c>
      <c r="K13" s="154">
        <f t="shared" si="1"/>
        <v>913</v>
      </c>
      <c r="L13" s="154">
        <f t="shared" si="1"/>
        <v>913</v>
      </c>
      <c r="M13" s="154">
        <f t="shared" si="1"/>
        <v>913</v>
      </c>
      <c r="N13" s="154">
        <f t="shared" si="1"/>
        <v>913</v>
      </c>
      <c r="O13" s="154">
        <f t="shared" si="1"/>
        <v>913</v>
      </c>
      <c r="P13" s="154">
        <f t="shared" si="1"/>
        <v>913</v>
      </c>
      <c r="Q13" s="154">
        <f t="shared" si="1"/>
        <v>913</v>
      </c>
      <c r="R13" s="154">
        <f t="shared" si="1"/>
        <v>913</v>
      </c>
      <c r="S13" s="154">
        <f t="shared" si="1"/>
        <v>913</v>
      </c>
      <c r="T13" s="154">
        <f t="shared" si="1"/>
        <v>913</v>
      </c>
      <c r="U13" s="154">
        <f t="shared" si="1"/>
        <v>0</v>
      </c>
      <c r="V13" s="154">
        <f t="shared" si="1"/>
        <v>913</v>
      </c>
      <c r="W13" s="154">
        <f t="shared" si="1"/>
        <v>913</v>
      </c>
      <c r="X13" s="154">
        <f t="shared" si="1"/>
        <v>913</v>
      </c>
      <c r="Y13" s="154">
        <f t="shared" si="1"/>
        <v>913</v>
      </c>
      <c r="Z13" s="154">
        <f t="shared" si="1"/>
        <v>913</v>
      </c>
      <c r="AA13" s="154">
        <f t="shared" si="1"/>
        <v>913</v>
      </c>
      <c r="AB13" s="154">
        <f t="shared" si="1"/>
        <v>913</v>
      </c>
      <c r="AC13" s="154">
        <f t="shared" si="1"/>
        <v>913</v>
      </c>
      <c r="AD13" s="154">
        <f t="shared" si="1"/>
        <v>913</v>
      </c>
      <c r="AE13" s="154">
        <f t="shared" si="1"/>
        <v>913</v>
      </c>
      <c r="AF13" s="154">
        <f t="shared" si="1"/>
        <v>913</v>
      </c>
      <c r="AG13" s="154">
        <f t="shared" si="1"/>
        <v>913</v>
      </c>
      <c r="AH13" s="154">
        <f t="shared" si="1"/>
        <v>913</v>
      </c>
      <c r="AI13" s="154">
        <f t="shared" si="1"/>
        <v>913</v>
      </c>
      <c r="AJ13" s="154">
        <f t="shared" si="1"/>
        <v>0</v>
      </c>
      <c r="AK13" s="154">
        <f t="shared" si="1"/>
        <v>913</v>
      </c>
      <c r="AL13" s="154">
        <f t="shared" si="1"/>
        <v>913</v>
      </c>
      <c r="AM13" s="154">
        <f t="shared" si="1"/>
        <v>913</v>
      </c>
      <c r="AN13" s="154">
        <f t="shared" si="1"/>
        <v>0</v>
      </c>
      <c r="AO13" s="154">
        <f t="shared" si="1"/>
        <v>913</v>
      </c>
      <c r="AP13" s="154">
        <f t="shared" si="1"/>
        <v>913</v>
      </c>
      <c r="AQ13" s="154">
        <f t="shared" si="1"/>
        <v>913</v>
      </c>
      <c r="AR13" s="154">
        <f t="shared" si="1"/>
        <v>913</v>
      </c>
      <c r="AS13" s="154">
        <f t="shared" si="1"/>
        <v>913</v>
      </c>
      <c r="AT13" s="154">
        <f t="shared" si="1"/>
        <v>913</v>
      </c>
      <c r="AU13" s="154">
        <f t="shared" si="1"/>
        <v>913</v>
      </c>
      <c r="AV13" s="154">
        <f t="shared" si="1"/>
        <v>913</v>
      </c>
      <c r="AW13" s="154">
        <f t="shared" si="1"/>
        <v>913</v>
      </c>
      <c r="AX13" s="154">
        <f t="shared" si="1"/>
        <v>0</v>
      </c>
      <c r="AY13" s="154">
        <f t="shared" si="1"/>
        <v>913</v>
      </c>
      <c r="AZ13" s="126"/>
    </row>
    <row r="14" spans="1:52" x14ac:dyDescent="0.2">
      <c r="A14" s="127"/>
      <c r="B14" s="136">
        <v>2</v>
      </c>
      <c r="C14" s="127">
        <v>1331.5215673033081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913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913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913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913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 t="s">
        <v>339</v>
      </c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 t="s">
        <v>339</v>
      </c>
      <c r="AJ20" s="133"/>
      <c r="AK20" s="133"/>
      <c r="AL20" s="133"/>
      <c r="AM20" s="133" t="s">
        <v>339</v>
      </c>
      <c r="AN20" s="133"/>
      <c r="AO20" s="133"/>
      <c r="AP20" s="133"/>
      <c r="AQ20" s="133"/>
      <c r="AR20" s="133"/>
      <c r="AS20" s="133"/>
      <c r="AT20" s="133"/>
      <c r="AU20" s="133"/>
      <c r="AV20" s="133"/>
      <c r="AW20" s="133" t="s">
        <v>339</v>
      </c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shipping_manufacturing!$E$19/100</f>
        <v>1</v>
      </c>
      <c r="C21" s="172" t="s">
        <v>293</v>
      </c>
      <c r="D21" s="123">
        <f>IF(C$20="Yes",0,SUM(C$13:C$16)*$B$21)</f>
        <v>2454</v>
      </c>
      <c r="E21" s="123">
        <f t="shared" ref="E21:AY21" si="3">IF(D$20="Yes",0,SUM(D$13:D$16)*$B$21)</f>
        <v>913</v>
      </c>
      <c r="F21" s="123">
        <f t="shared" si="3"/>
        <v>913</v>
      </c>
      <c r="G21" s="123">
        <f t="shared" si="3"/>
        <v>913</v>
      </c>
      <c r="H21" s="123">
        <f t="shared" si="3"/>
        <v>913</v>
      </c>
      <c r="I21" s="123">
        <f t="shared" si="3"/>
        <v>913</v>
      </c>
      <c r="J21" s="123">
        <f t="shared" si="3"/>
        <v>913</v>
      </c>
      <c r="K21" s="123">
        <f t="shared" si="3"/>
        <v>913</v>
      </c>
      <c r="L21" s="123">
        <f t="shared" si="3"/>
        <v>913</v>
      </c>
      <c r="M21" s="123">
        <f t="shared" si="3"/>
        <v>913</v>
      </c>
      <c r="N21" s="123">
        <f t="shared" si="3"/>
        <v>913</v>
      </c>
      <c r="O21" s="123">
        <f t="shared" si="3"/>
        <v>913</v>
      </c>
      <c r="P21" s="123">
        <f t="shared" si="3"/>
        <v>913</v>
      </c>
      <c r="Q21" s="123">
        <f t="shared" si="3"/>
        <v>913</v>
      </c>
      <c r="R21" s="123">
        <f t="shared" si="3"/>
        <v>913</v>
      </c>
      <c r="S21" s="123">
        <f t="shared" si="3"/>
        <v>913</v>
      </c>
      <c r="T21" s="123">
        <f t="shared" si="3"/>
        <v>913</v>
      </c>
      <c r="U21" s="123">
        <f t="shared" si="3"/>
        <v>0</v>
      </c>
      <c r="V21" s="123">
        <f t="shared" si="3"/>
        <v>913</v>
      </c>
      <c r="W21" s="123">
        <f t="shared" si="3"/>
        <v>913</v>
      </c>
      <c r="X21" s="123">
        <f t="shared" si="3"/>
        <v>913</v>
      </c>
      <c r="Y21" s="123">
        <f t="shared" si="3"/>
        <v>913</v>
      </c>
      <c r="Z21" s="123">
        <f t="shared" si="3"/>
        <v>913</v>
      </c>
      <c r="AA21" s="123">
        <f t="shared" si="3"/>
        <v>913</v>
      </c>
      <c r="AB21" s="123">
        <f t="shared" si="3"/>
        <v>913</v>
      </c>
      <c r="AC21" s="123">
        <f t="shared" si="3"/>
        <v>913</v>
      </c>
      <c r="AD21" s="123">
        <f t="shared" si="3"/>
        <v>913</v>
      </c>
      <c r="AE21" s="123">
        <f t="shared" si="3"/>
        <v>913</v>
      </c>
      <c r="AF21" s="123">
        <f t="shared" si="3"/>
        <v>913</v>
      </c>
      <c r="AG21" s="123">
        <f t="shared" si="3"/>
        <v>913</v>
      </c>
      <c r="AH21" s="123">
        <f t="shared" si="3"/>
        <v>913</v>
      </c>
      <c r="AI21" s="123">
        <f t="shared" si="3"/>
        <v>913</v>
      </c>
      <c r="AJ21" s="123">
        <f t="shared" si="3"/>
        <v>0</v>
      </c>
      <c r="AK21" s="123">
        <f t="shared" si="3"/>
        <v>913</v>
      </c>
      <c r="AL21" s="123">
        <f t="shared" si="3"/>
        <v>913</v>
      </c>
      <c r="AM21" s="123">
        <f t="shared" si="3"/>
        <v>913</v>
      </c>
      <c r="AN21" s="123">
        <f t="shared" si="3"/>
        <v>0</v>
      </c>
      <c r="AO21" s="123">
        <f t="shared" si="3"/>
        <v>913</v>
      </c>
      <c r="AP21" s="123">
        <f t="shared" si="3"/>
        <v>913</v>
      </c>
      <c r="AQ21" s="123">
        <f t="shared" si="3"/>
        <v>913</v>
      </c>
      <c r="AR21" s="123">
        <f t="shared" si="3"/>
        <v>913</v>
      </c>
      <c r="AS21" s="123">
        <f t="shared" si="3"/>
        <v>913</v>
      </c>
      <c r="AT21" s="123">
        <f t="shared" si="3"/>
        <v>913</v>
      </c>
      <c r="AU21" s="123">
        <f t="shared" si="3"/>
        <v>913</v>
      </c>
      <c r="AV21" s="123">
        <f t="shared" si="3"/>
        <v>913</v>
      </c>
      <c r="AW21" s="123">
        <f t="shared" si="3"/>
        <v>913</v>
      </c>
      <c r="AX21" s="123">
        <f t="shared" si="3"/>
        <v>0</v>
      </c>
      <c r="AY21" s="123">
        <f t="shared" si="3"/>
        <v>913</v>
      </c>
      <c r="AZ21" s="173">
        <f>SUM($D21:$AY21)</f>
        <v>41713</v>
      </c>
    </row>
    <row r="22" spans="1:52" s="127" customFormat="1" x14ac:dyDescent="0.2">
      <c r="A22" s="174" t="s">
        <v>123</v>
      </c>
      <c r="B22" s="175">
        <f>1-$B$21</f>
        <v>0</v>
      </c>
      <c r="C22" s="175" t="s">
        <v>293</v>
      </c>
      <c r="D22" s="130">
        <f>IF(C$20="Yes",0,SUM(C$13:C$16)*$B$22)</f>
        <v>0</v>
      </c>
      <c r="E22" s="130">
        <f t="shared" ref="E22:AY22" si="4">IF(D$20="Yes",0,SUM(D$13:D$16)*$B$22)</f>
        <v>0</v>
      </c>
      <c r="F22" s="130">
        <f t="shared" si="4"/>
        <v>0</v>
      </c>
      <c r="G22" s="130">
        <f t="shared" si="4"/>
        <v>0</v>
      </c>
      <c r="H22" s="130">
        <f t="shared" si="4"/>
        <v>0</v>
      </c>
      <c r="I22" s="130">
        <f t="shared" si="4"/>
        <v>0</v>
      </c>
      <c r="J22" s="130">
        <f t="shared" si="4"/>
        <v>0</v>
      </c>
      <c r="K22" s="130">
        <f t="shared" si="4"/>
        <v>0</v>
      </c>
      <c r="L22" s="130">
        <f t="shared" si="4"/>
        <v>0</v>
      </c>
      <c r="M22" s="130">
        <f t="shared" si="4"/>
        <v>0</v>
      </c>
      <c r="N22" s="130">
        <f t="shared" si="4"/>
        <v>0</v>
      </c>
      <c r="O22" s="130">
        <f t="shared" si="4"/>
        <v>0</v>
      </c>
      <c r="P22" s="130">
        <f t="shared" si="4"/>
        <v>0</v>
      </c>
      <c r="Q22" s="130">
        <f t="shared" si="4"/>
        <v>0</v>
      </c>
      <c r="R22" s="130">
        <f t="shared" si="4"/>
        <v>0</v>
      </c>
      <c r="S22" s="130">
        <f t="shared" si="4"/>
        <v>0</v>
      </c>
      <c r="T22" s="130">
        <f t="shared" si="4"/>
        <v>0</v>
      </c>
      <c r="U22" s="130">
        <f t="shared" si="4"/>
        <v>0</v>
      </c>
      <c r="V22" s="130">
        <f t="shared" si="4"/>
        <v>0</v>
      </c>
      <c r="W22" s="130">
        <f t="shared" si="4"/>
        <v>0</v>
      </c>
      <c r="X22" s="130">
        <f t="shared" si="4"/>
        <v>0</v>
      </c>
      <c r="Y22" s="130">
        <f t="shared" si="4"/>
        <v>0</v>
      </c>
      <c r="Z22" s="130">
        <f t="shared" si="4"/>
        <v>0</v>
      </c>
      <c r="AA22" s="130">
        <f t="shared" si="4"/>
        <v>0</v>
      </c>
      <c r="AB22" s="130">
        <f t="shared" si="4"/>
        <v>0</v>
      </c>
      <c r="AC22" s="130">
        <f t="shared" si="4"/>
        <v>0</v>
      </c>
      <c r="AD22" s="130">
        <f t="shared" si="4"/>
        <v>0</v>
      </c>
      <c r="AE22" s="130">
        <f t="shared" si="4"/>
        <v>0</v>
      </c>
      <c r="AF22" s="130">
        <f t="shared" si="4"/>
        <v>0</v>
      </c>
      <c r="AG22" s="130">
        <f t="shared" si="4"/>
        <v>0</v>
      </c>
      <c r="AH22" s="130">
        <f t="shared" si="4"/>
        <v>0</v>
      </c>
      <c r="AI22" s="130">
        <f t="shared" si="4"/>
        <v>0</v>
      </c>
      <c r="AJ22" s="130">
        <f t="shared" si="4"/>
        <v>0</v>
      </c>
      <c r="AK22" s="130">
        <f t="shared" si="4"/>
        <v>0</v>
      </c>
      <c r="AL22" s="130">
        <f t="shared" si="4"/>
        <v>0</v>
      </c>
      <c r="AM22" s="130">
        <f t="shared" si="4"/>
        <v>0</v>
      </c>
      <c r="AN22" s="130">
        <f t="shared" si="4"/>
        <v>0</v>
      </c>
      <c r="AO22" s="130">
        <f t="shared" si="4"/>
        <v>0</v>
      </c>
      <c r="AP22" s="130">
        <f t="shared" si="4"/>
        <v>0</v>
      </c>
      <c r="AQ22" s="130">
        <f t="shared" si="4"/>
        <v>0</v>
      </c>
      <c r="AR22" s="130">
        <f t="shared" si="4"/>
        <v>0</v>
      </c>
      <c r="AS22" s="130">
        <f t="shared" si="4"/>
        <v>0</v>
      </c>
      <c r="AT22" s="130">
        <f t="shared" si="4"/>
        <v>0</v>
      </c>
      <c r="AU22" s="130">
        <f t="shared" si="4"/>
        <v>0</v>
      </c>
      <c r="AV22" s="130">
        <f t="shared" si="4"/>
        <v>0</v>
      </c>
      <c r="AW22" s="130">
        <f t="shared" si="4"/>
        <v>0</v>
      </c>
      <c r="AX22" s="130">
        <f t="shared" si="4"/>
        <v>0</v>
      </c>
      <c r="AY22" s="130">
        <f t="shared" si="4"/>
        <v>0</v>
      </c>
      <c r="AZ22" s="157">
        <f t="shared" ref="AZ22:AZ30" si="5">SUM($D22:$AY22)</f>
        <v>0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4908000</v>
      </c>
      <c r="E23">
        <f t="shared" ref="E23:AY23" si="6">E$21*$B$23</f>
        <v>1826000</v>
      </c>
      <c r="F23">
        <f t="shared" si="6"/>
        <v>1826000</v>
      </c>
      <c r="G23">
        <f t="shared" si="6"/>
        <v>1826000</v>
      </c>
      <c r="H23">
        <f t="shared" si="6"/>
        <v>1826000</v>
      </c>
      <c r="I23">
        <f t="shared" si="6"/>
        <v>1826000</v>
      </c>
      <c r="J23">
        <f t="shared" si="6"/>
        <v>1826000</v>
      </c>
      <c r="K23">
        <f t="shared" si="6"/>
        <v>1826000</v>
      </c>
      <c r="L23">
        <f t="shared" si="6"/>
        <v>1826000</v>
      </c>
      <c r="M23">
        <f t="shared" si="6"/>
        <v>1826000</v>
      </c>
      <c r="N23">
        <f t="shared" si="6"/>
        <v>1826000</v>
      </c>
      <c r="O23">
        <f t="shared" si="6"/>
        <v>1826000</v>
      </c>
      <c r="P23">
        <f t="shared" si="6"/>
        <v>1826000</v>
      </c>
      <c r="Q23">
        <f t="shared" si="6"/>
        <v>1826000</v>
      </c>
      <c r="R23">
        <f t="shared" si="6"/>
        <v>1826000</v>
      </c>
      <c r="S23">
        <f t="shared" si="6"/>
        <v>1826000</v>
      </c>
      <c r="T23">
        <f t="shared" si="6"/>
        <v>1826000</v>
      </c>
      <c r="U23">
        <f t="shared" si="6"/>
        <v>0</v>
      </c>
      <c r="V23">
        <f t="shared" si="6"/>
        <v>1826000</v>
      </c>
      <c r="W23">
        <f t="shared" si="6"/>
        <v>1826000</v>
      </c>
      <c r="X23">
        <f t="shared" si="6"/>
        <v>1826000</v>
      </c>
      <c r="Y23">
        <f t="shared" si="6"/>
        <v>1826000</v>
      </c>
      <c r="Z23">
        <f t="shared" si="6"/>
        <v>1826000</v>
      </c>
      <c r="AA23">
        <f t="shared" si="6"/>
        <v>1826000</v>
      </c>
      <c r="AB23">
        <f t="shared" si="6"/>
        <v>1826000</v>
      </c>
      <c r="AC23">
        <f t="shared" si="6"/>
        <v>1826000</v>
      </c>
      <c r="AD23">
        <f t="shared" si="6"/>
        <v>1826000</v>
      </c>
      <c r="AE23">
        <f t="shared" si="6"/>
        <v>1826000</v>
      </c>
      <c r="AF23">
        <f t="shared" si="6"/>
        <v>1826000</v>
      </c>
      <c r="AG23">
        <f t="shared" si="6"/>
        <v>1826000</v>
      </c>
      <c r="AH23">
        <f t="shared" si="6"/>
        <v>1826000</v>
      </c>
      <c r="AI23">
        <f t="shared" si="6"/>
        <v>1826000</v>
      </c>
      <c r="AJ23">
        <f t="shared" si="6"/>
        <v>0</v>
      </c>
      <c r="AK23">
        <f t="shared" si="6"/>
        <v>1826000</v>
      </c>
      <c r="AL23">
        <f t="shared" si="6"/>
        <v>1826000</v>
      </c>
      <c r="AM23">
        <f t="shared" si="6"/>
        <v>1826000</v>
      </c>
      <c r="AN23">
        <f t="shared" si="6"/>
        <v>0</v>
      </c>
      <c r="AO23">
        <f t="shared" si="6"/>
        <v>1826000</v>
      </c>
      <c r="AP23">
        <f t="shared" si="6"/>
        <v>1826000</v>
      </c>
      <c r="AQ23">
        <f t="shared" si="6"/>
        <v>1826000</v>
      </c>
      <c r="AR23">
        <f t="shared" si="6"/>
        <v>1826000</v>
      </c>
      <c r="AS23">
        <f t="shared" si="6"/>
        <v>1826000</v>
      </c>
      <c r="AT23">
        <f t="shared" si="6"/>
        <v>1826000</v>
      </c>
      <c r="AU23">
        <f t="shared" si="6"/>
        <v>1826000</v>
      </c>
      <c r="AV23">
        <f t="shared" si="6"/>
        <v>1826000</v>
      </c>
      <c r="AW23">
        <f t="shared" si="6"/>
        <v>1826000</v>
      </c>
      <c r="AX23">
        <f t="shared" si="6"/>
        <v>0</v>
      </c>
      <c r="AY23">
        <f t="shared" si="6"/>
        <v>1826000</v>
      </c>
      <c r="AZ23" s="155">
        <f t="shared" si="5"/>
        <v>83426000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0</v>
      </c>
      <c r="E24" s="123">
        <f t="shared" ref="E24:AY24" si="7">E$22*$B$24</f>
        <v>0</v>
      </c>
      <c r="F24" s="123">
        <f t="shared" si="7"/>
        <v>0</v>
      </c>
      <c r="G24" s="123">
        <f t="shared" si="7"/>
        <v>0</v>
      </c>
      <c r="H24" s="123">
        <f t="shared" si="7"/>
        <v>0</v>
      </c>
      <c r="I24" s="123">
        <f t="shared" si="7"/>
        <v>0</v>
      </c>
      <c r="J24" s="123">
        <f t="shared" si="7"/>
        <v>0</v>
      </c>
      <c r="K24" s="123">
        <f t="shared" si="7"/>
        <v>0</v>
      </c>
      <c r="L24" s="123">
        <f t="shared" si="7"/>
        <v>0</v>
      </c>
      <c r="M24" s="123">
        <f t="shared" si="7"/>
        <v>0</v>
      </c>
      <c r="N24" s="123">
        <f t="shared" si="7"/>
        <v>0</v>
      </c>
      <c r="O24" s="123">
        <f t="shared" si="7"/>
        <v>0</v>
      </c>
      <c r="P24" s="123">
        <f t="shared" si="7"/>
        <v>0</v>
      </c>
      <c r="Q24" s="123">
        <f t="shared" si="7"/>
        <v>0</v>
      </c>
      <c r="R24" s="123">
        <f t="shared" si="7"/>
        <v>0</v>
      </c>
      <c r="S24" s="123">
        <f t="shared" si="7"/>
        <v>0</v>
      </c>
      <c r="T24" s="123">
        <f t="shared" si="7"/>
        <v>0</v>
      </c>
      <c r="U24" s="123">
        <f t="shared" si="7"/>
        <v>0</v>
      </c>
      <c r="V24" s="123">
        <f t="shared" si="7"/>
        <v>0</v>
      </c>
      <c r="W24" s="123">
        <f t="shared" si="7"/>
        <v>0</v>
      </c>
      <c r="X24" s="123">
        <f t="shared" si="7"/>
        <v>0</v>
      </c>
      <c r="Y24" s="123">
        <f t="shared" si="7"/>
        <v>0</v>
      </c>
      <c r="Z24" s="123">
        <f t="shared" si="7"/>
        <v>0</v>
      </c>
      <c r="AA24" s="123">
        <f t="shared" si="7"/>
        <v>0</v>
      </c>
      <c r="AB24" s="123">
        <f t="shared" si="7"/>
        <v>0</v>
      </c>
      <c r="AC24" s="123">
        <f t="shared" si="7"/>
        <v>0</v>
      </c>
      <c r="AD24" s="123">
        <f t="shared" si="7"/>
        <v>0</v>
      </c>
      <c r="AE24" s="123">
        <f t="shared" si="7"/>
        <v>0</v>
      </c>
      <c r="AF24" s="123">
        <f t="shared" si="7"/>
        <v>0</v>
      </c>
      <c r="AG24" s="123">
        <f t="shared" si="7"/>
        <v>0</v>
      </c>
      <c r="AH24" s="123">
        <f t="shared" si="7"/>
        <v>0</v>
      </c>
      <c r="AI24" s="123">
        <f t="shared" si="7"/>
        <v>0</v>
      </c>
      <c r="AJ24" s="123">
        <f t="shared" si="7"/>
        <v>0</v>
      </c>
      <c r="AK24" s="123">
        <f t="shared" si="7"/>
        <v>0</v>
      </c>
      <c r="AL24" s="123">
        <f t="shared" si="7"/>
        <v>0</v>
      </c>
      <c r="AM24" s="123">
        <f t="shared" si="7"/>
        <v>0</v>
      </c>
      <c r="AN24" s="123">
        <f t="shared" si="7"/>
        <v>0</v>
      </c>
      <c r="AO24" s="123">
        <f t="shared" si="7"/>
        <v>0</v>
      </c>
      <c r="AP24" s="123">
        <f t="shared" si="7"/>
        <v>0</v>
      </c>
      <c r="AQ24" s="123">
        <f t="shared" si="7"/>
        <v>0</v>
      </c>
      <c r="AR24" s="123">
        <f t="shared" si="7"/>
        <v>0</v>
      </c>
      <c r="AS24" s="123">
        <f t="shared" si="7"/>
        <v>0</v>
      </c>
      <c r="AT24" s="123">
        <f t="shared" si="7"/>
        <v>0</v>
      </c>
      <c r="AU24" s="123">
        <f t="shared" si="7"/>
        <v>0</v>
      </c>
      <c r="AV24" s="123">
        <f t="shared" si="7"/>
        <v>0</v>
      </c>
      <c r="AW24" s="123">
        <f t="shared" si="7"/>
        <v>0</v>
      </c>
      <c r="AX24" s="123">
        <f t="shared" si="7"/>
        <v>0</v>
      </c>
      <c r="AY24" s="123">
        <f t="shared" si="7"/>
        <v>0</v>
      </c>
      <c r="AZ24" s="157">
        <f t="shared" si="5"/>
        <v>0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-16</v>
      </c>
      <c r="D27" s="140">
        <f>C$27-C$28+C$29</f>
        <v>29</v>
      </c>
      <c r="E27" s="140">
        <f t="shared" ref="E27:AY27" si="8">D27-D28+D29</f>
        <v>0</v>
      </c>
      <c r="F27" s="140">
        <f t="shared" si="8"/>
        <v>29</v>
      </c>
      <c r="G27" s="140">
        <f t="shared" si="8"/>
        <v>0</v>
      </c>
      <c r="H27" s="140">
        <f t="shared" si="8"/>
        <v>29</v>
      </c>
      <c r="I27" s="140">
        <f t="shared" si="8"/>
        <v>0</v>
      </c>
      <c r="J27" s="140">
        <f t="shared" si="8"/>
        <v>29</v>
      </c>
      <c r="K27" s="140">
        <f t="shared" si="8"/>
        <v>0</v>
      </c>
      <c r="L27" s="140">
        <f t="shared" si="8"/>
        <v>29</v>
      </c>
      <c r="M27" s="140">
        <f t="shared" si="8"/>
        <v>0</v>
      </c>
      <c r="N27" s="140">
        <f t="shared" si="8"/>
        <v>29</v>
      </c>
      <c r="O27" s="140">
        <f t="shared" si="8"/>
        <v>0</v>
      </c>
      <c r="P27" s="140">
        <f t="shared" si="8"/>
        <v>29</v>
      </c>
      <c r="Q27" s="140">
        <f t="shared" si="8"/>
        <v>0</v>
      </c>
      <c r="R27" s="140">
        <f t="shared" si="8"/>
        <v>29</v>
      </c>
      <c r="S27" s="140">
        <f t="shared" si="8"/>
        <v>0</v>
      </c>
      <c r="T27" s="140">
        <f t="shared" si="8"/>
        <v>29</v>
      </c>
      <c r="U27" s="140">
        <f t="shared" si="8"/>
        <v>0</v>
      </c>
      <c r="V27" s="140">
        <f t="shared" si="8"/>
        <v>29</v>
      </c>
      <c r="W27" s="140">
        <f t="shared" si="8"/>
        <v>0</v>
      </c>
      <c r="X27" s="140">
        <f t="shared" si="8"/>
        <v>29</v>
      </c>
      <c r="Y27" s="140">
        <f t="shared" si="8"/>
        <v>0</v>
      </c>
      <c r="Z27" s="140">
        <f t="shared" si="8"/>
        <v>29</v>
      </c>
      <c r="AA27" s="140">
        <f t="shared" si="8"/>
        <v>0</v>
      </c>
      <c r="AB27" s="140">
        <f t="shared" si="8"/>
        <v>29</v>
      </c>
      <c r="AC27" s="140">
        <f t="shared" si="8"/>
        <v>0</v>
      </c>
      <c r="AD27" s="140">
        <f t="shared" si="8"/>
        <v>29</v>
      </c>
      <c r="AE27" s="140">
        <f t="shared" si="8"/>
        <v>0</v>
      </c>
      <c r="AF27" s="140">
        <f t="shared" si="8"/>
        <v>29</v>
      </c>
      <c r="AG27" s="140">
        <f t="shared" si="8"/>
        <v>0</v>
      </c>
      <c r="AH27" s="140">
        <f t="shared" si="8"/>
        <v>29</v>
      </c>
      <c r="AI27" s="140">
        <f t="shared" si="8"/>
        <v>0</v>
      </c>
      <c r="AJ27" s="140">
        <f t="shared" si="8"/>
        <v>29</v>
      </c>
      <c r="AK27" s="140">
        <f t="shared" si="8"/>
        <v>29</v>
      </c>
      <c r="AL27" s="140">
        <f t="shared" si="8"/>
        <v>0</v>
      </c>
      <c r="AM27" s="140">
        <f t="shared" si="8"/>
        <v>29</v>
      </c>
      <c r="AN27" s="140">
        <f t="shared" si="8"/>
        <v>0</v>
      </c>
      <c r="AO27" s="140">
        <f t="shared" si="8"/>
        <v>29</v>
      </c>
      <c r="AP27" s="140">
        <f t="shared" si="8"/>
        <v>0</v>
      </c>
      <c r="AQ27" s="140">
        <f t="shared" si="8"/>
        <v>29</v>
      </c>
      <c r="AR27" s="140">
        <f t="shared" si="8"/>
        <v>0</v>
      </c>
      <c r="AS27" s="140">
        <f t="shared" si="8"/>
        <v>29</v>
      </c>
      <c r="AT27" s="140">
        <f t="shared" si="8"/>
        <v>0</v>
      </c>
      <c r="AU27" s="140">
        <f t="shared" si="8"/>
        <v>29</v>
      </c>
      <c r="AV27" s="140">
        <f t="shared" si="8"/>
        <v>0</v>
      </c>
      <c r="AW27" s="140">
        <f t="shared" si="8"/>
        <v>29</v>
      </c>
      <c r="AX27" s="140">
        <f t="shared" si="8"/>
        <v>0</v>
      </c>
      <c r="AY27" s="180">
        <f t="shared" si="8"/>
        <v>29</v>
      </c>
      <c r="AZ27" s="123"/>
    </row>
    <row r="28" spans="1:52" x14ac:dyDescent="0.2">
      <c r="B28" s="181" t="s">
        <v>310</v>
      </c>
      <c r="C28" s="127">
        <v>0</v>
      </c>
      <c r="D28" s="127">
        <v>29</v>
      </c>
      <c r="E28" s="127">
        <v>0</v>
      </c>
      <c r="F28" s="127">
        <v>29</v>
      </c>
      <c r="G28" s="127">
        <v>0</v>
      </c>
      <c r="H28" s="127">
        <v>29</v>
      </c>
      <c r="I28" s="127">
        <v>0</v>
      </c>
      <c r="J28" s="127">
        <v>29</v>
      </c>
      <c r="K28" s="127">
        <v>0</v>
      </c>
      <c r="L28" s="127">
        <v>29</v>
      </c>
      <c r="M28" s="127">
        <v>0</v>
      </c>
      <c r="N28" s="127">
        <v>29</v>
      </c>
      <c r="O28" s="127">
        <v>0</v>
      </c>
      <c r="P28" s="127">
        <v>29</v>
      </c>
      <c r="Q28" s="127">
        <v>0</v>
      </c>
      <c r="R28" s="127">
        <v>29</v>
      </c>
      <c r="S28" s="127">
        <v>0</v>
      </c>
      <c r="T28" s="127">
        <v>29</v>
      </c>
      <c r="U28" s="127">
        <v>0</v>
      </c>
      <c r="V28" s="127">
        <v>29</v>
      </c>
      <c r="W28" s="127">
        <v>0</v>
      </c>
      <c r="X28" s="127">
        <v>29</v>
      </c>
      <c r="Y28" s="127">
        <v>0</v>
      </c>
      <c r="Z28" s="127">
        <v>29</v>
      </c>
      <c r="AA28" s="127">
        <v>0</v>
      </c>
      <c r="AB28" s="127">
        <v>29</v>
      </c>
      <c r="AC28" s="127">
        <v>0</v>
      </c>
      <c r="AD28" s="127">
        <v>29</v>
      </c>
      <c r="AE28" s="127">
        <v>0</v>
      </c>
      <c r="AF28" s="127">
        <v>29</v>
      </c>
      <c r="AG28" s="127">
        <v>0</v>
      </c>
      <c r="AH28" s="127">
        <v>29</v>
      </c>
      <c r="AI28" s="127">
        <v>0</v>
      </c>
      <c r="AJ28" s="127">
        <v>0</v>
      </c>
      <c r="AK28" s="127">
        <v>29</v>
      </c>
      <c r="AL28" s="127">
        <v>0</v>
      </c>
      <c r="AM28" s="127">
        <v>29</v>
      </c>
      <c r="AN28" s="127">
        <v>0</v>
      </c>
      <c r="AO28" s="127">
        <v>29</v>
      </c>
      <c r="AP28" s="127">
        <v>0</v>
      </c>
      <c r="AQ28" s="127">
        <v>29</v>
      </c>
      <c r="AR28" s="127">
        <v>0</v>
      </c>
      <c r="AS28" s="127">
        <v>29</v>
      </c>
      <c r="AT28" s="127">
        <v>0</v>
      </c>
      <c r="AU28" s="127">
        <v>29</v>
      </c>
      <c r="AV28" s="127">
        <v>0</v>
      </c>
      <c r="AW28" s="127">
        <v>29</v>
      </c>
      <c r="AX28" s="127">
        <v>0</v>
      </c>
      <c r="AY28" s="182">
        <v>29</v>
      </c>
      <c r="AZ28" s="123"/>
    </row>
    <row r="29" spans="1:52" x14ac:dyDescent="0.2">
      <c r="B29" s="152" t="s">
        <v>311</v>
      </c>
      <c r="C29" s="141">
        <v>45</v>
      </c>
      <c r="D29" s="141">
        <f>C$28</f>
        <v>0</v>
      </c>
      <c r="E29" s="141">
        <f t="shared" ref="E29:AY29" si="9">D$28</f>
        <v>29</v>
      </c>
      <c r="F29" s="141">
        <f t="shared" si="9"/>
        <v>0</v>
      </c>
      <c r="G29" s="141">
        <f t="shared" si="9"/>
        <v>29</v>
      </c>
      <c r="H29" s="141">
        <f t="shared" si="9"/>
        <v>0</v>
      </c>
      <c r="I29" s="141">
        <f t="shared" si="9"/>
        <v>29</v>
      </c>
      <c r="J29" s="141">
        <f t="shared" si="9"/>
        <v>0</v>
      </c>
      <c r="K29" s="141">
        <f t="shared" si="9"/>
        <v>29</v>
      </c>
      <c r="L29" s="141">
        <f t="shared" si="9"/>
        <v>0</v>
      </c>
      <c r="M29" s="141">
        <f t="shared" si="9"/>
        <v>29</v>
      </c>
      <c r="N29" s="141">
        <f t="shared" si="9"/>
        <v>0</v>
      </c>
      <c r="O29" s="141">
        <f t="shared" si="9"/>
        <v>29</v>
      </c>
      <c r="P29" s="141">
        <f t="shared" si="9"/>
        <v>0</v>
      </c>
      <c r="Q29" s="141">
        <f t="shared" si="9"/>
        <v>29</v>
      </c>
      <c r="R29" s="141">
        <f t="shared" si="9"/>
        <v>0</v>
      </c>
      <c r="S29" s="141">
        <f t="shared" si="9"/>
        <v>29</v>
      </c>
      <c r="T29" s="141">
        <f t="shared" si="9"/>
        <v>0</v>
      </c>
      <c r="U29" s="141">
        <f t="shared" si="9"/>
        <v>29</v>
      </c>
      <c r="V29" s="141">
        <f t="shared" si="9"/>
        <v>0</v>
      </c>
      <c r="W29" s="141">
        <f t="shared" si="9"/>
        <v>29</v>
      </c>
      <c r="X29" s="141">
        <f t="shared" si="9"/>
        <v>0</v>
      </c>
      <c r="Y29" s="141">
        <f t="shared" si="9"/>
        <v>29</v>
      </c>
      <c r="Z29" s="141">
        <f t="shared" si="9"/>
        <v>0</v>
      </c>
      <c r="AA29" s="141">
        <f t="shared" si="9"/>
        <v>29</v>
      </c>
      <c r="AB29" s="141">
        <f t="shared" si="9"/>
        <v>0</v>
      </c>
      <c r="AC29" s="141">
        <f t="shared" si="9"/>
        <v>29</v>
      </c>
      <c r="AD29" s="141">
        <f t="shared" si="9"/>
        <v>0</v>
      </c>
      <c r="AE29" s="141">
        <f t="shared" si="9"/>
        <v>29</v>
      </c>
      <c r="AF29" s="141">
        <f t="shared" si="9"/>
        <v>0</v>
      </c>
      <c r="AG29" s="141">
        <f t="shared" si="9"/>
        <v>29</v>
      </c>
      <c r="AH29" s="141">
        <f t="shared" si="9"/>
        <v>0</v>
      </c>
      <c r="AI29" s="141">
        <f t="shared" si="9"/>
        <v>29</v>
      </c>
      <c r="AJ29" s="141">
        <f t="shared" si="9"/>
        <v>0</v>
      </c>
      <c r="AK29" s="141">
        <f t="shared" si="9"/>
        <v>0</v>
      </c>
      <c r="AL29" s="141">
        <f t="shared" si="9"/>
        <v>29</v>
      </c>
      <c r="AM29" s="141">
        <f t="shared" si="9"/>
        <v>0</v>
      </c>
      <c r="AN29" s="141">
        <f t="shared" si="9"/>
        <v>29</v>
      </c>
      <c r="AO29" s="141">
        <f t="shared" si="9"/>
        <v>0</v>
      </c>
      <c r="AP29" s="141">
        <f t="shared" si="9"/>
        <v>29</v>
      </c>
      <c r="AQ29" s="141">
        <f t="shared" si="9"/>
        <v>0</v>
      </c>
      <c r="AR29" s="141">
        <f t="shared" si="9"/>
        <v>29</v>
      </c>
      <c r="AS29" s="141">
        <f t="shared" si="9"/>
        <v>0</v>
      </c>
      <c r="AT29" s="141">
        <f t="shared" si="9"/>
        <v>29</v>
      </c>
      <c r="AU29" s="141">
        <f t="shared" si="9"/>
        <v>0</v>
      </c>
      <c r="AV29" s="141">
        <f t="shared" si="9"/>
        <v>29</v>
      </c>
      <c r="AW29" s="141">
        <f t="shared" si="9"/>
        <v>0</v>
      </c>
      <c r="AX29" s="141">
        <f t="shared" si="9"/>
        <v>29</v>
      </c>
      <c r="AY29" s="183">
        <f t="shared" si="9"/>
        <v>0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290</v>
      </c>
      <c r="E30" s="133">
        <f t="shared" ref="E30:AY30" si="10">E$27*$B$30</f>
        <v>0</v>
      </c>
      <c r="F30" s="133">
        <f t="shared" si="10"/>
        <v>290</v>
      </c>
      <c r="G30" s="133">
        <f t="shared" si="10"/>
        <v>0</v>
      </c>
      <c r="H30" s="133">
        <f t="shared" si="10"/>
        <v>290</v>
      </c>
      <c r="I30" s="133">
        <f t="shared" si="10"/>
        <v>0</v>
      </c>
      <c r="J30" s="133">
        <f t="shared" si="10"/>
        <v>290</v>
      </c>
      <c r="K30" s="133">
        <f t="shared" si="10"/>
        <v>0</v>
      </c>
      <c r="L30" s="133">
        <f t="shared" si="10"/>
        <v>290</v>
      </c>
      <c r="M30" s="133">
        <f t="shared" si="10"/>
        <v>0</v>
      </c>
      <c r="N30" s="133">
        <f t="shared" si="10"/>
        <v>290</v>
      </c>
      <c r="O30" s="133">
        <f t="shared" si="10"/>
        <v>0</v>
      </c>
      <c r="P30" s="133">
        <f t="shared" si="10"/>
        <v>290</v>
      </c>
      <c r="Q30" s="133">
        <f t="shared" si="10"/>
        <v>0</v>
      </c>
      <c r="R30" s="133">
        <f>R$27*$B$30</f>
        <v>290</v>
      </c>
      <c r="S30" s="133">
        <f t="shared" si="10"/>
        <v>0</v>
      </c>
      <c r="T30" s="133">
        <f t="shared" si="10"/>
        <v>290</v>
      </c>
      <c r="U30" s="133">
        <f t="shared" si="10"/>
        <v>0</v>
      </c>
      <c r="V30" s="133">
        <f t="shared" si="10"/>
        <v>290</v>
      </c>
      <c r="W30" s="133">
        <f t="shared" si="10"/>
        <v>0</v>
      </c>
      <c r="X30" s="133">
        <f t="shared" si="10"/>
        <v>290</v>
      </c>
      <c r="Y30" s="133">
        <f t="shared" si="10"/>
        <v>0</v>
      </c>
      <c r="Z30" s="133">
        <f t="shared" si="10"/>
        <v>290</v>
      </c>
      <c r="AA30" s="133">
        <f t="shared" si="10"/>
        <v>0</v>
      </c>
      <c r="AB30" s="133">
        <f t="shared" si="10"/>
        <v>290</v>
      </c>
      <c r="AC30" s="133">
        <f t="shared" si="10"/>
        <v>0</v>
      </c>
      <c r="AD30" s="133">
        <f t="shared" si="10"/>
        <v>290</v>
      </c>
      <c r="AE30" s="133">
        <f>AE$27*$B$30</f>
        <v>0</v>
      </c>
      <c r="AF30" s="133">
        <f t="shared" si="10"/>
        <v>290</v>
      </c>
      <c r="AG30" s="133">
        <f t="shared" si="10"/>
        <v>0</v>
      </c>
      <c r="AH30" s="133">
        <f t="shared" si="10"/>
        <v>290</v>
      </c>
      <c r="AI30" s="133">
        <f t="shared" si="10"/>
        <v>0</v>
      </c>
      <c r="AJ30" s="133">
        <f t="shared" si="10"/>
        <v>290</v>
      </c>
      <c r="AK30" s="133">
        <f t="shared" si="10"/>
        <v>290</v>
      </c>
      <c r="AL30" s="133">
        <f t="shared" si="10"/>
        <v>0</v>
      </c>
      <c r="AM30" s="133">
        <f t="shared" si="10"/>
        <v>290</v>
      </c>
      <c r="AN30" s="133">
        <f t="shared" si="10"/>
        <v>0</v>
      </c>
      <c r="AO30" s="133">
        <f t="shared" si="10"/>
        <v>290</v>
      </c>
      <c r="AP30" s="133">
        <f t="shared" si="10"/>
        <v>0</v>
      </c>
      <c r="AQ30" s="133">
        <f t="shared" si="10"/>
        <v>290</v>
      </c>
      <c r="AR30" s="133">
        <f t="shared" si="10"/>
        <v>0</v>
      </c>
      <c r="AS30" s="133">
        <f t="shared" si="10"/>
        <v>290</v>
      </c>
      <c r="AT30" s="133">
        <f t="shared" si="10"/>
        <v>0</v>
      </c>
      <c r="AU30" s="133">
        <f t="shared" si="10"/>
        <v>290</v>
      </c>
      <c r="AV30" s="133">
        <f t="shared" si="10"/>
        <v>0</v>
      </c>
      <c r="AW30" s="133">
        <f t="shared" si="10"/>
        <v>290</v>
      </c>
      <c r="AX30" s="133">
        <f t="shared" si="10"/>
        <v>0</v>
      </c>
      <c r="AY30" s="133">
        <f t="shared" si="10"/>
        <v>290</v>
      </c>
      <c r="AZ30" s="157">
        <f t="shared" si="5"/>
        <v>7250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D$21*shipping_manufacturing!$F$27/100</f>
        <v>2454</v>
      </c>
      <c r="E33" s="140">
        <f>E$21*shipping_manufacturing!$F$27/100</f>
        <v>913</v>
      </c>
      <c r="F33" s="140">
        <f>F$21*shipping_manufacturing!$F$27/100</f>
        <v>913</v>
      </c>
      <c r="G33" s="140">
        <f>G$21*shipping_manufacturing!$F$27/100</f>
        <v>913</v>
      </c>
      <c r="H33" s="140">
        <f>H$21*shipping_manufacturing!$F$27/100</f>
        <v>913</v>
      </c>
      <c r="I33" s="140">
        <f>I$21*shipping_manufacturing!$F$27/100</f>
        <v>913</v>
      </c>
      <c r="J33" s="140">
        <f>J$21*shipping_manufacturing!$F$27/100</f>
        <v>913</v>
      </c>
      <c r="K33" s="140">
        <f>K$21*shipping_manufacturing!$F$27/100</f>
        <v>913</v>
      </c>
      <c r="L33" s="140">
        <f>L$21*shipping_manufacturing!$F$27/100</f>
        <v>913</v>
      </c>
      <c r="M33" s="140">
        <f>M$21*shipping_manufacturing!$F$27/100</f>
        <v>913</v>
      </c>
      <c r="N33" s="140">
        <f>N$21*shipping_manufacturing!$F$27/100</f>
        <v>913</v>
      </c>
      <c r="O33" s="140">
        <f>O$21*shipping_manufacturing!$F$27/100</f>
        <v>913</v>
      </c>
      <c r="P33" s="140">
        <f>P$21*shipping_manufacturing!$F$27/100</f>
        <v>913</v>
      </c>
      <c r="Q33" s="140">
        <f>Q$21*shipping_manufacturing!$F$27/100</f>
        <v>913</v>
      </c>
      <c r="R33" s="140">
        <f>R$21*shipping_manufacturing!$F$27/100</f>
        <v>913</v>
      </c>
      <c r="S33" s="140">
        <f>S$21*shipping_manufacturing!$F$27/100</f>
        <v>913</v>
      </c>
      <c r="T33" s="140">
        <f>T$21*shipping_manufacturing!$F$27/100</f>
        <v>913</v>
      </c>
      <c r="U33" s="140">
        <f>U$21*shipping_manufacturing!$F$27/100</f>
        <v>0</v>
      </c>
      <c r="V33" s="140">
        <f>V$21*shipping_manufacturing!$F$27/100</f>
        <v>913</v>
      </c>
      <c r="W33" s="140">
        <f>W$21*shipping_manufacturing!$F$27/100</f>
        <v>913</v>
      </c>
      <c r="X33" s="140">
        <f>X$21*shipping_manufacturing!$F$27/100</f>
        <v>913</v>
      </c>
      <c r="Y33" s="140">
        <f>Y$21*shipping_manufacturing!$F$27/100</f>
        <v>913</v>
      </c>
      <c r="Z33" s="140">
        <f>Z$21*shipping_manufacturing!$F$27/100</f>
        <v>913</v>
      </c>
      <c r="AA33" s="140">
        <f>AA$21*shipping_manufacturing!$F$27/100</f>
        <v>913</v>
      </c>
      <c r="AB33" s="140">
        <f>AB$21*shipping_manufacturing!$F$27/100</f>
        <v>913</v>
      </c>
      <c r="AC33" s="140">
        <f>AC$21*shipping_manufacturing!$F$27/100</f>
        <v>913</v>
      </c>
      <c r="AD33" s="140">
        <f>AD$21*shipping_manufacturing!$F$27/100</f>
        <v>913</v>
      </c>
      <c r="AE33" s="140">
        <f>AE$21*shipping_manufacturing!$F$27/100</f>
        <v>913</v>
      </c>
      <c r="AF33" s="140">
        <f>AF$21*shipping_manufacturing!$F$27/100</f>
        <v>913</v>
      </c>
      <c r="AG33" s="140">
        <f>AG$21*shipping_manufacturing!$F$27/100</f>
        <v>913</v>
      </c>
      <c r="AH33" s="140">
        <f>AH$21*shipping_manufacturing!$F$27/100</f>
        <v>913</v>
      </c>
      <c r="AI33" s="140">
        <f>AI$21*shipping_manufacturing!$F$27/100</f>
        <v>913</v>
      </c>
      <c r="AJ33" s="140">
        <f>AJ$21*shipping_manufacturing!$F$27/100</f>
        <v>0</v>
      </c>
      <c r="AK33" s="140">
        <f>AK$21*shipping_manufacturing!$F$27/100</f>
        <v>913</v>
      </c>
      <c r="AL33" s="140">
        <f>AL$21*shipping_manufacturing!$F$27/100</f>
        <v>913</v>
      </c>
      <c r="AM33" s="140">
        <f>AM$21*shipping_manufacturing!$F$27/100</f>
        <v>913</v>
      </c>
      <c r="AN33" s="140">
        <f>AN$21*shipping_manufacturing!$F$27/100</f>
        <v>0</v>
      </c>
      <c r="AO33" s="140">
        <f>AO$21*shipping_manufacturing!$F$27/100</f>
        <v>913</v>
      </c>
      <c r="AP33" s="140">
        <f>AP$21*shipping_manufacturing!$F$27/100</f>
        <v>913</v>
      </c>
      <c r="AQ33" s="140">
        <f>AQ$21*shipping_manufacturing!$F$27/100</f>
        <v>913</v>
      </c>
      <c r="AR33" s="140">
        <f>AR$21*shipping_manufacturing!$F$27/100</f>
        <v>913</v>
      </c>
      <c r="AS33" s="140">
        <f>AS$21*shipping_manufacturing!$F$27/100</f>
        <v>913</v>
      </c>
      <c r="AT33" s="140">
        <f>AT$21*shipping_manufacturing!$F$27/100</f>
        <v>913</v>
      </c>
      <c r="AU33" s="140">
        <f>AU$21*shipping_manufacturing!$F$27/100</f>
        <v>913</v>
      </c>
      <c r="AV33" s="140">
        <f>AV$21*shipping_manufacturing!$F$27/100</f>
        <v>913</v>
      </c>
      <c r="AW33" s="140">
        <f>AW$21*shipping_manufacturing!$F$27/100</f>
        <v>913</v>
      </c>
      <c r="AX33" s="140">
        <f>AX$21*shipping_manufacturing!$F$27/100</f>
        <v>0</v>
      </c>
      <c r="AY33" s="140">
        <f>AY$21*shipping_manufacturing!$F$27/100</f>
        <v>913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D$22*shipping_manufacturing!$G$27/100</f>
        <v>0</v>
      </c>
      <c r="E34" s="127">
        <f>E$22*shipping_manufacturing!$G$27/100</f>
        <v>0</v>
      </c>
      <c r="F34" s="127">
        <f>F$22*shipping_manufacturing!$G$27/100</f>
        <v>0</v>
      </c>
      <c r="G34" s="127">
        <f>G$22*shipping_manufacturing!$G$27/100</f>
        <v>0</v>
      </c>
      <c r="H34" s="127">
        <f>H$22*shipping_manufacturing!$G$27/100</f>
        <v>0</v>
      </c>
      <c r="I34" s="127">
        <f>I$22*shipping_manufacturing!$G$27/100</f>
        <v>0</v>
      </c>
      <c r="J34" s="127">
        <f>J$22*shipping_manufacturing!$G$27/100</f>
        <v>0</v>
      </c>
      <c r="K34" s="127">
        <f>K$22*shipping_manufacturing!$G$27/100</f>
        <v>0</v>
      </c>
      <c r="L34" s="127">
        <f>L$22*shipping_manufacturing!$G$27/100</f>
        <v>0</v>
      </c>
      <c r="M34" s="127">
        <f>M$22*shipping_manufacturing!$G$27/100</f>
        <v>0</v>
      </c>
      <c r="N34" s="127">
        <f>N$22*shipping_manufacturing!$G$27/100</f>
        <v>0</v>
      </c>
      <c r="O34" s="127">
        <f>O$22*shipping_manufacturing!$G$27/100</f>
        <v>0</v>
      </c>
      <c r="P34" s="127">
        <f>P$22*shipping_manufacturing!$G$27/100</f>
        <v>0</v>
      </c>
      <c r="Q34" s="127">
        <f>Q$22*shipping_manufacturing!$G$27/100</f>
        <v>0</v>
      </c>
      <c r="R34" s="127">
        <f>R$22*shipping_manufacturing!$G$27/100</f>
        <v>0</v>
      </c>
      <c r="S34" s="127">
        <f>S$22*shipping_manufacturing!$G$27/100</f>
        <v>0</v>
      </c>
      <c r="T34" s="127">
        <f>T$22*shipping_manufacturing!$G$27/100</f>
        <v>0</v>
      </c>
      <c r="U34" s="127">
        <f>U$22*shipping_manufacturing!$G$27/100</f>
        <v>0</v>
      </c>
      <c r="V34" s="127">
        <f>V$22*shipping_manufacturing!$G$27/100</f>
        <v>0</v>
      </c>
      <c r="W34" s="127">
        <f>W$22*shipping_manufacturing!$G$27/100</f>
        <v>0</v>
      </c>
      <c r="X34" s="127">
        <f>X$22*shipping_manufacturing!$G$27/100</f>
        <v>0</v>
      </c>
      <c r="Y34" s="127">
        <f>Y$22*shipping_manufacturing!$G$27/100</f>
        <v>0</v>
      </c>
      <c r="Z34" s="127">
        <f>Z$22*shipping_manufacturing!$G$27/100</f>
        <v>0</v>
      </c>
      <c r="AA34" s="127">
        <f>AA$22*shipping_manufacturing!$G$27/100</f>
        <v>0</v>
      </c>
      <c r="AB34" s="127">
        <f>AB$22*shipping_manufacturing!$G$27/100</f>
        <v>0</v>
      </c>
      <c r="AC34" s="127">
        <f>AC$22*shipping_manufacturing!$G$27/100</f>
        <v>0</v>
      </c>
      <c r="AD34" s="127">
        <f>AD$22*shipping_manufacturing!$G$27/100</f>
        <v>0</v>
      </c>
      <c r="AE34" s="127">
        <f>AE$22*shipping_manufacturing!$G$27/100</f>
        <v>0</v>
      </c>
      <c r="AF34" s="127">
        <f>AF$22*shipping_manufacturing!$G$27/100</f>
        <v>0</v>
      </c>
      <c r="AG34" s="127">
        <f>AG$22*shipping_manufacturing!$G$27/100</f>
        <v>0</v>
      </c>
      <c r="AH34" s="127">
        <f>AH$22*shipping_manufacturing!$G$27/100</f>
        <v>0</v>
      </c>
      <c r="AI34" s="127">
        <f>AI$22*shipping_manufacturing!$G$27/100</f>
        <v>0</v>
      </c>
      <c r="AJ34" s="127">
        <f>AJ$22*shipping_manufacturing!$G$27/100</f>
        <v>0</v>
      </c>
      <c r="AK34" s="127">
        <f>AK$22*shipping_manufacturing!$G$27/100</f>
        <v>0</v>
      </c>
      <c r="AL34" s="127">
        <f>AL$22*shipping_manufacturing!$G$27/100</f>
        <v>0</v>
      </c>
      <c r="AM34" s="127">
        <f>AM$22*shipping_manufacturing!$G$27/100</f>
        <v>0</v>
      </c>
      <c r="AN34" s="127">
        <f>AN$22*shipping_manufacturing!$G$27/100</f>
        <v>0</v>
      </c>
      <c r="AO34" s="127">
        <f>AO$22*shipping_manufacturing!$G$27/100</f>
        <v>0</v>
      </c>
      <c r="AP34" s="127">
        <f>AP$22*shipping_manufacturing!$G$27/100</f>
        <v>0</v>
      </c>
      <c r="AQ34" s="127">
        <f>AQ$22*shipping_manufacturing!$G$27/100</f>
        <v>0</v>
      </c>
      <c r="AR34" s="127">
        <f>AR$22*shipping_manufacturing!$G$27/100</f>
        <v>0</v>
      </c>
      <c r="AS34" s="127">
        <f>AS$22*shipping_manufacturing!$G$27/100</f>
        <v>0</v>
      </c>
      <c r="AT34" s="127">
        <f>AT$22*shipping_manufacturing!$G$27/100</f>
        <v>0</v>
      </c>
      <c r="AU34" s="127">
        <f>AU$22*shipping_manufacturing!$G$27/100</f>
        <v>0</v>
      </c>
      <c r="AV34" s="127">
        <f>AV$22*shipping_manufacturing!$G$27/100</f>
        <v>0</v>
      </c>
      <c r="AW34" s="127">
        <f>AW$22*shipping_manufacturing!$G$27/100</f>
        <v>0</v>
      </c>
      <c r="AX34" s="127">
        <f>AX$22*shipping_manufacturing!$G$27/100</f>
        <v>0</v>
      </c>
      <c r="AY34" s="127">
        <f>AY$22*shipping_manufacturing!$G$27/100</f>
        <v>0</v>
      </c>
    </row>
    <row r="35" spans="1:52" x14ac:dyDescent="0.2">
      <c r="A35" s="127">
        <v>1225</v>
      </c>
      <c r="B35" s="181" t="s">
        <v>343</v>
      </c>
      <c r="C35" s="127"/>
      <c r="D35" s="127">
        <f>SUM(D33:D34)</f>
        <v>2454</v>
      </c>
      <c r="E35" s="127">
        <f t="shared" ref="E35:AY35" si="11">SUM(E33:E34)</f>
        <v>913</v>
      </c>
      <c r="F35" s="127">
        <f t="shared" si="11"/>
        <v>913</v>
      </c>
      <c r="G35" s="127">
        <f t="shared" si="11"/>
        <v>913</v>
      </c>
      <c r="H35" s="127">
        <f t="shared" si="11"/>
        <v>913</v>
      </c>
      <c r="I35" s="127">
        <f t="shared" si="11"/>
        <v>913</v>
      </c>
      <c r="J35" s="127">
        <f t="shared" si="11"/>
        <v>913</v>
      </c>
      <c r="K35" s="127">
        <f t="shared" si="11"/>
        <v>913</v>
      </c>
      <c r="L35" s="127">
        <f t="shared" si="11"/>
        <v>913</v>
      </c>
      <c r="M35" s="127">
        <f t="shared" si="11"/>
        <v>913</v>
      </c>
      <c r="N35" s="127">
        <f t="shared" si="11"/>
        <v>913</v>
      </c>
      <c r="O35" s="127">
        <f t="shared" si="11"/>
        <v>913</v>
      </c>
      <c r="P35" s="127">
        <f t="shared" si="11"/>
        <v>913</v>
      </c>
      <c r="Q35" s="127">
        <f t="shared" si="11"/>
        <v>913</v>
      </c>
      <c r="R35" s="127">
        <f t="shared" si="11"/>
        <v>913</v>
      </c>
      <c r="S35" s="127">
        <f t="shared" si="11"/>
        <v>913</v>
      </c>
      <c r="T35" s="127">
        <f t="shared" si="11"/>
        <v>913</v>
      </c>
      <c r="U35" s="127">
        <f t="shared" si="11"/>
        <v>0</v>
      </c>
      <c r="V35" s="127">
        <f t="shared" si="11"/>
        <v>913</v>
      </c>
      <c r="W35" s="127">
        <f t="shared" si="11"/>
        <v>913</v>
      </c>
      <c r="X35" s="127">
        <f t="shared" si="11"/>
        <v>913</v>
      </c>
      <c r="Y35" s="127">
        <f t="shared" si="11"/>
        <v>913</v>
      </c>
      <c r="Z35" s="127">
        <f t="shared" si="11"/>
        <v>913</v>
      </c>
      <c r="AA35" s="127">
        <f t="shared" si="11"/>
        <v>913</v>
      </c>
      <c r="AB35" s="127">
        <f t="shared" si="11"/>
        <v>913</v>
      </c>
      <c r="AC35" s="127">
        <f t="shared" si="11"/>
        <v>913</v>
      </c>
      <c r="AD35" s="127">
        <f t="shared" si="11"/>
        <v>913</v>
      </c>
      <c r="AE35" s="127">
        <f t="shared" si="11"/>
        <v>913</v>
      </c>
      <c r="AF35" s="127">
        <f t="shared" si="11"/>
        <v>913</v>
      </c>
      <c r="AG35" s="127">
        <f t="shared" si="11"/>
        <v>913</v>
      </c>
      <c r="AH35" s="127">
        <f t="shared" si="11"/>
        <v>913</v>
      </c>
      <c r="AI35" s="127">
        <f t="shared" si="11"/>
        <v>913</v>
      </c>
      <c r="AJ35" s="127">
        <f t="shared" si="11"/>
        <v>0</v>
      </c>
      <c r="AK35" s="127">
        <f t="shared" si="11"/>
        <v>913</v>
      </c>
      <c r="AL35" s="127">
        <f t="shared" si="11"/>
        <v>913</v>
      </c>
      <c r="AM35" s="127">
        <f t="shared" si="11"/>
        <v>913</v>
      </c>
      <c r="AN35" s="127">
        <f t="shared" si="11"/>
        <v>0</v>
      </c>
      <c r="AO35" s="127">
        <f t="shared" si="11"/>
        <v>913</v>
      </c>
      <c r="AP35" s="127">
        <f t="shared" si="11"/>
        <v>913</v>
      </c>
      <c r="AQ35" s="127">
        <f t="shared" si="11"/>
        <v>913</v>
      </c>
      <c r="AR35" s="127">
        <f t="shared" si="11"/>
        <v>913</v>
      </c>
      <c r="AS35" s="127">
        <f t="shared" si="11"/>
        <v>913</v>
      </c>
      <c r="AT35" s="127">
        <f t="shared" si="11"/>
        <v>913</v>
      </c>
      <c r="AU35" s="127">
        <f t="shared" si="11"/>
        <v>913</v>
      </c>
      <c r="AV35" s="127">
        <f t="shared" si="11"/>
        <v>913</v>
      </c>
      <c r="AW35" s="127">
        <f t="shared" si="11"/>
        <v>913</v>
      </c>
      <c r="AX35" s="127">
        <f t="shared" si="11"/>
        <v>0</v>
      </c>
      <c r="AY35" s="127">
        <f t="shared" si="11"/>
        <v>913</v>
      </c>
    </row>
    <row r="36" spans="1:52" x14ac:dyDescent="0.2">
      <c r="A36" s="127"/>
      <c r="B36" s="181" t="s">
        <v>344</v>
      </c>
      <c r="C36" s="127"/>
      <c r="D36" s="127">
        <v>870</v>
      </c>
      <c r="E36" s="127"/>
      <c r="F36" s="127">
        <v>870</v>
      </c>
      <c r="G36" s="127"/>
      <c r="H36" s="127">
        <v>870</v>
      </c>
      <c r="I36" s="127"/>
      <c r="J36" s="127">
        <v>870</v>
      </c>
      <c r="K36" s="127"/>
      <c r="L36" s="127">
        <v>870</v>
      </c>
      <c r="M36" s="127"/>
      <c r="N36" s="127">
        <v>870</v>
      </c>
      <c r="O36" s="127"/>
      <c r="P36" s="127">
        <v>870</v>
      </c>
      <c r="Q36" s="127"/>
      <c r="R36" s="127">
        <v>870</v>
      </c>
      <c r="S36" s="127"/>
      <c r="T36" s="127">
        <v>870</v>
      </c>
      <c r="U36" s="127"/>
      <c r="V36" s="127">
        <v>870</v>
      </c>
      <c r="W36" s="127"/>
      <c r="X36" s="127">
        <v>870</v>
      </c>
      <c r="Y36" s="127"/>
      <c r="Z36" s="127">
        <v>870</v>
      </c>
      <c r="AA36" s="127"/>
      <c r="AB36" s="127">
        <v>870</v>
      </c>
      <c r="AC36" s="127"/>
      <c r="AD36" s="127">
        <v>870</v>
      </c>
      <c r="AE36" s="127"/>
      <c r="AF36" s="127">
        <v>870</v>
      </c>
      <c r="AG36" s="127"/>
      <c r="AH36" s="127">
        <v>870</v>
      </c>
      <c r="AI36" s="127"/>
      <c r="AJ36" s="127"/>
      <c r="AK36" s="127">
        <v>870</v>
      </c>
      <c r="AL36" s="127"/>
      <c r="AM36" s="127">
        <v>870</v>
      </c>
      <c r="AN36" s="127"/>
      <c r="AO36" s="127">
        <v>870</v>
      </c>
      <c r="AP36" s="127"/>
      <c r="AQ36" s="127">
        <v>870</v>
      </c>
      <c r="AR36" s="127"/>
      <c r="AS36" s="127">
        <v>870</v>
      </c>
      <c r="AT36" s="127"/>
      <c r="AU36" s="127">
        <v>870</v>
      </c>
      <c r="AV36" s="127"/>
      <c r="AW36" s="127">
        <v>870</v>
      </c>
      <c r="AX36" s="127"/>
      <c r="AY36" s="127">
        <v>870</v>
      </c>
    </row>
    <row r="37" spans="1:52" x14ac:dyDescent="0.2">
      <c r="A37" s="127"/>
      <c r="B37" s="181" t="s">
        <v>345</v>
      </c>
      <c r="C37" s="127"/>
      <c r="D37" s="127">
        <v>0</v>
      </c>
      <c r="E37" s="127"/>
      <c r="F37" s="127">
        <v>0</v>
      </c>
      <c r="G37" s="127"/>
      <c r="H37" s="127">
        <v>0</v>
      </c>
      <c r="I37" s="127"/>
      <c r="J37" s="127">
        <v>0</v>
      </c>
      <c r="K37" s="127"/>
      <c r="L37" s="127">
        <v>0</v>
      </c>
      <c r="M37" s="127"/>
      <c r="N37" s="127">
        <v>0</v>
      </c>
      <c r="O37" s="127"/>
      <c r="P37" s="127">
        <v>0</v>
      </c>
      <c r="Q37" s="127"/>
      <c r="R37" s="127">
        <v>0</v>
      </c>
      <c r="S37" s="127"/>
      <c r="T37" s="127">
        <v>0</v>
      </c>
      <c r="U37" s="127"/>
      <c r="V37" s="127">
        <v>0</v>
      </c>
      <c r="W37" s="127"/>
      <c r="X37" s="127">
        <v>0</v>
      </c>
      <c r="Y37" s="127"/>
      <c r="Z37" s="127">
        <v>0</v>
      </c>
      <c r="AA37" s="127"/>
      <c r="AB37" s="127">
        <v>0</v>
      </c>
      <c r="AC37" s="127"/>
      <c r="AD37" s="127">
        <v>0</v>
      </c>
      <c r="AE37" s="127"/>
      <c r="AF37" s="127">
        <v>0</v>
      </c>
      <c r="AG37" s="127"/>
      <c r="AH37" s="127">
        <v>0</v>
      </c>
      <c r="AI37" s="127"/>
      <c r="AJ37" s="127"/>
      <c r="AK37" s="127">
        <v>0</v>
      </c>
      <c r="AL37" s="127"/>
      <c r="AM37" s="127">
        <v>0</v>
      </c>
      <c r="AN37" s="127"/>
      <c r="AO37" s="127">
        <v>0</v>
      </c>
      <c r="AP37" s="127"/>
      <c r="AQ37" s="127">
        <v>0</v>
      </c>
      <c r="AR37" s="127"/>
      <c r="AS37" s="127">
        <v>0</v>
      </c>
      <c r="AT37" s="127"/>
      <c r="AU37" s="127">
        <v>0</v>
      </c>
      <c r="AV37" s="127"/>
      <c r="AW37" s="127">
        <v>0</v>
      </c>
      <c r="AX37" s="127"/>
      <c r="AY37" s="127">
        <v>0</v>
      </c>
    </row>
    <row r="38" spans="1:52" x14ac:dyDescent="0.2">
      <c r="A38" s="127"/>
      <c r="B38" s="181" t="s">
        <v>346</v>
      </c>
      <c r="C38" s="127"/>
      <c r="D38" s="127">
        <v>29</v>
      </c>
      <c r="E38" s="127"/>
      <c r="F38" s="127">
        <v>29</v>
      </c>
      <c r="G38" s="127"/>
      <c r="H38" s="127">
        <v>29</v>
      </c>
      <c r="I38" s="127"/>
      <c r="J38" s="127">
        <v>29</v>
      </c>
      <c r="K38" s="127"/>
      <c r="L38" s="127">
        <v>29</v>
      </c>
      <c r="M38" s="127"/>
      <c r="N38" s="127">
        <v>29</v>
      </c>
      <c r="O38" s="127"/>
      <c r="P38" s="127">
        <v>29</v>
      </c>
      <c r="Q38" s="127"/>
      <c r="R38" s="127">
        <v>29</v>
      </c>
      <c r="S38" s="127"/>
      <c r="T38" s="127">
        <v>29</v>
      </c>
      <c r="U38" s="127"/>
      <c r="V38" s="127">
        <v>29</v>
      </c>
      <c r="W38" s="127"/>
      <c r="X38" s="127">
        <v>29</v>
      </c>
      <c r="Y38" s="127"/>
      <c r="Z38" s="127">
        <v>29</v>
      </c>
      <c r="AA38" s="127"/>
      <c r="AB38" s="127">
        <v>29</v>
      </c>
      <c r="AC38" s="127"/>
      <c r="AD38" s="127">
        <v>29</v>
      </c>
      <c r="AE38" s="127"/>
      <c r="AF38" s="127">
        <v>29</v>
      </c>
      <c r="AG38" s="127"/>
      <c r="AH38" s="127">
        <v>29</v>
      </c>
      <c r="AI38" s="127"/>
      <c r="AJ38" s="127"/>
      <c r="AK38" s="127">
        <v>29</v>
      </c>
      <c r="AL38" s="127"/>
      <c r="AM38" s="127">
        <v>29</v>
      </c>
      <c r="AN38" s="127"/>
      <c r="AO38" s="127">
        <v>29</v>
      </c>
      <c r="AP38" s="127"/>
      <c r="AQ38" s="127">
        <v>29</v>
      </c>
      <c r="AR38" s="127"/>
      <c r="AS38" s="127">
        <v>29</v>
      </c>
      <c r="AT38" s="127"/>
      <c r="AU38" s="127">
        <v>29</v>
      </c>
      <c r="AV38" s="127"/>
      <c r="AW38" s="127">
        <v>29</v>
      </c>
      <c r="AX38" s="127"/>
      <c r="AY38" s="127">
        <v>29</v>
      </c>
    </row>
    <row r="39" spans="1:52" x14ac:dyDescent="0.2">
      <c r="A39" s="127"/>
      <c r="B39" s="181" t="s">
        <v>347</v>
      </c>
      <c r="C39" s="127"/>
      <c r="D39" s="127">
        <f>D33-D36</f>
        <v>1584</v>
      </c>
      <c r="E39" s="127">
        <f t="shared" ref="E39:AY39" si="12">E33-E36</f>
        <v>913</v>
      </c>
      <c r="F39" s="127">
        <f t="shared" si="12"/>
        <v>43</v>
      </c>
      <c r="G39" s="127">
        <f t="shared" si="12"/>
        <v>913</v>
      </c>
      <c r="H39" s="127">
        <f t="shared" si="12"/>
        <v>43</v>
      </c>
      <c r="I39" s="127">
        <f t="shared" si="12"/>
        <v>913</v>
      </c>
      <c r="J39" s="127">
        <f t="shared" si="12"/>
        <v>43</v>
      </c>
      <c r="K39" s="127">
        <f t="shared" si="12"/>
        <v>913</v>
      </c>
      <c r="L39" s="127">
        <f t="shared" si="12"/>
        <v>43</v>
      </c>
      <c r="M39" s="127">
        <f t="shared" si="12"/>
        <v>913</v>
      </c>
      <c r="N39" s="127">
        <f t="shared" si="12"/>
        <v>43</v>
      </c>
      <c r="O39" s="127">
        <f t="shared" si="12"/>
        <v>913</v>
      </c>
      <c r="P39" s="127">
        <f t="shared" si="12"/>
        <v>43</v>
      </c>
      <c r="Q39" s="127">
        <f t="shared" si="12"/>
        <v>913</v>
      </c>
      <c r="R39" s="127">
        <f t="shared" si="12"/>
        <v>43</v>
      </c>
      <c r="S39" s="127">
        <f t="shared" si="12"/>
        <v>913</v>
      </c>
      <c r="T39" s="127">
        <f t="shared" si="12"/>
        <v>43</v>
      </c>
      <c r="U39" s="127">
        <f t="shared" si="12"/>
        <v>0</v>
      </c>
      <c r="V39" s="127">
        <f t="shared" si="12"/>
        <v>43</v>
      </c>
      <c r="W39" s="127">
        <f t="shared" si="12"/>
        <v>913</v>
      </c>
      <c r="X39" s="127">
        <f t="shared" si="12"/>
        <v>43</v>
      </c>
      <c r="Y39" s="127">
        <f t="shared" si="12"/>
        <v>913</v>
      </c>
      <c r="Z39" s="127">
        <f t="shared" si="12"/>
        <v>43</v>
      </c>
      <c r="AA39" s="127">
        <f t="shared" si="12"/>
        <v>913</v>
      </c>
      <c r="AB39" s="127">
        <f t="shared" si="12"/>
        <v>43</v>
      </c>
      <c r="AC39" s="127">
        <f t="shared" si="12"/>
        <v>913</v>
      </c>
      <c r="AD39" s="127">
        <f t="shared" si="12"/>
        <v>43</v>
      </c>
      <c r="AE39" s="127">
        <f t="shared" si="12"/>
        <v>913</v>
      </c>
      <c r="AF39" s="127">
        <f t="shared" si="12"/>
        <v>43</v>
      </c>
      <c r="AG39" s="127">
        <f t="shared" si="12"/>
        <v>913</v>
      </c>
      <c r="AH39" s="127">
        <f t="shared" si="12"/>
        <v>43</v>
      </c>
      <c r="AI39" s="127">
        <f t="shared" si="12"/>
        <v>913</v>
      </c>
      <c r="AJ39" s="127">
        <f t="shared" si="12"/>
        <v>0</v>
      </c>
      <c r="AK39" s="127">
        <f t="shared" si="12"/>
        <v>43</v>
      </c>
      <c r="AL39" s="127">
        <f t="shared" si="12"/>
        <v>913</v>
      </c>
      <c r="AM39" s="127">
        <f t="shared" si="12"/>
        <v>43</v>
      </c>
      <c r="AN39" s="127">
        <f t="shared" si="12"/>
        <v>0</v>
      </c>
      <c r="AO39" s="127">
        <f t="shared" si="12"/>
        <v>43</v>
      </c>
      <c r="AP39" s="127">
        <f t="shared" si="12"/>
        <v>913</v>
      </c>
      <c r="AQ39" s="127">
        <f t="shared" si="12"/>
        <v>43</v>
      </c>
      <c r="AR39" s="127">
        <f t="shared" si="12"/>
        <v>913</v>
      </c>
      <c r="AS39" s="127">
        <f t="shared" si="12"/>
        <v>43</v>
      </c>
      <c r="AT39" s="127">
        <f t="shared" si="12"/>
        <v>913</v>
      </c>
      <c r="AU39" s="127">
        <f t="shared" si="12"/>
        <v>43</v>
      </c>
      <c r="AV39" s="127">
        <f t="shared" si="12"/>
        <v>913</v>
      </c>
      <c r="AW39" s="127">
        <f t="shared" si="12"/>
        <v>43</v>
      </c>
      <c r="AX39" s="127">
        <f t="shared" si="12"/>
        <v>0</v>
      </c>
      <c r="AY39" s="127">
        <f t="shared" si="12"/>
        <v>43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0</v>
      </c>
      <c r="G40" s="127">
        <f t="shared" si="13"/>
        <v>0</v>
      </c>
      <c r="H40" s="127">
        <f t="shared" si="13"/>
        <v>0</v>
      </c>
      <c r="I40" s="127">
        <f t="shared" si="13"/>
        <v>0</v>
      </c>
      <c r="J40" s="127">
        <f t="shared" si="13"/>
        <v>0</v>
      </c>
      <c r="K40" s="127">
        <f t="shared" si="13"/>
        <v>0</v>
      </c>
      <c r="L40" s="127">
        <f t="shared" si="13"/>
        <v>0</v>
      </c>
      <c r="M40" s="127">
        <f t="shared" si="13"/>
        <v>0</v>
      </c>
      <c r="N40" s="127">
        <f t="shared" si="13"/>
        <v>0</v>
      </c>
      <c r="O40" s="127">
        <f t="shared" si="13"/>
        <v>0</v>
      </c>
      <c r="P40" s="127">
        <f t="shared" si="13"/>
        <v>0</v>
      </c>
      <c r="Q40" s="127">
        <f t="shared" si="13"/>
        <v>0</v>
      </c>
      <c r="R40" s="127">
        <f t="shared" si="13"/>
        <v>0</v>
      </c>
      <c r="S40" s="127">
        <f t="shared" si="13"/>
        <v>0</v>
      </c>
      <c r="T40" s="127">
        <f t="shared" si="13"/>
        <v>0</v>
      </c>
      <c r="U40" s="127">
        <f t="shared" si="13"/>
        <v>0</v>
      </c>
      <c r="V40" s="127">
        <f t="shared" si="13"/>
        <v>0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0</v>
      </c>
      <c r="AA40" s="127">
        <f t="shared" si="13"/>
        <v>0</v>
      </c>
      <c r="AB40" s="127">
        <f t="shared" si="13"/>
        <v>0</v>
      </c>
      <c r="AC40" s="127">
        <f t="shared" si="13"/>
        <v>0</v>
      </c>
      <c r="AD40" s="127">
        <f t="shared" si="13"/>
        <v>0</v>
      </c>
      <c r="AE40" s="127">
        <f t="shared" si="13"/>
        <v>0</v>
      </c>
      <c r="AF40" s="127">
        <f t="shared" si="13"/>
        <v>0</v>
      </c>
      <c r="AG40" s="127">
        <f t="shared" si="13"/>
        <v>0</v>
      </c>
      <c r="AH40" s="127">
        <f t="shared" si="13"/>
        <v>0</v>
      </c>
      <c r="AI40" s="127">
        <f t="shared" si="13"/>
        <v>0</v>
      </c>
      <c r="AJ40" s="127">
        <f t="shared" si="13"/>
        <v>0</v>
      </c>
      <c r="AK40" s="127">
        <f t="shared" si="13"/>
        <v>0</v>
      </c>
      <c r="AL40" s="127">
        <f t="shared" si="13"/>
        <v>0</v>
      </c>
      <c r="AM40" s="127">
        <f t="shared" si="13"/>
        <v>0</v>
      </c>
      <c r="AN40" s="127">
        <f t="shared" si="13"/>
        <v>0</v>
      </c>
      <c r="AO40" s="127">
        <f t="shared" si="13"/>
        <v>0</v>
      </c>
      <c r="AP40" s="127">
        <f t="shared" si="13"/>
        <v>0</v>
      </c>
      <c r="AQ40" s="127">
        <f t="shared" si="13"/>
        <v>0</v>
      </c>
      <c r="AR40" s="127">
        <f t="shared" si="13"/>
        <v>0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0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1</v>
      </c>
      <c r="E41" s="127">
        <v>3</v>
      </c>
      <c r="F41" s="127">
        <v>2</v>
      </c>
      <c r="G41" s="127">
        <v>1</v>
      </c>
      <c r="H41" s="127">
        <v>1</v>
      </c>
      <c r="I41" s="127">
        <v>1</v>
      </c>
      <c r="J41" s="127">
        <v>3</v>
      </c>
      <c r="K41" s="127">
        <v>1</v>
      </c>
      <c r="L41" s="127">
        <v>1</v>
      </c>
      <c r="M41" s="127">
        <v>2</v>
      </c>
      <c r="N41" s="127">
        <v>2</v>
      </c>
      <c r="O41" s="127">
        <v>2</v>
      </c>
      <c r="P41" s="127">
        <v>1</v>
      </c>
      <c r="Q41" s="127">
        <v>1</v>
      </c>
      <c r="R41" s="127">
        <v>1</v>
      </c>
      <c r="S41" s="127">
        <v>1</v>
      </c>
      <c r="T41" s="127">
        <v>1</v>
      </c>
      <c r="U41" s="127">
        <v>1</v>
      </c>
      <c r="V41" s="127">
        <v>1</v>
      </c>
      <c r="W41" s="127">
        <v>1</v>
      </c>
      <c r="X41" s="127">
        <v>1</v>
      </c>
      <c r="Y41" s="127">
        <v>1</v>
      </c>
      <c r="Z41" s="127">
        <v>1</v>
      </c>
      <c r="AA41" s="127">
        <v>1</v>
      </c>
      <c r="AB41" s="127">
        <v>1</v>
      </c>
      <c r="AC41" s="127">
        <v>1</v>
      </c>
      <c r="AD41" s="127">
        <v>1</v>
      </c>
      <c r="AE41" s="127">
        <v>2</v>
      </c>
      <c r="AF41" s="127">
        <v>2</v>
      </c>
      <c r="AG41" s="127">
        <v>2</v>
      </c>
      <c r="AH41" s="127">
        <v>1</v>
      </c>
      <c r="AI41" s="127">
        <v>3</v>
      </c>
      <c r="AJ41" s="127">
        <v>3</v>
      </c>
      <c r="AK41" s="127">
        <v>1</v>
      </c>
      <c r="AL41" s="127">
        <v>1</v>
      </c>
      <c r="AM41" s="127">
        <v>1</v>
      </c>
      <c r="AN41" s="127">
        <v>2</v>
      </c>
      <c r="AO41" s="127">
        <v>2</v>
      </c>
      <c r="AP41" s="127">
        <v>3</v>
      </c>
      <c r="AQ41" s="127">
        <v>1</v>
      </c>
      <c r="AR41" s="127">
        <v>1</v>
      </c>
      <c r="AS41" s="127">
        <v>1</v>
      </c>
      <c r="AT41" s="127">
        <v>1</v>
      </c>
      <c r="AU41" s="127">
        <v>1</v>
      </c>
      <c r="AV41" s="127">
        <v>1</v>
      </c>
      <c r="AW41" s="127">
        <v>1</v>
      </c>
      <c r="AX41" s="127">
        <v>1</v>
      </c>
      <c r="AY41" s="127">
        <v>3</v>
      </c>
    </row>
    <row r="42" spans="1:52" x14ac:dyDescent="0.2">
      <c r="A42" s="127"/>
      <c r="B42" s="192" t="s">
        <v>350</v>
      </c>
      <c r="C42" s="127"/>
      <c r="D42" s="127">
        <v>1278900</v>
      </c>
      <c r="E42" s="127">
        <v>0</v>
      </c>
      <c r="F42" s="127">
        <v>1278900</v>
      </c>
      <c r="G42" s="127">
        <v>0</v>
      </c>
      <c r="H42" s="127">
        <v>1278900</v>
      </c>
      <c r="I42" s="127">
        <v>0</v>
      </c>
      <c r="J42" s="127">
        <v>1278900</v>
      </c>
      <c r="K42" s="127">
        <v>0</v>
      </c>
      <c r="L42" s="127">
        <v>1278900</v>
      </c>
      <c r="M42" s="127">
        <v>0</v>
      </c>
      <c r="N42" s="127">
        <v>1278900</v>
      </c>
      <c r="O42" s="127">
        <v>0</v>
      </c>
      <c r="P42" s="127">
        <v>1278900</v>
      </c>
      <c r="Q42" s="127">
        <v>0</v>
      </c>
      <c r="R42" s="127">
        <v>1278900</v>
      </c>
      <c r="S42" s="127">
        <v>0</v>
      </c>
      <c r="T42" s="127">
        <v>1278900</v>
      </c>
      <c r="U42" s="127">
        <v>0</v>
      </c>
      <c r="V42" s="127">
        <v>1278900</v>
      </c>
      <c r="W42" s="127">
        <v>0</v>
      </c>
      <c r="X42" s="127">
        <v>1278900</v>
      </c>
      <c r="Y42" s="127">
        <v>0</v>
      </c>
      <c r="Z42" s="127">
        <v>1278900</v>
      </c>
      <c r="AA42" s="127">
        <v>0</v>
      </c>
      <c r="AB42" s="127">
        <v>1278900</v>
      </c>
      <c r="AC42" s="127">
        <v>0</v>
      </c>
      <c r="AD42" s="127">
        <v>1278900</v>
      </c>
      <c r="AE42" s="127">
        <v>0</v>
      </c>
      <c r="AF42" s="127">
        <v>1278900</v>
      </c>
      <c r="AG42" s="127">
        <v>0</v>
      </c>
      <c r="AH42" s="127">
        <v>1278900</v>
      </c>
      <c r="AI42" s="127">
        <v>0</v>
      </c>
      <c r="AJ42" s="127">
        <v>0</v>
      </c>
      <c r="AK42" s="127">
        <v>1278900</v>
      </c>
      <c r="AL42" s="127">
        <v>0</v>
      </c>
      <c r="AM42" s="127">
        <v>1278900</v>
      </c>
      <c r="AN42" s="127">
        <v>0</v>
      </c>
      <c r="AO42" s="127">
        <v>1278900</v>
      </c>
      <c r="AP42" s="127">
        <v>0</v>
      </c>
      <c r="AQ42" s="127">
        <v>1278900</v>
      </c>
      <c r="AR42" s="127">
        <v>0</v>
      </c>
      <c r="AS42" s="127">
        <v>1278900</v>
      </c>
      <c r="AT42" s="127">
        <v>0</v>
      </c>
      <c r="AU42" s="127">
        <v>1278900</v>
      </c>
      <c r="AV42" s="127">
        <v>0</v>
      </c>
      <c r="AW42" s="127">
        <v>1278900</v>
      </c>
      <c r="AX42" s="127">
        <v>0</v>
      </c>
      <c r="AY42" s="127">
        <v>1278900</v>
      </c>
      <c r="AZ42">
        <f>SUM($D$42:$AY$42)</f>
        <v>30693600</v>
      </c>
    </row>
    <row r="43" spans="1:52" x14ac:dyDescent="0.2">
      <c r="A43" s="127"/>
      <c r="B43" s="192" t="s">
        <v>351</v>
      </c>
      <c r="C43" s="127"/>
      <c r="D43" s="127">
        <v>1261260</v>
      </c>
      <c r="E43" s="127">
        <v>726976.25</v>
      </c>
      <c r="F43" s="127">
        <v>34238.75</v>
      </c>
      <c r="G43" s="127">
        <v>726976.25</v>
      </c>
      <c r="H43" s="127">
        <v>34238.75</v>
      </c>
      <c r="I43" s="127">
        <v>726976.25</v>
      </c>
      <c r="J43" s="127">
        <v>34238.75</v>
      </c>
      <c r="K43" s="127">
        <v>726976.25</v>
      </c>
      <c r="L43" s="127">
        <v>34238.75</v>
      </c>
      <c r="M43" s="127">
        <v>726976.25</v>
      </c>
      <c r="N43" s="127">
        <v>34238.75</v>
      </c>
      <c r="O43" s="127">
        <v>726976.25</v>
      </c>
      <c r="P43" s="127">
        <v>34238.75</v>
      </c>
      <c r="Q43" s="127">
        <v>726976.25</v>
      </c>
      <c r="R43" s="127">
        <v>34238.75</v>
      </c>
      <c r="S43" s="127">
        <v>726976.25</v>
      </c>
      <c r="T43" s="127">
        <v>34238.75</v>
      </c>
      <c r="U43" s="127">
        <v>0</v>
      </c>
      <c r="V43" s="127">
        <v>34238.75</v>
      </c>
      <c r="W43" s="127">
        <v>726976.25</v>
      </c>
      <c r="X43" s="127">
        <v>34238.75</v>
      </c>
      <c r="Y43" s="127">
        <v>726976.25</v>
      </c>
      <c r="Z43" s="127">
        <v>34238.75</v>
      </c>
      <c r="AA43" s="127">
        <v>726976.25</v>
      </c>
      <c r="AB43" s="127">
        <v>34238.75</v>
      </c>
      <c r="AC43" s="127">
        <v>726976.25</v>
      </c>
      <c r="AD43" s="127">
        <v>34238.75</v>
      </c>
      <c r="AE43" s="127">
        <v>726976.25</v>
      </c>
      <c r="AF43" s="127">
        <v>34238.75</v>
      </c>
      <c r="AG43" s="127">
        <v>726976.25</v>
      </c>
      <c r="AH43" s="127">
        <v>34238.75</v>
      </c>
      <c r="AI43" s="127">
        <v>726976.25</v>
      </c>
      <c r="AJ43" s="127">
        <v>0</v>
      </c>
      <c r="AK43" s="127">
        <v>34238.75</v>
      </c>
      <c r="AL43" s="127">
        <v>726976.25</v>
      </c>
      <c r="AM43" s="127">
        <v>34238.75</v>
      </c>
      <c r="AN43" s="127">
        <v>0</v>
      </c>
      <c r="AO43" s="127">
        <v>34238.75</v>
      </c>
      <c r="AP43" s="127">
        <v>726976.25</v>
      </c>
      <c r="AQ43" s="127">
        <v>34238.75</v>
      </c>
      <c r="AR43" s="127">
        <v>726976.25</v>
      </c>
      <c r="AS43" s="127">
        <v>34238.75</v>
      </c>
      <c r="AT43" s="127">
        <v>726976.25</v>
      </c>
      <c r="AU43" s="127">
        <v>34238.75</v>
      </c>
      <c r="AV43" s="127">
        <v>726976.25</v>
      </c>
      <c r="AW43" s="127">
        <v>34238.75</v>
      </c>
      <c r="AX43" s="127">
        <v>0</v>
      </c>
      <c r="AY43" s="127">
        <v>34238.75</v>
      </c>
      <c r="AZ43">
        <f>SUM($D$43:$AY$43)</f>
        <v>16588276.25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D$21*shipping_manufacturing!$F$28/100</f>
        <v>0</v>
      </c>
      <c r="E44" s="140">
        <f>E$21*shipping_manufacturing!$F$28/100</f>
        <v>0</v>
      </c>
      <c r="F44" s="140">
        <f>F$21*shipping_manufacturing!$F$28/100</f>
        <v>0</v>
      </c>
      <c r="G44" s="140">
        <f>G$21*shipping_manufacturing!$F$28/100</f>
        <v>0</v>
      </c>
      <c r="H44" s="140">
        <f>H$21*shipping_manufacturing!$F$28/100</f>
        <v>0</v>
      </c>
      <c r="I44" s="140">
        <f>I$21*shipping_manufacturing!$F$28/100</f>
        <v>0</v>
      </c>
      <c r="J44" s="140">
        <f>J$21*shipping_manufacturing!$F$28/100</f>
        <v>0</v>
      </c>
      <c r="K44" s="140">
        <f>K$21*shipping_manufacturing!$F$28/100</f>
        <v>0</v>
      </c>
      <c r="L44" s="140">
        <f>L$21*shipping_manufacturing!$F$28/100</f>
        <v>0</v>
      </c>
      <c r="M44" s="140">
        <f>M$21*shipping_manufacturing!$F$28/100</f>
        <v>0</v>
      </c>
      <c r="N44" s="140">
        <f>N$21*shipping_manufacturing!$F$28/100</f>
        <v>0</v>
      </c>
      <c r="O44" s="140">
        <f>O$21*shipping_manufacturing!$F$28/100</f>
        <v>0</v>
      </c>
      <c r="P44" s="140">
        <f>P$21*shipping_manufacturing!$F$28/100</f>
        <v>0</v>
      </c>
      <c r="Q44" s="140">
        <f>Q$21*shipping_manufacturing!$F$28/100</f>
        <v>0</v>
      </c>
      <c r="R44" s="140">
        <f>R$21*shipping_manufacturing!$F$28/100</f>
        <v>0</v>
      </c>
      <c r="S44" s="140">
        <f>S$21*shipping_manufacturing!$F$28/100</f>
        <v>0</v>
      </c>
      <c r="T44" s="140">
        <f>T$21*shipping_manufacturing!$F$28/100</f>
        <v>0</v>
      </c>
      <c r="U44" s="140">
        <f>U$21*shipping_manufacturing!$F$28/100</f>
        <v>0</v>
      </c>
      <c r="V44" s="140">
        <f>V$21*shipping_manufacturing!$F$28/100</f>
        <v>0</v>
      </c>
      <c r="W44" s="140">
        <f>W$21*shipping_manufacturing!$F$28/100</f>
        <v>0</v>
      </c>
      <c r="X44" s="140">
        <f>X$21*shipping_manufacturing!$F$28/100</f>
        <v>0</v>
      </c>
      <c r="Y44" s="140">
        <f>Y$21*shipping_manufacturing!$F$28/100</f>
        <v>0</v>
      </c>
      <c r="Z44" s="140">
        <f>Z$21*shipping_manufacturing!$F$28/100</f>
        <v>0</v>
      </c>
      <c r="AA44" s="140">
        <f>AA$21*shipping_manufacturing!$F$28/100</f>
        <v>0</v>
      </c>
      <c r="AB44" s="140">
        <f>AB$21*shipping_manufacturing!$F$28/100</f>
        <v>0</v>
      </c>
      <c r="AC44" s="140">
        <f>AC$21*shipping_manufacturing!$F$28/100</f>
        <v>0</v>
      </c>
      <c r="AD44" s="140">
        <f>AD$21*shipping_manufacturing!$F$28/100</f>
        <v>0</v>
      </c>
      <c r="AE44" s="140">
        <f>AE$21*shipping_manufacturing!$F$28/100</f>
        <v>0</v>
      </c>
      <c r="AF44" s="140">
        <f>AF$21*shipping_manufacturing!$F$28/100</f>
        <v>0</v>
      </c>
      <c r="AG44" s="140">
        <f>AG$21*shipping_manufacturing!$F$28/100</f>
        <v>0</v>
      </c>
      <c r="AH44" s="140">
        <f>AH$21*shipping_manufacturing!$F$28/100</f>
        <v>0</v>
      </c>
      <c r="AI44" s="140">
        <f>AI$21*shipping_manufacturing!$F$28/100</f>
        <v>0</v>
      </c>
      <c r="AJ44" s="140">
        <f>AJ$21*shipping_manufacturing!$F$28/100</f>
        <v>0</v>
      </c>
      <c r="AK44" s="140">
        <f>AK$21*shipping_manufacturing!$F$28/100</f>
        <v>0</v>
      </c>
      <c r="AL44" s="140">
        <f>AL$21*shipping_manufacturing!$F$28/100</f>
        <v>0</v>
      </c>
      <c r="AM44" s="140">
        <f>AM$21*shipping_manufacturing!$F$28/100</f>
        <v>0</v>
      </c>
      <c r="AN44" s="140">
        <f>AN$21*shipping_manufacturing!$F$28/100</f>
        <v>0</v>
      </c>
      <c r="AO44" s="140">
        <f>AO$21*shipping_manufacturing!$F$28/100</f>
        <v>0</v>
      </c>
      <c r="AP44" s="140">
        <f>AP$21*shipping_manufacturing!$F$28/100</f>
        <v>0</v>
      </c>
      <c r="AQ44" s="140">
        <f>AQ$21*shipping_manufacturing!$F$28/100</f>
        <v>0</v>
      </c>
      <c r="AR44" s="140">
        <f>AR$21*shipping_manufacturing!$F$28/100</f>
        <v>0</v>
      </c>
      <c r="AS44" s="140">
        <f>AS$21*shipping_manufacturing!$F$28/100</f>
        <v>0</v>
      </c>
      <c r="AT44" s="140">
        <f>AT$21*shipping_manufacturing!$F$28/100</f>
        <v>0</v>
      </c>
      <c r="AU44" s="140">
        <f>AU$21*shipping_manufacturing!$F$28/100</f>
        <v>0</v>
      </c>
      <c r="AV44" s="140">
        <f>AV$21*shipping_manufacturing!$F$28/100</f>
        <v>0</v>
      </c>
      <c r="AW44" s="140">
        <f>AW$21*shipping_manufacturing!$F$28/100</f>
        <v>0</v>
      </c>
      <c r="AX44" s="140">
        <f>AX$21*shipping_manufacturing!$F$28/100</f>
        <v>0</v>
      </c>
      <c r="AY44" s="140">
        <f>AY$21*shipping_manufacturing!$F$28/100</f>
        <v>0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D$22*shipping_manufacturing!$G$28/100</f>
        <v>0</v>
      </c>
      <c r="E45" s="127">
        <f>E$22*shipping_manufacturing!$G$28/100</f>
        <v>0</v>
      </c>
      <c r="F45" s="127">
        <f>F$22*shipping_manufacturing!$G$28/100</f>
        <v>0</v>
      </c>
      <c r="G45" s="127">
        <f>G$22*shipping_manufacturing!$G$28/100</f>
        <v>0</v>
      </c>
      <c r="H45" s="127">
        <f>H$22*shipping_manufacturing!$G$28/100</f>
        <v>0</v>
      </c>
      <c r="I45" s="127">
        <f>I$22*shipping_manufacturing!$G$28/100</f>
        <v>0</v>
      </c>
      <c r="J45" s="127">
        <f>J$22*shipping_manufacturing!$G$28/100</f>
        <v>0</v>
      </c>
      <c r="K45" s="127">
        <f>K$22*shipping_manufacturing!$G$28/100</f>
        <v>0</v>
      </c>
      <c r="L45" s="127">
        <f>L$22*shipping_manufacturing!$G$28/100</f>
        <v>0</v>
      </c>
      <c r="M45" s="127">
        <f>M$22*shipping_manufacturing!$G$28/100</f>
        <v>0</v>
      </c>
      <c r="N45" s="127">
        <f>N$22*shipping_manufacturing!$G$28/100</f>
        <v>0</v>
      </c>
      <c r="O45" s="127">
        <f>O$22*shipping_manufacturing!$G$28/100</f>
        <v>0</v>
      </c>
      <c r="P45" s="127">
        <f>P$22*shipping_manufacturing!$G$28/100</f>
        <v>0</v>
      </c>
      <c r="Q45" s="127">
        <f>Q$22*shipping_manufacturing!$G$28/100</f>
        <v>0</v>
      </c>
      <c r="R45" s="127">
        <f>R$22*shipping_manufacturing!$G$28/100</f>
        <v>0</v>
      </c>
      <c r="S45" s="127">
        <f>S$22*shipping_manufacturing!$G$28/100</f>
        <v>0</v>
      </c>
      <c r="T45" s="127">
        <f>T$22*shipping_manufacturing!$G$28/100</f>
        <v>0</v>
      </c>
      <c r="U45" s="127">
        <f>U$22*shipping_manufacturing!$G$28/100</f>
        <v>0</v>
      </c>
      <c r="V45" s="127">
        <f>V$22*shipping_manufacturing!$G$28/100</f>
        <v>0</v>
      </c>
      <c r="W45" s="127">
        <f>W$22*shipping_manufacturing!$G$28/100</f>
        <v>0</v>
      </c>
      <c r="X45" s="127">
        <f>X$22*shipping_manufacturing!$G$28/100</f>
        <v>0</v>
      </c>
      <c r="Y45" s="127">
        <f>Y$22*shipping_manufacturing!$G$28/100</f>
        <v>0</v>
      </c>
      <c r="Z45" s="127">
        <f>Z$22*shipping_manufacturing!$G$28/100</f>
        <v>0</v>
      </c>
      <c r="AA45" s="127">
        <f>AA$22*shipping_manufacturing!$G$28/100</f>
        <v>0</v>
      </c>
      <c r="AB45" s="127">
        <f>AB$22*shipping_manufacturing!$G$28/100</f>
        <v>0</v>
      </c>
      <c r="AC45" s="127">
        <f>AC$22*shipping_manufacturing!$G$28/100</f>
        <v>0</v>
      </c>
      <c r="AD45" s="127">
        <f>AD$22*shipping_manufacturing!$G$28/100</f>
        <v>0</v>
      </c>
      <c r="AE45" s="127">
        <f>AE$22*shipping_manufacturing!$G$28/100</f>
        <v>0</v>
      </c>
      <c r="AF45" s="127">
        <f>AF$22*shipping_manufacturing!$G$28/100</f>
        <v>0</v>
      </c>
      <c r="AG45" s="127">
        <f>AG$22*shipping_manufacturing!$G$28/100</f>
        <v>0</v>
      </c>
      <c r="AH45" s="127">
        <f>AH$22*shipping_manufacturing!$G$28/100</f>
        <v>0</v>
      </c>
      <c r="AI45" s="127">
        <f>AI$22*shipping_manufacturing!$G$28/100</f>
        <v>0</v>
      </c>
      <c r="AJ45" s="127">
        <f>AJ$22*shipping_manufacturing!$G$28/100</f>
        <v>0</v>
      </c>
      <c r="AK45" s="127">
        <f>AK$22*shipping_manufacturing!$G$28/100</f>
        <v>0</v>
      </c>
      <c r="AL45" s="127">
        <f>AL$22*shipping_manufacturing!$G$28/100</f>
        <v>0</v>
      </c>
      <c r="AM45" s="127">
        <f>AM$22*shipping_manufacturing!$G$28/100</f>
        <v>0</v>
      </c>
      <c r="AN45" s="127">
        <f>AN$22*shipping_manufacturing!$G$28/100</f>
        <v>0</v>
      </c>
      <c r="AO45" s="127">
        <f>AO$22*shipping_manufacturing!$G$28/100</f>
        <v>0</v>
      </c>
      <c r="AP45" s="127">
        <f>AP$22*shipping_manufacturing!$G$28/100</f>
        <v>0</v>
      </c>
      <c r="AQ45" s="127">
        <f>AQ$22*shipping_manufacturing!$G$28/100</f>
        <v>0</v>
      </c>
      <c r="AR45" s="127">
        <f>AR$22*shipping_manufacturing!$G$28/100</f>
        <v>0</v>
      </c>
      <c r="AS45" s="127">
        <f>AS$22*shipping_manufacturing!$G$28/100</f>
        <v>0</v>
      </c>
      <c r="AT45" s="127">
        <f>AT$22*shipping_manufacturing!$G$28/100</f>
        <v>0</v>
      </c>
      <c r="AU45" s="127">
        <f>AU$22*shipping_manufacturing!$G$28/100</f>
        <v>0</v>
      </c>
      <c r="AV45" s="127">
        <f>AV$22*shipping_manufacturing!$G$28/100</f>
        <v>0</v>
      </c>
      <c r="AW45" s="127">
        <f>AW$22*shipping_manufacturing!$G$28/100</f>
        <v>0</v>
      </c>
      <c r="AX45" s="127">
        <f>AX$22*shipping_manufacturing!$G$28/100</f>
        <v>0</v>
      </c>
      <c r="AY45" s="127">
        <f>AY$22*shipping_manufacturing!$G$28/100</f>
        <v>0</v>
      </c>
    </row>
    <row r="46" spans="1:52" x14ac:dyDescent="0.2">
      <c r="A46" s="127">
        <v>2339</v>
      </c>
      <c r="B46" s="181" t="s">
        <v>343</v>
      </c>
      <c r="C46" s="127"/>
      <c r="D46" s="127">
        <f>SUM(D44:D45)</f>
        <v>0</v>
      </c>
      <c r="E46" s="127">
        <f t="shared" ref="E46:AY46" si="14">SUM(E44:E45)</f>
        <v>0</v>
      </c>
      <c r="F46" s="127">
        <f t="shared" si="14"/>
        <v>0</v>
      </c>
      <c r="G46" s="127">
        <f t="shared" si="14"/>
        <v>0</v>
      </c>
      <c r="H46" s="127">
        <f t="shared" si="14"/>
        <v>0</v>
      </c>
      <c r="I46" s="127">
        <f t="shared" si="14"/>
        <v>0</v>
      </c>
      <c r="J46" s="127">
        <f t="shared" si="14"/>
        <v>0</v>
      </c>
      <c r="K46" s="127">
        <f t="shared" si="14"/>
        <v>0</v>
      </c>
      <c r="L46" s="127">
        <f t="shared" si="14"/>
        <v>0</v>
      </c>
      <c r="M46" s="127">
        <f t="shared" si="14"/>
        <v>0</v>
      </c>
      <c r="N46" s="127">
        <f t="shared" si="14"/>
        <v>0</v>
      </c>
      <c r="O46" s="127">
        <f t="shared" si="14"/>
        <v>0</v>
      </c>
      <c r="P46" s="127">
        <f t="shared" si="14"/>
        <v>0</v>
      </c>
      <c r="Q46" s="127">
        <f t="shared" si="14"/>
        <v>0</v>
      </c>
      <c r="R46" s="127">
        <f t="shared" si="14"/>
        <v>0</v>
      </c>
      <c r="S46" s="127">
        <f t="shared" si="14"/>
        <v>0</v>
      </c>
      <c r="T46" s="127">
        <f t="shared" si="14"/>
        <v>0</v>
      </c>
      <c r="U46" s="127">
        <f t="shared" si="14"/>
        <v>0</v>
      </c>
      <c r="V46" s="127">
        <f t="shared" si="14"/>
        <v>0</v>
      </c>
      <c r="W46" s="127">
        <f t="shared" si="14"/>
        <v>0</v>
      </c>
      <c r="X46" s="127">
        <f t="shared" si="14"/>
        <v>0</v>
      </c>
      <c r="Y46" s="127">
        <f t="shared" si="14"/>
        <v>0</v>
      </c>
      <c r="Z46" s="127">
        <f t="shared" si="14"/>
        <v>0</v>
      </c>
      <c r="AA46" s="127">
        <f t="shared" si="14"/>
        <v>0</v>
      </c>
      <c r="AB46" s="127">
        <f t="shared" si="14"/>
        <v>0</v>
      </c>
      <c r="AC46" s="127">
        <f t="shared" si="14"/>
        <v>0</v>
      </c>
      <c r="AD46" s="127">
        <f t="shared" si="14"/>
        <v>0</v>
      </c>
      <c r="AE46" s="127">
        <f t="shared" si="14"/>
        <v>0</v>
      </c>
      <c r="AF46" s="127">
        <f t="shared" si="14"/>
        <v>0</v>
      </c>
      <c r="AG46" s="127">
        <f t="shared" si="14"/>
        <v>0</v>
      </c>
      <c r="AH46" s="127">
        <f t="shared" si="14"/>
        <v>0</v>
      </c>
      <c r="AI46" s="127">
        <f t="shared" si="14"/>
        <v>0</v>
      </c>
      <c r="AJ46" s="127">
        <f t="shared" si="14"/>
        <v>0</v>
      </c>
      <c r="AK46" s="127">
        <f t="shared" si="14"/>
        <v>0</v>
      </c>
      <c r="AL46" s="127">
        <f t="shared" si="14"/>
        <v>0</v>
      </c>
      <c r="AM46" s="127">
        <f t="shared" si="14"/>
        <v>0</v>
      </c>
      <c r="AN46" s="127">
        <f t="shared" si="14"/>
        <v>0</v>
      </c>
      <c r="AO46" s="127">
        <f t="shared" si="14"/>
        <v>0</v>
      </c>
      <c r="AP46" s="127">
        <f t="shared" si="14"/>
        <v>0</v>
      </c>
      <c r="AQ46" s="127">
        <f t="shared" si="14"/>
        <v>0</v>
      </c>
      <c r="AR46" s="127">
        <f t="shared" si="14"/>
        <v>0</v>
      </c>
      <c r="AS46" s="127">
        <f t="shared" si="14"/>
        <v>0</v>
      </c>
      <c r="AT46" s="127">
        <f t="shared" si="14"/>
        <v>0</v>
      </c>
      <c r="AU46" s="127">
        <f t="shared" si="14"/>
        <v>0</v>
      </c>
      <c r="AV46" s="127">
        <f t="shared" si="14"/>
        <v>0</v>
      </c>
      <c r="AW46" s="127">
        <f t="shared" si="14"/>
        <v>0</v>
      </c>
      <c r="AX46" s="127">
        <f t="shared" si="14"/>
        <v>0</v>
      </c>
      <c r="AY46" s="127">
        <f t="shared" si="14"/>
        <v>0</v>
      </c>
    </row>
    <row r="47" spans="1:52" x14ac:dyDescent="0.2">
      <c r="A47" s="127"/>
      <c r="B47" s="181" t="s">
        <v>344</v>
      </c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2" x14ac:dyDescent="0.2">
      <c r="A48" s="127"/>
      <c r="B48" s="181" t="s">
        <v>345</v>
      </c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2" x14ac:dyDescent="0.2">
      <c r="A49" s="127"/>
      <c r="B49" s="181" t="s">
        <v>346</v>
      </c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2" x14ac:dyDescent="0.2">
      <c r="A50" s="127"/>
      <c r="B50" s="181" t="s">
        <v>347</v>
      </c>
      <c r="C50" s="127"/>
      <c r="D50" s="127">
        <f>D44-D47</f>
        <v>0</v>
      </c>
      <c r="E50" s="127">
        <f t="shared" ref="E50:AY50" si="15">E44-E47</f>
        <v>0</v>
      </c>
      <c r="F50" s="127">
        <f t="shared" si="15"/>
        <v>0</v>
      </c>
      <c r="G50" s="127">
        <f t="shared" si="15"/>
        <v>0</v>
      </c>
      <c r="H50" s="127">
        <f t="shared" si="15"/>
        <v>0</v>
      </c>
      <c r="I50" s="127">
        <f t="shared" si="15"/>
        <v>0</v>
      </c>
      <c r="J50" s="127">
        <f t="shared" si="15"/>
        <v>0</v>
      </c>
      <c r="K50" s="127">
        <f t="shared" si="15"/>
        <v>0</v>
      </c>
      <c r="L50" s="127">
        <f t="shared" si="15"/>
        <v>0</v>
      </c>
      <c r="M50" s="127">
        <f t="shared" si="15"/>
        <v>0</v>
      </c>
      <c r="N50" s="127">
        <f t="shared" si="15"/>
        <v>0</v>
      </c>
      <c r="O50" s="127">
        <f t="shared" si="15"/>
        <v>0</v>
      </c>
      <c r="P50" s="127">
        <f t="shared" si="15"/>
        <v>0</v>
      </c>
      <c r="Q50" s="127">
        <f t="shared" si="15"/>
        <v>0</v>
      </c>
      <c r="R50" s="127">
        <f t="shared" si="15"/>
        <v>0</v>
      </c>
      <c r="S50" s="127">
        <f t="shared" si="15"/>
        <v>0</v>
      </c>
      <c r="T50" s="127">
        <f t="shared" si="15"/>
        <v>0</v>
      </c>
      <c r="U50" s="127">
        <f t="shared" si="15"/>
        <v>0</v>
      </c>
      <c r="V50" s="127">
        <f t="shared" si="15"/>
        <v>0</v>
      </c>
      <c r="W50" s="127">
        <f t="shared" si="15"/>
        <v>0</v>
      </c>
      <c r="X50" s="127">
        <f t="shared" si="15"/>
        <v>0</v>
      </c>
      <c r="Y50" s="127">
        <f t="shared" si="15"/>
        <v>0</v>
      </c>
      <c r="Z50" s="127">
        <f t="shared" si="15"/>
        <v>0</v>
      </c>
      <c r="AA50" s="127">
        <f t="shared" si="15"/>
        <v>0</v>
      </c>
      <c r="AB50" s="127">
        <f t="shared" si="15"/>
        <v>0</v>
      </c>
      <c r="AC50" s="127">
        <f t="shared" si="15"/>
        <v>0</v>
      </c>
      <c r="AD50" s="127">
        <f t="shared" si="15"/>
        <v>0</v>
      </c>
      <c r="AE50" s="127">
        <f t="shared" si="15"/>
        <v>0</v>
      </c>
      <c r="AF50" s="127">
        <f t="shared" si="15"/>
        <v>0</v>
      </c>
      <c r="AG50" s="127">
        <f t="shared" si="15"/>
        <v>0</v>
      </c>
      <c r="AH50" s="127">
        <f t="shared" si="15"/>
        <v>0</v>
      </c>
      <c r="AI50" s="127">
        <f t="shared" si="15"/>
        <v>0</v>
      </c>
      <c r="AJ50" s="127">
        <f t="shared" si="15"/>
        <v>0</v>
      </c>
      <c r="AK50" s="127">
        <f t="shared" si="15"/>
        <v>0</v>
      </c>
      <c r="AL50" s="127">
        <f t="shared" si="15"/>
        <v>0</v>
      </c>
      <c r="AM50" s="127">
        <f t="shared" si="15"/>
        <v>0</v>
      </c>
      <c r="AN50" s="127">
        <f t="shared" si="15"/>
        <v>0</v>
      </c>
      <c r="AO50" s="127">
        <f t="shared" si="15"/>
        <v>0</v>
      </c>
      <c r="AP50" s="127">
        <f t="shared" si="15"/>
        <v>0</v>
      </c>
      <c r="AQ50" s="127">
        <f t="shared" si="15"/>
        <v>0</v>
      </c>
      <c r="AR50" s="127">
        <f t="shared" si="15"/>
        <v>0</v>
      </c>
      <c r="AS50" s="127">
        <f t="shared" si="15"/>
        <v>0</v>
      </c>
      <c r="AT50" s="127">
        <f t="shared" si="15"/>
        <v>0</v>
      </c>
      <c r="AU50" s="127">
        <f t="shared" si="15"/>
        <v>0</v>
      </c>
      <c r="AV50" s="127">
        <f t="shared" si="15"/>
        <v>0</v>
      </c>
      <c r="AW50" s="127">
        <f t="shared" si="15"/>
        <v>0</v>
      </c>
      <c r="AX50" s="127">
        <f t="shared" si="15"/>
        <v>0</v>
      </c>
      <c r="AY50" s="127">
        <f t="shared" si="15"/>
        <v>0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0</v>
      </c>
      <c r="H51" s="127">
        <f t="shared" si="16"/>
        <v>0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0</v>
      </c>
      <c r="M51" s="127">
        <f t="shared" si="16"/>
        <v>0</v>
      </c>
      <c r="N51" s="127">
        <f t="shared" si="16"/>
        <v>0</v>
      </c>
      <c r="O51" s="127">
        <f t="shared" si="16"/>
        <v>0</v>
      </c>
      <c r="P51" s="127">
        <f t="shared" si="16"/>
        <v>0</v>
      </c>
      <c r="Q51" s="127">
        <f t="shared" si="16"/>
        <v>0</v>
      </c>
      <c r="R51" s="127">
        <f t="shared" si="16"/>
        <v>0</v>
      </c>
      <c r="S51" s="127">
        <f t="shared" si="16"/>
        <v>0</v>
      </c>
      <c r="T51" s="127">
        <f t="shared" si="16"/>
        <v>0</v>
      </c>
      <c r="U51" s="127">
        <f t="shared" si="16"/>
        <v>0</v>
      </c>
      <c r="V51" s="127">
        <f t="shared" si="16"/>
        <v>0</v>
      </c>
      <c r="W51" s="127">
        <f t="shared" si="16"/>
        <v>0</v>
      </c>
      <c r="X51" s="127">
        <f t="shared" si="16"/>
        <v>0</v>
      </c>
      <c r="Y51" s="127">
        <f t="shared" si="16"/>
        <v>0</v>
      </c>
      <c r="Z51" s="127">
        <f t="shared" si="16"/>
        <v>0</v>
      </c>
      <c r="AA51" s="127">
        <f t="shared" si="16"/>
        <v>0</v>
      </c>
      <c r="AB51" s="127">
        <f t="shared" si="16"/>
        <v>0</v>
      </c>
      <c r="AC51" s="127">
        <f t="shared" si="16"/>
        <v>0</v>
      </c>
      <c r="AD51" s="127">
        <f t="shared" si="16"/>
        <v>0</v>
      </c>
      <c r="AE51" s="127">
        <f t="shared" si="16"/>
        <v>0</v>
      </c>
      <c r="AF51" s="127">
        <f t="shared" si="16"/>
        <v>0</v>
      </c>
      <c r="AG51" s="127">
        <f t="shared" si="16"/>
        <v>0</v>
      </c>
      <c r="AH51" s="127">
        <f t="shared" si="16"/>
        <v>0</v>
      </c>
      <c r="AI51" s="127">
        <f t="shared" si="16"/>
        <v>0</v>
      </c>
      <c r="AJ51" s="127">
        <f t="shared" si="16"/>
        <v>0</v>
      </c>
      <c r="AK51" s="127">
        <f t="shared" si="16"/>
        <v>0</v>
      </c>
      <c r="AL51" s="127">
        <f t="shared" si="16"/>
        <v>0</v>
      </c>
      <c r="AM51" s="127">
        <f t="shared" si="16"/>
        <v>0</v>
      </c>
      <c r="AN51" s="127">
        <f t="shared" si="16"/>
        <v>0</v>
      </c>
      <c r="AO51" s="127">
        <f t="shared" si="16"/>
        <v>0</v>
      </c>
      <c r="AP51" s="127">
        <f t="shared" si="16"/>
        <v>0</v>
      </c>
      <c r="AQ51" s="127">
        <f t="shared" si="16"/>
        <v>0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0</v>
      </c>
      <c r="AV51" s="127">
        <f t="shared" si="16"/>
        <v>0</v>
      </c>
      <c r="AW51" s="127">
        <f t="shared" si="16"/>
        <v>0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2</v>
      </c>
      <c r="E52" s="127">
        <v>2</v>
      </c>
      <c r="F52" s="127">
        <v>2</v>
      </c>
      <c r="G52" s="127">
        <v>3</v>
      </c>
      <c r="H52" s="127">
        <v>2</v>
      </c>
      <c r="I52" s="127">
        <v>2</v>
      </c>
      <c r="J52" s="127">
        <v>3</v>
      </c>
      <c r="K52" s="127">
        <v>4</v>
      </c>
      <c r="L52" s="127">
        <v>2</v>
      </c>
      <c r="M52" s="127">
        <v>4</v>
      </c>
      <c r="N52" s="127">
        <v>2</v>
      </c>
      <c r="O52" s="127">
        <v>2</v>
      </c>
      <c r="P52" s="127">
        <v>2</v>
      </c>
      <c r="Q52" s="127">
        <v>4</v>
      </c>
      <c r="R52" s="127">
        <v>2</v>
      </c>
      <c r="S52" s="127">
        <v>2</v>
      </c>
      <c r="T52" s="127">
        <v>2</v>
      </c>
      <c r="U52" s="127">
        <v>3</v>
      </c>
      <c r="V52" s="127">
        <v>2</v>
      </c>
      <c r="W52" s="127">
        <v>2</v>
      </c>
      <c r="X52" s="127">
        <v>2</v>
      </c>
      <c r="Y52" s="127">
        <v>4</v>
      </c>
      <c r="Z52" s="127">
        <v>3</v>
      </c>
      <c r="AA52" s="127">
        <v>3</v>
      </c>
      <c r="AB52" s="127">
        <v>2</v>
      </c>
      <c r="AC52" s="127">
        <v>2</v>
      </c>
      <c r="AD52" s="127">
        <v>2</v>
      </c>
      <c r="AE52" s="127">
        <v>2</v>
      </c>
      <c r="AF52" s="127">
        <v>3</v>
      </c>
      <c r="AG52" s="127">
        <v>2</v>
      </c>
      <c r="AH52" s="127">
        <v>4</v>
      </c>
      <c r="AI52" s="127">
        <v>3</v>
      </c>
      <c r="AJ52" s="127">
        <v>2</v>
      </c>
      <c r="AK52" s="127">
        <v>2</v>
      </c>
      <c r="AL52" s="127">
        <v>2</v>
      </c>
      <c r="AM52" s="127">
        <v>2</v>
      </c>
      <c r="AN52" s="127">
        <v>2</v>
      </c>
      <c r="AO52" s="127">
        <v>3</v>
      </c>
      <c r="AP52" s="127">
        <v>2</v>
      </c>
      <c r="AQ52" s="127">
        <v>2</v>
      </c>
      <c r="AR52" s="127">
        <v>2</v>
      </c>
      <c r="AS52" s="127">
        <v>2</v>
      </c>
      <c r="AT52" s="127">
        <v>2</v>
      </c>
      <c r="AU52" s="127">
        <v>2</v>
      </c>
      <c r="AV52" s="127">
        <v>2</v>
      </c>
      <c r="AW52" s="127">
        <v>2</v>
      </c>
      <c r="AX52" s="127">
        <v>2</v>
      </c>
      <c r="AY52" s="127">
        <v>2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0</v>
      </c>
      <c r="F53" s="127">
        <v>0</v>
      </c>
      <c r="G53" s="127">
        <v>0</v>
      </c>
      <c r="H53" s="127">
        <v>0</v>
      </c>
      <c r="I53" s="127">
        <v>0</v>
      </c>
      <c r="J53" s="127">
        <v>0</v>
      </c>
      <c r="K53" s="127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7">
        <v>0</v>
      </c>
      <c r="R53" s="127">
        <v>0</v>
      </c>
      <c r="S53" s="127">
        <v>0</v>
      </c>
      <c r="T53" s="127">
        <v>0</v>
      </c>
      <c r="U53" s="127">
        <v>0</v>
      </c>
      <c r="V53" s="127">
        <v>0</v>
      </c>
      <c r="W53" s="127">
        <v>0</v>
      </c>
      <c r="X53" s="127">
        <v>0</v>
      </c>
      <c r="Y53" s="127">
        <v>0</v>
      </c>
      <c r="Z53" s="127">
        <v>0</v>
      </c>
      <c r="AA53" s="127">
        <v>0</v>
      </c>
      <c r="AB53" s="127">
        <v>0</v>
      </c>
      <c r="AC53" s="127">
        <v>0</v>
      </c>
      <c r="AD53" s="127">
        <v>0</v>
      </c>
      <c r="AE53" s="127">
        <v>0</v>
      </c>
      <c r="AF53" s="127">
        <v>0</v>
      </c>
      <c r="AG53" s="127">
        <v>0</v>
      </c>
      <c r="AH53" s="127">
        <v>0</v>
      </c>
      <c r="AI53" s="127">
        <v>0</v>
      </c>
      <c r="AJ53" s="127">
        <v>0</v>
      </c>
      <c r="AK53" s="127">
        <v>0</v>
      </c>
      <c r="AL53" s="127">
        <v>0</v>
      </c>
      <c r="AM53" s="127">
        <v>0</v>
      </c>
      <c r="AN53" s="127">
        <v>0</v>
      </c>
      <c r="AO53" s="127">
        <v>0</v>
      </c>
      <c r="AP53" s="127">
        <v>0</v>
      </c>
      <c r="AQ53" s="127">
        <v>0</v>
      </c>
      <c r="AR53" s="127">
        <v>0</v>
      </c>
      <c r="AS53" s="127">
        <v>0</v>
      </c>
      <c r="AT53" s="127">
        <v>0</v>
      </c>
      <c r="AU53" s="127">
        <v>0</v>
      </c>
      <c r="AV53" s="127">
        <v>0</v>
      </c>
      <c r="AW53" s="127">
        <v>0</v>
      </c>
      <c r="AX53" s="127">
        <v>0</v>
      </c>
      <c r="AY53" s="127">
        <v>0</v>
      </c>
      <c r="AZ53">
        <f>SUM($D$53:$AY$53)</f>
        <v>0</v>
      </c>
    </row>
    <row r="54" spans="1:52" x14ac:dyDescent="0.2">
      <c r="A54" s="141"/>
      <c r="B54" s="156" t="s">
        <v>351</v>
      </c>
      <c r="C54" s="141"/>
      <c r="D54" s="141">
        <v>0</v>
      </c>
      <c r="E54" s="141">
        <v>0</v>
      </c>
      <c r="F54" s="141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141">
        <v>0</v>
      </c>
      <c r="M54" s="141">
        <v>0</v>
      </c>
      <c r="N54" s="141">
        <v>0</v>
      </c>
      <c r="O54" s="141">
        <v>0</v>
      </c>
      <c r="P54" s="141">
        <v>0</v>
      </c>
      <c r="Q54" s="141">
        <v>0</v>
      </c>
      <c r="R54" s="141">
        <v>0</v>
      </c>
      <c r="S54" s="141">
        <v>0</v>
      </c>
      <c r="T54" s="141">
        <v>0</v>
      </c>
      <c r="U54" s="141">
        <v>0</v>
      </c>
      <c r="V54" s="141">
        <v>0</v>
      </c>
      <c r="W54" s="141">
        <v>0</v>
      </c>
      <c r="X54" s="141">
        <v>0</v>
      </c>
      <c r="Y54" s="141">
        <v>0</v>
      </c>
      <c r="Z54" s="141">
        <v>0</v>
      </c>
      <c r="AA54" s="141">
        <v>0</v>
      </c>
      <c r="AB54" s="141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141">
        <v>0</v>
      </c>
      <c r="AI54" s="141">
        <v>0</v>
      </c>
      <c r="AJ54" s="141">
        <v>0</v>
      </c>
      <c r="AK54" s="141">
        <v>0</v>
      </c>
      <c r="AL54" s="141">
        <v>0</v>
      </c>
      <c r="AM54" s="141">
        <v>0</v>
      </c>
      <c r="AN54" s="141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141">
        <v>0</v>
      </c>
      <c r="AU54" s="141">
        <v>0</v>
      </c>
      <c r="AV54" s="141">
        <v>0</v>
      </c>
      <c r="AW54" s="141">
        <v>0</v>
      </c>
      <c r="AX54" s="141">
        <v>0</v>
      </c>
      <c r="AY54" s="141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12</v>
      </c>
      <c r="E2" s="127"/>
    </row>
    <row r="3" spans="1:52" x14ac:dyDescent="0.2">
      <c r="A3" t="s">
        <v>286</v>
      </c>
      <c r="B3" s="124">
        <v>4981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935.54038800012279</v>
      </c>
      <c r="E7" s="160">
        <v>935.54038800012279</v>
      </c>
      <c r="F7" s="160">
        <v>935.54038800012279</v>
      </c>
      <c r="G7" s="160">
        <v>935.54038800012279</v>
      </c>
      <c r="H7" s="160">
        <v>849.55112745979591</v>
      </c>
      <c r="I7" s="160">
        <v>849.55112745979591</v>
      </c>
      <c r="J7" s="160">
        <v>849.55112745979591</v>
      </c>
      <c r="K7" s="160">
        <v>849.55112745979591</v>
      </c>
      <c r="L7" s="160">
        <v>849.55112745979591</v>
      </c>
      <c r="M7" s="160">
        <v>849.55112745979591</v>
      </c>
      <c r="N7" s="160">
        <v>849.55112745979591</v>
      </c>
      <c r="O7" s="160">
        <v>849.55112745979591</v>
      </c>
      <c r="P7" s="160">
        <v>935.54038800012279</v>
      </c>
      <c r="Q7" s="160">
        <v>935.54038800012279</v>
      </c>
      <c r="R7" s="160">
        <v>935.54038800012279</v>
      </c>
      <c r="S7" s="160">
        <v>935.54038800012279</v>
      </c>
      <c r="T7" s="160">
        <v>849.55112745979591</v>
      </c>
      <c r="U7" s="160">
        <v>849.55112745979591</v>
      </c>
      <c r="V7" s="160">
        <v>849.55112745979591</v>
      </c>
      <c r="W7" s="160">
        <v>849.55112745979591</v>
      </c>
      <c r="X7" s="160">
        <v>849.55112745979591</v>
      </c>
      <c r="Y7" s="160">
        <v>849.55112745979591</v>
      </c>
      <c r="Z7" s="160">
        <v>849.55112745979591</v>
      </c>
      <c r="AA7" s="160">
        <v>849.55112745979591</v>
      </c>
      <c r="AB7" s="160">
        <v>935.54038800012279</v>
      </c>
      <c r="AC7" s="160">
        <v>935.54038800012279</v>
      </c>
      <c r="AD7" s="160">
        <v>935.54038800012279</v>
      </c>
      <c r="AE7" s="160">
        <v>935.54038800012279</v>
      </c>
      <c r="AF7" s="160">
        <v>849.55112745979591</v>
      </c>
      <c r="AG7" s="160">
        <v>849.55112745979591</v>
      </c>
      <c r="AH7" s="160">
        <v>849.55112745979591</v>
      </c>
      <c r="AI7" s="160">
        <v>849.55112745979591</v>
      </c>
      <c r="AJ7" s="160">
        <v>849.55112745979591</v>
      </c>
      <c r="AK7" s="160">
        <v>849.55112745979591</v>
      </c>
      <c r="AL7" s="160">
        <v>849.55112745979591</v>
      </c>
      <c r="AM7" s="160">
        <v>849.55112745979591</v>
      </c>
      <c r="AN7" s="160">
        <v>935.54038800012279</v>
      </c>
      <c r="AO7" s="160">
        <v>935.54038800012279</v>
      </c>
      <c r="AP7" s="160">
        <v>935.54038800012279</v>
      </c>
      <c r="AQ7" s="160">
        <v>935.54038800012279</v>
      </c>
      <c r="AR7" s="160">
        <v>849.55112745979591</v>
      </c>
      <c r="AS7" s="160">
        <v>849.55112745979591</v>
      </c>
      <c r="AT7" s="160">
        <v>849.55112745979591</v>
      </c>
      <c r="AU7" s="160">
        <v>849.55112745979591</v>
      </c>
      <c r="AV7" s="160">
        <v>849.55112745979591</v>
      </c>
      <c r="AW7" s="160">
        <v>849.55112745979591</v>
      </c>
      <c r="AX7" s="160">
        <v>849.55112745979591</v>
      </c>
      <c r="AY7" s="160">
        <v>849.55112745979591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0</v>
      </c>
      <c r="E10" s="160">
        <f t="shared" si="0"/>
        <v>0</v>
      </c>
      <c r="F10" s="160">
        <f t="shared" si="0"/>
        <v>0</v>
      </c>
      <c r="G10" s="160">
        <f t="shared" si="0"/>
        <v>0</v>
      </c>
      <c r="H10" s="160">
        <f t="shared" si="0"/>
        <v>0</v>
      </c>
      <c r="I10" s="160">
        <f t="shared" si="0"/>
        <v>0</v>
      </c>
      <c r="J10" s="160">
        <f t="shared" si="0"/>
        <v>0</v>
      </c>
      <c r="K10" s="160">
        <f t="shared" si="0"/>
        <v>0</v>
      </c>
      <c r="L10" s="160">
        <f t="shared" si="0"/>
        <v>0</v>
      </c>
      <c r="M10" s="160">
        <f t="shared" si="0"/>
        <v>0</v>
      </c>
      <c r="N10" s="160">
        <f t="shared" si="0"/>
        <v>0</v>
      </c>
      <c r="O10" s="160">
        <f t="shared" si="0"/>
        <v>0</v>
      </c>
      <c r="P10" s="160">
        <f t="shared" si="0"/>
        <v>0</v>
      </c>
      <c r="Q10" s="160">
        <f t="shared" si="0"/>
        <v>0</v>
      </c>
      <c r="R10" s="160">
        <f t="shared" si="0"/>
        <v>0</v>
      </c>
      <c r="S10" s="160">
        <f t="shared" si="0"/>
        <v>0</v>
      </c>
      <c r="T10" s="160">
        <f t="shared" si="0"/>
        <v>0</v>
      </c>
      <c r="U10" s="160">
        <f t="shared" si="0"/>
        <v>0</v>
      </c>
      <c r="V10" s="160">
        <f t="shared" si="0"/>
        <v>0</v>
      </c>
      <c r="W10" s="160">
        <f t="shared" si="0"/>
        <v>0</v>
      </c>
      <c r="X10" s="160">
        <f t="shared" si="0"/>
        <v>0</v>
      </c>
      <c r="Y10" s="160">
        <f t="shared" si="0"/>
        <v>0</v>
      </c>
      <c r="Z10" s="160">
        <f t="shared" si="0"/>
        <v>0</v>
      </c>
      <c r="AA10" s="160">
        <f t="shared" si="0"/>
        <v>0</v>
      </c>
      <c r="AB10" s="160">
        <f t="shared" si="0"/>
        <v>0</v>
      </c>
      <c r="AC10" s="160">
        <f t="shared" si="0"/>
        <v>0</v>
      </c>
      <c r="AD10" s="160">
        <f t="shared" si="0"/>
        <v>0</v>
      </c>
      <c r="AE10" s="160">
        <f t="shared" si="0"/>
        <v>0</v>
      </c>
      <c r="AF10" s="160">
        <f t="shared" si="0"/>
        <v>0</v>
      </c>
      <c r="AG10" s="160">
        <f t="shared" si="0"/>
        <v>0</v>
      </c>
      <c r="AH10" s="160">
        <f t="shared" si="0"/>
        <v>0</v>
      </c>
      <c r="AI10" s="160">
        <f t="shared" si="0"/>
        <v>0</v>
      </c>
      <c r="AJ10" s="160">
        <f t="shared" si="0"/>
        <v>0</v>
      </c>
      <c r="AK10" s="160">
        <f t="shared" si="0"/>
        <v>0</v>
      </c>
      <c r="AL10" s="160">
        <f t="shared" si="0"/>
        <v>0</v>
      </c>
      <c r="AM10" s="160">
        <f t="shared" si="0"/>
        <v>0</v>
      </c>
      <c r="AN10" s="160">
        <f t="shared" si="0"/>
        <v>0</v>
      </c>
      <c r="AO10" s="160">
        <f t="shared" si="0"/>
        <v>0</v>
      </c>
      <c r="AP10" s="160">
        <f t="shared" si="0"/>
        <v>0</v>
      </c>
      <c r="AQ10" s="160">
        <f t="shared" si="0"/>
        <v>0</v>
      </c>
      <c r="AR10" s="160">
        <f t="shared" si="0"/>
        <v>0</v>
      </c>
      <c r="AS10" s="160">
        <f t="shared" si="0"/>
        <v>0</v>
      </c>
      <c r="AT10" s="160">
        <f t="shared" si="0"/>
        <v>0</v>
      </c>
      <c r="AU10" s="160">
        <f t="shared" si="0"/>
        <v>0</v>
      </c>
      <c r="AV10" s="160">
        <f t="shared" si="0"/>
        <v>0</v>
      </c>
      <c r="AW10" s="160">
        <f t="shared" si="0"/>
        <v>0</v>
      </c>
      <c r="AX10" s="160">
        <f t="shared" si="0"/>
        <v>0</v>
      </c>
      <c r="AY10" s="160">
        <f t="shared" si="0"/>
        <v>0</v>
      </c>
      <c r="AZ10" s="167">
        <f>SUM($D10:$AY10)</f>
        <v>0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852.90234624572781</v>
      </c>
      <c r="D13" s="154">
        <f t="shared" ref="D13:AY13" si="1">D$7-D$10</f>
        <v>935.54038800012279</v>
      </c>
      <c r="E13" s="154">
        <f t="shared" si="1"/>
        <v>935.54038800012279</v>
      </c>
      <c r="F13" s="154">
        <f t="shared" si="1"/>
        <v>935.54038800012279</v>
      </c>
      <c r="G13" s="154">
        <f t="shared" si="1"/>
        <v>935.54038800012279</v>
      </c>
      <c r="H13" s="154">
        <f t="shared" si="1"/>
        <v>849.55112745979591</v>
      </c>
      <c r="I13" s="154">
        <f t="shared" si="1"/>
        <v>849.55112745979591</v>
      </c>
      <c r="J13" s="154">
        <f t="shared" si="1"/>
        <v>849.55112745979591</v>
      </c>
      <c r="K13" s="154">
        <f t="shared" si="1"/>
        <v>849.55112745979591</v>
      </c>
      <c r="L13" s="154">
        <f t="shared" si="1"/>
        <v>849.55112745979591</v>
      </c>
      <c r="M13" s="154">
        <f t="shared" si="1"/>
        <v>849.55112745979591</v>
      </c>
      <c r="N13" s="154">
        <f t="shared" si="1"/>
        <v>849.55112745979591</v>
      </c>
      <c r="O13" s="154">
        <f t="shared" si="1"/>
        <v>849.55112745979591</v>
      </c>
      <c r="P13" s="154">
        <f t="shared" si="1"/>
        <v>935.54038800012279</v>
      </c>
      <c r="Q13" s="154">
        <f t="shared" si="1"/>
        <v>935.54038800012279</v>
      </c>
      <c r="R13" s="154">
        <f t="shared" si="1"/>
        <v>935.54038800012279</v>
      </c>
      <c r="S13" s="154">
        <f t="shared" si="1"/>
        <v>935.54038800012279</v>
      </c>
      <c r="T13" s="154">
        <f t="shared" si="1"/>
        <v>849.55112745979591</v>
      </c>
      <c r="U13" s="154">
        <f t="shared" si="1"/>
        <v>849.55112745979591</v>
      </c>
      <c r="V13" s="154">
        <f t="shared" si="1"/>
        <v>849.55112745979591</v>
      </c>
      <c r="W13" s="154">
        <f t="shared" si="1"/>
        <v>849.55112745979591</v>
      </c>
      <c r="X13" s="154">
        <f t="shared" si="1"/>
        <v>849.55112745979591</v>
      </c>
      <c r="Y13" s="154">
        <f t="shared" si="1"/>
        <v>849.55112745979591</v>
      </c>
      <c r="Z13" s="154">
        <f t="shared" si="1"/>
        <v>849.55112745979591</v>
      </c>
      <c r="AA13" s="154">
        <f t="shared" si="1"/>
        <v>849.55112745979591</v>
      </c>
      <c r="AB13" s="154">
        <f t="shared" si="1"/>
        <v>935.54038800012279</v>
      </c>
      <c r="AC13" s="154">
        <f t="shared" si="1"/>
        <v>935.54038800012279</v>
      </c>
      <c r="AD13" s="154">
        <f t="shared" si="1"/>
        <v>935.54038800012279</v>
      </c>
      <c r="AE13" s="154">
        <f t="shared" si="1"/>
        <v>935.54038800012279</v>
      </c>
      <c r="AF13" s="154">
        <f t="shared" si="1"/>
        <v>849.55112745979591</v>
      </c>
      <c r="AG13" s="154">
        <f t="shared" si="1"/>
        <v>849.55112745979591</v>
      </c>
      <c r="AH13" s="154">
        <f t="shared" si="1"/>
        <v>849.55112745979591</v>
      </c>
      <c r="AI13" s="154">
        <f t="shared" si="1"/>
        <v>849.55112745979591</v>
      </c>
      <c r="AJ13" s="154">
        <f t="shared" si="1"/>
        <v>849.55112745979591</v>
      </c>
      <c r="AK13" s="154">
        <f t="shared" si="1"/>
        <v>849.55112745979591</v>
      </c>
      <c r="AL13" s="154">
        <f t="shared" si="1"/>
        <v>849.55112745979591</v>
      </c>
      <c r="AM13" s="154">
        <f t="shared" si="1"/>
        <v>849.55112745979591</v>
      </c>
      <c r="AN13" s="154">
        <f t="shared" si="1"/>
        <v>935.54038800012279</v>
      </c>
      <c r="AO13" s="154">
        <f t="shared" si="1"/>
        <v>935.54038800012279</v>
      </c>
      <c r="AP13" s="154">
        <f t="shared" si="1"/>
        <v>935.54038800012279</v>
      </c>
      <c r="AQ13" s="154">
        <f t="shared" si="1"/>
        <v>935.54038800012279</v>
      </c>
      <c r="AR13" s="154">
        <f t="shared" si="1"/>
        <v>849.55112745979591</v>
      </c>
      <c r="AS13" s="154">
        <f t="shared" si="1"/>
        <v>849.55112745979591</v>
      </c>
      <c r="AT13" s="154">
        <f t="shared" si="1"/>
        <v>849.55112745979591</v>
      </c>
      <c r="AU13" s="154">
        <f t="shared" si="1"/>
        <v>849.55112745979591</v>
      </c>
      <c r="AV13" s="154">
        <f t="shared" si="1"/>
        <v>849.55112745979591</v>
      </c>
      <c r="AW13" s="154">
        <f t="shared" si="1"/>
        <v>849.55112745979591</v>
      </c>
      <c r="AX13" s="154">
        <f t="shared" si="1"/>
        <v>849.55112745979591</v>
      </c>
      <c r="AY13" s="154">
        <f t="shared" si="1"/>
        <v>849.55112745979591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935.54038800012279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849.55112745979591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 t="s">
        <v>339</v>
      </c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 t="s">
        <v>339</v>
      </c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shipping_manufacturing!$G$19/100</f>
        <v>1</v>
      </c>
      <c r="C21" s="172" t="s">
        <v>293</v>
      </c>
      <c r="D21" s="123">
        <f>IF(C$20="Yes",0,SUM(C$13:C$16)*$B$21)</f>
        <v>852.90234624572781</v>
      </c>
      <c r="E21" s="123">
        <f t="shared" ref="E21:AY21" si="3">IF(D$20="Yes",0,SUM(D$13:D$16)*$B$21)</f>
        <v>935.54038800012279</v>
      </c>
      <c r="F21" s="123">
        <f t="shared" si="3"/>
        <v>935.54038800012279</v>
      </c>
      <c r="G21" s="123">
        <f t="shared" si="3"/>
        <v>935.54038800012279</v>
      </c>
      <c r="H21" s="123">
        <f t="shared" si="3"/>
        <v>935.54038800012279</v>
      </c>
      <c r="I21" s="123">
        <f t="shared" si="3"/>
        <v>849.55112745979591</v>
      </c>
      <c r="J21" s="123">
        <f t="shared" si="3"/>
        <v>849.55112745979591</v>
      </c>
      <c r="K21" s="123">
        <f t="shared" si="3"/>
        <v>849.55112745979591</v>
      </c>
      <c r="L21" s="123">
        <f t="shared" si="3"/>
        <v>849.55112745979591</v>
      </c>
      <c r="M21" s="123">
        <f t="shared" si="3"/>
        <v>849.55112745979591</v>
      </c>
      <c r="N21" s="123">
        <f t="shared" si="3"/>
        <v>849.55112745979591</v>
      </c>
      <c r="O21" s="123">
        <f t="shared" si="3"/>
        <v>849.55112745979591</v>
      </c>
      <c r="P21" s="123">
        <f t="shared" si="3"/>
        <v>849.55112745979591</v>
      </c>
      <c r="Q21" s="123">
        <f t="shared" si="3"/>
        <v>935.54038800012279</v>
      </c>
      <c r="R21" s="123">
        <f t="shared" si="3"/>
        <v>935.54038800012279</v>
      </c>
      <c r="S21" s="123">
        <f t="shared" si="3"/>
        <v>935.54038800012279</v>
      </c>
      <c r="T21" s="123">
        <f t="shared" si="3"/>
        <v>935.54038800012279</v>
      </c>
      <c r="U21" s="123">
        <f t="shared" si="3"/>
        <v>849.55112745979591</v>
      </c>
      <c r="V21" s="123">
        <f t="shared" si="3"/>
        <v>849.55112745979591</v>
      </c>
      <c r="W21" s="123">
        <f t="shared" si="3"/>
        <v>849.55112745979591</v>
      </c>
      <c r="X21" s="123">
        <f t="shared" si="3"/>
        <v>849.55112745979591</v>
      </c>
      <c r="Y21" s="123">
        <f t="shared" si="3"/>
        <v>849.55112745979591</v>
      </c>
      <c r="Z21" s="123">
        <f t="shared" si="3"/>
        <v>849.55112745979591</v>
      </c>
      <c r="AA21" s="123">
        <f t="shared" si="3"/>
        <v>849.55112745979591</v>
      </c>
      <c r="AB21" s="123">
        <f t="shared" si="3"/>
        <v>849.55112745979591</v>
      </c>
      <c r="AC21" s="123">
        <f t="shared" si="3"/>
        <v>0</v>
      </c>
      <c r="AD21" s="123">
        <f t="shared" si="3"/>
        <v>1871.0807760002456</v>
      </c>
      <c r="AE21" s="123">
        <f t="shared" si="3"/>
        <v>935.54038800012279</v>
      </c>
      <c r="AF21" s="123">
        <f t="shared" si="3"/>
        <v>935.54038800012279</v>
      </c>
      <c r="AG21" s="123">
        <f t="shared" si="3"/>
        <v>849.55112745979591</v>
      </c>
      <c r="AH21" s="123">
        <f t="shared" si="3"/>
        <v>849.55112745979591</v>
      </c>
      <c r="AI21" s="123">
        <f t="shared" si="3"/>
        <v>849.55112745979591</v>
      </c>
      <c r="AJ21" s="123">
        <f t="shared" si="3"/>
        <v>849.55112745979591</v>
      </c>
      <c r="AK21" s="123">
        <f t="shared" si="3"/>
        <v>849.55112745979591</v>
      </c>
      <c r="AL21" s="123">
        <f t="shared" si="3"/>
        <v>849.55112745979591</v>
      </c>
      <c r="AM21" s="123">
        <f t="shared" si="3"/>
        <v>849.55112745979591</v>
      </c>
      <c r="AN21" s="123">
        <f t="shared" si="3"/>
        <v>849.55112745979591</v>
      </c>
      <c r="AO21" s="123">
        <f t="shared" si="3"/>
        <v>935.54038800012279</v>
      </c>
      <c r="AP21" s="123">
        <f t="shared" si="3"/>
        <v>935.54038800012279</v>
      </c>
      <c r="AQ21" s="123">
        <f t="shared" si="3"/>
        <v>935.54038800012279</v>
      </c>
      <c r="AR21" s="123">
        <f t="shared" si="3"/>
        <v>935.54038800012279</v>
      </c>
      <c r="AS21" s="123">
        <f t="shared" si="3"/>
        <v>849.55112745979591</v>
      </c>
      <c r="AT21" s="123">
        <f t="shared" si="3"/>
        <v>849.55112745979591</v>
      </c>
      <c r="AU21" s="123">
        <f t="shared" si="3"/>
        <v>849.55112745979591</v>
      </c>
      <c r="AV21" s="123">
        <f t="shared" si="3"/>
        <v>849.55112745979591</v>
      </c>
      <c r="AW21" s="123">
        <f t="shared" si="3"/>
        <v>849.55112745979591</v>
      </c>
      <c r="AX21" s="123">
        <f t="shared" si="3"/>
        <v>0</v>
      </c>
      <c r="AY21" s="123">
        <f t="shared" si="3"/>
        <v>1699.1022549195918</v>
      </c>
      <c r="AZ21" s="173">
        <f>SUM($D21:$AY21)</f>
        <v>42157.633505501362</v>
      </c>
    </row>
    <row r="22" spans="1:52" s="127" customFormat="1" x14ac:dyDescent="0.2">
      <c r="A22" s="174" t="s">
        <v>123</v>
      </c>
      <c r="B22" s="175">
        <f>1-$B$21</f>
        <v>0</v>
      </c>
      <c r="C22" s="175" t="s">
        <v>293</v>
      </c>
      <c r="D22" s="130">
        <f>IF(C$20="Yes",0,SUM(C$13:C$16)*$B$22)</f>
        <v>0</v>
      </c>
      <c r="E22" s="130">
        <f t="shared" ref="E22:AY22" si="4">IF(D$20="Yes",0,SUM(D$13:D$16)*$B$22)</f>
        <v>0</v>
      </c>
      <c r="F22" s="130">
        <f t="shared" si="4"/>
        <v>0</v>
      </c>
      <c r="G22" s="130">
        <f t="shared" si="4"/>
        <v>0</v>
      </c>
      <c r="H22" s="130">
        <f t="shared" si="4"/>
        <v>0</v>
      </c>
      <c r="I22" s="130">
        <f t="shared" si="4"/>
        <v>0</v>
      </c>
      <c r="J22" s="130">
        <f t="shared" si="4"/>
        <v>0</v>
      </c>
      <c r="K22" s="130">
        <f t="shared" si="4"/>
        <v>0</v>
      </c>
      <c r="L22" s="130">
        <f t="shared" si="4"/>
        <v>0</v>
      </c>
      <c r="M22" s="130">
        <f t="shared" si="4"/>
        <v>0</v>
      </c>
      <c r="N22" s="130">
        <f t="shared" si="4"/>
        <v>0</v>
      </c>
      <c r="O22" s="130">
        <f t="shared" si="4"/>
        <v>0</v>
      </c>
      <c r="P22" s="130">
        <f t="shared" si="4"/>
        <v>0</v>
      </c>
      <c r="Q22" s="130">
        <f t="shared" si="4"/>
        <v>0</v>
      </c>
      <c r="R22" s="130">
        <f t="shared" si="4"/>
        <v>0</v>
      </c>
      <c r="S22" s="130">
        <f t="shared" si="4"/>
        <v>0</v>
      </c>
      <c r="T22" s="130">
        <f t="shared" si="4"/>
        <v>0</v>
      </c>
      <c r="U22" s="130">
        <f t="shared" si="4"/>
        <v>0</v>
      </c>
      <c r="V22" s="130">
        <f t="shared" si="4"/>
        <v>0</v>
      </c>
      <c r="W22" s="130">
        <f t="shared" si="4"/>
        <v>0</v>
      </c>
      <c r="X22" s="130">
        <f t="shared" si="4"/>
        <v>0</v>
      </c>
      <c r="Y22" s="130">
        <f t="shared" si="4"/>
        <v>0</v>
      </c>
      <c r="Z22" s="130">
        <f t="shared" si="4"/>
        <v>0</v>
      </c>
      <c r="AA22" s="130">
        <f t="shared" si="4"/>
        <v>0</v>
      </c>
      <c r="AB22" s="130">
        <f t="shared" si="4"/>
        <v>0</v>
      </c>
      <c r="AC22" s="130">
        <f t="shared" si="4"/>
        <v>0</v>
      </c>
      <c r="AD22" s="130">
        <f t="shared" si="4"/>
        <v>0</v>
      </c>
      <c r="AE22" s="130">
        <f t="shared" si="4"/>
        <v>0</v>
      </c>
      <c r="AF22" s="130">
        <f t="shared" si="4"/>
        <v>0</v>
      </c>
      <c r="AG22" s="130">
        <f t="shared" si="4"/>
        <v>0</v>
      </c>
      <c r="AH22" s="130">
        <f t="shared" si="4"/>
        <v>0</v>
      </c>
      <c r="AI22" s="130">
        <f t="shared" si="4"/>
        <v>0</v>
      </c>
      <c r="AJ22" s="130">
        <f t="shared" si="4"/>
        <v>0</v>
      </c>
      <c r="AK22" s="130">
        <f t="shared" si="4"/>
        <v>0</v>
      </c>
      <c r="AL22" s="130">
        <f t="shared" si="4"/>
        <v>0</v>
      </c>
      <c r="AM22" s="130">
        <f t="shared" si="4"/>
        <v>0</v>
      </c>
      <c r="AN22" s="130">
        <f t="shared" si="4"/>
        <v>0</v>
      </c>
      <c r="AO22" s="130">
        <f t="shared" si="4"/>
        <v>0</v>
      </c>
      <c r="AP22" s="130">
        <f t="shared" si="4"/>
        <v>0</v>
      </c>
      <c r="AQ22" s="130">
        <f t="shared" si="4"/>
        <v>0</v>
      </c>
      <c r="AR22" s="130">
        <f t="shared" si="4"/>
        <v>0</v>
      </c>
      <c r="AS22" s="130">
        <f t="shared" si="4"/>
        <v>0</v>
      </c>
      <c r="AT22" s="130">
        <f t="shared" si="4"/>
        <v>0</v>
      </c>
      <c r="AU22" s="130">
        <f t="shared" si="4"/>
        <v>0</v>
      </c>
      <c r="AV22" s="130">
        <f t="shared" si="4"/>
        <v>0</v>
      </c>
      <c r="AW22" s="130">
        <f t="shared" si="4"/>
        <v>0</v>
      </c>
      <c r="AX22" s="130">
        <f t="shared" si="4"/>
        <v>0</v>
      </c>
      <c r="AY22" s="130">
        <f t="shared" si="4"/>
        <v>0</v>
      </c>
      <c r="AZ22" s="157">
        <f t="shared" ref="AZ22:AZ30" si="5">SUM($D22:$AY22)</f>
        <v>0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1705804.6924914557</v>
      </c>
      <c r="E23">
        <f t="shared" ref="E23:AY23" si="6">E$21*$B$23</f>
        <v>1871080.7760002455</v>
      </c>
      <c r="F23">
        <f t="shared" si="6"/>
        <v>1871080.7760002455</v>
      </c>
      <c r="G23">
        <f t="shared" si="6"/>
        <v>1871080.7760002455</v>
      </c>
      <c r="H23">
        <f t="shared" si="6"/>
        <v>1871080.7760002455</v>
      </c>
      <c r="I23">
        <f t="shared" si="6"/>
        <v>1699102.2549195918</v>
      </c>
      <c r="J23">
        <f t="shared" si="6"/>
        <v>1699102.2549195918</v>
      </c>
      <c r="K23">
        <f t="shared" si="6"/>
        <v>1699102.2549195918</v>
      </c>
      <c r="L23">
        <f t="shared" si="6"/>
        <v>1699102.2549195918</v>
      </c>
      <c r="M23">
        <f t="shared" si="6"/>
        <v>1699102.2549195918</v>
      </c>
      <c r="N23">
        <f t="shared" si="6"/>
        <v>1699102.2549195918</v>
      </c>
      <c r="O23">
        <f t="shared" si="6"/>
        <v>1699102.2549195918</v>
      </c>
      <c r="P23">
        <f t="shared" si="6"/>
        <v>1699102.2549195918</v>
      </c>
      <c r="Q23">
        <f t="shared" si="6"/>
        <v>1871080.7760002455</v>
      </c>
      <c r="R23">
        <f t="shared" si="6"/>
        <v>1871080.7760002455</v>
      </c>
      <c r="S23">
        <f t="shared" si="6"/>
        <v>1871080.7760002455</v>
      </c>
      <c r="T23">
        <f t="shared" si="6"/>
        <v>1871080.7760002455</v>
      </c>
      <c r="U23">
        <f t="shared" si="6"/>
        <v>1699102.2549195918</v>
      </c>
      <c r="V23">
        <f t="shared" si="6"/>
        <v>1699102.2549195918</v>
      </c>
      <c r="W23">
        <f t="shared" si="6"/>
        <v>1699102.2549195918</v>
      </c>
      <c r="X23">
        <f t="shared" si="6"/>
        <v>1699102.2549195918</v>
      </c>
      <c r="Y23">
        <f t="shared" si="6"/>
        <v>1699102.2549195918</v>
      </c>
      <c r="Z23">
        <f t="shared" si="6"/>
        <v>1699102.2549195918</v>
      </c>
      <c r="AA23">
        <f t="shared" si="6"/>
        <v>1699102.2549195918</v>
      </c>
      <c r="AB23">
        <f t="shared" si="6"/>
        <v>1699102.2549195918</v>
      </c>
      <c r="AC23">
        <f t="shared" si="6"/>
        <v>0</v>
      </c>
      <c r="AD23">
        <f t="shared" si="6"/>
        <v>3742161.5520004909</v>
      </c>
      <c r="AE23">
        <f t="shared" si="6"/>
        <v>1871080.7760002455</v>
      </c>
      <c r="AF23">
        <f t="shared" si="6"/>
        <v>1871080.7760002455</v>
      </c>
      <c r="AG23">
        <f t="shared" si="6"/>
        <v>1699102.2549195918</v>
      </c>
      <c r="AH23">
        <f t="shared" si="6"/>
        <v>1699102.2549195918</v>
      </c>
      <c r="AI23">
        <f t="shared" si="6"/>
        <v>1699102.2549195918</v>
      </c>
      <c r="AJ23">
        <f t="shared" si="6"/>
        <v>1699102.2549195918</v>
      </c>
      <c r="AK23">
        <f t="shared" si="6"/>
        <v>1699102.2549195918</v>
      </c>
      <c r="AL23">
        <f t="shared" si="6"/>
        <v>1699102.2549195918</v>
      </c>
      <c r="AM23">
        <f t="shared" si="6"/>
        <v>1699102.2549195918</v>
      </c>
      <c r="AN23">
        <f t="shared" si="6"/>
        <v>1699102.2549195918</v>
      </c>
      <c r="AO23">
        <f t="shared" si="6"/>
        <v>1871080.7760002455</v>
      </c>
      <c r="AP23">
        <f t="shared" si="6"/>
        <v>1871080.7760002455</v>
      </c>
      <c r="AQ23">
        <f t="shared" si="6"/>
        <v>1871080.7760002455</v>
      </c>
      <c r="AR23">
        <f t="shared" si="6"/>
        <v>1871080.7760002455</v>
      </c>
      <c r="AS23">
        <f t="shared" si="6"/>
        <v>1699102.2549195918</v>
      </c>
      <c r="AT23">
        <f t="shared" si="6"/>
        <v>1699102.2549195918</v>
      </c>
      <c r="AU23">
        <f t="shared" si="6"/>
        <v>1699102.2549195918</v>
      </c>
      <c r="AV23">
        <f t="shared" si="6"/>
        <v>1699102.2549195918</v>
      </c>
      <c r="AW23">
        <f t="shared" si="6"/>
        <v>1699102.2549195918</v>
      </c>
      <c r="AX23">
        <f t="shared" si="6"/>
        <v>0</v>
      </c>
      <c r="AY23">
        <f t="shared" si="6"/>
        <v>3398204.5098391837</v>
      </c>
      <c r="AZ23" s="155">
        <f t="shared" si="5"/>
        <v>84315267.011002675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0</v>
      </c>
      <c r="E24" s="123">
        <f t="shared" ref="E24:AY24" si="7">E$22*$B$24</f>
        <v>0</v>
      </c>
      <c r="F24" s="123">
        <f t="shared" si="7"/>
        <v>0</v>
      </c>
      <c r="G24" s="123">
        <f t="shared" si="7"/>
        <v>0</v>
      </c>
      <c r="H24" s="123">
        <f t="shared" si="7"/>
        <v>0</v>
      </c>
      <c r="I24" s="123">
        <f t="shared" si="7"/>
        <v>0</v>
      </c>
      <c r="J24" s="123">
        <f t="shared" si="7"/>
        <v>0</v>
      </c>
      <c r="K24" s="123">
        <f t="shared" si="7"/>
        <v>0</v>
      </c>
      <c r="L24" s="123">
        <f t="shared" si="7"/>
        <v>0</v>
      </c>
      <c r="M24" s="123">
        <f t="shared" si="7"/>
        <v>0</v>
      </c>
      <c r="N24" s="123">
        <f t="shared" si="7"/>
        <v>0</v>
      </c>
      <c r="O24" s="123">
        <f t="shared" si="7"/>
        <v>0</v>
      </c>
      <c r="P24" s="123">
        <f t="shared" si="7"/>
        <v>0</v>
      </c>
      <c r="Q24" s="123">
        <f t="shared" si="7"/>
        <v>0</v>
      </c>
      <c r="R24" s="123">
        <f t="shared" si="7"/>
        <v>0</v>
      </c>
      <c r="S24" s="123">
        <f t="shared" si="7"/>
        <v>0</v>
      </c>
      <c r="T24" s="123">
        <f t="shared" si="7"/>
        <v>0</v>
      </c>
      <c r="U24" s="123">
        <f t="shared" si="7"/>
        <v>0</v>
      </c>
      <c r="V24" s="123">
        <f t="shared" si="7"/>
        <v>0</v>
      </c>
      <c r="W24" s="123">
        <f t="shared" si="7"/>
        <v>0</v>
      </c>
      <c r="X24" s="123">
        <f t="shared" si="7"/>
        <v>0</v>
      </c>
      <c r="Y24" s="123">
        <f t="shared" si="7"/>
        <v>0</v>
      </c>
      <c r="Z24" s="123">
        <f t="shared" si="7"/>
        <v>0</v>
      </c>
      <c r="AA24" s="123">
        <f t="shared" si="7"/>
        <v>0</v>
      </c>
      <c r="AB24" s="123">
        <f t="shared" si="7"/>
        <v>0</v>
      </c>
      <c r="AC24" s="123">
        <f t="shared" si="7"/>
        <v>0</v>
      </c>
      <c r="AD24" s="123">
        <f t="shared" si="7"/>
        <v>0</v>
      </c>
      <c r="AE24" s="123">
        <f t="shared" si="7"/>
        <v>0</v>
      </c>
      <c r="AF24" s="123">
        <f t="shared" si="7"/>
        <v>0</v>
      </c>
      <c r="AG24" s="123">
        <f t="shared" si="7"/>
        <v>0</v>
      </c>
      <c r="AH24" s="123">
        <f t="shared" si="7"/>
        <v>0</v>
      </c>
      <c r="AI24" s="123">
        <f t="shared" si="7"/>
        <v>0</v>
      </c>
      <c r="AJ24" s="123">
        <f t="shared" si="7"/>
        <v>0</v>
      </c>
      <c r="AK24" s="123">
        <f t="shared" si="7"/>
        <v>0</v>
      </c>
      <c r="AL24" s="123">
        <f t="shared" si="7"/>
        <v>0</v>
      </c>
      <c r="AM24" s="123">
        <f t="shared" si="7"/>
        <v>0</v>
      </c>
      <c r="AN24" s="123">
        <f t="shared" si="7"/>
        <v>0</v>
      </c>
      <c r="AO24" s="123">
        <f t="shared" si="7"/>
        <v>0</v>
      </c>
      <c r="AP24" s="123">
        <f t="shared" si="7"/>
        <v>0</v>
      </c>
      <c r="AQ24" s="123">
        <f t="shared" si="7"/>
        <v>0</v>
      </c>
      <c r="AR24" s="123">
        <f t="shared" si="7"/>
        <v>0</v>
      </c>
      <c r="AS24" s="123">
        <f t="shared" si="7"/>
        <v>0</v>
      </c>
      <c r="AT24" s="123">
        <f t="shared" si="7"/>
        <v>0</v>
      </c>
      <c r="AU24" s="123">
        <f t="shared" si="7"/>
        <v>0</v>
      </c>
      <c r="AV24" s="123">
        <f t="shared" si="7"/>
        <v>0</v>
      </c>
      <c r="AW24" s="123">
        <f t="shared" si="7"/>
        <v>0</v>
      </c>
      <c r="AX24" s="123">
        <f t="shared" si="7"/>
        <v>0</v>
      </c>
      <c r="AY24" s="123">
        <f t="shared" si="7"/>
        <v>0</v>
      </c>
      <c r="AZ24" s="157">
        <f t="shared" si="5"/>
        <v>0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83</v>
      </c>
      <c r="D27" s="140">
        <f>C$27-C$28+C$29</f>
        <v>83</v>
      </c>
      <c r="E27" s="140">
        <f t="shared" ref="E27:AY27" si="8">D27-D28+D29</f>
        <v>82</v>
      </c>
      <c r="F27" s="140">
        <f t="shared" si="8"/>
        <v>80</v>
      </c>
      <c r="G27" s="140">
        <f t="shared" si="8"/>
        <v>80</v>
      </c>
      <c r="H27" s="140">
        <f t="shared" si="8"/>
        <v>80</v>
      </c>
      <c r="I27" s="140">
        <f t="shared" si="8"/>
        <v>80</v>
      </c>
      <c r="J27" s="140">
        <f t="shared" si="8"/>
        <v>83</v>
      </c>
      <c r="K27" s="140">
        <f t="shared" si="8"/>
        <v>83</v>
      </c>
      <c r="L27" s="140">
        <f t="shared" si="8"/>
        <v>83</v>
      </c>
      <c r="M27" s="140">
        <f t="shared" si="8"/>
        <v>83</v>
      </c>
      <c r="N27" s="140">
        <f t="shared" si="8"/>
        <v>83</v>
      </c>
      <c r="O27" s="140">
        <f t="shared" si="8"/>
        <v>83</v>
      </c>
      <c r="P27" s="140">
        <f t="shared" si="8"/>
        <v>83</v>
      </c>
      <c r="Q27" s="140">
        <f t="shared" si="8"/>
        <v>83</v>
      </c>
      <c r="R27" s="140">
        <f t="shared" si="8"/>
        <v>80</v>
      </c>
      <c r="S27" s="140">
        <f t="shared" si="8"/>
        <v>80</v>
      </c>
      <c r="T27" s="140">
        <f t="shared" si="8"/>
        <v>80</v>
      </c>
      <c r="U27" s="140">
        <f t="shared" si="8"/>
        <v>80</v>
      </c>
      <c r="V27" s="140">
        <f t="shared" si="8"/>
        <v>83</v>
      </c>
      <c r="W27" s="140">
        <f t="shared" si="8"/>
        <v>83</v>
      </c>
      <c r="X27" s="140">
        <f t="shared" si="8"/>
        <v>83</v>
      </c>
      <c r="Y27" s="140">
        <f t="shared" si="8"/>
        <v>83</v>
      </c>
      <c r="Z27" s="140">
        <f t="shared" si="8"/>
        <v>83</v>
      </c>
      <c r="AA27" s="140">
        <f t="shared" si="8"/>
        <v>83</v>
      </c>
      <c r="AB27" s="140">
        <f t="shared" si="8"/>
        <v>83</v>
      </c>
      <c r="AC27" s="140">
        <f t="shared" si="8"/>
        <v>83</v>
      </c>
      <c r="AD27" s="140">
        <f t="shared" si="8"/>
        <v>112</v>
      </c>
      <c r="AE27" s="140">
        <f t="shared" si="8"/>
        <v>49</v>
      </c>
      <c r="AF27" s="140">
        <f t="shared" si="8"/>
        <v>80</v>
      </c>
      <c r="AG27" s="140">
        <f t="shared" si="8"/>
        <v>80</v>
      </c>
      <c r="AH27" s="140">
        <f t="shared" si="8"/>
        <v>83</v>
      </c>
      <c r="AI27" s="140">
        <f t="shared" si="8"/>
        <v>83</v>
      </c>
      <c r="AJ27" s="140">
        <f t="shared" si="8"/>
        <v>83</v>
      </c>
      <c r="AK27" s="140">
        <f t="shared" si="8"/>
        <v>83</v>
      </c>
      <c r="AL27" s="140">
        <f t="shared" si="8"/>
        <v>83</v>
      </c>
      <c r="AM27" s="140">
        <f t="shared" si="8"/>
        <v>83</v>
      </c>
      <c r="AN27" s="140">
        <f t="shared" si="8"/>
        <v>83</v>
      </c>
      <c r="AO27" s="140">
        <f t="shared" si="8"/>
        <v>83</v>
      </c>
      <c r="AP27" s="140">
        <f t="shared" si="8"/>
        <v>80</v>
      </c>
      <c r="AQ27" s="140">
        <f t="shared" si="8"/>
        <v>80</v>
      </c>
      <c r="AR27" s="140">
        <f t="shared" si="8"/>
        <v>80</v>
      </c>
      <c r="AS27" s="140">
        <f t="shared" si="8"/>
        <v>80</v>
      </c>
      <c r="AT27" s="140">
        <f t="shared" si="8"/>
        <v>83</v>
      </c>
      <c r="AU27" s="140">
        <f t="shared" si="8"/>
        <v>83</v>
      </c>
      <c r="AV27" s="140">
        <f t="shared" si="8"/>
        <v>83</v>
      </c>
      <c r="AW27" s="140">
        <f t="shared" si="8"/>
        <v>83</v>
      </c>
      <c r="AX27" s="140">
        <f t="shared" si="8"/>
        <v>83</v>
      </c>
      <c r="AY27" s="180">
        <f t="shared" si="8"/>
        <v>112</v>
      </c>
      <c r="AZ27" s="123"/>
    </row>
    <row r="28" spans="1:52" x14ac:dyDescent="0.2">
      <c r="B28" s="181" t="s">
        <v>310</v>
      </c>
      <c r="C28" s="127">
        <v>29</v>
      </c>
      <c r="D28" s="127">
        <v>30</v>
      </c>
      <c r="E28" s="127">
        <v>32</v>
      </c>
      <c r="F28" s="127">
        <v>32</v>
      </c>
      <c r="G28" s="127">
        <v>32</v>
      </c>
      <c r="H28" s="127">
        <v>32</v>
      </c>
      <c r="I28" s="127">
        <v>29</v>
      </c>
      <c r="J28" s="127">
        <v>29</v>
      </c>
      <c r="K28" s="127">
        <v>29</v>
      </c>
      <c r="L28" s="127">
        <v>29</v>
      </c>
      <c r="M28" s="127">
        <v>29</v>
      </c>
      <c r="N28" s="127">
        <v>29</v>
      </c>
      <c r="O28" s="127">
        <v>29</v>
      </c>
      <c r="P28" s="127">
        <v>29</v>
      </c>
      <c r="Q28" s="127">
        <v>32</v>
      </c>
      <c r="R28" s="127">
        <v>32</v>
      </c>
      <c r="S28" s="127">
        <v>32</v>
      </c>
      <c r="T28" s="127">
        <v>32</v>
      </c>
      <c r="U28" s="127">
        <v>29</v>
      </c>
      <c r="V28" s="127">
        <v>29</v>
      </c>
      <c r="W28" s="127">
        <v>29</v>
      </c>
      <c r="X28" s="127">
        <v>29</v>
      </c>
      <c r="Y28" s="127">
        <v>29</v>
      </c>
      <c r="Z28" s="127">
        <v>29</v>
      </c>
      <c r="AA28" s="127">
        <v>29</v>
      </c>
      <c r="AB28" s="127">
        <v>29</v>
      </c>
      <c r="AC28" s="127">
        <v>0</v>
      </c>
      <c r="AD28" s="127">
        <v>63</v>
      </c>
      <c r="AE28" s="127">
        <v>32</v>
      </c>
      <c r="AF28" s="127">
        <v>32</v>
      </c>
      <c r="AG28" s="127">
        <v>29</v>
      </c>
      <c r="AH28" s="127">
        <v>29</v>
      </c>
      <c r="AI28" s="127">
        <v>29</v>
      </c>
      <c r="AJ28" s="127">
        <v>29</v>
      </c>
      <c r="AK28" s="127">
        <v>29</v>
      </c>
      <c r="AL28" s="127">
        <v>29</v>
      </c>
      <c r="AM28" s="127">
        <v>29</v>
      </c>
      <c r="AN28" s="127">
        <v>29</v>
      </c>
      <c r="AO28" s="127">
        <v>32</v>
      </c>
      <c r="AP28" s="127">
        <v>32</v>
      </c>
      <c r="AQ28" s="127">
        <v>32</v>
      </c>
      <c r="AR28" s="127">
        <v>32</v>
      </c>
      <c r="AS28" s="127">
        <v>29</v>
      </c>
      <c r="AT28" s="127">
        <v>29</v>
      </c>
      <c r="AU28" s="127">
        <v>29</v>
      </c>
      <c r="AV28" s="127">
        <v>29</v>
      </c>
      <c r="AW28" s="127">
        <v>29</v>
      </c>
      <c r="AX28" s="127">
        <v>0</v>
      </c>
      <c r="AY28" s="182">
        <v>57</v>
      </c>
      <c r="AZ28" s="123"/>
    </row>
    <row r="29" spans="1:52" x14ac:dyDescent="0.2">
      <c r="B29" s="152" t="s">
        <v>311</v>
      </c>
      <c r="C29" s="141">
        <v>29</v>
      </c>
      <c r="D29" s="141">
        <f>C$28</f>
        <v>29</v>
      </c>
      <c r="E29" s="141">
        <f t="shared" ref="E29:AY29" si="9">D$28</f>
        <v>30</v>
      </c>
      <c r="F29" s="141">
        <f t="shared" si="9"/>
        <v>32</v>
      </c>
      <c r="G29" s="141">
        <f t="shared" si="9"/>
        <v>32</v>
      </c>
      <c r="H29" s="141">
        <f t="shared" si="9"/>
        <v>32</v>
      </c>
      <c r="I29" s="141">
        <f t="shared" si="9"/>
        <v>32</v>
      </c>
      <c r="J29" s="141">
        <f t="shared" si="9"/>
        <v>29</v>
      </c>
      <c r="K29" s="141">
        <f t="shared" si="9"/>
        <v>29</v>
      </c>
      <c r="L29" s="141">
        <f t="shared" si="9"/>
        <v>29</v>
      </c>
      <c r="M29" s="141">
        <f t="shared" si="9"/>
        <v>29</v>
      </c>
      <c r="N29" s="141">
        <f t="shared" si="9"/>
        <v>29</v>
      </c>
      <c r="O29" s="141">
        <f t="shared" si="9"/>
        <v>29</v>
      </c>
      <c r="P29" s="141">
        <f t="shared" si="9"/>
        <v>29</v>
      </c>
      <c r="Q29" s="141">
        <f t="shared" si="9"/>
        <v>29</v>
      </c>
      <c r="R29" s="141">
        <f t="shared" si="9"/>
        <v>32</v>
      </c>
      <c r="S29" s="141">
        <f t="shared" si="9"/>
        <v>32</v>
      </c>
      <c r="T29" s="141">
        <f t="shared" si="9"/>
        <v>32</v>
      </c>
      <c r="U29" s="141">
        <f t="shared" si="9"/>
        <v>32</v>
      </c>
      <c r="V29" s="141">
        <f t="shared" si="9"/>
        <v>29</v>
      </c>
      <c r="W29" s="141">
        <f t="shared" si="9"/>
        <v>29</v>
      </c>
      <c r="X29" s="141">
        <f t="shared" si="9"/>
        <v>29</v>
      </c>
      <c r="Y29" s="141">
        <f t="shared" si="9"/>
        <v>29</v>
      </c>
      <c r="Z29" s="141">
        <f t="shared" si="9"/>
        <v>29</v>
      </c>
      <c r="AA29" s="141">
        <f t="shared" si="9"/>
        <v>29</v>
      </c>
      <c r="AB29" s="141">
        <f t="shared" si="9"/>
        <v>29</v>
      </c>
      <c r="AC29" s="141">
        <f t="shared" si="9"/>
        <v>29</v>
      </c>
      <c r="AD29" s="141">
        <f t="shared" si="9"/>
        <v>0</v>
      </c>
      <c r="AE29" s="141">
        <f t="shared" si="9"/>
        <v>63</v>
      </c>
      <c r="AF29" s="141">
        <f t="shared" si="9"/>
        <v>32</v>
      </c>
      <c r="AG29" s="141">
        <f t="shared" si="9"/>
        <v>32</v>
      </c>
      <c r="AH29" s="141">
        <f t="shared" si="9"/>
        <v>29</v>
      </c>
      <c r="AI29" s="141">
        <f t="shared" si="9"/>
        <v>29</v>
      </c>
      <c r="AJ29" s="141">
        <f t="shared" si="9"/>
        <v>29</v>
      </c>
      <c r="AK29" s="141">
        <f t="shared" si="9"/>
        <v>29</v>
      </c>
      <c r="AL29" s="141">
        <f t="shared" si="9"/>
        <v>29</v>
      </c>
      <c r="AM29" s="141">
        <f t="shared" si="9"/>
        <v>29</v>
      </c>
      <c r="AN29" s="141">
        <f t="shared" si="9"/>
        <v>29</v>
      </c>
      <c r="AO29" s="141">
        <f t="shared" si="9"/>
        <v>29</v>
      </c>
      <c r="AP29" s="141">
        <f t="shared" si="9"/>
        <v>32</v>
      </c>
      <c r="AQ29" s="141">
        <f t="shared" si="9"/>
        <v>32</v>
      </c>
      <c r="AR29" s="141">
        <f t="shared" si="9"/>
        <v>32</v>
      </c>
      <c r="AS29" s="141">
        <f t="shared" si="9"/>
        <v>32</v>
      </c>
      <c r="AT29" s="141">
        <f t="shared" si="9"/>
        <v>29</v>
      </c>
      <c r="AU29" s="141">
        <f t="shared" si="9"/>
        <v>29</v>
      </c>
      <c r="AV29" s="141">
        <f t="shared" si="9"/>
        <v>29</v>
      </c>
      <c r="AW29" s="141">
        <f t="shared" si="9"/>
        <v>29</v>
      </c>
      <c r="AX29" s="141">
        <f t="shared" si="9"/>
        <v>29</v>
      </c>
      <c r="AY29" s="183">
        <f t="shared" si="9"/>
        <v>0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830</v>
      </c>
      <c r="E30" s="133">
        <f t="shared" ref="E30:AY30" si="10">E$27*$B$30</f>
        <v>820</v>
      </c>
      <c r="F30" s="133">
        <f t="shared" si="10"/>
        <v>800</v>
      </c>
      <c r="G30" s="133">
        <f t="shared" si="10"/>
        <v>800</v>
      </c>
      <c r="H30" s="133">
        <f t="shared" si="10"/>
        <v>800</v>
      </c>
      <c r="I30" s="133">
        <f t="shared" si="10"/>
        <v>800</v>
      </c>
      <c r="J30" s="133">
        <f t="shared" si="10"/>
        <v>830</v>
      </c>
      <c r="K30" s="133">
        <f t="shared" si="10"/>
        <v>830</v>
      </c>
      <c r="L30" s="133">
        <f t="shared" si="10"/>
        <v>830</v>
      </c>
      <c r="M30" s="133">
        <f t="shared" si="10"/>
        <v>830</v>
      </c>
      <c r="N30" s="133">
        <f t="shared" si="10"/>
        <v>830</v>
      </c>
      <c r="O30" s="133">
        <f t="shared" si="10"/>
        <v>830</v>
      </c>
      <c r="P30" s="133">
        <f t="shared" si="10"/>
        <v>830</v>
      </c>
      <c r="Q30" s="133">
        <f t="shared" si="10"/>
        <v>830</v>
      </c>
      <c r="R30" s="133">
        <f>R$27*$B$30</f>
        <v>800</v>
      </c>
      <c r="S30" s="133">
        <f t="shared" si="10"/>
        <v>800</v>
      </c>
      <c r="T30" s="133">
        <f t="shared" si="10"/>
        <v>800</v>
      </c>
      <c r="U30" s="133">
        <f t="shared" si="10"/>
        <v>800</v>
      </c>
      <c r="V30" s="133">
        <f t="shared" si="10"/>
        <v>830</v>
      </c>
      <c r="W30" s="133">
        <f t="shared" si="10"/>
        <v>830</v>
      </c>
      <c r="X30" s="133">
        <f t="shared" si="10"/>
        <v>830</v>
      </c>
      <c r="Y30" s="133">
        <f t="shared" si="10"/>
        <v>830</v>
      </c>
      <c r="Z30" s="133">
        <f t="shared" si="10"/>
        <v>830</v>
      </c>
      <c r="AA30" s="133">
        <f t="shared" si="10"/>
        <v>830</v>
      </c>
      <c r="AB30" s="133">
        <f t="shared" si="10"/>
        <v>830</v>
      </c>
      <c r="AC30" s="133">
        <f t="shared" si="10"/>
        <v>830</v>
      </c>
      <c r="AD30" s="133">
        <f t="shared" si="10"/>
        <v>1120</v>
      </c>
      <c r="AE30" s="133">
        <f>AE$27*$B$30</f>
        <v>490</v>
      </c>
      <c r="AF30" s="133">
        <f t="shared" si="10"/>
        <v>800</v>
      </c>
      <c r="AG30" s="133">
        <f t="shared" si="10"/>
        <v>800</v>
      </c>
      <c r="AH30" s="133">
        <f t="shared" si="10"/>
        <v>830</v>
      </c>
      <c r="AI30" s="133">
        <f t="shared" si="10"/>
        <v>830</v>
      </c>
      <c r="AJ30" s="133">
        <f t="shared" si="10"/>
        <v>830</v>
      </c>
      <c r="AK30" s="133">
        <f t="shared" si="10"/>
        <v>830</v>
      </c>
      <c r="AL30" s="133">
        <f t="shared" si="10"/>
        <v>830</v>
      </c>
      <c r="AM30" s="133">
        <f t="shared" si="10"/>
        <v>830</v>
      </c>
      <c r="AN30" s="133">
        <f t="shared" si="10"/>
        <v>830</v>
      </c>
      <c r="AO30" s="133">
        <f t="shared" si="10"/>
        <v>830</v>
      </c>
      <c r="AP30" s="133">
        <f t="shared" si="10"/>
        <v>800</v>
      </c>
      <c r="AQ30" s="133">
        <f t="shared" si="10"/>
        <v>800</v>
      </c>
      <c r="AR30" s="133">
        <f t="shared" si="10"/>
        <v>800</v>
      </c>
      <c r="AS30" s="133">
        <f t="shared" si="10"/>
        <v>800</v>
      </c>
      <c r="AT30" s="133">
        <f t="shared" si="10"/>
        <v>830</v>
      </c>
      <c r="AU30" s="133">
        <f t="shared" si="10"/>
        <v>830</v>
      </c>
      <c r="AV30" s="133">
        <f t="shared" si="10"/>
        <v>830</v>
      </c>
      <c r="AW30" s="133">
        <f t="shared" si="10"/>
        <v>830</v>
      </c>
      <c r="AX30" s="133">
        <f t="shared" si="10"/>
        <v>830</v>
      </c>
      <c r="AY30" s="133">
        <f t="shared" si="10"/>
        <v>1120</v>
      </c>
      <c r="AZ30" s="157">
        <f t="shared" si="5"/>
        <v>39650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D$21*shipping_manufacturing!$H$27/100</f>
        <v>310.94260837080498</v>
      </c>
      <c r="E33" s="140">
        <f>E$21*shipping_manufacturing!$H$27/100</f>
        <v>341.06995925320479</v>
      </c>
      <c r="F33" s="140">
        <f>F$21*shipping_manufacturing!$H$27/100</f>
        <v>341.06995925320479</v>
      </c>
      <c r="G33" s="140">
        <f>G$21*shipping_manufacturing!$H$27/100</f>
        <v>341.06995925320479</v>
      </c>
      <c r="H33" s="140">
        <f>H$21*shipping_manufacturing!$H$27/100</f>
        <v>341.06995925320479</v>
      </c>
      <c r="I33" s="140">
        <f>I$21*shipping_manufacturing!$H$27/100</f>
        <v>309.72085453801782</v>
      </c>
      <c r="J33" s="140">
        <f>J$21*shipping_manufacturing!$H$27/100</f>
        <v>309.72085453801782</v>
      </c>
      <c r="K33" s="140">
        <f>K$21*shipping_manufacturing!$H$27/100</f>
        <v>309.72085453801782</v>
      </c>
      <c r="L33" s="140">
        <f>L$21*shipping_manufacturing!$H$27/100</f>
        <v>309.72085453801782</v>
      </c>
      <c r="M33" s="140">
        <f>M$21*shipping_manufacturing!$H$27/100</f>
        <v>309.72085453801782</v>
      </c>
      <c r="N33" s="140">
        <f>N$21*shipping_manufacturing!$H$27/100</f>
        <v>309.72085453801782</v>
      </c>
      <c r="O33" s="140">
        <f>O$21*shipping_manufacturing!$H$27/100</f>
        <v>309.72085453801782</v>
      </c>
      <c r="P33" s="140">
        <f>P$21*shipping_manufacturing!$H$27/100</f>
        <v>309.72085453801782</v>
      </c>
      <c r="Q33" s="140">
        <f>Q$21*shipping_manufacturing!$H$27/100</f>
        <v>341.06995925320479</v>
      </c>
      <c r="R33" s="140">
        <f>R$21*shipping_manufacturing!$H$27/100</f>
        <v>341.06995925320479</v>
      </c>
      <c r="S33" s="140">
        <f>S$21*shipping_manufacturing!$H$27/100</f>
        <v>341.06995925320479</v>
      </c>
      <c r="T33" s="140">
        <f>T$21*shipping_manufacturing!$H$27/100</f>
        <v>341.06995925320479</v>
      </c>
      <c r="U33" s="140">
        <f>U$21*shipping_manufacturing!$H$27/100</f>
        <v>309.72085453801782</v>
      </c>
      <c r="V33" s="140">
        <f>V$21*shipping_manufacturing!$H$27/100</f>
        <v>309.72085453801782</v>
      </c>
      <c r="W33" s="140">
        <f>W$21*shipping_manufacturing!$H$27/100</f>
        <v>309.72085453801782</v>
      </c>
      <c r="X33" s="140">
        <f>X$21*shipping_manufacturing!$H$27/100</f>
        <v>309.72085453801782</v>
      </c>
      <c r="Y33" s="140">
        <f>Y$21*shipping_manufacturing!$H$27/100</f>
        <v>309.72085453801782</v>
      </c>
      <c r="Z33" s="140">
        <f>Z$21*shipping_manufacturing!$H$27/100</f>
        <v>309.72085453801782</v>
      </c>
      <c r="AA33" s="140">
        <f>AA$21*shipping_manufacturing!$H$27/100</f>
        <v>309.72085453801782</v>
      </c>
      <c r="AB33" s="140">
        <f>AB$21*shipping_manufacturing!$H$27/100</f>
        <v>309.72085453801782</v>
      </c>
      <c r="AC33" s="140">
        <f>AC$21*shipping_manufacturing!$H$27/100</f>
        <v>0</v>
      </c>
      <c r="AD33" s="140">
        <f>AD$21*shipping_manufacturing!$H$27/100</f>
        <v>682.13991850640957</v>
      </c>
      <c r="AE33" s="140">
        <f>AE$21*shipping_manufacturing!$H$27/100</f>
        <v>341.06995925320479</v>
      </c>
      <c r="AF33" s="140">
        <f>AF$21*shipping_manufacturing!$H$27/100</f>
        <v>341.06995925320479</v>
      </c>
      <c r="AG33" s="140">
        <f>AG$21*shipping_manufacturing!$H$27/100</f>
        <v>309.72085453801782</v>
      </c>
      <c r="AH33" s="140">
        <f>AH$21*shipping_manufacturing!$H$27/100</f>
        <v>309.72085453801782</v>
      </c>
      <c r="AI33" s="140">
        <f>AI$21*shipping_manufacturing!$H$27/100</f>
        <v>309.72085453801782</v>
      </c>
      <c r="AJ33" s="140">
        <f>AJ$21*shipping_manufacturing!$H$27/100</f>
        <v>309.72085453801782</v>
      </c>
      <c r="AK33" s="140">
        <f>AK$21*shipping_manufacturing!$H$27/100</f>
        <v>309.72085453801782</v>
      </c>
      <c r="AL33" s="140">
        <f>AL$21*shipping_manufacturing!$H$27/100</f>
        <v>309.72085453801782</v>
      </c>
      <c r="AM33" s="140">
        <f>AM$21*shipping_manufacturing!$H$27/100</f>
        <v>309.72085453801782</v>
      </c>
      <c r="AN33" s="140">
        <f>AN$21*shipping_manufacturing!$H$27/100</f>
        <v>309.72085453801782</v>
      </c>
      <c r="AO33" s="140">
        <f>AO$21*shipping_manufacturing!$H$27/100</f>
        <v>341.06995925320479</v>
      </c>
      <c r="AP33" s="140">
        <f>AP$21*shipping_manufacturing!$H$27/100</f>
        <v>341.06995925320479</v>
      </c>
      <c r="AQ33" s="140">
        <f>AQ$21*shipping_manufacturing!$H$27/100</f>
        <v>341.06995925320479</v>
      </c>
      <c r="AR33" s="140">
        <f>AR$21*shipping_manufacturing!$H$27/100</f>
        <v>341.06995925320479</v>
      </c>
      <c r="AS33" s="140">
        <f>AS$21*shipping_manufacturing!$H$27/100</f>
        <v>309.72085453801782</v>
      </c>
      <c r="AT33" s="140">
        <f>AT$21*shipping_manufacturing!$H$27/100</f>
        <v>309.72085453801782</v>
      </c>
      <c r="AU33" s="140">
        <f>AU$21*shipping_manufacturing!$H$27/100</f>
        <v>309.72085453801782</v>
      </c>
      <c r="AV33" s="140">
        <f>AV$21*shipping_manufacturing!$H$27/100</f>
        <v>309.72085453801782</v>
      </c>
      <c r="AW33" s="140">
        <f>AW$21*shipping_manufacturing!$H$27/100</f>
        <v>309.72085453801782</v>
      </c>
      <c r="AX33" s="140">
        <f>AX$21*shipping_manufacturing!$H$27/100</f>
        <v>0</v>
      </c>
      <c r="AY33" s="140">
        <f>AY$21*shipping_manufacturing!$H$27/100</f>
        <v>619.44170907603564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D$22*shipping_manufacturing!$I$27/100</f>
        <v>0</v>
      </c>
      <c r="E34" s="127">
        <f>E$22*shipping_manufacturing!$I$27/100</f>
        <v>0</v>
      </c>
      <c r="F34" s="127">
        <f>F$22*shipping_manufacturing!$I$27/100</f>
        <v>0</v>
      </c>
      <c r="G34" s="127">
        <f>G$22*shipping_manufacturing!$I$27/100</f>
        <v>0</v>
      </c>
      <c r="H34" s="127">
        <f>H$22*shipping_manufacturing!$I$27/100</f>
        <v>0</v>
      </c>
      <c r="I34" s="127">
        <f>I$22*shipping_manufacturing!$I$27/100</f>
        <v>0</v>
      </c>
      <c r="J34" s="127">
        <f>J$22*shipping_manufacturing!$I$27/100</f>
        <v>0</v>
      </c>
      <c r="K34" s="127">
        <f>K$22*shipping_manufacturing!$I$27/100</f>
        <v>0</v>
      </c>
      <c r="L34" s="127">
        <f>L$22*shipping_manufacturing!$I$27/100</f>
        <v>0</v>
      </c>
      <c r="M34" s="127">
        <f>M$22*shipping_manufacturing!$I$27/100</f>
        <v>0</v>
      </c>
      <c r="N34" s="127">
        <f>N$22*shipping_manufacturing!$I$27/100</f>
        <v>0</v>
      </c>
      <c r="O34" s="127">
        <f>O$22*shipping_manufacturing!$I$27/100</f>
        <v>0</v>
      </c>
      <c r="P34" s="127">
        <f>P$22*shipping_manufacturing!$I$27/100</f>
        <v>0</v>
      </c>
      <c r="Q34" s="127">
        <f>Q$22*shipping_manufacturing!$I$27/100</f>
        <v>0</v>
      </c>
      <c r="R34" s="127">
        <f>R$22*shipping_manufacturing!$I$27/100</f>
        <v>0</v>
      </c>
      <c r="S34" s="127">
        <f>S$22*shipping_manufacturing!$I$27/100</f>
        <v>0</v>
      </c>
      <c r="T34" s="127">
        <f>T$22*shipping_manufacturing!$I$27/100</f>
        <v>0</v>
      </c>
      <c r="U34" s="127">
        <f>U$22*shipping_manufacturing!$I$27/100</f>
        <v>0</v>
      </c>
      <c r="V34" s="127">
        <f>V$22*shipping_manufacturing!$I$27/100</f>
        <v>0</v>
      </c>
      <c r="W34" s="127">
        <f>W$22*shipping_manufacturing!$I$27/100</f>
        <v>0</v>
      </c>
      <c r="X34" s="127">
        <f>X$22*shipping_manufacturing!$I$27/100</f>
        <v>0</v>
      </c>
      <c r="Y34" s="127">
        <f>Y$22*shipping_manufacturing!$I$27/100</f>
        <v>0</v>
      </c>
      <c r="Z34" s="127">
        <f>Z$22*shipping_manufacturing!$I$27/100</f>
        <v>0</v>
      </c>
      <c r="AA34" s="127">
        <f>AA$22*shipping_manufacturing!$I$27/100</f>
        <v>0</v>
      </c>
      <c r="AB34" s="127">
        <f>AB$22*shipping_manufacturing!$I$27/100</f>
        <v>0</v>
      </c>
      <c r="AC34" s="127">
        <f>AC$22*shipping_manufacturing!$I$27/100</f>
        <v>0</v>
      </c>
      <c r="AD34" s="127">
        <f>AD$22*shipping_manufacturing!$I$27/100</f>
        <v>0</v>
      </c>
      <c r="AE34" s="127">
        <f>AE$22*shipping_manufacturing!$I$27/100</f>
        <v>0</v>
      </c>
      <c r="AF34" s="127">
        <f>AF$22*shipping_manufacturing!$I$27/100</f>
        <v>0</v>
      </c>
      <c r="AG34" s="127">
        <f>AG$22*shipping_manufacturing!$I$27/100</f>
        <v>0</v>
      </c>
      <c r="AH34" s="127">
        <f>AH$22*shipping_manufacturing!$I$27/100</f>
        <v>0</v>
      </c>
      <c r="AI34" s="127">
        <f>AI$22*shipping_manufacturing!$I$27/100</f>
        <v>0</v>
      </c>
      <c r="AJ34" s="127">
        <f>AJ$22*shipping_manufacturing!$I$27/100</f>
        <v>0</v>
      </c>
      <c r="AK34" s="127">
        <f>AK$22*shipping_manufacturing!$I$27/100</f>
        <v>0</v>
      </c>
      <c r="AL34" s="127">
        <f>AL$22*shipping_manufacturing!$I$27/100</f>
        <v>0</v>
      </c>
      <c r="AM34" s="127">
        <f>AM$22*shipping_manufacturing!$I$27/100</f>
        <v>0</v>
      </c>
      <c r="AN34" s="127">
        <f>AN$22*shipping_manufacturing!$I$27/100</f>
        <v>0</v>
      </c>
      <c r="AO34" s="127">
        <f>AO$22*shipping_manufacturing!$I$27/100</f>
        <v>0</v>
      </c>
      <c r="AP34" s="127">
        <f>AP$22*shipping_manufacturing!$I$27/100</f>
        <v>0</v>
      </c>
      <c r="AQ34" s="127">
        <f>AQ$22*shipping_manufacturing!$I$27/100</f>
        <v>0</v>
      </c>
      <c r="AR34" s="127">
        <f>AR$22*shipping_manufacturing!$I$27/100</f>
        <v>0</v>
      </c>
      <c r="AS34" s="127">
        <f>AS$22*shipping_manufacturing!$I$27/100</f>
        <v>0</v>
      </c>
      <c r="AT34" s="127">
        <f>AT$22*shipping_manufacturing!$I$27/100</f>
        <v>0</v>
      </c>
      <c r="AU34" s="127">
        <f>AU$22*shipping_manufacturing!$I$27/100</f>
        <v>0</v>
      </c>
      <c r="AV34" s="127">
        <f>AV$22*shipping_manufacturing!$I$27/100</f>
        <v>0</v>
      </c>
      <c r="AW34" s="127">
        <f>AW$22*shipping_manufacturing!$I$27/100</f>
        <v>0</v>
      </c>
      <c r="AX34" s="127">
        <f>AX$22*shipping_manufacturing!$I$27/100</f>
        <v>0</v>
      </c>
      <c r="AY34" s="127">
        <f>AY$22*shipping_manufacturing!$I$27/100</f>
        <v>0</v>
      </c>
    </row>
    <row r="35" spans="1:52" x14ac:dyDescent="0.2">
      <c r="A35" s="127">
        <v>1245</v>
      </c>
      <c r="B35" s="181" t="s">
        <v>343</v>
      </c>
      <c r="C35" s="127"/>
      <c r="D35" s="127">
        <f>SUM(D33:D34)</f>
        <v>310.94260837080498</v>
      </c>
      <c r="E35" s="127">
        <f t="shared" ref="E35:AY35" si="11">SUM(E33:E34)</f>
        <v>341.06995925320479</v>
      </c>
      <c r="F35" s="127">
        <f t="shared" si="11"/>
        <v>341.06995925320479</v>
      </c>
      <c r="G35" s="127">
        <f t="shared" si="11"/>
        <v>341.06995925320479</v>
      </c>
      <c r="H35" s="127">
        <f t="shared" si="11"/>
        <v>341.06995925320479</v>
      </c>
      <c r="I35" s="127">
        <f t="shared" si="11"/>
        <v>309.72085453801782</v>
      </c>
      <c r="J35" s="127">
        <f t="shared" si="11"/>
        <v>309.72085453801782</v>
      </c>
      <c r="K35" s="127">
        <f t="shared" si="11"/>
        <v>309.72085453801782</v>
      </c>
      <c r="L35" s="127">
        <f t="shared" si="11"/>
        <v>309.72085453801782</v>
      </c>
      <c r="M35" s="127">
        <f t="shared" si="11"/>
        <v>309.72085453801782</v>
      </c>
      <c r="N35" s="127">
        <f t="shared" si="11"/>
        <v>309.72085453801782</v>
      </c>
      <c r="O35" s="127">
        <f t="shared" si="11"/>
        <v>309.72085453801782</v>
      </c>
      <c r="P35" s="127">
        <f t="shared" si="11"/>
        <v>309.72085453801782</v>
      </c>
      <c r="Q35" s="127">
        <f t="shared" si="11"/>
        <v>341.06995925320479</v>
      </c>
      <c r="R35" s="127">
        <f t="shared" si="11"/>
        <v>341.06995925320479</v>
      </c>
      <c r="S35" s="127">
        <f t="shared" si="11"/>
        <v>341.06995925320479</v>
      </c>
      <c r="T35" s="127">
        <f t="shared" si="11"/>
        <v>341.06995925320479</v>
      </c>
      <c r="U35" s="127">
        <f t="shared" si="11"/>
        <v>309.72085453801782</v>
      </c>
      <c r="V35" s="127">
        <f t="shared" si="11"/>
        <v>309.72085453801782</v>
      </c>
      <c r="W35" s="127">
        <f t="shared" si="11"/>
        <v>309.72085453801782</v>
      </c>
      <c r="X35" s="127">
        <f t="shared" si="11"/>
        <v>309.72085453801782</v>
      </c>
      <c r="Y35" s="127">
        <f t="shared" si="11"/>
        <v>309.72085453801782</v>
      </c>
      <c r="Z35" s="127">
        <f t="shared" si="11"/>
        <v>309.72085453801782</v>
      </c>
      <c r="AA35" s="127">
        <f t="shared" si="11"/>
        <v>309.72085453801782</v>
      </c>
      <c r="AB35" s="127">
        <f t="shared" si="11"/>
        <v>309.72085453801782</v>
      </c>
      <c r="AC35" s="127">
        <f t="shared" si="11"/>
        <v>0</v>
      </c>
      <c r="AD35" s="127">
        <f t="shared" si="11"/>
        <v>682.13991850640957</v>
      </c>
      <c r="AE35" s="127">
        <f t="shared" si="11"/>
        <v>341.06995925320479</v>
      </c>
      <c r="AF35" s="127">
        <f t="shared" si="11"/>
        <v>341.06995925320479</v>
      </c>
      <c r="AG35" s="127">
        <f t="shared" si="11"/>
        <v>309.72085453801782</v>
      </c>
      <c r="AH35" s="127">
        <f t="shared" si="11"/>
        <v>309.72085453801782</v>
      </c>
      <c r="AI35" s="127">
        <f t="shared" si="11"/>
        <v>309.72085453801782</v>
      </c>
      <c r="AJ35" s="127">
        <f t="shared" si="11"/>
        <v>309.72085453801782</v>
      </c>
      <c r="AK35" s="127">
        <f t="shared" si="11"/>
        <v>309.72085453801782</v>
      </c>
      <c r="AL35" s="127">
        <f t="shared" si="11"/>
        <v>309.72085453801782</v>
      </c>
      <c r="AM35" s="127">
        <f t="shared" si="11"/>
        <v>309.72085453801782</v>
      </c>
      <c r="AN35" s="127">
        <f t="shared" si="11"/>
        <v>309.72085453801782</v>
      </c>
      <c r="AO35" s="127">
        <f t="shared" si="11"/>
        <v>341.06995925320479</v>
      </c>
      <c r="AP35" s="127">
        <f t="shared" si="11"/>
        <v>341.06995925320479</v>
      </c>
      <c r="AQ35" s="127">
        <f t="shared" si="11"/>
        <v>341.06995925320479</v>
      </c>
      <c r="AR35" s="127">
        <f t="shared" si="11"/>
        <v>341.06995925320479</v>
      </c>
      <c r="AS35" s="127">
        <f t="shared" si="11"/>
        <v>309.72085453801782</v>
      </c>
      <c r="AT35" s="127">
        <f t="shared" si="11"/>
        <v>309.72085453801782</v>
      </c>
      <c r="AU35" s="127">
        <f t="shared" si="11"/>
        <v>309.72085453801782</v>
      </c>
      <c r="AV35" s="127">
        <f t="shared" si="11"/>
        <v>309.72085453801782</v>
      </c>
      <c r="AW35" s="127">
        <f t="shared" si="11"/>
        <v>309.72085453801782</v>
      </c>
      <c r="AX35" s="127">
        <f t="shared" si="11"/>
        <v>0</v>
      </c>
      <c r="AY35" s="127">
        <f t="shared" si="11"/>
        <v>619.44170907603564</v>
      </c>
    </row>
    <row r="36" spans="1:52" x14ac:dyDescent="0.2">
      <c r="A36" s="127"/>
      <c r="B36" s="181" t="s">
        <v>344</v>
      </c>
      <c r="C36" s="127"/>
      <c r="D36" s="127">
        <v>310.94260837080498</v>
      </c>
      <c r="E36" s="127">
        <v>341.06995925320479</v>
      </c>
      <c r="F36" s="127">
        <v>341.06995925320479</v>
      </c>
      <c r="G36" s="127">
        <v>341.06995925320479</v>
      </c>
      <c r="H36" s="127">
        <v>341.06995925320479</v>
      </c>
      <c r="I36" s="127">
        <v>309.72085453801782</v>
      </c>
      <c r="J36" s="127">
        <v>309.72085453801782</v>
      </c>
      <c r="K36" s="127">
        <v>309.72085453801782</v>
      </c>
      <c r="L36" s="127">
        <v>309.72085453801782</v>
      </c>
      <c r="M36" s="127">
        <v>309.72085453801782</v>
      </c>
      <c r="N36" s="127">
        <v>309.72085453801782</v>
      </c>
      <c r="O36" s="127">
        <v>309.72085453801782</v>
      </c>
      <c r="P36" s="127">
        <v>309.72085453801782</v>
      </c>
      <c r="Q36" s="127">
        <v>341.06995925320479</v>
      </c>
      <c r="R36" s="127">
        <v>341.06995925320479</v>
      </c>
      <c r="S36" s="127">
        <v>341.06995925320479</v>
      </c>
      <c r="T36" s="127">
        <v>341.06995925320479</v>
      </c>
      <c r="U36" s="127">
        <v>309.72085453801782</v>
      </c>
      <c r="V36" s="127">
        <v>309.72085453801782</v>
      </c>
      <c r="W36" s="127">
        <v>309.72085453801782</v>
      </c>
      <c r="X36" s="127">
        <v>309.72085453801782</v>
      </c>
      <c r="Y36" s="127">
        <v>309.72085453801782</v>
      </c>
      <c r="Z36" s="127">
        <v>309.72085453801782</v>
      </c>
      <c r="AA36" s="127">
        <v>309.72085453801782</v>
      </c>
      <c r="AB36" s="127">
        <v>309.72085453801782</v>
      </c>
      <c r="AC36" s="127"/>
      <c r="AD36" s="127">
        <v>682.13991850640957</v>
      </c>
      <c r="AE36" s="127">
        <v>341.06995925320479</v>
      </c>
      <c r="AF36" s="127">
        <v>341.06995925320479</v>
      </c>
      <c r="AG36" s="127">
        <v>309.72085453801782</v>
      </c>
      <c r="AH36" s="127">
        <v>309.72085453801782</v>
      </c>
      <c r="AI36" s="127">
        <v>309.72085453801782</v>
      </c>
      <c r="AJ36" s="127">
        <v>309.72085453801782</v>
      </c>
      <c r="AK36" s="127">
        <v>309.72085453801782</v>
      </c>
      <c r="AL36" s="127">
        <v>309.72085453801782</v>
      </c>
      <c r="AM36" s="127">
        <v>309.72085453801782</v>
      </c>
      <c r="AN36" s="127">
        <v>309.72085453801782</v>
      </c>
      <c r="AO36" s="127">
        <v>341.06995925320479</v>
      </c>
      <c r="AP36" s="127">
        <v>341.06995925320479</v>
      </c>
      <c r="AQ36" s="127">
        <v>341.06995925320479</v>
      </c>
      <c r="AR36" s="127">
        <v>341.06995925320479</v>
      </c>
      <c r="AS36" s="127">
        <v>309.72085453801782</v>
      </c>
      <c r="AT36" s="127">
        <v>309.72085453801782</v>
      </c>
      <c r="AU36" s="127">
        <v>309.72085453801782</v>
      </c>
      <c r="AV36" s="127">
        <v>309.72085453801782</v>
      </c>
      <c r="AW36" s="127">
        <v>309.72085453801782</v>
      </c>
      <c r="AX36" s="127"/>
      <c r="AY36" s="127">
        <v>619.44170907603564</v>
      </c>
    </row>
    <row r="37" spans="1:52" x14ac:dyDescent="0.2">
      <c r="A37" s="127"/>
      <c r="B37" s="181" t="s">
        <v>345</v>
      </c>
      <c r="C37" s="127"/>
      <c r="D37" s="127">
        <v>0</v>
      </c>
      <c r="E37" s="127">
        <v>0</v>
      </c>
      <c r="F37" s="127">
        <v>0</v>
      </c>
      <c r="G37" s="127">
        <v>0</v>
      </c>
      <c r="H37" s="127">
        <v>0</v>
      </c>
      <c r="I37" s="127">
        <v>0</v>
      </c>
      <c r="J37" s="127">
        <v>0</v>
      </c>
      <c r="K37" s="127">
        <v>0</v>
      </c>
      <c r="L37" s="127">
        <v>0</v>
      </c>
      <c r="M37" s="127">
        <v>0</v>
      </c>
      <c r="N37" s="127">
        <v>0</v>
      </c>
      <c r="O37" s="127">
        <v>0</v>
      </c>
      <c r="P37" s="127">
        <v>0</v>
      </c>
      <c r="Q37" s="127">
        <v>0</v>
      </c>
      <c r="R37" s="127">
        <v>0</v>
      </c>
      <c r="S37" s="127">
        <v>0</v>
      </c>
      <c r="T37" s="127">
        <v>0</v>
      </c>
      <c r="U37" s="127">
        <v>0</v>
      </c>
      <c r="V37" s="127">
        <v>0</v>
      </c>
      <c r="W37" s="127">
        <v>0</v>
      </c>
      <c r="X37" s="127">
        <v>0</v>
      </c>
      <c r="Y37" s="127">
        <v>0</v>
      </c>
      <c r="Z37" s="127">
        <v>0</v>
      </c>
      <c r="AA37" s="127">
        <v>0</v>
      </c>
      <c r="AB37" s="127">
        <v>0</v>
      </c>
      <c r="AC37" s="127"/>
      <c r="AD37" s="127">
        <v>0</v>
      </c>
      <c r="AE37" s="127">
        <v>0</v>
      </c>
      <c r="AF37" s="127">
        <v>0</v>
      </c>
      <c r="AG37" s="127">
        <v>0</v>
      </c>
      <c r="AH37" s="127">
        <v>0</v>
      </c>
      <c r="AI37" s="127">
        <v>0</v>
      </c>
      <c r="AJ37" s="127">
        <v>0</v>
      </c>
      <c r="AK37" s="127">
        <v>0</v>
      </c>
      <c r="AL37" s="127">
        <v>0</v>
      </c>
      <c r="AM37" s="127">
        <v>0</v>
      </c>
      <c r="AN37" s="127">
        <v>0</v>
      </c>
      <c r="AO37" s="127">
        <v>0</v>
      </c>
      <c r="AP37" s="127">
        <v>0</v>
      </c>
      <c r="AQ37" s="127">
        <v>0</v>
      </c>
      <c r="AR37" s="127">
        <v>0</v>
      </c>
      <c r="AS37" s="127">
        <v>0</v>
      </c>
      <c r="AT37" s="127">
        <v>0</v>
      </c>
      <c r="AU37" s="127">
        <v>0</v>
      </c>
      <c r="AV37" s="127">
        <v>0</v>
      </c>
      <c r="AW37" s="127">
        <v>0</v>
      </c>
      <c r="AX37" s="127"/>
      <c r="AY37" s="127">
        <v>0</v>
      </c>
    </row>
    <row r="38" spans="1:52" x14ac:dyDescent="0.2">
      <c r="A38" s="127"/>
      <c r="B38" s="181" t="s">
        <v>346</v>
      </c>
      <c r="C38" s="127"/>
      <c r="D38" s="127">
        <v>11</v>
      </c>
      <c r="E38" s="127">
        <v>12</v>
      </c>
      <c r="F38" s="127">
        <v>12</v>
      </c>
      <c r="G38" s="127">
        <v>12</v>
      </c>
      <c r="H38" s="127">
        <v>12</v>
      </c>
      <c r="I38" s="127">
        <v>11</v>
      </c>
      <c r="J38" s="127">
        <v>11</v>
      </c>
      <c r="K38" s="127">
        <v>11</v>
      </c>
      <c r="L38" s="127">
        <v>11</v>
      </c>
      <c r="M38" s="127">
        <v>11</v>
      </c>
      <c r="N38" s="127">
        <v>11</v>
      </c>
      <c r="O38" s="127">
        <v>11</v>
      </c>
      <c r="P38" s="127">
        <v>11</v>
      </c>
      <c r="Q38" s="127">
        <v>12</v>
      </c>
      <c r="R38" s="127">
        <v>12</v>
      </c>
      <c r="S38" s="127">
        <v>12</v>
      </c>
      <c r="T38" s="127">
        <v>12</v>
      </c>
      <c r="U38" s="127">
        <v>11</v>
      </c>
      <c r="V38" s="127">
        <v>11</v>
      </c>
      <c r="W38" s="127">
        <v>11</v>
      </c>
      <c r="X38" s="127">
        <v>11</v>
      </c>
      <c r="Y38" s="127">
        <v>11</v>
      </c>
      <c r="Z38" s="127">
        <v>11</v>
      </c>
      <c r="AA38" s="127">
        <v>11</v>
      </c>
      <c r="AB38" s="127">
        <v>11</v>
      </c>
      <c r="AC38" s="127"/>
      <c r="AD38" s="127">
        <v>23</v>
      </c>
      <c r="AE38" s="127">
        <v>12</v>
      </c>
      <c r="AF38" s="127">
        <v>12</v>
      </c>
      <c r="AG38" s="127">
        <v>11</v>
      </c>
      <c r="AH38" s="127">
        <v>11</v>
      </c>
      <c r="AI38" s="127">
        <v>11</v>
      </c>
      <c r="AJ38" s="127">
        <v>11</v>
      </c>
      <c r="AK38" s="127">
        <v>11</v>
      </c>
      <c r="AL38" s="127">
        <v>11</v>
      </c>
      <c r="AM38" s="127">
        <v>11</v>
      </c>
      <c r="AN38" s="127">
        <v>11</v>
      </c>
      <c r="AO38" s="127">
        <v>12</v>
      </c>
      <c r="AP38" s="127">
        <v>12</v>
      </c>
      <c r="AQ38" s="127">
        <v>12</v>
      </c>
      <c r="AR38" s="127">
        <v>12</v>
      </c>
      <c r="AS38" s="127">
        <v>11</v>
      </c>
      <c r="AT38" s="127">
        <v>11</v>
      </c>
      <c r="AU38" s="127">
        <v>11</v>
      </c>
      <c r="AV38" s="127">
        <v>11</v>
      </c>
      <c r="AW38" s="127">
        <v>11</v>
      </c>
      <c r="AX38" s="127"/>
      <c r="AY38" s="127">
        <v>21</v>
      </c>
    </row>
    <row r="39" spans="1:52" x14ac:dyDescent="0.2">
      <c r="A39" s="127"/>
      <c r="B39" s="181" t="s">
        <v>347</v>
      </c>
      <c r="C39" s="127"/>
      <c r="D39" s="127">
        <f>D33-D36</f>
        <v>0</v>
      </c>
      <c r="E39" s="127">
        <f t="shared" ref="E39:AY39" si="12">E33-E36</f>
        <v>0</v>
      </c>
      <c r="F39" s="127">
        <f t="shared" si="12"/>
        <v>0</v>
      </c>
      <c r="G39" s="127">
        <f t="shared" si="12"/>
        <v>0</v>
      </c>
      <c r="H39" s="127">
        <f t="shared" si="12"/>
        <v>0</v>
      </c>
      <c r="I39" s="127">
        <f t="shared" si="12"/>
        <v>0</v>
      </c>
      <c r="J39" s="127">
        <f t="shared" si="12"/>
        <v>0</v>
      </c>
      <c r="K39" s="127">
        <f t="shared" si="12"/>
        <v>0</v>
      </c>
      <c r="L39" s="127">
        <f t="shared" si="12"/>
        <v>0</v>
      </c>
      <c r="M39" s="127">
        <f t="shared" si="12"/>
        <v>0</v>
      </c>
      <c r="N39" s="127">
        <f t="shared" si="12"/>
        <v>0</v>
      </c>
      <c r="O39" s="127">
        <f t="shared" si="12"/>
        <v>0</v>
      </c>
      <c r="P39" s="127">
        <f t="shared" si="12"/>
        <v>0</v>
      </c>
      <c r="Q39" s="127">
        <f t="shared" si="12"/>
        <v>0</v>
      </c>
      <c r="R39" s="127">
        <f t="shared" si="12"/>
        <v>0</v>
      </c>
      <c r="S39" s="127">
        <f t="shared" si="12"/>
        <v>0</v>
      </c>
      <c r="T39" s="127">
        <f t="shared" si="12"/>
        <v>0</v>
      </c>
      <c r="U39" s="127">
        <f t="shared" si="12"/>
        <v>0</v>
      </c>
      <c r="V39" s="127">
        <f t="shared" si="12"/>
        <v>0</v>
      </c>
      <c r="W39" s="127">
        <f t="shared" si="12"/>
        <v>0</v>
      </c>
      <c r="X39" s="127">
        <f t="shared" si="12"/>
        <v>0</v>
      </c>
      <c r="Y39" s="127">
        <f t="shared" si="12"/>
        <v>0</v>
      </c>
      <c r="Z39" s="127">
        <f t="shared" si="12"/>
        <v>0</v>
      </c>
      <c r="AA39" s="127">
        <f t="shared" si="12"/>
        <v>0</v>
      </c>
      <c r="AB39" s="127">
        <f t="shared" si="12"/>
        <v>0</v>
      </c>
      <c r="AC39" s="127">
        <f t="shared" si="12"/>
        <v>0</v>
      </c>
      <c r="AD39" s="127">
        <f t="shared" si="12"/>
        <v>0</v>
      </c>
      <c r="AE39" s="127">
        <f t="shared" si="12"/>
        <v>0</v>
      </c>
      <c r="AF39" s="127">
        <f t="shared" si="12"/>
        <v>0</v>
      </c>
      <c r="AG39" s="127">
        <f t="shared" si="12"/>
        <v>0</v>
      </c>
      <c r="AH39" s="127">
        <f t="shared" si="12"/>
        <v>0</v>
      </c>
      <c r="AI39" s="127">
        <f t="shared" si="12"/>
        <v>0</v>
      </c>
      <c r="AJ39" s="127">
        <f t="shared" si="12"/>
        <v>0</v>
      </c>
      <c r="AK39" s="127">
        <f t="shared" si="12"/>
        <v>0</v>
      </c>
      <c r="AL39" s="127">
        <f t="shared" si="12"/>
        <v>0</v>
      </c>
      <c r="AM39" s="127">
        <f t="shared" si="12"/>
        <v>0</v>
      </c>
      <c r="AN39" s="127">
        <f t="shared" si="12"/>
        <v>0</v>
      </c>
      <c r="AO39" s="127">
        <f t="shared" si="12"/>
        <v>0</v>
      </c>
      <c r="AP39" s="127">
        <f t="shared" si="12"/>
        <v>0</v>
      </c>
      <c r="AQ39" s="127">
        <f t="shared" si="12"/>
        <v>0</v>
      </c>
      <c r="AR39" s="127">
        <f t="shared" si="12"/>
        <v>0</v>
      </c>
      <c r="AS39" s="127">
        <f t="shared" si="12"/>
        <v>0</v>
      </c>
      <c r="AT39" s="127">
        <f t="shared" si="12"/>
        <v>0</v>
      </c>
      <c r="AU39" s="127">
        <f t="shared" si="12"/>
        <v>0</v>
      </c>
      <c r="AV39" s="127">
        <f t="shared" si="12"/>
        <v>0</v>
      </c>
      <c r="AW39" s="127">
        <f t="shared" si="12"/>
        <v>0</v>
      </c>
      <c r="AX39" s="127">
        <f t="shared" si="12"/>
        <v>0</v>
      </c>
      <c r="AY39" s="127">
        <f t="shared" si="12"/>
        <v>0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0</v>
      </c>
      <c r="G40" s="127">
        <f t="shared" si="13"/>
        <v>0</v>
      </c>
      <c r="H40" s="127">
        <f t="shared" si="13"/>
        <v>0</v>
      </c>
      <c r="I40" s="127">
        <f t="shared" si="13"/>
        <v>0</v>
      </c>
      <c r="J40" s="127">
        <f t="shared" si="13"/>
        <v>0</v>
      </c>
      <c r="K40" s="127">
        <f t="shared" si="13"/>
        <v>0</v>
      </c>
      <c r="L40" s="127">
        <f t="shared" si="13"/>
        <v>0</v>
      </c>
      <c r="M40" s="127">
        <f t="shared" si="13"/>
        <v>0</v>
      </c>
      <c r="N40" s="127">
        <f t="shared" si="13"/>
        <v>0</v>
      </c>
      <c r="O40" s="127">
        <f t="shared" si="13"/>
        <v>0</v>
      </c>
      <c r="P40" s="127">
        <f t="shared" si="13"/>
        <v>0</v>
      </c>
      <c r="Q40" s="127">
        <f t="shared" si="13"/>
        <v>0</v>
      </c>
      <c r="R40" s="127">
        <f t="shared" si="13"/>
        <v>0</v>
      </c>
      <c r="S40" s="127">
        <f t="shared" si="13"/>
        <v>0</v>
      </c>
      <c r="T40" s="127">
        <f t="shared" si="13"/>
        <v>0</v>
      </c>
      <c r="U40" s="127">
        <f t="shared" si="13"/>
        <v>0</v>
      </c>
      <c r="V40" s="127">
        <f t="shared" si="13"/>
        <v>0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0</v>
      </c>
      <c r="AA40" s="127">
        <f t="shared" si="13"/>
        <v>0</v>
      </c>
      <c r="AB40" s="127">
        <f t="shared" si="13"/>
        <v>0</v>
      </c>
      <c r="AC40" s="127">
        <f t="shared" si="13"/>
        <v>0</v>
      </c>
      <c r="AD40" s="127">
        <f t="shared" si="13"/>
        <v>0</v>
      </c>
      <c r="AE40" s="127">
        <f t="shared" si="13"/>
        <v>0</v>
      </c>
      <c r="AF40" s="127">
        <f t="shared" si="13"/>
        <v>0</v>
      </c>
      <c r="AG40" s="127">
        <f t="shared" si="13"/>
        <v>0</v>
      </c>
      <c r="AH40" s="127">
        <f t="shared" si="13"/>
        <v>0</v>
      </c>
      <c r="AI40" s="127">
        <f t="shared" si="13"/>
        <v>0</v>
      </c>
      <c r="AJ40" s="127">
        <f t="shared" si="13"/>
        <v>0</v>
      </c>
      <c r="AK40" s="127">
        <f t="shared" si="13"/>
        <v>0</v>
      </c>
      <c r="AL40" s="127">
        <f t="shared" si="13"/>
        <v>0</v>
      </c>
      <c r="AM40" s="127">
        <f t="shared" si="13"/>
        <v>0</v>
      </c>
      <c r="AN40" s="127">
        <f t="shared" si="13"/>
        <v>0</v>
      </c>
      <c r="AO40" s="127">
        <f t="shared" si="13"/>
        <v>0</v>
      </c>
      <c r="AP40" s="127">
        <f t="shared" si="13"/>
        <v>0</v>
      </c>
      <c r="AQ40" s="127">
        <f t="shared" si="13"/>
        <v>0</v>
      </c>
      <c r="AR40" s="127">
        <f t="shared" si="13"/>
        <v>0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0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2</v>
      </c>
      <c r="E41" s="127">
        <v>1</v>
      </c>
      <c r="F41" s="127">
        <v>2</v>
      </c>
      <c r="G41" s="127">
        <v>2</v>
      </c>
      <c r="H41" s="127">
        <v>1</v>
      </c>
      <c r="I41" s="127">
        <v>1</v>
      </c>
      <c r="J41" s="127">
        <v>1</v>
      </c>
      <c r="K41" s="127">
        <v>2</v>
      </c>
      <c r="L41" s="127">
        <v>1</v>
      </c>
      <c r="M41" s="127">
        <v>2</v>
      </c>
      <c r="N41" s="127">
        <v>1</v>
      </c>
      <c r="O41" s="127">
        <v>1</v>
      </c>
      <c r="P41" s="127">
        <v>1</v>
      </c>
      <c r="Q41" s="127">
        <v>1</v>
      </c>
      <c r="R41" s="127">
        <v>1</v>
      </c>
      <c r="S41" s="127">
        <v>1</v>
      </c>
      <c r="T41" s="127">
        <v>1</v>
      </c>
      <c r="U41" s="127">
        <v>2</v>
      </c>
      <c r="V41" s="127">
        <v>2</v>
      </c>
      <c r="W41" s="127">
        <v>1</v>
      </c>
      <c r="X41" s="127">
        <v>1</v>
      </c>
      <c r="Y41" s="127">
        <v>1</v>
      </c>
      <c r="Z41" s="127">
        <v>1</v>
      </c>
      <c r="AA41" s="127">
        <v>1</v>
      </c>
      <c r="AB41" s="127">
        <v>3</v>
      </c>
      <c r="AC41" s="127">
        <v>2</v>
      </c>
      <c r="AD41" s="127">
        <v>1</v>
      </c>
      <c r="AE41" s="127">
        <v>1</v>
      </c>
      <c r="AF41" s="127">
        <v>1</v>
      </c>
      <c r="AG41" s="127">
        <v>1</v>
      </c>
      <c r="AH41" s="127">
        <v>1</v>
      </c>
      <c r="AI41" s="127">
        <v>1</v>
      </c>
      <c r="AJ41" s="127">
        <v>2</v>
      </c>
      <c r="AK41" s="127">
        <v>2</v>
      </c>
      <c r="AL41" s="127">
        <v>1</v>
      </c>
      <c r="AM41" s="127">
        <v>1</v>
      </c>
      <c r="AN41" s="127">
        <v>1</v>
      </c>
      <c r="AO41" s="127">
        <v>1</v>
      </c>
      <c r="AP41" s="127">
        <v>1</v>
      </c>
      <c r="AQ41" s="127">
        <v>1</v>
      </c>
      <c r="AR41" s="127">
        <v>1</v>
      </c>
      <c r="AS41" s="127">
        <v>1</v>
      </c>
      <c r="AT41" s="127">
        <v>2</v>
      </c>
      <c r="AU41" s="127">
        <v>2</v>
      </c>
      <c r="AV41" s="127">
        <v>1</v>
      </c>
      <c r="AW41" s="127">
        <v>1</v>
      </c>
      <c r="AX41" s="127">
        <v>2</v>
      </c>
      <c r="AY41" s="127">
        <v>2</v>
      </c>
    </row>
    <row r="42" spans="1:52" x14ac:dyDescent="0.2">
      <c r="A42" s="127"/>
      <c r="B42" s="192" t="s">
        <v>350</v>
      </c>
      <c r="C42" s="127"/>
      <c r="D42" s="127">
        <v>493020</v>
      </c>
      <c r="E42" s="127">
        <v>537840</v>
      </c>
      <c r="F42" s="127">
        <v>537840</v>
      </c>
      <c r="G42" s="127">
        <v>537840</v>
      </c>
      <c r="H42" s="127">
        <v>537840</v>
      </c>
      <c r="I42" s="127">
        <v>493020</v>
      </c>
      <c r="J42" s="127">
        <v>493020</v>
      </c>
      <c r="K42" s="127">
        <v>493020</v>
      </c>
      <c r="L42" s="127">
        <v>493020</v>
      </c>
      <c r="M42" s="127">
        <v>493020</v>
      </c>
      <c r="N42" s="127">
        <v>493020</v>
      </c>
      <c r="O42" s="127">
        <v>493020</v>
      </c>
      <c r="P42" s="127">
        <v>493020</v>
      </c>
      <c r="Q42" s="127">
        <v>537840</v>
      </c>
      <c r="R42" s="127">
        <v>537840</v>
      </c>
      <c r="S42" s="127">
        <v>537840</v>
      </c>
      <c r="T42" s="127">
        <v>537840</v>
      </c>
      <c r="U42" s="127">
        <v>493020</v>
      </c>
      <c r="V42" s="127">
        <v>493020</v>
      </c>
      <c r="W42" s="127">
        <v>493020</v>
      </c>
      <c r="X42" s="127">
        <v>493020</v>
      </c>
      <c r="Y42" s="127">
        <v>493020</v>
      </c>
      <c r="Z42" s="127">
        <v>493020</v>
      </c>
      <c r="AA42" s="127">
        <v>493020</v>
      </c>
      <c r="AB42" s="127">
        <v>493020</v>
      </c>
      <c r="AC42" s="127">
        <v>0</v>
      </c>
      <c r="AD42" s="127">
        <v>1030860</v>
      </c>
      <c r="AE42" s="127">
        <v>537840</v>
      </c>
      <c r="AF42" s="127">
        <v>537840</v>
      </c>
      <c r="AG42" s="127">
        <v>493020</v>
      </c>
      <c r="AH42" s="127">
        <v>493020</v>
      </c>
      <c r="AI42" s="127">
        <v>493020</v>
      </c>
      <c r="AJ42" s="127">
        <v>493020</v>
      </c>
      <c r="AK42" s="127">
        <v>493020</v>
      </c>
      <c r="AL42" s="127">
        <v>493020</v>
      </c>
      <c r="AM42" s="127">
        <v>493020</v>
      </c>
      <c r="AN42" s="127">
        <v>493020</v>
      </c>
      <c r="AO42" s="127">
        <v>537840</v>
      </c>
      <c r="AP42" s="127">
        <v>537840</v>
      </c>
      <c r="AQ42" s="127">
        <v>537840</v>
      </c>
      <c r="AR42" s="127">
        <v>537840</v>
      </c>
      <c r="AS42" s="127">
        <v>493020</v>
      </c>
      <c r="AT42" s="127">
        <v>493020</v>
      </c>
      <c r="AU42" s="127">
        <v>493020</v>
      </c>
      <c r="AV42" s="127">
        <v>493020</v>
      </c>
      <c r="AW42" s="127">
        <v>493020</v>
      </c>
      <c r="AX42" s="127">
        <v>0</v>
      </c>
      <c r="AY42" s="127">
        <v>941220</v>
      </c>
      <c r="AZ42">
        <f>SUM($D$42:$AY$42)</f>
        <v>24292440</v>
      </c>
    </row>
    <row r="43" spans="1:52" x14ac:dyDescent="0.2">
      <c r="A43" s="127"/>
      <c r="B43" s="192" t="s">
        <v>351</v>
      </c>
      <c r="C43" s="127"/>
      <c r="D43" s="127">
        <v>0</v>
      </c>
      <c r="E43" s="127">
        <v>0</v>
      </c>
      <c r="F43" s="127">
        <v>0</v>
      </c>
      <c r="G43" s="127">
        <v>0</v>
      </c>
      <c r="H43" s="127">
        <v>0</v>
      </c>
      <c r="I43" s="127">
        <v>0</v>
      </c>
      <c r="J43" s="127">
        <v>0</v>
      </c>
      <c r="K43" s="127">
        <v>0</v>
      </c>
      <c r="L43" s="127">
        <v>0</v>
      </c>
      <c r="M43" s="127">
        <v>0</v>
      </c>
      <c r="N43" s="127">
        <v>0</v>
      </c>
      <c r="O43" s="127">
        <v>0</v>
      </c>
      <c r="P43" s="127">
        <v>0</v>
      </c>
      <c r="Q43" s="127">
        <v>0</v>
      </c>
      <c r="R43" s="127">
        <v>0</v>
      </c>
      <c r="S43" s="127">
        <v>0</v>
      </c>
      <c r="T43" s="127">
        <v>0</v>
      </c>
      <c r="U43" s="127">
        <v>0</v>
      </c>
      <c r="V43" s="127">
        <v>0</v>
      </c>
      <c r="W43" s="127">
        <v>0</v>
      </c>
      <c r="X43" s="127">
        <v>0</v>
      </c>
      <c r="Y43" s="127">
        <v>0</v>
      </c>
      <c r="Z43" s="127">
        <v>0</v>
      </c>
      <c r="AA43" s="127">
        <v>0</v>
      </c>
      <c r="AB43" s="127">
        <v>0</v>
      </c>
      <c r="AC43" s="127">
        <v>0</v>
      </c>
      <c r="AD43" s="127">
        <v>0</v>
      </c>
      <c r="AE43" s="127">
        <v>0</v>
      </c>
      <c r="AF43" s="127">
        <v>0</v>
      </c>
      <c r="AG43" s="127">
        <v>0</v>
      </c>
      <c r="AH43" s="127">
        <v>0</v>
      </c>
      <c r="AI43" s="127">
        <v>0</v>
      </c>
      <c r="AJ43" s="127">
        <v>0</v>
      </c>
      <c r="AK43" s="127">
        <v>0</v>
      </c>
      <c r="AL43" s="127">
        <v>0</v>
      </c>
      <c r="AM43" s="127">
        <v>0</v>
      </c>
      <c r="AN43" s="127">
        <v>0</v>
      </c>
      <c r="AO43" s="127">
        <v>0</v>
      </c>
      <c r="AP43" s="127">
        <v>0</v>
      </c>
      <c r="AQ43" s="127">
        <v>0</v>
      </c>
      <c r="AR43" s="127">
        <v>0</v>
      </c>
      <c r="AS43" s="127">
        <v>0</v>
      </c>
      <c r="AT43" s="127">
        <v>0</v>
      </c>
      <c r="AU43" s="127">
        <v>0</v>
      </c>
      <c r="AV43" s="127">
        <v>0</v>
      </c>
      <c r="AW43" s="127">
        <v>0</v>
      </c>
      <c r="AX43" s="127">
        <v>0</v>
      </c>
      <c r="AY43" s="127">
        <v>0</v>
      </c>
      <c r="AZ43">
        <f>SUM($D$43:$AY$43)</f>
        <v>0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D$21*shipping_manufacturing!$H$28/100</f>
        <v>541.95973787492278</v>
      </c>
      <c r="E44" s="140">
        <f>E$21*shipping_manufacturing!$H$28/100</f>
        <v>594.47042874691806</v>
      </c>
      <c r="F44" s="140">
        <f>F$21*shipping_manufacturing!$H$28/100</f>
        <v>594.47042874691806</v>
      </c>
      <c r="G44" s="140">
        <f>G$21*shipping_manufacturing!$H$28/100</f>
        <v>594.47042874691806</v>
      </c>
      <c r="H44" s="140">
        <f>H$21*shipping_manufacturing!$H$28/100</f>
        <v>594.47042874691806</v>
      </c>
      <c r="I44" s="140">
        <f>I$21*shipping_manufacturing!$H$28/100</f>
        <v>539.83027292177803</v>
      </c>
      <c r="J44" s="140">
        <f>J$21*shipping_manufacturing!$H$28/100</f>
        <v>539.83027292177803</v>
      </c>
      <c r="K44" s="140">
        <f>K$21*shipping_manufacturing!$H$28/100</f>
        <v>539.83027292177803</v>
      </c>
      <c r="L44" s="140">
        <f>L$21*shipping_manufacturing!$H$28/100</f>
        <v>539.83027292177803</v>
      </c>
      <c r="M44" s="140">
        <f>M$21*shipping_manufacturing!$H$28/100</f>
        <v>539.83027292177803</v>
      </c>
      <c r="N44" s="140">
        <f>N$21*shipping_manufacturing!$H$28/100</f>
        <v>539.83027292177803</v>
      </c>
      <c r="O44" s="140">
        <f>O$21*shipping_manufacturing!$H$28/100</f>
        <v>539.83027292177803</v>
      </c>
      <c r="P44" s="140">
        <f>P$21*shipping_manufacturing!$H$28/100</f>
        <v>539.83027292177803</v>
      </c>
      <c r="Q44" s="140">
        <f>Q$21*shipping_manufacturing!$H$28/100</f>
        <v>594.47042874691806</v>
      </c>
      <c r="R44" s="140">
        <f>R$21*shipping_manufacturing!$H$28/100</f>
        <v>594.47042874691806</v>
      </c>
      <c r="S44" s="140">
        <f>S$21*shipping_manufacturing!$H$28/100</f>
        <v>594.47042874691806</v>
      </c>
      <c r="T44" s="140">
        <f>T$21*shipping_manufacturing!$H$28/100</f>
        <v>594.47042874691806</v>
      </c>
      <c r="U44" s="140">
        <f>U$21*shipping_manufacturing!$H$28/100</f>
        <v>539.83027292177803</v>
      </c>
      <c r="V44" s="140">
        <f>V$21*shipping_manufacturing!$H$28/100</f>
        <v>539.83027292177803</v>
      </c>
      <c r="W44" s="140">
        <f>W$21*shipping_manufacturing!$H$28/100</f>
        <v>539.83027292177803</v>
      </c>
      <c r="X44" s="140">
        <f>X$21*shipping_manufacturing!$H$28/100</f>
        <v>539.83027292177803</v>
      </c>
      <c r="Y44" s="140">
        <f>Y$21*shipping_manufacturing!$H$28/100</f>
        <v>539.83027292177803</v>
      </c>
      <c r="Z44" s="140">
        <f>Z$21*shipping_manufacturing!$H$28/100</f>
        <v>539.83027292177803</v>
      </c>
      <c r="AA44" s="140">
        <f>AA$21*shipping_manufacturing!$H$28/100</f>
        <v>539.83027292177803</v>
      </c>
      <c r="AB44" s="140">
        <f>AB$21*shipping_manufacturing!$H$28/100</f>
        <v>539.83027292177803</v>
      </c>
      <c r="AC44" s="140">
        <f>AC$21*shipping_manufacturing!$H$28/100</f>
        <v>0</v>
      </c>
      <c r="AD44" s="140">
        <f>AD$21*shipping_manufacturing!$H$28/100</f>
        <v>1188.9408574938361</v>
      </c>
      <c r="AE44" s="140">
        <f>AE$21*shipping_manufacturing!$H$28/100</f>
        <v>594.47042874691806</v>
      </c>
      <c r="AF44" s="140">
        <f>AF$21*shipping_manufacturing!$H$28/100</f>
        <v>594.47042874691806</v>
      </c>
      <c r="AG44" s="140">
        <f>AG$21*shipping_manufacturing!$H$28/100</f>
        <v>539.83027292177803</v>
      </c>
      <c r="AH44" s="140">
        <f>AH$21*shipping_manufacturing!$H$28/100</f>
        <v>539.83027292177803</v>
      </c>
      <c r="AI44" s="140">
        <f>AI$21*shipping_manufacturing!$H$28/100</f>
        <v>539.83027292177803</v>
      </c>
      <c r="AJ44" s="140">
        <f>AJ$21*shipping_manufacturing!$H$28/100</f>
        <v>539.83027292177803</v>
      </c>
      <c r="AK44" s="140">
        <f>AK$21*shipping_manufacturing!$H$28/100</f>
        <v>539.83027292177803</v>
      </c>
      <c r="AL44" s="140">
        <f>AL$21*shipping_manufacturing!$H$28/100</f>
        <v>539.83027292177803</v>
      </c>
      <c r="AM44" s="140">
        <f>AM$21*shipping_manufacturing!$H$28/100</f>
        <v>539.83027292177803</v>
      </c>
      <c r="AN44" s="140">
        <f>AN$21*shipping_manufacturing!$H$28/100</f>
        <v>539.83027292177803</v>
      </c>
      <c r="AO44" s="140">
        <f>AO$21*shipping_manufacturing!$H$28/100</f>
        <v>594.47042874691806</v>
      </c>
      <c r="AP44" s="140">
        <f>AP$21*shipping_manufacturing!$H$28/100</f>
        <v>594.47042874691806</v>
      </c>
      <c r="AQ44" s="140">
        <f>AQ$21*shipping_manufacturing!$H$28/100</f>
        <v>594.47042874691806</v>
      </c>
      <c r="AR44" s="140">
        <f>AR$21*shipping_manufacturing!$H$28/100</f>
        <v>594.47042874691806</v>
      </c>
      <c r="AS44" s="140">
        <f>AS$21*shipping_manufacturing!$H$28/100</f>
        <v>539.83027292177803</v>
      </c>
      <c r="AT44" s="140">
        <f>AT$21*shipping_manufacturing!$H$28/100</f>
        <v>539.83027292177803</v>
      </c>
      <c r="AU44" s="140">
        <f>AU$21*shipping_manufacturing!$H$28/100</f>
        <v>539.83027292177803</v>
      </c>
      <c r="AV44" s="140">
        <f>AV$21*shipping_manufacturing!$H$28/100</f>
        <v>539.83027292177803</v>
      </c>
      <c r="AW44" s="140">
        <f>AW$21*shipping_manufacturing!$H$28/100</f>
        <v>539.83027292177803</v>
      </c>
      <c r="AX44" s="140">
        <f>AX$21*shipping_manufacturing!$H$28/100</f>
        <v>0</v>
      </c>
      <c r="AY44" s="140">
        <f>AY$21*shipping_manufacturing!$H$28/100</f>
        <v>1079.6605458435561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D$22*shipping_manufacturing!$I$28/100</f>
        <v>0</v>
      </c>
      <c r="E45" s="127">
        <f>E$22*shipping_manufacturing!$I$28/100</f>
        <v>0</v>
      </c>
      <c r="F45" s="127">
        <f>F$22*shipping_manufacturing!$I$28/100</f>
        <v>0</v>
      </c>
      <c r="G45" s="127">
        <f>G$22*shipping_manufacturing!$I$28/100</f>
        <v>0</v>
      </c>
      <c r="H45" s="127">
        <f>H$22*shipping_manufacturing!$I$28/100</f>
        <v>0</v>
      </c>
      <c r="I45" s="127">
        <f>I$22*shipping_manufacturing!$I$28/100</f>
        <v>0</v>
      </c>
      <c r="J45" s="127">
        <f>J$22*shipping_manufacturing!$I$28/100</f>
        <v>0</v>
      </c>
      <c r="K45" s="127">
        <f>K$22*shipping_manufacturing!$I$28/100</f>
        <v>0</v>
      </c>
      <c r="L45" s="127">
        <f>L$22*shipping_manufacturing!$I$28/100</f>
        <v>0</v>
      </c>
      <c r="M45" s="127">
        <f>M$22*shipping_manufacturing!$I$28/100</f>
        <v>0</v>
      </c>
      <c r="N45" s="127">
        <f>N$22*shipping_manufacturing!$I$28/100</f>
        <v>0</v>
      </c>
      <c r="O45" s="127">
        <f>O$22*shipping_manufacturing!$I$28/100</f>
        <v>0</v>
      </c>
      <c r="P45" s="127">
        <f>P$22*shipping_manufacturing!$I$28/100</f>
        <v>0</v>
      </c>
      <c r="Q45" s="127">
        <f>Q$22*shipping_manufacturing!$I$28/100</f>
        <v>0</v>
      </c>
      <c r="R45" s="127">
        <f>R$22*shipping_manufacturing!$I$28/100</f>
        <v>0</v>
      </c>
      <c r="S45" s="127">
        <f>S$22*shipping_manufacturing!$I$28/100</f>
        <v>0</v>
      </c>
      <c r="T45" s="127">
        <f>T$22*shipping_manufacturing!$I$28/100</f>
        <v>0</v>
      </c>
      <c r="U45" s="127">
        <f>U$22*shipping_manufacturing!$I$28/100</f>
        <v>0</v>
      </c>
      <c r="V45" s="127">
        <f>V$22*shipping_manufacturing!$I$28/100</f>
        <v>0</v>
      </c>
      <c r="W45" s="127">
        <f>W$22*shipping_manufacturing!$I$28/100</f>
        <v>0</v>
      </c>
      <c r="X45" s="127">
        <f>X$22*shipping_manufacturing!$I$28/100</f>
        <v>0</v>
      </c>
      <c r="Y45" s="127">
        <f>Y$22*shipping_manufacturing!$I$28/100</f>
        <v>0</v>
      </c>
      <c r="Z45" s="127">
        <f>Z$22*shipping_manufacturing!$I$28/100</f>
        <v>0</v>
      </c>
      <c r="AA45" s="127">
        <f>AA$22*shipping_manufacturing!$I$28/100</f>
        <v>0</v>
      </c>
      <c r="AB45" s="127">
        <f>AB$22*shipping_manufacturing!$I$28/100</f>
        <v>0</v>
      </c>
      <c r="AC45" s="127">
        <f>AC$22*shipping_manufacturing!$I$28/100</f>
        <v>0</v>
      </c>
      <c r="AD45" s="127">
        <f>AD$22*shipping_manufacturing!$I$28/100</f>
        <v>0</v>
      </c>
      <c r="AE45" s="127">
        <f>AE$22*shipping_manufacturing!$I$28/100</f>
        <v>0</v>
      </c>
      <c r="AF45" s="127">
        <f>AF$22*shipping_manufacturing!$I$28/100</f>
        <v>0</v>
      </c>
      <c r="AG45" s="127">
        <f>AG$22*shipping_manufacturing!$I$28/100</f>
        <v>0</v>
      </c>
      <c r="AH45" s="127">
        <f>AH$22*shipping_manufacturing!$I$28/100</f>
        <v>0</v>
      </c>
      <c r="AI45" s="127">
        <f>AI$22*shipping_manufacturing!$I$28/100</f>
        <v>0</v>
      </c>
      <c r="AJ45" s="127">
        <f>AJ$22*shipping_manufacturing!$I$28/100</f>
        <v>0</v>
      </c>
      <c r="AK45" s="127">
        <f>AK$22*shipping_manufacturing!$I$28/100</f>
        <v>0</v>
      </c>
      <c r="AL45" s="127">
        <f>AL$22*shipping_manufacturing!$I$28/100</f>
        <v>0</v>
      </c>
      <c r="AM45" s="127">
        <f>AM$22*shipping_manufacturing!$I$28/100</f>
        <v>0</v>
      </c>
      <c r="AN45" s="127">
        <f>AN$22*shipping_manufacturing!$I$28/100</f>
        <v>0</v>
      </c>
      <c r="AO45" s="127">
        <f>AO$22*shipping_manufacturing!$I$28/100</f>
        <v>0</v>
      </c>
      <c r="AP45" s="127">
        <f>AP$22*shipping_manufacturing!$I$28/100</f>
        <v>0</v>
      </c>
      <c r="AQ45" s="127">
        <f>AQ$22*shipping_manufacturing!$I$28/100</f>
        <v>0</v>
      </c>
      <c r="AR45" s="127">
        <f>AR$22*shipping_manufacturing!$I$28/100</f>
        <v>0</v>
      </c>
      <c r="AS45" s="127">
        <f>AS$22*shipping_manufacturing!$I$28/100</f>
        <v>0</v>
      </c>
      <c r="AT45" s="127">
        <f>AT$22*shipping_manufacturing!$I$28/100</f>
        <v>0</v>
      </c>
      <c r="AU45" s="127">
        <f>AU$22*shipping_manufacturing!$I$28/100</f>
        <v>0</v>
      </c>
      <c r="AV45" s="127">
        <f>AV$22*shipping_manufacturing!$I$28/100</f>
        <v>0</v>
      </c>
      <c r="AW45" s="127">
        <f>AW$22*shipping_manufacturing!$I$28/100</f>
        <v>0</v>
      </c>
      <c r="AX45" s="127">
        <f>AX$22*shipping_manufacturing!$I$28/100</f>
        <v>0</v>
      </c>
      <c r="AY45" s="127">
        <f>AY$22*shipping_manufacturing!$I$28/100</f>
        <v>0</v>
      </c>
    </row>
    <row r="46" spans="1:52" x14ac:dyDescent="0.2">
      <c r="A46" s="127">
        <v>495</v>
      </c>
      <c r="B46" s="181" t="s">
        <v>343</v>
      </c>
      <c r="C46" s="127"/>
      <c r="D46" s="127">
        <f>SUM(D44:D45)</f>
        <v>541.95973787492278</v>
      </c>
      <c r="E46" s="127">
        <f t="shared" ref="E46:AY46" si="14">SUM(E44:E45)</f>
        <v>594.47042874691806</v>
      </c>
      <c r="F46" s="127">
        <f t="shared" si="14"/>
        <v>594.47042874691806</v>
      </c>
      <c r="G46" s="127">
        <f t="shared" si="14"/>
        <v>594.47042874691806</v>
      </c>
      <c r="H46" s="127">
        <f t="shared" si="14"/>
        <v>594.47042874691806</v>
      </c>
      <c r="I46" s="127">
        <f t="shared" si="14"/>
        <v>539.83027292177803</v>
      </c>
      <c r="J46" s="127">
        <f t="shared" si="14"/>
        <v>539.83027292177803</v>
      </c>
      <c r="K46" s="127">
        <f t="shared" si="14"/>
        <v>539.83027292177803</v>
      </c>
      <c r="L46" s="127">
        <f t="shared" si="14"/>
        <v>539.83027292177803</v>
      </c>
      <c r="M46" s="127">
        <f t="shared" si="14"/>
        <v>539.83027292177803</v>
      </c>
      <c r="N46" s="127">
        <f t="shared" si="14"/>
        <v>539.83027292177803</v>
      </c>
      <c r="O46" s="127">
        <f t="shared" si="14"/>
        <v>539.83027292177803</v>
      </c>
      <c r="P46" s="127">
        <f t="shared" si="14"/>
        <v>539.83027292177803</v>
      </c>
      <c r="Q46" s="127">
        <f t="shared" si="14"/>
        <v>594.47042874691806</v>
      </c>
      <c r="R46" s="127">
        <f t="shared" si="14"/>
        <v>594.47042874691806</v>
      </c>
      <c r="S46" s="127">
        <f t="shared" si="14"/>
        <v>594.47042874691806</v>
      </c>
      <c r="T46" s="127">
        <f t="shared" si="14"/>
        <v>594.47042874691806</v>
      </c>
      <c r="U46" s="127">
        <f t="shared" si="14"/>
        <v>539.83027292177803</v>
      </c>
      <c r="V46" s="127">
        <f t="shared" si="14"/>
        <v>539.83027292177803</v>
      </c>
      <c r="W46" s="127">
        <f t="shared" si="14"/>
        <v>539.83027292177803</v>
      </c>
      <c r="X46" s="127">
        <f t="shared" si="14"/>
        <v>539.83027292177803</v>
      </c>
      <c r="Y46" s="127">
        <f t="shared" si="14"/>
        <v>539.83027292177803</v>
      </c>
      <c r="Z46" s="127">
        <f t="shared" si="14"/>
        <v>539.83027292177803</v>
      </c>
      <c r="AA46" s="127">
        <f t="shared" si="14"/>
        <v>539.83027292177803</v>
      </c>
      <c r="AB46" s="127">
        <f t="shared" si="14"/>
        <v>539.83027292177803</v>
      </c>
      <c r="AC46" s="127">
        <f t="shared" si="14"/>
        <v>0</v>
      </c>
      <c r="AD46" s="127">
        <f t="shared" si="14"/>
        <v>1188.9408574938361</v>
      </c>
      <c r="AE46" s="127">
        <f t="shared" si="14"/>
        <v>594.47042874691806</v>
      </c>
      <c r="AF46" s="127">
        <f t="shared" si="14"/>
        <v>594.47042874691806</v>
      </c>
      <c r="AG46" s="127">
        <f t="shared" si="14"/>
        <v>539.83027292177803</v>
      </c>
      <c r="AH46" s="127">
        <f t="shared" si="14"/>
        <v>539.83027292177803</v>
      </c>
      <c r="AI46" s="127">
        <f t="shared" si="14"/>
        <v>539.83027292177803</v>
      </c>
      <c r="AJ46" s="127">
        <f t="shared" si="14"/>
        <v>539.83027292177803</v>
      </c>
      <c r="AK46" s="127">
        <f t="shared" si="14"/>
        <v>539.83027292177803</v>
      </c>
      <c r="AL46" s="127">
        <f t="shared" si="14"/>
        <v>539.83027292177803</v>
      </c>
      <c r="AM46" s="127">
        <f t="shared" si="14"/>
        <v>539.83027292177803</v>
      </c>
      <c r="AN46" s="127">
        <f t="shared" si="14"/>
        <v>539.83027292177803</v>
      </c>
      <c r="AO46" s="127">
        <f t="shared" si="14"/>
        <v>594.47042874691806</v>
      </c>
      <c r="AP46" s="127">
        <f t="shared" si="14"/>
        <v>594.47042874691806</v>
      </c>
      <c r="AQ46" s="127">
        <f t="shared" si="14"/>
        <v>594.47042874691806</v>
      </c>
      <c r="AR46" s="127">
        <f t="shared" si="14"/>
        <v>594.47042874691806</v>
      </c>
      <c r="AS46" s="127">
        <f t="shared" si="14"/>
        <v>539.83027292177803</v>
      </c>
      <c r="AT46" s="127">
        <f t="shared" si="14"/>
        <v>539.83027292177803</v>
      </c>
      <c r="AU46" s="127">
        <f t="shared" si="14"/>
        <v>539.83027292177803</v>
      </c>
      <c r="AV46" s="127">
        <f t="shared" si="14"/>
        <v>539.83027292177803</v>
      </c>
      <c r="AW46" s="127">
        <f t="shared" si="14"/>
        <v>539.83027292177803</v>
      </c>
      <c r="AX46" s="127">
        <f t="shared" si="14"/>
        <v>0</v>
      </c>
      <c r="AY46" s="127">
        <f t="shared" si="14"/>
        <v>1079.6605458435561</v>
      </c>
    </row>
    <row r="47" spans="1:52" x14ac:dyDescent="0.2">
      <c r="A47" s="127"/>
      <c r="B47" s="181" t="s">
        <v>344</v>
      </c>
      <c r="C47" s="127"/>
      <c r="D47" s="127">
        <v>541.95973787492278</v>
      </c>
      <c r="E47" s="127">
        <v>594.47042874691806</v>
      </c>
      <c r="F47" s="127">
        <v>594.47042874691806</v>
      </c>
      <c r="G47" s="127">
        <v>594.47042874691806</v>
      </c>
      <c r="H47" s="127">
        <v>594.47042874691806</v>
      </c>
      <c r="I47" s="127">
        <v>539.83027292177803</v>
      </c>
      <c r="J47" s="127">
        <v>539.83027292177803</v>
      </c>
      <c r="K47" s="127">
        <v>539.83027292177803</v>
      </c>
      <c r="L47" s="127">
        <v>539.83027292177803</v>
      </c>
      <c r="M47" s="127">
        <v>539.83027292177803</v>
      </c>
      <c r="N47" s="127">
        <v>539.83027292177803</v>
      </c>
      <c r="O47" s="127">
        <v>539.83027292177803</v>
      </c>
      <c r="P47" s="127">
        <v>539.83027292177803</v>
      </c>
      <c r="Q47" s="127">
        <v>594.47042874691806</v>
      </c>
      <c r="R47" s="127">
        <v>594.47042874691806</v>
      </c>
      <c r="S47" s="127">
        <v>594.47042874691806</v>
      </c>
      <c r="T47" s="127">
        <v>594.47042874691806</v>
      </c>
      <c r="U47" s="127">
        <v>539.83027292177803</v>
      </c>
      <c r="V47" s="127">
        <v>539.83027292177803</v>
      </c>
      <c r="W47" s="127">
        <v>539.83027292177803</v>
      </c>
      <c r="X47" s="127">
        <v>539.83027292177803</v>
      </c>
      <c r="Y47" s="127">
        <v>539.83027292177803</v>
      </c>
      <c r="Z47" s="127">
        <v>539.83027292177803</v>
      </c>
      <c r="AA47" s="127">
        <v>539.83027292177803</v>
      </c>
      <c r="AB47" s="127">
        <v>539.83027292177803</v>
      </c>
      <c r="AC47" s="127"/>
      <c r="AD47" s="127">
        <v>1188.9408574938361</v>
      </c>
      <c r="AE47" s="127">
        <v>594.47042874691806</v>
      </c>
      <c r="AF47" s="127">
        <v>594.47042874691806</v>
      </c>
      <c r="AG47" s="127">
        <v>539.83027292177803</v>
      </c>
      <c r="AH47" s="127">
        <v>539.83027292177803</v>
      </c>
      <c r="AI47" s="127">
        <v>539.83027292177803</v>
      </c>
      <c r="AJ47" s="127">
        <v>539.83027292177803</v>
      </c>
      <c r="AK47" s="127">
        <v>539.83027292177803</v>
      </c>
      <c r="AL47" s="127">
        <v>539.83027292177803</v>
      </c>
      <c r="AM47" s="127">
        <v>539.83027292177803</v>
      </c>
      <c r="AN47" s="127">
        <v>539.83027292177803</v>
      </c>
      <c r="AO47" s="127">
        <v>594.47042874691806</v>
      </c>
      <c r="AP47" s="127">
        <v>594.47042874691806</v>
      </c>
      <c r="AQ47" s="127">
        <v>594.47042874691806</v>
      </c>
      <c r="AR47" s="127">
        <v>594.47042874691806</v>
      </c>
      <c r="AS47" s="127">
        <v>539.83027292177803</v>
      </c>
      <c r="AT47" s="127">
        <v>539.83027292177803</v>
      </c>
      <c r="AU47" s="127">
        <v>539.83027292177803</v>
      </c>
      <c r="AV47" s="127">
        <v>539.83027292177803</v>
      </c>
      <c r="AW47" s="127">
        <v>539.83027292177803</v>
      </c>
      <c r="AX47" s="127"/>
      <c r="AY47" s="127">
        <v>1079.6605458435561</v>
      </c>
    </row>
    <row r="48" spans="1:52" x14ac:dyDescent="0.2">
      <c r="A48" s="127"/>
      <c r="B48" s="181" t="s">
        <v>345</v>
      </c>
      <c r="C48" s="127"/>
      <c r="D48" s="127">
        <v>0</v>
      </c>
      <c r="E48" s="127">
        <v>0</v>
      </c>
      <c r="F48" s="127">
        <v>0</v>
      </c>
      <c r="G48" s="127">
        <v>0</v>
      </c>
      <c r="H48" s="127">
        <v>0</v>
      </c>
      <c r="I48" s="127">
        <v>0</v>
      </c>
      <c r="J48" s="127">
        <v>0</v>
      </c>
      <c r="K48" s="127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127">
        <v>0</v>
      </c>
      <c r="R48" s="127">
        <v>0</v>
      </c>
      <c r="S48" s="127">
        <v>0</v>
      </c>
      <c r="T48" s="127">
        <v>0</v>
      </c>
      <c r="U48" s="127">
        <v>0</v>
      </c>
      <c r="V48" s="127">
        <v>0</v>
      </c>
      <c r="W48" s="127">
        <v>0</v>
      </c>
      <c r="X48" s="127">
        <v>0</v>
      </c>
      <c r="Y48" s="127">
        <v>0</v>
      </c>
      <c r="Z48" s="127">
        <v>0</v>
      </c>
      <c r="AA48" s="127">
        <v>0</v>
      </c>
      <c r="AB48" s="127">
        <v>0</v>
      </c>
      <c r="AC48" s="127"/>
      <c r="AD48" s="127">
        <v>0</v>
      </c>
      <c r="AE48" s="127">
        <v>0</v>
      </c>
      <c r="AF48" s="127">
        <v>0</v>
      </c>
      <c r="AG48" s="127">
        <v>0</v>
      </c>
      <c r="AH48" s="127">
        <v>0</v>
      </c>
      <c r="AI48" s="127">
        <v>0</v>
      </c>
      <c r="AJ48" s="127">
        <v>0</v>
      </c>
      <c r="AK48" s="127">
        <v>0</v>
      </c>
      <c r="AL48" s="127">
        <v>0</v>
      </c>
      <c r="AM48" s="127">
        <v>0</v>
      </c>
      <c r="AN48" s="127">
        <v>0</v>
      </c>
      <c r="AO48" s="127">
        <v>0</v>
      </c>
      <c r="AP48" s="127">
        <v>0</v>
      </c>
      <c r="AQ48" s="127">
        <v>0</v>
      </c>
      <c r="AR48" s="127">
        <v>0</v>
      </c>
      <c r="AS48" s="127">
        <v>0</v>
      </c>
      <c r="AT48" s="127">
        <v>0</v>
      </c>
      <c r="AU48" s="127">
        <v>0</v>
      </c>
      <c r="AV48" s="127">
        <v>0</v>
      </c>
      <c r="AW48" s="127">
        <v>0</v>
      </c>
      <c r="AX48" s="127"/>
      <c r="AY48" s="127">
        <v>0</v>
      </c>
    </row>
    <row r="49" spans="1:52" x14ac:dyDescent="0.2">
      <c r="A49" s="127"/>
      <c r="B49" s="181" t="s">
        <v>346</v>
      </c>
      <c r="C49" s="127"/>
      <c r="D49" s="127">
        <v>19</v>
      </c>
      <c r="E49" s="127">
        <v>20</v>
      </c>
      <c r="F49" s="127">
        <v>20</v>
      </c>
      <c r="G49" s="127">
        <v>20</v>
      </c>
      <c r="H49" s="127">
        <v>20</v>
      </c>
      <c r="I49" s="127">
        <v>18</v>
      </c>
      <c r="J49" s="127">
        <v>18</v>
      </c>
      <c r="K49" s="127">
        <v>18</v>
      </c>
      <c r="L49" s="127">
        <v>18</v>
      </c>
      <c r="M49" s="127">
        <v>18</v>
      </c>
      <c r="N49" s="127">
        <v>18</v>
      </c>
      <c r="O49" s="127">
        <v>18</v>
      </c>
      <c r="P49" s="127">
        <v>18</v>
      </c>
      <c r="Q49" s="127">
        <v>20</v>
      </c>
      <c r="R49" s="127">
        <v>20</v>
      </c>
      <c r="S49" s="127">
        <v>20</v>
      </c>
      <c r="T49" s="127">
        <v>20</v>
      </c>
      <c r="U49" s="127">
        <v>18</v>
      </c>
      <c r="V49" s="127">
        <v>18</v>
      </c>
      <c r="W49" s="127">
        <v>18</v>
      </c>
      <c r="X49" s="127">
        <v>18</v>
      </c>
      <c r="Y49" s="127">
        <v>18</v>
      </c>
      <c r="Z49" s="127">
        <v>18</v>
      </c>
      <c r="AA49" s="127">
        <v>18</v>
      </c>
      <c r="AB49" s="127">
        <v>18</v>
      </c>
      <c r="AC49" s="127"/>
      <c r="AD49" s="127">
        <v>40</v>
      </c>
      <c r="AE49" s="127">
        <v>20</v>
      </c>
      <c r="AF49" s="127">
        <v>20</v>
      </c>
      <c r="AG49" s="127">
        <v>18</v>
      </c>
      <c r="AH49" s="127">
        <v>18</v>
      </c>
      <c r="AI49" s="127">
        <v>18</v>
      </c>
      <c r="AJ49" s="127">
        <v>18</v>
      </c>
      <c r="AK49" s="127">
        <v>18</v>
      </c>
      <c r="AL49" s="127">
        <v>18</v>
      </c>
      <c r="AM49" s="127">
        <v>18</v>
      </c>
      <c r="AN49" s="127">
        <v>18</v>
      </c>
      <c r="AO49" s="127">
        <v>20</v>
      </c>
      <c r="AP49" s="127">
        <v>20</v>
      </c>
      <c r="AQ49" s="127">
        <v>20</v>
      </c>
      <c r="AR49" s="127">
        <v>20</v>
      </c>
      <c r="AS49" s="127">
        <v>18</v>
      </c>
      <c r="AT49" s="127">
        <v>18</v>
      </c>
      <c r="AU49" s="127">
        <v>18</v>
      </c>
      <c r="AV49" s="127">
        <v>18</v>
      </c>
      <c r="AW49" s="127">
        <v>18</v>
      </c>
      <c r="AX49" s="127"/>
      <c r="AY49" s="127">
        <v>36</v>
      </c>
    </row>
    <row r="50" spans="1:52" x14ac:dyDescent="0.2">
      <c r="A50" s="127"/>
      <c r="B50" s="181" t="s">
        <v>347</v>
      </c>
      <c r="C50" s="127"/>
      <c r="D50" s="127">
        <f>D44-D47</f>
        <v>0</v>
      </c>
      <c r="E50" s="127">
        <f t="shared" ref="E50:AY50" si="15">E44-E47</f>
        <v>0</v>
      </c>
      <c r="F50" s="127">
        <f t="shared" si="15"/>
        <v>0</v>
      </c>
      <c r="G50" s="127">
        <f t="shared" si="15"/>
        <v>0</v>
      </c>
      <c r="H50" s="127">
        <f t="shared" si="15"/>
        <v>0</v>
      </c>
      <c r="I50" s="127">
        <f t="shared" si="15"/>
        <v>0</v>
      </c>
      <c r="J50" s="127">
        <f t="shared" si="15"/>
        <v>0</v>
      </c>
      <c r="K50" s="127">
        <f t="shared" si="15"/>
        <v>0</v>
      </c>
      <c r="L50" s="127">
        <f t="shared" si="15"/>
        <v>0</v>
      </c>
      <c r="M50" s="127">
        <f t="shared" si="15"/>
        <v>0</v>
      </c>
      <c r="N50" s="127">
        <f t="shared" si="15"/>
        <v>0</v>
      </c>
      <c r="O50" s="127">
        <f t="shared" si="15"/>
        <v>0</v>
      </c>
      <c r="P50" s="127">
        <f t="shared" si="15"/>
        <v>0</v>
      </c>
      <c r="Q50" s="127">
        <f t="shared" si="15"/>
        <v>0</v>
      </c>
      <c r="R50" s="127">
        <f t="shared" si="15"/>
        <v>0</v>
      </c>
      <c r="S50" s="127">
        <f t="shared" si="15"/>
        <v>0</v>
      </c>
      <c r="T50" s="127">
        <f t="shared" si="15"/>
        <v>0</v>
      </c>
      <c r="U50" s="127">
        <f t="shared" si="15"/>
        <v>0</v>
      </c>
      <c r="V50" s="127">
        <f t="shared" si="15"/>
        <v>0</v>
      </c>
      <c r="W50" s="127">
        <f t="shared" si="15"/>
        <v>0</v>
      </c>
      <c r="X50" s="127">
        <f t="shared" si="15"/>
        <v>0</v>
      </c>
      <c r="Y50" s="127">
        <f t="shared" si="15"/>
        <v>0</v>
      </c>
      <c r="Z50" s="127">
        <f t="shared" si="15"/>
        <v>0</v>
      </c>
      <c r="AA50" s="127">
        <f t="shared" si="15"/>
        <v>0</v>
      </c>
      <c r="AB50" s="127">
        <f t="shared" si="15"/>
        <v>0</v>
      </c>
      <c r="AC50" s="127">
        <f t="shared" si="15"/>
        <v>0</v>
      </c>
      <c r="AD50" s="127">
        <f t="shared" si="15"/>
        <v>0</v>
      </c>
      <c r="AE50" s="127">
        <f t="shared" si="15"/>
        <v>0</v>
      </c>
      <c r="AF50" s="127">
        <f t="shared" si="15"/>
        <v>0</v>
      </c>
      <c r="AG50" s="127">
        <f t="shared" si="15"/>
        <v>0</v>
      </c>
      <c r="AH50" s="127">
        <f t="shared" si="15"/>
        <v>0</v>
      </c>
      <c r="AI50" s="127">
        <f t="shared" si="15"/>
        <v>0</v>
      </c>
      <c r="AJ50" s="127">
        <f t="shared" si="15"/>
        <v>0</v>
      </c>
      <c r="AK50" s="127">
        <f t="shared" si="15"/>
        <v>0</v>
      </c>
      <c r="AL50" s="127">
        <f t="shared" si="15"/>
        <v>0</v>
      </c>
      <c r="AM50" s="127">
        <f t="shared" si="15"/>
        <v>0</v>
      </c>
      <c r="AN50" s="127">
        <f t="shared" si="15"/>
        <v>0</v>
      </c>
      <c r="AO50" s="127">
        <f t="shared" si="15"/>
        <v>0</v>
      </c>
      <c r="AP50" s="127">
        <f t="shared" si="15"/>
        <v>0</v>
      </c>
      <c r="AQ50" s="127">
        <f t="shared" si="15"/>
        <v>0</v>
      </c>
      <c r="AR50" s="127">
        <f t="shared" si="15"/>
        <v>0</v>
      </c>
      <c r="AS50" s="127">
        <f t="shared" si="15"/>
        <v>0</v>
      </c>
      <c r="AT50" s="127">
        <f t="shared" si="15"/>
        <v>0</v>
      </c>
      <c r="AU50" s="127">
        <f t="shared" si="15"/>
        <v>0</v>
      </c>
      <c r="AV50" s="127">
        <f t="shared" si="15"/>
        <v>0</v>
      </c>
      <c r="AW50" s="127">
        <f t="shared" si="15"/>
        <v>0</v>
      </c>
      <c r="AX50" s="127">
        <f t="shared" si="15"/>
        <v>0</v>
      </c>
      <c r="AY50" s="127">
        <f t="shared" si="15"/>
        <v>0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0</v>
      </c>
      <c r="H51" s="127">
        <f t="shared" si="16"/>
        <v>0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0</v>
      </c>
      <c r="M51" s="127">
        <f t="shared" si="16"/>
        <v>0</v>
      </c>
      <c r="N51" s="127">
        <f t="shared" si="16"/>
        <v>0</v>
      </c>
      <c r="O51" s="127">
        <f t="shared" si="16"/>
        <v>0</v>
      </c>
      <c r="P51" s="127">
        <f t="shared" si="16"/>
        <v>0</v>
      </c>
      <c r="Q51" s="127">
        <f t="shared" si="16"/>
        <v>0</v>
      </c>
      <c r="R51" s="127">
        <f t="shared" si="16"/>
        <v>0</v>
      </c>
      <c r="S51" s="127">
        <f t="shared" si="16"/>
        <v>0</v>
      </c>
      <c r="T51" s="127">
        <f t="shared" si="16"/>
        <v>0</v>
      </c>
      <c r="U51" s="127">
        <f t="shared" si="16"/>
        <v>0</v>
      </c>
      <c r="V51" s="127">
        <f t="shared" si="16"/>
        <v>0</v>
      </c>
      <c r="W51" s="127">
        <f t="shared" si="16"/>
        <v>0</v>
      </c>
      <c r="X51" s="127">
        <f t="shared" si="16"/>
        <v>0</v>
      </c>
      <c r="Y51" s="127">
        <f t="shared" si="16"/>
        <v>0</v>
      </c>
      <c r="Z51" s="127">
        <f t="shared" si="16"/>
        <v>0</v>
      </c>
      <c r="AA51" s="127">
        <f t="shared" si="16"/>
        <v>0</v>
      </c>
      <c r="AB51" s="127">
        <f t="shared" si="16"/>
        <v>0</v>
      </c>
      <c r="AC51" s="127">
        <f t="shared" si="16"/>
        <v>0</v>
      </c>
      <c r="AD51" s="127">
        <f t="shared" si="16"/>
        <v>0</v>
      </c>
      <c r="AE51" s="127">
        <f t="shared" si="16"/>
        <v>0</v>
      </c>
      <c r="AF51" s="127">
        <f t="shared" si="16"/>
        <v>0</v>
      </c>
      <c r="AG51" s="127">
        <f t="shared" si="16"/>
        <v>0</v>
      </c>
      <c r="AH51" s="127">
        <f t="shared" si="16"/>
        <v>0</v>
      </c>
      <c r="AI51" s="127">
        <f t="shared" si="16"/>
        <v>0</v>
      </c>
      <c r="AJ51" s="127">
        <f t="shared" si="16"/>
        <v>0</v>
      </c>
      <c r="AK51" s="127">
        <f t="shared" si="16"/>
        <v>0</v>
      </c>
      <c r="AL51" s="127">
        <f t="shared" si="16"/>
        <v>0</v>
      </c>
      <c r="AM51" s="127">
        <f t="shared" si="16"/>
        <v>0</v>
      </c>
      <c r="AN51" s="127">
        <f t="shared" si="16"/>
        <v>0</v>
      </c>
      <c r="AO51" s="127">
        <f t="shared" si="16"/>
        <v>0</v>
      </c>
      <c r="AP51" s="127">
        <f t="shared" si="16"/>
        <v>0</v>
      </c>
      <c r="AQ51" s="127">
        <f t="shared" si="16"/>
        <v>0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0</v>
      </c>
      <c r="AV51" s="127">
        <f t="shared" si="16"/>
        <v>0</v>
      </c>
      <c r="AW51" s="127">
        <f t="shared" si="16"/>
        <v>0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1</v>
      </c>
      <c r="E52" s="127">
        <v>1</v>
      </c>
      <c r="F52" s="127">
        <v>3</v>
      </c>
      <c r="G52" s="127">
        <v>2</v>
      </c>
      <c r="H52" s="127">
        <v>2</v>
      </c>
      <c r="I52" s="127">
        <v>1</v>
      </c>
      <c r="J52" s="127">
        <v>1</v>
      </c>
      <c r="K52" s="127">
        <v>1</v>
      </c>
      <c r="L52" s="127">
        <v>1</v>
      </c>
      <c r="M52" s="127">
        <v>2</v>
      </c>
      <c r="N52" s="127">
        <v>3</v>
      </c>
      <c r="O52" s="127">
        <v>2</v>
      </c>
      <c r="P52" s="127">
        <v>1</v>
      </c>
      <c r="Q52" s="127">
        <v>3</v>
      </c>
      <c r="R52" s="127">
        <v>3</v>
      </c>
      <c r="S52" s="127">
        <v>1</v>
      </c>
      <c r="T52" s="127">
        <v>1</v>
      </c>
      <c r="U52" s="127">
        <v>1</v>
      </c>
      <c r="V52" s="127">
        <v>2</v>
      </c>
      <c r="W52" s="127">
        <v>3</v>
      </c>
      <c r="X52" s="127">
        <v>1</v>
      </c>
      <c r="Y52" s="127">
        <v>1</v>
      </c>
      <c r="Z52" s="127">
        <v>1</v>
      </c>
      <c r="AA52" s="127">
        <v>1</v>
      </c>
      <c r="AB52" s="127">
        <v>1</v>
      </c>
      <c r="AC52" s="127">
        <v>1</v>
      </c>
      <c r="AD52" s="127">
        <v>2</v>
      </c>
      <c r="AE52" s="127">
        <v>1</v>
      </c>
      <c r="AF52" s="127">
        <v>2</v>
      </c>
      <c r="AG52" s="127">
        <v>2</v>
      </c>
      <c r="AH52" s="127">
        <v>1</v>
      </c>
      <c r="AI52" s="127">
        <v>1</v>
      </c>
      <c r="AJ52" s="127">
        <v>1</v>
      </c>
      <c r="AK52" s="127">
        <v>3</v>
      </c>
      <c r="AL52" s="127">
        <v>1</v>
      </c>
      <c r="AM52" s="127">
        <v>1</v>
      </c>
      <c r="AN52" s="127">
        <v>1</v>
      </c>
      <c r="AO52" s="127">
        <v>1</v>
      </c>
      <c r="AP52" s="127">
        <v>1</v>
      </c>
      <c r="AQ52" s="127">
        <v>1</v>
      </c>
      <c r="AR52" s="127">
        <v>1</v>
      </c>
      <c r="AS52" s="127">
        <v>1</v>
      </c>
      <c r="AT52" s="127">
        <v>1</v>
      </c>
      <c r="AU52" s="127">
        <v>3</v>
      </c>
      <c r="AV52" s="127">
        <v>2</v>
      </c>
      <c r="AW52" s="127">
        <v>2</v>
      </c>
      <c r="AX52" s="127">
        <v>1</v>
      </c>
      <c r="AY52" s="127">
        <v>3</v>
      </c>
    </row>
    <row r="53" spans="1:52" x14ac:dyDescent="0.2">
      <c r="A53" s="127"/>
      <c r="B53" s="192" t="s">
        <v>350</v>
      </c>
      <c r="C53" s="127"/>
      <c r="D53" s="127">
        <v>338580</v>
      </c>
      <c r="E53" s="127">
        <v>356400</v>
      </c>
      <c r="F53" s="127">
        <v>356400</v>
      </c>
      <c r="G53" s="127">
        <v>356400</v>
      </c>
      <c r="H53" s="127">
        <v>356400</v>
      </c>
      <c r="I53" s="127">
        <v>320760</v>
      </c>
      <c r="J53" s="127">
        <v>320760</v>
      </c>
      <c r="K53" s="127">
        <v>320760</v>
      </c>
      <c r="L53" s="127">
        <v>320760</v>
      </c>
      <c r="M53" s="127">
        <v>320760</v>
      </c>
      <c r="N53" s="127">
        <v>320760</v>
      </c>
      <c r="O53" s="127">
        <v>320760</v>
      </c>
      <c r="P53" s="127">
        <v>320760</v>
      </c>
      <c r="Q53" s="127">
        <v>356400</v>
      </c>
      <c r="R53" s="127">
        <v>356400</v>
      </c>
      <c r="S53" s="127">
        <v>356400</v>
      </c>
      <c r="T53" s="127">
        <v>356400</v>
      </c>
      <c r="U53" s="127">
        <v>320760</v>
      </c>
      <c r="V53" s="127">
        <v>320760</v>
      </c>
      <c r="W53" s="127">
        <v>320760</v>
      </c>
      <c r="X53" s="127">
        <v>320760</v>
      </c>
      <c r="Y53" s="127">
        <v>320760</v>
      </c>
      <c r="Z53" s="127">
        <v>320760</v>
      </c>
      <c r="AA53" s="127">
        <v>320760</v>
      </c>
      <c r="AB53" s="127">
        <v>320760</v>
      </c>
      <c r="AC53" s="127">
        <v>0</v>
      </c>
      <c r="AD53" s="127">
        <v>712800</v>
      </c>
      <c r="AE53" s="127">
        <v>356400</v>
      </c>
      <c r="AF53" s="127">
        <v>356400</v>
      </c>
      <c r="AG53" s="127">
        <v>320760</v>
      </c>
      <c r="AH53" s="127">
        <v>320760</v>
      </c>
      <c r="AI53" s="127">
        <v>320760</v>
      </c>
      <c r="AJ53" s="127">
        <v>320760</v>
      </c>
      <c r="AK53" s="127">
        <v>320760</v>
      </c>
      <c r="AL53" s="127">
        <v>320760</v>
      </c>
      <c r="AM53" s="127">
        <v>320760</v>
      </c>
      <c r="AN53" s="127">
        <v>320760</v>
      </c>
      <c r="AO53" s="127">
        <v>356400</v>
      </c>
      <c r="AP53" s="127">
        <v>356400</v>
      </c>
      <c r="AQ53" s="127">
        <v>356400</v>
      </c>
      <c r="AR53" s="127">
        <v>356400</v>
      </c>
      <c r="AS53" s="127">
        <v>320760</v>
      </c>
      <c r="AT53" s="127">
        <v>320760</v>
      </c>
      <c r="AU53" s="127">
        <v>320760</v>
      </c>
      <c r="AV53" s="127">
        <v>320760</v>
      </c>
      <c r="AW53" s="127">
        <v>320760</v>
      </c>
      <c r="AX53" s="127">
        <v>0</v>
      </c>
      <c r="AY53" s="127">
        <v>641520</v>
      </c>
      <c r="AZ53">
        <f>SUM($D$53:$AY$53)</f>
        <v>15984540</v>
      </c>
    </row>
    <row r="54" spans="1:52" x14ac:dyDescent="0.2">
      <c r="A54" s="141"/>
      <c r="B54" s="156" t="s">
        <v>351</v>
      </c>
      <c r="C54" s="141"/>
      <c r="D54" s="141">
        <v>0</v>
      </c>
      <c r="E54" s="141">
        <v>0</v>
      </c>
      <c r="F54" s="141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141">
        <v>0</v>
      </c>
      <c r="M54" s="141">
        <v>0</v>
      </c>
      <c r="N54" s="141">
        <v>0</v>
      </c>
      <c r="O54" s="141">
        <v>0</v>
      </c>
      <c r="P54" s="141">
        <v>0</v>
      </c>
      <c r="Q54" s="141">
        <v>0</v>
      </c>
      <c r="R54" s="141">
        <v>0</v>
      </c>
      <c r="S54" s="141">
        <v>0</v>
      </c>
      <c r="T54" s="141">
        <v>0</v>
      </c>
      <c r="U54" s="141">
        <v>0</v>
      </c>
      <c r="V54" s="141">
        <v>0</v>
      </c>
      <c r="W54" s="141">
        <v>0</v>
      </c>
      <c r="X54" s="141">
        <v>0</v>
      </c>
      <c r="Y54" s="141">
        <v>0</v>
      </c>
      <c r="Z54" s="141">
        <v>0</v>
      </c>
      <c r="AA54" s="141">
        <v>0</v>
      </c>
      <c r="AB54" s="141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141">
        <v>0</v>
      </c>
      <c r="AI54" s="141">
        <v>0</v>
      </c>
      <c r="AJ54" s="141">
        <v>0</v>
      </c>
      <c r="AK54" s="141">
        <v>0</v>
      </c>
      <c r="AL54" s="141">
        <v>0</v>
      </c>
      <c r="AM54" s="141">
        <v>0</v>
      </c>
      <c r="AN54" s="141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141">
        <v>0</v>
      </c>
      <c r="AU54" s="141">
        <v>0</v>
      </c>
      <c r="AV54" s="141">
        <v>0</v>
      </c>
      <c r="AW54" s="141">
        <v>0</v>
      </c>
      <c r="AX54" s="141">
        <v>0</v>
      </c>
      <c r="AY54" s="141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4" t="s">
        <v>22</v>
      </c>
    </row>
    <row r="3" spans="1:54" x14ac:dyDescent="0.2">
      <c r="A3" t="s">
        <v>286</v>
      </c>
      <c r="B3" s="125">
        <v>40000</v>
      </c>
      <c r="C3" s="126"/>
    </row>
    <row r="4" spans="1:54" x14ac:dyDescent="0.2">
      <c r="B4" s="127"/>
      <c r="C4" s="127"/>
    </row>
    <row r="5" spans="1:54" x14ac:dyDescent="0.2">
      <c r="C5" s="9" t="s">
        <v>287</v>
      </c>
    </row>
    <row r="6" spans="1:54" x14ac:dyDescent="0.2">
      <c r="C6" s="128">
        <v>0</v>
      </c>
      <c r="D6" s="128">
        <v>1</v>
      </c>
      <c r="E6" s="128">
        <v>2</v>
      </c>
      <c r="F6" s="128">
        <v>3</v>
      </c>
      <c r="G6" s="128">
        <v>4</v>
      </c>
      <c r="H6" s="128">
        <v>5</v>
      </c>
      <c r="I6" s="128">
        <v>6</v>
      </c>
      <c r="J6" s="128">
        <v>7</v>
      </c>
      <c r="K6" s="128">
        <v>8</v>
      </c>
      <c r="L6" s="128">
        <v>9</v>
      </c>
      <c r="M6" s="128">
        <v>10</v>
      </c>
      <c r="N6" s="128">
        <v>11</v>
      </c>
      <c r="O6" s="128">
        <v>12</v>
      </c>
      <c r="P6" s="128">
        <v>13</v>
      </c>
      <c r="Q6" s="128">
        <v>14</v>
      </c>
      <c r="R6" s="128">
        <v>15</v>
      </c>
      <c r="S6" s="128">
        <v>16</v>
      </c>
      <c r="T6" s="128">
        <v>17</v>
      </c>
      <c r="U6" s="128">
        <v>18</v>
      </c>
      <c r="V6" s="128">
        <v>19</v>
      </c>
      <c r="W6" s="128">
        <v>20</v>
      </c>
      <c r="X6" s="128">
        <v>21</v>
      </c>
      <c r="Y6" s="128">
        <v>22</v>
      </c>
      <c r="Z6" s="128">
        <v>23</v>
      </c>
      <c r="AA6" s="128">
        <v>24</v>
      </c>
      <c r="AB6" s="128">
        <v>25</v>
      </c>
      <c r="AC6" s="128">
        <v>26</v>
      </c>
      <c r="AD6" s="128">
        <v>27</v>
      </c>
      <c r="AE6" s="128">
        <v>28</v>
      </c>
      <c r="AF6" s="128">
        <v>29</v>
      </c>
      <c r="AG6" s="128">
        <v>30</v>
      </c>
      <c r="AH6" s="128">
        <v>31</v>
      </c>
      <c r="AI6" s="128">
        <v>32</v>
      </c>
      <c r="AJ6" s="128">
        <v>33</v>
      </c>
      <c r="AK6" s="128">
        <v>34</v>
      </c>
      <c r="AL6" s="128">
        <v>35</v>
      </c>
      <c r="AM6" s="128">
        <v>36</v>
      </c>
      <c r="AN6" s="128">
        <v>37</v>
      </c>
      <c r="AO6" s="128">
        <v>38</v>
      </c>
      <c r="AP6" s="128">
        <v>39</v>
      </c>
      <c r="AQ6" s="128">
        <v>40</v>
      </c>
      <c r="AR6" s="128">
        <v>41</v>
      </c>
      <c r="AS6" s="128">
        <v>42</v>
      </c>
      <c r="AT6" s="128">
        <v>43</v>
      </c>
      <c r="AU6" s="128">
        <v>44</v>
      </c>
      <c r="AV6" s="128">
        <v>45</v>
      </c>
      <c r="AW6" s="128">
        <v>46</v>
      </c>
      <c r="AX6" s="128">
        <v>47</v>
      </c>
      <c r="AY6" s="128">
        <v>48</v>
      </c>
    </row>
    <row r="7" spans="1:54" x14ac:dyDescent="0.2">
      <c r="B7" s="127"/>
      <c r="C7" s="129" t="s">
        <v>288</v>
      </c>
      <c r="D7" s="128" t="s">
        <v>289</v>
      </c>
      <c r="E7" s="128" t="s">
        <v>289</v>
      </c>
      <c r="F7" s="128" t="s">
        <v>289</v>
      </c>
      <c r="G7" s="128" t="s">
        <v>289</v>
      </c>
      <c r="H7" s="128" t="s">
        <v>289</v>
      </c>
      <c r="I7" s="128" t="s">
        <v>289</v>
      </c>
      <c r="J7" s="128" t="s">
        <v>289</v>
      </c>
      <c r="K7" s="128" t="s">
        <v>289</v>
      </c>
      <c r="L7" s="128" t="s">
        <v>289</v>
      </c>
      <c r="M7" s="128" t="s">
        <v>289</v>
      </c>
      <c r="N7" s="128" t="s">
        <v>289</v>
      </c>
      <c r="O7" s="128" t="s">
        <v>289</v>
      </c>
      <c r="P7" s="128" t="s">
        <v>289</v>
      </c>
      <c r="Q7" s="128" t="s">
        <v>289</v>
      </c>
      <c r="R7" s="128" t="s">
        <v>289</v>
      </c>
      <c r="S7" s="128" t="s">
        <v>289</v>
      </c>
      <c r="T7" s="128" t="s">
        <v>289</v>
      </c>
      <c r="U7" s="128" t="s">
        <v>289</v>
      </c>
      <c r="V7" s="128" t="s">
        <v>289</v>
      </c>
      <c r="W7" s="128" t="s">
        <v>289</v>
      </c>
      <c r="X7" s="128" t="s">
        <v>289</v>
      </c>
      <c r="Y7" s="128" t="s">
        <v>289</v>
      </c>
      <c r="Z7" s="128" t="s">
        <v>289</v>
      </c>
      <c r="AA7" s="128" t="s">
        <v>289</v>
      </c>
      <c r="AB7" s="128" t="s">
        <v>289</v>
      </c>
      <c r="AC7" s="128" t="s">
        <v>289</v>
      </c>
      <c r="AD7" s="128" t="s">
        <v>289</v>
      </c>
      <c r="AE7" s="128" t="s">
        <v>289</v>
      </c>
      <c r="AF7" s="128" t="s">
        <v>289</v>
      </c>
      <c r="AG7" s="128" t="s">
        <v>289</v>
      </c>
      <c r="AH7" s="128" t="s">
        <v>289</v>
      </c>
      <c r="AI7" s="128" t="s">
        <v>289</v>
      </c>
      <c r="AJ7" s="128" t="s">
        <v>289</v>
      </c>
      <c r="AK7" s="128" t="s">
        <v>289</v>
      </c>
      <c r="AL7" s="128" t="s">
        <v>289</v>
      </c>
      <c r="AM7" s="128" t="s">
        <v>289</v>
      </c>
      <c r="AN7" s="128" t="s">
        <v>289</v>
      </c>
      <c r="AO7" s="128" t="s">
        <v>289</v>
      </c>
      <c r="AP7" s="128" t="s">
        <v>289</v>
      </c>
      <c r="AQ7" s="128" t="s">
        <v>289</v>
      </c>
      <c r="AR7" s="128" t="s">
        <v>289</v>
      </c>
      <c r="AS7" s="128" t="s">
        <v>289</v>
      </c>
      <c r="AT7" s="128" t="s">
        <v>289</v>
      </c>
      <c r="AU7" s="128" t="s">
        <v>289</v>
      </c>
      <c r="AV7" s="128" t="s">
        <v>289</v>
      </c>
      <c r="AW7" s="128" t="s">
        <v>289</v>
      </c>
      <c r="AX7" s="128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0"/>
      <c r="AY8" s="127"/>
    </row>
    <row r="9" spans="1:54" x14ac:dyDescent="0.2">
      <c r="A9" s="131" t="s">
        <v>125</v>
      </c>
      <c r="B9" s="132">
        <v>1</v>
      </c>
      <c r="C9" s="133" t="s">
        <v>293</v>
      </c>
      <c r="D9" s="133">
        <v>5367.2489403713216</v>
      </c>
      <c r="E9" s="133">
        <v>5367.2489403713216</v>
      </c>
      <c r="F9" s="133">
        <v>4842.6904986497866</v>
      </c>
      <c r="G9" s="133">
        <v>5367.2489403713216</v>
      </c>
      <c r="H9" s="133">
        <v>5092.8039403713219</v>
      </c>
      <c r="I9" s="133">
        <v>5092.8039403713219</v>
      </c>
      <c r="J9" s="133">
        <v>5092.8039403713219</v>
      </c>
      <c r="K9" s="133">
        <v>5092.8039403713219</v>
      </c>
      <c r="L9" s="133">
        <v>5092.8039403713219</v>
      </c>
      <c r="M9" s="133">
        <v>5092.8039403713219</v>
      </c>
      <c r="N9" s="133">
        <v>5092.8039403713219</v>
      </c>
      <c r="O9" s="133">
        <v>5092.8039403713219</v>
      </c>
      <c r="P9" s="133">
        <v>5367.2489403713216</v>
      </c>
      <c r="Q9" s="133">
        <v>5367.2489403713216</v>
      </c>
      <c r="R9" s="133">
        <v>5367.2489403713216</v>
      </c>
      <c r="S9" s="133">
        <v>5367.2489403713216</v>
      </c>
      <c r="T9" s="133">
        <v>5092.8039403713219</v>
      </c>
      <c r="U9" s="133">
        <v>5092.8039403713219</v>
      </c>
      <c r="V9" s="133">
        <v>5092.8039403713219</v>
      </c>
      <c r="W9" s="133">
        <v>5092.8039403713219</v>
      </c>
      <c r="X9" s="133">
        <v>5092.8039403713219</v>
      </c>
      <c r="Y9" s="133">
        <v>5092.8039403713219</v>
      </c>
      <c r="Z9" s="133">
        <v>5092.8039403713219</v>
      </c>
      <c r="AA9" s="133">
        <v>5092.8039403713219</v>
      </c>
      <c r="AB9" s="133">
        <v>5367.2489403713216</v>
      </c>
      <c r="AC9" s="133">
        <v>5367.2489403713216</v>
      </c>
      <c r="AD9" s="133">
        <v>5367.2489403713216</v>
      </c>
      <c r="AE9" s="133">
        <v>5367.2489403713216</v>
      </c>
      <c r="AF9" s="133">
        <v>5092.8039403713219</v>
      </c>
      <c r="AG9" s="133">
        <v>5092.8039403713219</v>
      </c>
      <c r="AH9" s="133">
        <v>5092.8039403713219</v>
      </c>
      <c r="AI9" s="133">
        <v>4575.0605121978851</v>
      </c>
      <c r="AJ9" s="133">
        <v>5092.8039403713219</v>
      </c>
      <c r="AK9" s="133">
        <v>5092.8039403713219</v>
      </c>
      <c r="AL9" s="133">
        <v>5092.8039403713219</v>
      </c>
      <c r="AM9" s="133">
        <v>5092.8039403713219</v>
      </c>
      <c r="AN9" s="133">
        <v>5367.2489403713216</v>
      </c>
      <c r="AO9" s="133">
        <v>5367.2489403713216</v>
      </c>
      <c r="AP9" s="133">
        <v>5207.0836562628001</v>
      </c>
      <c r="AQ9" s="133">
        <v>5207.9416016853083</v>
      </c>
      <c r="AR9" s="133">
        <v>4577.0259342593199</v>
      </c>
      <c r="AS9" s="133">
        <v>4577.237572847047</v>
      </c>
      <c r="AT9" s="133">
        <v>5092.8039403713219</v>
      </c>
      <c r="AU9" s="133">
        <v>5092.8039403713219</v>
      </c>
      <c r="AV9" s="133">
        <v>5092.8039403713219</v>
      </c>
      <c r="AW9" s="133">
        <v>4938.5213316912796</v>
      </c>
      <c r="AX9" s="133">
        <v>4939.3370353125383</v>
      </c>
      <c r="AY9" s="133">
        <v>5092.8039403713219</v>
      </c>
    </row>
    <row r="10" spans="1:54" x14ac:dyDescent="0.2">
      <c r="A10" s="134" t="s">
        <v>133</v>
      </c>
      <c r="B10" s="135">
        <v>1</v>
      </c>
      <c r="C10" s="123" t="s">
        <v>293</v>
      </c>
      <c r="D10">
        <v>243.33124677770775</v>
      </c>
      <c r="E10">
        <v>3008.2738551485127</v>
      </c>
      <c r="F10">
        <v>693.97460901785291</v>
      </c>
      <c r="G10">
        <v>1563.974609017853</v>
      </c>
      <c r="H10">
        <v>1606.974609017853</v>
      </c>
      <c r="I10">
        <v>1554.0699592532048</v>
      </c>
      <c r="J10">
        <v>1543.1886258271413</v>
      </c>
      <c r="K10">
        <v>1500.1886258271413</v>
      </c>
      <c r="L10">
        <v>1543.1886258271413</v>
      </c>
      <c r="M10">
        <v>1543.1886258271413</v>
      </c>
      <c r="N10">
        <v>630.18862582714132</v>
      </c>
      <c r="O10">
        <v>1500.1886258271413</v>
      </c>
      <c r="P10">
        <v>630.18862582714132</v>
      </c>
      <c r="Q10">
        <v>1543.1886258271413</v>
      </c>
      <c r="R10">
        <v>1606.974609017853</v>
      </c>
      <c r="S10">
        <v>1584.0699592532048</v>
      </c>
      <c r="T10">
        <v>1584.0699592532048</v>
      </c>
      <c r="U10">
        <v>1606.974609017853</v>
      </c>
      <c r="V10">
        <v>630.18862582714132</v>
      </c>
      <c r="W10">
        <v>1543.1886258271413</v>
      </c>
      <c r="X10">
        <v>1543.1886258271413</v>
      </c>
      <c r="Y10">
        <v>1543.1886258271413</v>
      </c>
      <c r="Z10">
        <v>1543.1886258271413</v>
      </c>
      <c r="AA10">
        <v>1222.7208545380179</v>
      </c>
      <c r="AB10">
        <v>1863.6563971162648</v>
      </c>
      <c r="AC10">
        <v>1543.1886258271413</v>
      </c>
      <c r="AD10">
        <v>1265.9046497646482</v>
      </c>
      <c r="AE10">
        <v>1895.1399185064097</v>
      </c>
      <c r="AF10">
        <v>693.97460901785291</v>
      </c>
      <c r="AG10">
        <v>1563.974609017853</v>
      </c>
      <c r="AH10">
        <v>630.18862582714132</v>
      </c>
      <c r="AI10">
        <v>1543.1886258271413</v>
      </c>
      <c r="AJ10">
        <v>630.18862582714132</v>
      </c>
      <c r="AK10">
        <v>630.18862582714132</v>
      </c>
      <c r="AL10">
        <v>1543.1886258271413</v>
      </c>
      <c r="AM10">
        <v>1543.1886258271413</v>
      </c>
      <c r="AN10">
        <v>1543.1886258271413</v>
      </c>
      <c r="AO10">
        <v>630.18862582714132</v>
      </c>
      <c r="AP10">
        <v>1563.974609017853</v>
      </c>
      <c r="AQ10">
        <v>693.97460901785291</v>
      </c>
      <c r="AR10">
        <v>1606.974609017853</v>
      </c>
      <c r="AS10">
        <v>1606.974609017853</v>
      </c>
      <c r="AT10">
        <v>1543.1886258271413</v>
      </c>
      <c r="AU10">
        <v>1543.1886258271413</v>
      </c>
      <c r="AV10">
        <v>1543.1886258271413</v>
      </c>
      <c r="AW10">
        <v>1543.1886258271413</v>
      </c>
      <c r="AX10">
        <v>1543.1886258271413</v>
      </c>
      <c r="AY10">
        <v>320.4677712891235</v>
      </c>
      <c r="AZ10">
        <v>1809.9094803651592</v>
      </c>
    </row>
    <row r="11" spans="1:54" x14ac:dyDescent="0.2">
      <c r="B11" s="135">
        <v>2</v>
      </c>
      <c r="C11" s="123" t="s">
        <v>293</v>
      </c>
      <c r="D11">
        <v>0</v>
      </c>
      <c r="E11">
        <v>0</v>
      </c>
      <c r="F11">
        <v>0</v>
      </c>
      <c r="H11">
        <v>43</v>
      </c>
      <c r="I11">
        <v>0</v>
      </c>
      <c r="J11">
        <v>52.904649764648127</v>
      </c>
      <c r="M11">
        <v>0</v>
      </c>
      <c r="O11">
        <v>913</v>
      </c>
      <c r="P11">
        <v>43</v>
      </c>
      <c r="Q11">
        <v>913</v>
      </c>
      <c r="T11">
        <v>22.904649764648127</v>
      </c>
      <c r="U11">
        <v>22.904649764648127</v>
      </c>
      <c r="W11">
        <v>0</v>
      </c>
      <c r="X11">
        <v>0</v>
      </c>
      <c r="Z11">
        <v>0</v>
      </c>
      <c r="AE11">
        <v>0</v>
      </c>
      <c r="AF11">
        <v>52.904649764648127</v>
      </c>
      <c r="AG11">
        <v>913</v>
      </c>
      <c r="AH11">
        <v>43</v>
      </c>
      <c r="AI11">
        <v>913</v>
      </c>
      <c r="AL11">
        <v>0</v>
      </c>
      <c r="AM11">
        <v>0</v>
      </c>
      <c r="AP11">
        <v>0</v>
      </c>
      <c r="AQ11">
        <v>43</v>
      </c>
      <c r="AU11">
        <v>0</v>
      </c>
      <c r="AV11">
        <v>0</v>
      </c>
      <c r="AW11">
        <v>0</v>
      </c>
      <c r="AX11">
        <v>0</v>
      </c>
      <c r="AZ11">
        <v>0</v>
      </c>
      <c r="BA11">
        <v>0</v>
      </c>
    </row>
    <row r="12" spans="1:54" x14ac:dyDescent="0.2">
      <c r="B12" s="136">
        <v>3</v>
      </c>
      <c r="C12" s="123" t="s">
        <v>293</v>
      </c>
      <c r="D12">
        <v>0</v>
      </c>
      <c r="H12">
        <v>913</v>
      </c>
      <c r="L12">
        <v>0</v>
      </c>
      <c r="M12">
        <v>43</v>
      </c>
      <c r="N12">
        <v>0</v>
      </c>
      <c r="O12">
        <v>0</v>
      </c>
      <c r="AE12">
        <v>0</v>
      </c>
      <c r="AL12">
        <v>913</v>
      </c>
      <c r="AM12">
        <v>0</v>
      </c>
      <c r="AS12">
        <v>913</v>
      </c>
      <c r="BB12">
        <v>43</v>
      </c>
    </row>
    <row r="13" spans="1:54" x14ac:dyDescent="0.2">
      <c r="B13" s="136">
        <v>4</v>
      </c>
      <c r="C13" s="123" t="s">
        <v>293</v>
      </c>
    </row>
    <row r="14" spans="1:54" x14ac:dyDescent="0.2">
      <c r="A14" s="131" t="s">
        <v>134</v>
      </c>
      <c r="B14" s="137">
        <v>1</v>
      </c>
      <c r="C14" s="133" t="s">
        <v>293</v>
      </c>
      <c r="D14" s="133">
        <v>0</v>
      </c>
      <c r="E14" s="133">
        <f t="shared" ref="E14:AZ14" si="0">D$172*SUM(D$122:D$169)</f>
        <v>1577.8369282876836</v>
      </c>
      <c r="F14" s="133">
        <f t="shared" si="0"/>
        <v>2275.1003646081449</v>
      </c>
      <c r="G14" s="133">
        <f t="shared" si="0"/>
        <v>2709.2962674003243</v>
      </c>
      <c r="H14" s="133">
        <f t="shared" si="0"/>
        <v>3062.390651167037</v>
      </c>
      <c r="I14" s="133">
        <f t="shared" si="0"/>
        <v>2974.3345311105727</v>
      </c>
      <c r="J14" s="133">
        <f t="shared" si="0"/>
        <v>3314.5014828901858</v>
      </c>
      <c r="K14" s="133">
        <f t="shared" si="0"/>
        <v>3539.2161810811785</v>
      </c>
      <c r="L14" s="133">
        <f t="shared" si="0"/>
        <v>3649.9218328867623</v>
      </c>
      <c r="M14" s="133">
        <f t="shared" si="0"/>
        <v>3767.8542437402421</v>
      </c>
      <c r="N14" s="133">
        <f t="shared" si="0"/>
        <v>3518.544271932798</v>
      </c>
      <c r="O14" s="133">
        <f t="shared" si="0"/>
        <v>3405.1544941676843</v>
      </c>
      <c r="P14" s="133">
        <f t="shared" si="0"/>
        <v>3316.2024686899126</v>
      </c>
      <c r="Q14" s="133">
        <f t="shared" si="0"/>
        <v>3401.2534981581007</v>
      </c>
      <c r="R14" s="133">
        <f t="shared" si="0"/>
        <v>3281.0997279571629</v>
      </c>
      <c r="S14" s="133">
        <f t="shared" si="0"/>
        <v>3340.5760477594017</v>
      </c>
      <c r="T14" s="133">
        <f t="shared" si="0"/>
        <v>3413.8365063908682</v>
      </c>
      <c r="U14" s="133">
        <f t="shared" si="0"/>
        <v>3165.5047403826511</v>
      </c>
      <c r="V14" s="133">
        <f t="shared" si="0"/>
        <v>3234.9495425951568</v>
      </c>
      <c r="W14" s="133">
        <f t="shared" si="0"/>
        <v>3263.0828487520303</v>
      </c>
      <c r="X14" s="133">
        <f t="shared" si="0"/>
        <v>3268.8064508250122</v>
      </c>
      <c r="Y14" s="133">
        <f t="shared" si="0"/>
        <v>3366.3546827962159</v>
      </c>
      <c r="Z14" s="133">
        <f t="shared" si="0"/>
        <v>3359.3482386919627</v>
      </c>
      <c r="AA14" s="133">
        <f t="shared" si="0"/>
        <v>3363.0409016658436</v>
      </c>
      <c r="AB14" s="133">
        <f t="shared" si="0"/>
        <v>3332.7972215451869</v>
      </c>
      <c r="AC14" s="133">
        <f t="shared" si="0"/>
        <v>3430.9456953898266</v>
      </c>
      <c r="AD14" s="133">
        <f t="shared" si="0"/>
        <v>3707.9779820717099</v>
      </c>
      <c r="AE14" s="133">
        <f t="shared" si="0"/>
        <v>3865.0635381978377</v>
      </c>
      <c r="AF14" s="133">
        <f t="shared" si="0"/>
        <v>3937.5176716622373</v>
      </c>
      <c r="AG14" s="133">
        <f t="shared" si="0"/>
        <v>3785.2382683991841</v>
      </c>
      <c r="AH14" s="133">
        <f t="shared" si="0"/>
        <v>3707.9285617403029</v>
      </c>
      <c r="AI14" s="133">
        <f t="shared" si="0"/>
        <v>3539.9566683969174</v>
      </c>
      <c r="AJ14" s="133">
        <f t="shared" si="0"/>
        <v>3462.4140908938953</v>
      </c>
      <c r="AK14" s="133">
        <f t="shared" si="0"/>
        <v>3410.9795563636917</v>
      </c>
      <c r="AL14" s="133">
        <f t="shared" si="0"/>
        <v>3494.8572890060195</v>
      </c>
      <c r="AM14" s="133">
        <f t="shared" si="0"/>
        <v>3523.6688034883368</v>
      </c>
      <c r="AN14" s="133">
        <f t="shared" si="0"/>
        <v>3550.9206556061868</v>
      </c>
      <c r="AO14" s="133">
        <f t="shared" si="0"/>
        <v>3761.1857331997885</v>
      </c>
      <c r="AP14" s="133">
        <f t="shared" si="0"/>
        <v>3973.3097977450611</v>
      </c>
      <c r="AQ14" s="133">
        <f t="shared" si="0"/>
        <v>4118.2941686587264</v>
      </c>
      <c r="AR14" s="133">
        <f t="shared" si="0"/>
        <v>4180.9489807748778</v>
      </c>
      <c r="AS14" s="133">
        <f t="shared" si="0"/>
        <v>4060.2966703298225</v>
      </c>
      <c r="AT14" s="133">
        <f t="shared" si="0"/>
        <v>4027.7010177996294</v>
      </c>
      <c r="AU14" s="133">
        <f t="shared" si="0"/>
        <v>4002.4297927405478</v>
      </c>
      <c r="AV14" s="133">
        <f t="shared" si="0"/>
        <v>3965.9011635027036</v>
      </c>
      <c r="AW14" s="133">
        <f t="shared" si="0"/>
        <v>3940.8892128672069</v>
      </c>
      <c r="AX14" s="133">
        <f t="shared" si="0"/>
        <v>3922.3641773933441</v>
      </c>
      <c r="AY14" s="133">
        <f t="shared" si="0"/>
        <v>3870.6216703605901</v>
      </c>
      <c r="AZ14" s="127">
        <f t="shared" si="0"/>
        <v>3825.6028898556447</v>
      </c>
      <c r="BA14" s="124">
        <f>SUM($E14:$AZ14)</f>
        <v>167968.01818192625</v>
      </c>
    </row>
    <row r="15" spans="1:54" x14ac:dyDescent="0.2">
      <c r="A15" s="138" t="s">
        <v>123</v>
      </c>
      <c r="B15" s="139">
        <v>1</v>
      </c>
      <c r="C15" s="140" t="s">
        <v>293</v>
      </c>
      <c r="D15" s="140">
        <v>4867.5825000000004</v>
      </c>
      <c r="E15" s="140">
        <v>4867.5825000000004</v>
      </c>
      <c r="F15" s="140">
        <v>4867.5825000000004</v>
      </c>
      <c r="G15" s="140">
        <v>4867.5825000000004</v>
      </c>
      <c r="H15" s="140">
        <v>4326.7400000000007</v>
      </c>
      <c r="I15" s="140">
        <v>4326.7400000000007</v>
      </c>
      <c r="J15" s="140">
        <v>4326.7400000000007</v>
      </c>
      <c r="K15" s="140">
        <v>4326.7400000000007</v>
      </c>
      <c r="L15" s="140">
        <v>4326.7400000000007</v>
      </c>
      <c r="M15" s="140">
        <v>4326.7400000000007</v>
      </c>
      <c r="N15" s="140">
        <v>4326.7400000000007</v>
      </c>
      <c r="O15" s="140">
        <v>4326.7400000000007</v>
      </c>
      <c r="P15" s="140">
        <v>4867.5825000000004</v>
      </c>
      <c r="Q15" s="140">
        <v>4867.5825000000004</v>
      </c>
      <c r="R15" s="140">
        <v>4867.5825000000004</v>
      </c>
      <c r="S15" s="140">
        <v>4867.5825000000004</v>
      </c>
      <c r="T15" s="140">
        <v>4326.7400000000007</v>
      </c>
      <c r="U15" s="140">
        <v>4326.7400000000007</v>
      </c>
      <c r="V15" s="140">
        <v>4326.7400000000007</v>
      </c>
      <c r="W15" s="140">
        <v>4326.7400000000007</v>
      </c>
      <c r="X15" s="140">
        <v>4326.7400000000007</v>
      </c>
      <c r="Y15" s="140">
        <v>4326.7400000000007</v>
      </c>
      <c r="Z15" s="140">
        <v>4326.7400000000007</v>
      </c>
      <c r="AA15" s="140">
        <v>4326.7400000000007</v>
      </c>
      <c r="AB15" s="140">
        <v>4867.5825000000004</v>
      </c>
      <c r="AC15" s="140">
        <v>4867.5825000000004</v>
      </c>
      <c r="AD15" s="140">
        <v>4867.5825000000004</v>
      </c>
      <c r="AE15" s="140">
        <v>4867.5825000000004</v>
      </c>
      <c r="AF15" s="140">
        <v>4326.7400000000007</v>
      </c>
      <c r="AG15" s="140">
        <v>4326.7400000000007</v>
      </c>
      <c r="AH15" s="140">
        <v>4326.7400000000007</v>
      </c>
      <c r="AI15" s="140">
        <v>4326.7400000000007</v>
      </c>
      <c r="AJ15" s="140">
        <v>4326.7400000000007</v>
      </c>
      <c r="AK15" s="140">
        <v>4326.7400000000007</v>
      </c>
      <c r="AL15" s="140">
        <v>4326.7400000000007</v>
      </c>
      <c r="AM15" s="140">
        <v>4326.7400000000007</v>
      </c>
      <c r="AN15" s="140">
        <v>4867.5825000000004</v>
      </c>
      <c r="AO15" s="140">
        <v>4867.5825000000004</v>
      </c>
      <c r="AP15" s="140">
        <v>4867.5825000000004</v>
      </c>
      <c r="AQ15" s="140">
        <v>4867.5825000000004</v>
      </c>
      <c r="AR15" s="140">
        <v>4326.7400000000007</v>
      </c>
      <c r="AS15" s="140">
        <v>4326.7400000000007</v>
      </c>
      <c r="AT15" s="140">
        <v>4326.7400000000007</v>
      </c>
      <c r="AU15" s="140">
        <v>4326.7400000000007</v>
      </c>
      <c r="AV15" s="140">
        <v>4326.7400000000007</v>
      </c>
      <c r="AW15" s="140">
        <v>4326.7400000000007</v>
      </c>
      <c r="AX15" s="140">
        <v>4326.7400000000007</v>
      </c>
      <c r="AY15" s="140">
        <v>4326.7400000000007</v>
      </c>
      <c r="AZ15">
        <v>0</v>
      </c>
    </row>
    <row r="16" spans="1:54" x14ac:dyDescent="0.2">
      <c r="A16" s="127"/>
      <c r="B16" s="135">
        <v>2</v>
      </c>
      <c r="C16" s="126" t="s">
        <v>293</v>
      </c>
      <c r="D16" s="123">
        <v>0</v>
      </c>
      <c r="E16" s="127">
        <v>0</v>
      </c>
      <c r="F16" s="127">
        <v>0</v>
      </c>
      <c r="G16" s="127"/>
      <c r="H16" s="127">
        <v>0</v>
      </c>
      <c r="I16" s="127">
        <v>0</v>
      </c>
      <c r="J16" s="127">
        <v>0</v>
      </c>
      <c r="K16" s="127"/>
      <c r="L16" s="127"/>
      <c r="M16" s="127">
        <v>0</v>
      </c>
      <c r="N16" s="127"/>
      <c r="O16" s="127">
        <v>0</v>
      </c>
      <c r="P16" s="127">
        <v>0</v>
      </c>
      <c r="Q16" s="127">
        <v>0</v>
      </c>
      <c r="R16" s="127"/>
      <c r="S16" s="127"/>
      <c r="T16" s="127">
        <v>0</v>
      </c>
      <c r="U16" s="127">
        <v>0</v>
      </c>
      <c r="V16" s="127"/>
      <c r="W16" s="127">
        <v>0</v>
      </c>
      <c r="X16" s="127">
        <v>0</v>
      </c>
      <c r="Y16" s="127"/>
      <c r="Z16" s="127">
        <v>0</v>
      </c>
      <c r="AA16" s="127"/>
      <c r="AB16" s="127"/>
      <c r="AC16" s="127"/>
      <c r="AD16" s="127"/>
      <c r="AE16" s="127">
        <v>0</v>
      </c>
      <c r="AF16" s="127">
        <v>0</v>
      </c>
      <c r="AG16" s="127">
        <v>0</v>
      </c>
      <c r="AH16" s="127">
        <v>0</v>
      </c>
      <c r="AI16" s="127">
        <v>0</v>
      </c>
      <c r="AJ16" s="127"/>
      <c r="AK16" s="127"/>
      <c r="AL16" s="127">
        <v>0</v>
      </c>
      <c r="AM16" s="127">
        <v>0</v>
      </c>
      <c r="AN16" s="127"/>
      <c r="AO16" s="127"/>
      <c r="AP16" s="127">
        <v>0</v>
      </c>
      <c r="AQ16" s="127">
        <v>0</v>
      </c>
      <c r="AR16" s="127"/>
      <c r="AS16" s="127"/>
      <c r="AT16" s="127"/>
      <c r="AU16" s="127">
        <v>0</v>
      </c>
      <c r="AV16" s="127">
        <v>0</v>
      </c>
      <c r="AW16" s="127">
        <v>0</v>
      </c>
      <c r="AX16" s="127">
        <v>0</v>
      </c>
      <c r="AY16" s="127"/>
      <c r="AZ16">
        <v>0</v>
      </c>
      <c r="BA16">
        <v>0</v>
      </c>
    </row>
    <row r="17" spans="1:54" x14ac:dyDescent="0.2">
      <c r="A17" s="127"/>
      <c r="B17" s="135">
        <v>3</v>
      </c>
      <c r="C17" s="126" t="s">
        <v>293</v>
      </c>
      <c r="D17" s="123">
        <v>0</v>
      </c>
      <c r="E17" s="127"/>
      <c r="F17" s="127"/>
      <c r="G17" s="127"/>
      <c r="H17" s="127">
        <v>0</v>
      </c>
      <c r="I17" s="127"/>
      <c r="J17" s="127"/>
      <c r="K17" s="127"/>
      <c r="L17" s="127">
        <v>0</v>
      </c>
      <c r="M17" s="127">
        <v>0</v>
      </c>
      <c r="N17" s="127">
        <v>0</v>
      </c>
      <c r="O17" s="127">
        <v>0</v>
      </c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>
        <v>0</v>
      </c>
      <c r="AF17" s="127"/>
      <c r="AG17" s="127"/>
      <c r="AH17" s="127"/>
      <c r="AI17" s="127"/>
      <c r="AJ17" s="127"/>
      <c r="AK17" s="127"/>
      <c r="AL17" s="127">
        <v>0</v>
      </c>
      <c r="AM17" s="127">
        <v>0</v>
      </c>
      <c r="AN17" s="127"/>
      <c r="AO17" s="127"/>
      <c r="AP17" s="127"/>
      <c r="AQ17" s="127"/>
      <c r="AR17" s="127"/>
      <c r="AS17" s="127">
        <v>0</v>
      </c>
      <c r="AT17" s="127"/>
      <c r="AU17" s="127"/>
      <c r="AV17" s="127"/>
      <c r="AW17" s="127"/>
      <c r="AX17" s="127"/>
      <c r="AY17" s="127"/>
      <c r="BB17">
        <v>0</v>
      </c>
    </row>
    <row r="18" spans="1:54" x14ac:dyDescent="0.2">
      <c r="A18" s="141"/>
      <c r="B18" s="132">
        <v>4</v>
      </c>
      <c r="C18" s="141" t="s">
        <v>293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</row>
    <row r="20" spans="1:54" x14ac:dyDescent="0.2">
      <c r="A20" s="1" t="s">
        <v>294</v>
      </c>
    </row>
    <row r="21" spans="1:54" x14ac:dyDescent="0.2">
      <c r="A21" s="142" t="s">
        <v>125</v>
      </c>
      <c r="B21" s="139">
        <v>1</v>
      </c>
      <c r="C21" s="140" t="s">
        <v>293</v>
      </c>
      <c r="D21" s="140"/>
      <c r="E21" s="140"/>
      <c r="F21" s="140"/>
      <c r="G21" s="140"/>
      <c r="H21" s="140"/>
      <c r="I21" s="140"/>
      <c r="J21" s="140"/>
      <c r="K21" s="140"/>
      <c r="L21" s="140"/>
      <c r="M21" s="140">
        <v>2768.1539796857542</v>
      </c>
      <c r="N21" s="140">
        <v>4462.1730637319297</v>
      </c>
      <c r="O21" s="140">
        <v>5092.8039403713219</v>
      </c>
      <c r="P21" s="140">
        <v>5367.2489403713216</v>
      </c>
      <c r="Q21" s="140">
        <v>5367.2489403713216</v>
      </c>
      <c r="R21" s="140">
        <v>5367.2489403713216</v>
      </c>
      <c r="S21" s="140">
        <v>5367.2489403713216</v>
      </c>
      <c r="T21" s="140">
        <v>5092.8039403713219</v>
      </c>
      <c r="U21" s="140">
        <v>5092.8039403713219</v>
      </c>
      <c r="V21" s="140">
        <v>5092.8039403713219</v>
      </c>
      <c r="W21" s="140">
        <v>5092.8039403713219</v>
      </c>
      <c r="X21" s="140">
        <v>5092.8039403713219</v>
      </c>
      <c r="Y21" s="140">
        <v>5092.8039403713219</v>
      </c>
      <c r="Z21" s="140">
        <v>5092.8039403713219</v>
      </c>
      <c r="AA21" s="140">
        <v>5092.8039403713219</v>
      </c>
      <c r="AB21" s="140">
        <v>5367.2489403713216</v>
      </c>
      <c r="AC21" s="140">
        <v>5367.2489403713216</v>
      </c>
      <c r="AD21" s="140">
        <v>5367.2489403713216</v>
      </c>
      <c r="AE21" s="140">
        <v>5367.2489403713216</v>
      </c>
      <c r="AF21" s="140">
        <v>5092.8039403713219</v>
      </c>
      <c r="AG21" s="140">
        <v>5092.8039403713219</v>
      </c>
      <c r="AH21" s="140">
        <v>5092.8039403713219</v>
      </c>
      <c r="AI21" s="140">
        <v>4575.0605121978851</v>
      </c>
      <c r="AJ21" s="140">
        <v>5092.8039403713219</v>
      </c>
      <c r="AK21" s="140">
        <v>5092.8039403713219</v>
      </c>
      <c r="AL21" s="140">
        <v>5092.8039403713219</v>
      </c>
      <c r="AM21" s="140">
        <v>5092.8039403713219</v>
      </c>
      <c r="AN21" s="140">
        <v>5367.2489403713216</v>
      </c>
      <c r="AO21" s="140">
        <v>5367.2489403713216</v>
      </c>
      <c r="AP21" s="140">
        <v>5207.0836562628001</v>
      </c>
      <c r="AQ21" s="140">
        <v>5207.9416016853083</v>
      </c>
      <c r="AR21" s="140">
        <v>4577.0259342593199</v>
      </c>
      <c r="AS21" s="140">
        <v>4577.237572847047</v>
      </c>
      <c r="AT21" s="140">
        <v>5092.8039403713219</v>
      </c>
      <c r="AU21" s="140">
        <v>5092.8039403713219</v>
      </c>
      <c r="AV21" s="140">
        <v>5092.8039403713219</v>
      </c>
      <c r="AW21" s="140">
        <v>4938.5213316912796</v>
      </c>
      <c r="AX21" s="140">
        <v>4939.3370353125383</v>
      </c>
      <c r="AY21" s="140">
        <v>5092.8039403713219</v>
      </c>
    </row>
    <row r="22" spans="1:54" x14ac:dyDescent="0.2">
      <c r="A22" s="126"/>
      <c r="B22" s="136">
        <v>2</v>
      </c>
      <c r="C22" s="127" t="s">
        <v>293</v>
      </c>
      <c r="D22" s="127"/>
      <c r="E22" s="127"/>
      <c r="F22" s="127"/>
      <c r="G22" s="127"/>
      <c r="H22" s="127"/>
      <c r="I22" s="127"/>
      <c r="J22" s="127"/>
      <c r="K22" s="127">
        <v>1232.7399216032854</v>
      </c>
      <c r="L22" s="127">
        <v>5070.6685474304286</v>
      </c>
      <c r="M22" s="127">
        <v>4760.9393333122152</v>
      </c>
      <c r="N22" s="127">
        <v>1929.6499606855677</v>
      </c>
      <c r="O22" s="127">
        <v>275.63087663939223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  <c r="AC22" s="127">
        <v>0</v>
      </c>
      <c r="AD22" s="127">
        <v>0</v>
      </c>
      <c r="AE22" s="127">
        <v>0</v>
      </c>
      <c r="AF22" s="127">
        <v>0</v>
      </c>
      <c r="AG22" s="127">
        <v>0</v>
      </c>
      <c r="AH22" s="127">
        <v>0</v>
      </c>
      <c r="AI22" s="127">
        <v>0</v>
      </c>
      <c r="AJ22" s="127">
        <v>0</v>
      </c>
      <c r="AK22" s="127">
        <v>0</v>
      </c>
      <c r="AL22" s="127">
        <v>0</v>
      </c>
      <c r="AM22" s="127">
        <v>0</v>
      </c>
      <c r="AN22" s="127">
        <v>0</v>
      </c>
      <c r="AO22" s="127">
        <v>0</v>
      </c>
      <c r="AP22" s="127">
        <v>0</v>
      </c>
      <c r="AQ22" s="127">
        <v>0</v>
      </c>
      <c r="AR22" s="127">
        <v>0</v>
      </c>
      <c r="AS22" s="127">
        <v>0</v>
      </c>
      <c r="AT22" s="127">
        <v>0</v>
      </c>
      <c r="AU22" s="127">
        <v>0</v>
      </c>
      <c r="AV22" s="127">
        <v>0</v>
      </c>
      <c r="AW22" s="127">
        <v>0</v>
      </c>
      <c r="AX22" s="127">
        <v>0</v>
      </c>
      <c r="AY22" s="127">
        <v>0</v>
      </c>
    </row>
    <row r="23" spans="1:54" x14ac:dyDescent="0.2">
      <c r="A23" s="126"/>
      <c r="B23" s="143">
        <v>3</v>
      </c>
      <c r="C23" s="127" t="s">
        <v>293</v>
      </c>
      <c r="D23" s="127"/>
      <c r="E23" s="127"/>
      <c r="F23" s="127"/>
      <c r="G23" s="127"/>
      <c r="H23" s="127"/>
      <c r="I23" s="127"/>
      <c r="J23" s="127">
        <v>2737.6152361474642</v>
      </c>
      <c r="K23" s="127">
        <v>5092.8039403713219</v>
      </c>
      <c r="L23" s="127">
        <v>3137.0640187680365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  <c r="AC23" s="127">
        <v>0</v>
      </c>
      <c r="AD23" s="127">
        <v>0</v>
      </c>
      <c r="AE23" s="127">
        <v>0</v>
      </c>
      <c r="AF23" s="127">
        <v>0</v>
      </c>
      <c r="AG23" s="127">
        <v>0</v>
      </c>
      <c r="AH23" s="127">
        <v>0</v>
      </c>
      <c r="AI23" s="127">
        <v>0</v>
      </c>
      <c r="AJ23" s="127">
        <v>0</v>
      </c>
      <c r="AK23" s="127">
        <v>0</v>
      </c>
      <c r="AL23" s="127">
        <v>0</v>
      </c>
      <c r="AM23" s="127">
        <v>0</v>
      </c>
      <c r="AN23" s="127">
        <v>0</v>
      </c>
      <c r="AO23" s="127">
        <v>0</v>
      </c>
      <c r="AP23" s="127">
        <v>0</v>
      </c>
      <c r="AQ23" s="127">
        <v>0</v>
      </c>
      <c r="AR23" s="127">
        <v>0</v>
      </c>
      <c r="AS23" s="127">
        <v>0</v>
      </c>
      <c r="AT23" s="127">
        <v>0</v>
      </c>
      <c r="AU23" s="127">
        <v>0</v>
      </c>
      <c r="AV23" s="127">
        <v>0</v>
      </c>
      <c r="AW23" s="127">
        <v>0</v>
      </c>
      <c r="AX23" s="127">
        <v>0</v>
      </c>
      <c r="AY23" s="127">
        <v>0</v>
      </c>
    </row>
    <row r="24" spans="1:54" x14ac:dyDescent="0.2">
      <c r="A24" s="144"/>
      <c r="B24" s="145">
        <v>4</v>
      </c>
      <c r="C24" s="144" t="s">
        <v>293</v>
      </c>
      <c r="D24" s="141">
        <v>0</v>
      </c>
      <c r="E24" s="141">
        <v>0</v>
      </c>
      <c r="F24" s="141">
        <v>0</v>
      </c>
      <c r="G24" s="141">
        <v>0</v>
      </c>
      <c r="H24" s="141">
        <v>662.5524999522604</v>
      </c>
      <c r="I24" s="141">
        <v>3888.9174592054624</v>
      </c>
      <c r="J24" s="141">
        <v>5367.2489403713216</v>
      </c>
      <c r="K24" s="141">
        <v>1747.1887042238577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  <c r="AT24" s="141">
        <v>0</v>
      </c>
      <c r="AU24" s="141">
        <v>0</v>
      </c>
      <c r="AV24" s="141">
        <v>0</v>
      </c>
      <c r="AW24" s="141">
        <v>0</v>
      </c>
      <c r="AX24" s="141">
        <v>0</v>
      </c>
      <c r="AY24" s="141">
        <v>0</v>
      </c>
    </row>
    <row r="25" spans="1:54" x14ac:dyDescent="0.2">
      <c r="A25" s="142" t="s">
        <v>133</v>
      </c>
      <c r="B25" s="139">
        <v>1</v>
      </c>
      <c r="C25" s="126" t="s">
        <v>293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</row>
    <row r="26" spans="1:54" x14ac:dyDescent="0.2">
      <c r="A26" s="126"/>
      <c r="B26" s="135">
        <v>2</v>
      </c>
      <c r="C26" s="126" t="s">
        <v>293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</row>
    <row r="27" spans="1:54" x14ac:dyDescent="0.2">
      <c r="A27" s="126"/>
      <c r="B27" s="136">
        <v>3</v>
      </c>
      <c r="C27" s="126" t="s">
        <v>293</v>
      </c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>
        <v>154.55226130102187</v>
      </c>
      <c r="AE27" s="127">
        <v>401.35834033737706</v>
      </c>
      <c r="AF27" s="127">
        <v>159.28138973953668</v>
      </c>
      <c r="AG27" s="127">
        <v>726.39886433207005</v>
      </c>
      <c r="AH27" s="127">
        <v>173.15575073480903</v>
      </c>
      <c r="AI27" s="127">
        <v>430.43557466726782</v>
      </c>
      <c r="AJ27" s="127">
        <v>72.128350531128987</v>
      </c>
      <c r="AK27" s="127"/>
      <c r="AL27" s="127"/>
      <c r="AM27" s="127"/>
      <c r="AN27" s="127">
        <v>133.07038283085757</v>
      </c>
      <c r="AO27" s="127">
        <v>197.52997871729056</v>
      </c>
      <c r="AP27" s="127">
        <v>499.28221347931776</v>
      </c>
      <c r="AQ27" s="127">
        <v>259.24824019267248</v>
      </c>
      <c r="AR27" s="127">
        <v>638.05776398097601</v>
      </c>
      <c r="AS27" s="127">
        <v>858.29703921557496</v>
      </c>
      <c r="AT27" s="127">
        <v>280.80413327529271</v>
      </c>
      <c r="AU27" s="127">
        <v>0</v>
      </c>
      <c r="AV27" s="127">
        <v>90.04836522162708</v>
      </c>
      <c r="AW27" s="127">
        <v>684.22614484757321</v>
      </c>
      <c r="AX27" s="127">
        <v>607.80480919167428</v>
      </c>
      <c r="AY27" s="127">
        <v>367.62605447311927</v>
      </c>
    </row>
    <row r="28" spans="1:54" x14ac:dyDescent="0.2">
      <c r="A28" s="126"/>
      <c r="B28" s="136">
        <v>4</v>
      </c>
      <c r="C28" s="126" t="s">
        <v>293</v>
      </c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>
        <v>1143.9745298098828</v>
      </c>
      <c r="P28" s="127">
        <v>617.33756372602568</v>
      </c>
      <c r="Q28" s="127">
        <v>1068.5863199683408</v>
      </c>
      <c r="R28" s="127">
        <v>951.86346841348154</v>
      </c>
      <c r="S28" s="127">
        <v>897.59156962656698</v>
      </c>
      <c r="T28" s="127">
        <v>671.31051296785188</v>
      </c>
      <c r="U28" s="127">
        <v>177.19417921275254</v>
      </c>
      <c r="V28" s="127">
        <v>85.929141075886861</v>
      </c>
      <c r="W28" s="127">
        <v>43.519869840947401</v>
      </c>
      <c r="X28" s="127">
        <v>223.39792964270856</v>
      </c>
      <c r="Y28" s="127">
        <v>314.99481439343049</v>
      </c>
      <c r="Z28" s="127">
        <v>849.57713711923986</v>
      </c>
      <c r="AA28" s="127">
        <v>799.70083489081048</v>
      </c>
      <c r="AB28" s="127">
        <v>1019.5769565330154</v>
      </c>
      <c r="AC28" s="127">
        <v>1366.5085186112906</v>
      </c>
      <c r="AD28" s="127">
        <v>956.40096175386861</v>
      </c>
      <c r="AE28" s="127">
        <v>1154.1041358152429</v>
      </c>
      <c r="AF28" s="127">
        <v>730.83028548976426</v>
      </c>
      <c r="AG28" s="127">
        <v>665.62326002511145</v>
      </c>
      <c r="AH28" s="127">
        <v>680.64570393898794</v>
      </c>
      <c r="AI28" s="127">
        <v>952.81885828304371</v>
      </c>
      <c r="AJ28" s="127">
        <v>630.5390343505851</v>
      </c>
      <c r="AK28" s="127">
        <v>249.41202843101595</v>
      </c>
      <c r="AL28" s="127">
        <v>367.64648716289742</v>
      </c>
      <c r="AM28" s="127">
        <v>494.41804738997979</v>
      </c>
      <c r="AN28" s="127">
        <v>0</v>
      </c>
      <c r="AO28" s="127">
        <v>0</v>
      </c>
      <c r="AP28" s="127">
        <v>259.92647989967782</v>
      </c>
      <c r="AQ28" s="127">
        <v>45.906412347823562</v>
      </c>
      <c r="AR28" s="127">
        <v>0</v>
      </c>
      <c r="AS28" s="127">
        <v>0</v>
      </c>
      <c r="AT28" s="127">
        <v>0</v>
      </c>
      <c r="AU28" s="127">
        <v>0</v>
      </c>
      <c r="AV28" s="127">
        <v>0</v>
      </c>
      <c r="AW28" s="127">
        <v>0</v>
      </c>
      <c r="AX28" s="127">
        <v>0</v>
      </c>
      <c r="AY28" s="127">
        <v>0</v>
      </c>
    </row>
    <row r="29" spans="1:54" x14ac:dyDescent="0.2">
      <c r="A29" s="126"/>
      <c r="B29" s="143">
        <v>5</v>
      </c>
      <c r="C29" s="126" t="s">
        <v>293</v>
      </c>
      <c r="D29" s="127"/>
      <c r="E29" s="127"/>
      <c r="F29" s="127"/>
      <c r="G29" s="127"/>
      <c r="H29" s="127"/>
      <c r="I29" s="127"/>
      <c r="J29" s="127"/>
      <c r="K29" s="127"/>
      <c r="L29" s="127"/>
      <c r="M29" s="127">
        <v>387.63925320048804</v>
      </c>
      <c r="N29" s="127">
        <v>861.9095417809682</v>
      </c>
      <c r="O29" s="127">
        <v>627.00074789275095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128.13040689142724</v>
      </c>
      <c r="AB29" s="127">
        <v>271.48779093633084</v>
      </c>
      <c r="AC29" s="127">
        <v>56.611669294125932</v>
      </c>
      <c r="AD29" s="127">
        <v>0</v>
      </c>
      <c r="AE29" s="127">
        <v>0</v>
      </c>
      <c r="AF29" s="127">
        <v>0</v>
      </c>
      <c r="AG29" s="127">
        <v>0</v>
      </c>
      <c r="AH29" s="127">
        <v>0</v>
      </c>
      <c r="AI29" s="127">
        <v>0</v>
      </c>
      <c r="AJ29" s="127">
        <v>0</v>
      </c>
      <c r="AK29" s="127">
        <v>0</v>
      </c>
      <c r="AL29" s="127">
        <v>0</v>
      </c>
      <c r="AM29" s="127">
        <v>0</v>
      </c>
      <c r="AN29" s="127">
        <v>0</v>
      </c>
      <c r="AO29" s="127">
        <v>0</v>
      </c>
      <c r="AP29" s="127">
        <v>0</v>
      </c>
      <c r="AQ29" s="127">
        <v>0</v>
      </c>
      <c r="AR29" s="127">
        <v>0</v>
      </c>
      <c r="AS29" s="127">
        <v>0</v>
      </c>
      <c r="AT29" s="127">
        <v>0</v>
      </c>
      <c r="AU29" s="127">
        <v>0</v>
      </c>
      <c r="AV29" s="127">
        <v>0</v>
      </c>
      <c r="AW29" s="127">
        <v>0</v>
      </c>
      <c r="AX29" s="127">
        <v>0</v>
      </c>
      <c r="AY29" s="127">
        <v>0</v>
      </c>
    </row>
    <row r="30" spans="1:54" x14ac:dyDescent="0.2">
      <c r="A30" s="126"/>
      <c r="B30" s="143">
        <v>6</v>
      </c>
      <c r="C30" s="126" t="s">
        <v>293</v>
      </c>
      <c r="D30" s="127"/>
      <c r="E30" s="127"/>
      <c r="F30" s="127"/>
      <c r="G30" s="127"/>
      <c r="H30" s="127"/>
      <c r="I30" s="127"/>
      <c r="J30" s="127"/>
      <c r="K30" s="127">
        <v>0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7">
        <v>0</v>
      </c>
      <c r="R30" s="127">
        <v>0</v>
      </c>
      <c r="S30" s="127">
        <v>0</v>
      </c>
      <c r="T30" s="127">
        <v>0</v>
      </c>
      <c r="U30" s="127">
        <v>0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>
        <v>0</v>
      </c>
      <c r="AC30" s="127">
        <v>0</v>
      </c>
      <c r="AD30" s="127">
        <v>0</v>
      </c>
      <c r="AE30" s="127">
        <v>0</v>
      </c>
      <c r="AF30" s="127">
        <v>0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7">
        <v>0</v>
      </c>
      <c r="AM30" s="127">
        <v>0</v>
      </c>
      <c r="AN30" s="127">
        <v>0</v>
      </c>
      <c r="AO30" s="127">
        <v>0</v>
      </c>
      <c r="AP30" s="127">
        <v>0</v>
      </c>
      <c r="AQ30" s="127">
        <v>0</v>
      </c>
      <c r="AR30" s="127">
        <v>0</v>
      </c>
      <c r="AS30" s="127">
        <v>0</v>
      </c>
      <c r="AT30" s="127">
        <v>0</v>
      </c>
      <c r="AU30" s="127">
        <v>0</v>
      </c>
      <c r="AV30" s="127">
        <v>0</v>
      </c>
      <c r="AW30" s="127">
        <v>0</v>
      </c>
      <c r="AX30" s="127">
        <v>0</v>
      </c>
      <c r="AY30" s="127">
        <v>0</v>
      </c>
    </row>
    <row r="31" spans="1:54" x14ac:dyDescent="0.2">
      <c r="A31" s="126"/>
      <c r="B31" s="146">
        <v>7</v>
      </c>
      <c r="C31" s="126" t="s">
        <v>293</v>
      </c>
      <c r="D31" s="127"/>
      <c r="E31" s="127"/>
      <c r="F31" s="127"/>
      <c r="G31" s="127"/>
      <c r="H31" s="127"/>
      <c r="I31" s="127"/>
      <c r="J31" s="127">
        <v>0</v>
      </c>
      <c r="K31" s="127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7">
        <v>0</v>
      </c>
      <c r="R31" s="127">
        <v>0</v>
      </c>
      <c r="S31" s="127">
        <v>0</v>
      </c>
      <c r="T31" s="127">
        <v>0</v>
      </c>
      <c r="U31" s="127">
        <v>0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>
        <v>0</v>
      </c>
      <c r="AC31" s="127">
        <v>0</v>
      </c>
      <c r="AD31" s="127">
        <v>0</v>
      </c>
      <c r="AE31" s="127">
        <v>0</v>
      </c>
      <c r="AF31" s="127">
        <v>0</v>
      </c>
      <c r="AG31" s="127">
        <v>0</v>
      </c>
      <c r="AH31" s="127">
        <v>0</v>
      </c>
      <c r="AI31" s="127">
        <v>0</v>
      </c>
      <c r="AJ31" s="127">
        <v>0</v>
      </c>
      <c r="AK31" s="127">
        <v>0</v>
      </c>
      <c r="AL31" s="127">
        <v>0</v>
      </c>
      <c r="AM31" s="127">
        <v>0</v>
      </c>
      <c r="AN31" s="127">
        <v>0</v>
      </c>
      <c r="AO31" s="127">
        <v>0</v>
      </c>
      <c r="AP31" s="127">
        <v>0</v>
      </c>
      <c r="AQ31" s="127">
        <v>0</v>
      </c>
      <c r="AR31" s="127">
        <v>0</v>
      </c>
      <c r="AS31" s="127">
        <v>0</v>
      </c>
      <c r="AT31" s="127">
        <v>0</v>
      </c>
      <c r="AU31" s="127">
        <v>0</v>
      </c>
      <c r="AV31" s="127">
        <v>0</v>
      </c>
      <c r="AW31" s="127">
        <v>0</v>
      </c>
      <c r="AX31" s="127">
        <v>0</v>
      </c>
      <c r="AY31" s="127">
        <v>0</v>
      </c>
    </row>
    <row r="32" spans="1:54" x14ac:dyDescent="0.2">
      <c r="A32" s="144"/>
      <c r="B32" s="145">
        <v>8</v>
      </c>
      <c r="C32" s="144" t="s">
        <v>293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  <c r="AU32" s="141">
        <v>0</v>
      </c>
      <c r="AV32" s="141">
        <v>0</v>
      </c>
      <c r="AW32" s="141">
        <v>0</v>
      </c>
      <c r="AX32" s="141">
        <v>0</v>
      </c>
      <c r="AY32" s="141">
        <v>0</v>
      </c>
    </row>
    <row r="33" spans="1:51" x14ac:dyDescent="0.2">
      <c r="A33" s="147" t="s">
        <v>134</v>
      </c>
      <c r="B33" s="135">
        <v>1</v>
      </c>
      <c r="C33" s="126" t="s">
        <v>293</v>
      </c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</row>
    <row r="34" spans="1:51" x14ac:dyDescent="0.2">
      <c r="A34" s="126"/>
      <c r="B34" s="135">
        <v>2</v>
      </c>
      <c r="C34" s="126" t="s">
        <v>293</v>
      </c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</row>
    <row r="35" spans="1:51" x14ac:dyDescent="0.2">
      <c r="A35" s="126"/>
      <c r="B35" s="135">
        <v>3</v>
      </c>
      <c r="C35" s="126" t="s">
        <v>293</v>
      </c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</row>
    <row r="36" spans="1:51" x14ac:dyDescent="0.2">
      <c r="A36" s="126"/>
      <c r="B36" s="136">
        <v>4</v>
      </c>
      <c r="C36" s="126" t="s">
        <v>293</v>
      </c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</row>
    <row r="37" spans="1:51" x14ac:dyDescent="0.2">
      <c r="A37" s="126"/>
      <c r="B37" s="136">
        <v>5</v>
      </c>
      <c r="C37" s="126" t="s">
        <v>293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</row>
    <row r="38" spans="1:51" x14ac:dyDescent="0.2">
      <c r="A38" s="126"/>
      <c r="B38" s="136">
        <v>6</v>
      </c>
      <c r="C38" s="126" t="s">
        <v>293</v>
      </c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</row>
    <row r="39" spans="1:51" x14ac:dyDescent="0.2">
      <c r="A39" s="126"/>
      <c r="B39" s="143">
        <v>7</v>
      </c>
      <c r="C39" s="126" t="s">
        <v>293</v>
      </c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>
        <v>271.08077943557538</v>
      </c>
      <c r="AE39" s="123">
        <v>875.53427096435212</v>
      </c>
      <c r="AF39" s="123">
        <v>422.68717172134626</v>
      </c>
      <c r="AG39" s="123">
        <v>1254.031417690057</v>
      </c>
      <c r="AH39" s="123">
        <v>359.11768717755217</v>
      </c>
      <c r="AI39" s="123">
        <v>918.99465850919501</v>
      </c>
      <c r="AJ39" s="123">
        <v>173.31020406479772</v>
      </c>
      <c r="AK39" s="123"/>
      <c r="AL39" s="123"/>
      <c r="AM39" s="123"/>
      <c r="AN39" s="123">
        <v>420.52280122764188</v>
      </c>
      <c r="AO39" s="123">
        <v>468.83538659719784</v>
      </c>
      <c r="AP39" s="123">
        <v>1120.2271338391297</v>
      </c>
      <c r="AQ39" s="123">
        <v>1403.215499422593</v>
      </c>
      <c r="AR39" s="123">
        <v>1940.8927880957826</v>
      </c>
      <c r="AS39" s="123">
        <v>2968.4530688920422</v>
      </c>
      <c r="AT39" s="123">
        <v>3200.9087579555485</v>
      </c>
      <c r="AU39" s="123">
        <v>3316.9286258271432</v>
      </c>
      <c r="AV39" s="123">
        <v>3582.6112555822324</v>
      </c>
      <c r="AW39" s="123">
        <v>3585.003938816742</v>
      </c>
      <c r="AX39" s="123">
        <v>3291.8335867934848</v>
      </c>
      <c r="AY39" s="123">
        <v>1881.4663228346183</v>
      </c>
    </row>
    <row r="40" spans="1:51" x14ac:dyDescent="0.2">
      <c r="A40" s="126"/>
      <c r="B40" s="143">
        <v>8</v>
      </c>
      <c r="C40" s="126" t="s">
        <v>293</v>
      </c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>
        <v>1760.3224714851244</v>
      </c>
      <c r="P40" s="123">
        <v>1997.1318221230433</v>
      </c>
      <c r="Q40" s="123">
        <v>2841.982096871272</v>
      </c>
      <c r="R40" s="123">
        <v>3030.6936406043719</v>
      </c>
      <c r="S40" s="123">
        <v>3084.0608896266458</v>
      </c>
      <c r="T40" s="123">
        <v>2393.5012262941586</v>
      </c>
      <c r="U40" s="123">
        <v>1810.0720621236676</v>
      </c>
      <c r="V40" s="123">
        <v>765.52727494211865</v>
      </c>
      <c r="W40" s="123">
        <v>516.78153676063744</v>
      </c>
      <c r="X40" s="123">
        <v>1004.1097642551523</v>
      </c>
      <c r="Y40" s="123">
        <v>1641.7900775307642</v>
      </c>
      <c r="Z40" s="123">
        <v>1992.0418382815049</v>
      </c>
      <c r="AA40" s="123">
        <v>1769.0954032778805</v>
      </c>
      <c r="AB40" s="123">
        <v>2091.4330465339358</v>
      </c>
      <c r="AC40" s="123">
        <v>2864.5792440730102</v>
      </c>
      <c r="AD40" s="123">
        <v>3059.4531472741769</v>
      </c>
      <c r="AE40" s="123">
        <v>2480.7256713894367</v>
      </c>
      <c r="AF40" s="123">
        <v>1753.8204118318636</v>
      </c>
      <c r="AG40" s="123">
        <v>2344.6610669706165</v>
      </c>
      <c r="AH40" s="123">
        <v>1567.0094839757867</v>
      </c>
      <c r="AI40" s="123">
        <v>2413.6795343676349</v>
      </c>
      <c r="AJ40" s="123">
        <v>1841.9510368806314</v>
      </c>
      <c r="AK40" s="123">
        <v>1880.5165973961273</v>
      </c>
      <c r="AL40" s="123">
        <v>3422.2821386642454</v>
      </c>
      <c r="AM40" s="123">
        <v>2728.5105784371635</v>
      </c>
      <c r="AN40" s="123">
        <v>3200.1779417686353</v>
      </c>
      <c r="AO40" s="123">
        <v>2299.4057605126609</v>
      </c>
      <c r="AP40" s="123">
        <v>2087.1212817997193</v>
      </c>
      <c r="AQ40" s="123">
        <v>1516.1869570547656</v>
      </c>
      <c r="AR40" s="123">
        <v>823.76405694109872</v>
      </c>
      <c r="AS40" s="123">
        <v>1117.9645009102369</v>
      </c>
      <c r="AT40" s="123">
        <v>172.21573459629462</v>
      </c>
      <c r="AU40" s="123">
        <v>0</v>
      </c>
      <c r="AV40" s="123">
        <v>25.269005023283626</v>
      </c>
      <c r="AW40" s="123">
        <v>54.698542162828744</v>
      </c>
      <c r="AX40" s="123">
        <v>236.29022984198446</v>
      </c>
      <c r="AY40" s="123">
        <v>555.11539398139303</v>
      </c>
    </row>
    <row r="41" spans="1:51" x14ac:dyDescent="0.2">
      <c r="A41" s="126"/>
      <c r="B41" s="143">
        <v>9</v>
      </c>
      <c r="C41" s="126" t="s">
        <v>293</v>
      </c>
      <c r="D41" s="123"/>
      <c r="E41" s="123"/>
      <c r="F41" s="123"/>
      <c r="G41" s="123"/>
      <c r="H41" s="123"/>
      <c r="I41" s="123"/>
      <c r="J41" s="123"/>
      <c r="K41" s="123"/>
      <c r="L41" s="123"/>
      <c r="M41" s="123">
        <v>0</v>
      </c>
      <c r="N41" s="123">
        <v>0</v>
      </c>
      <c r="O41" s="123">
        <v>0</v>
      </c>
      <c r="P41" s="123">
        <v>266.3017399780656</v>
      </c>
      <c r="Q41" s="123">
        <v>589.20270898752938</v>
      </c>
      <c r="R41" s="123">
        <v>0</v>
      </c>
      <c r="S41" s="123">
        <v>0</v>
      </c>
      <c r="T41" s="123">
        <v>73.902869755836946</v>
      </c>
      <c r="U41" s="123">
        <v>780.35301744608341</v>
      </c>
      <c r="V41" s="123">
        <v>1158.4722098091304</v>
      </c>
      <c r="W41" s="123">
        <v>2030.6272192255656</v>
      </c>
      <c r="X41" s="123">
        <v>2312.420931929275</v>
      </c>
      <c r="Y41" s="123">
        <v>1721.1437339029485</v>
      </c>
      <c r="Z41" s="123">
        <v>722.30965042639878</v>
      </c>
      <c r="AA41" s="123">
        <v>418.53420947789687</v>
      </c>
      <c r="AB41" s="123">
        <v>996.74110311298773</v>
      </c>
      <c r="AC41" s="123">
        <v>494.07169384871531</v>
      </c>
      <c r="AD41" s="123">
        <v>0</v>
      </c>
      <c r="AE41" s="123">
        <v>0</v>
      </c>
      <c r="AF41" s="123">
        <v>0</v>
      </c>
      <c r="AG41" s="123">
        <v>0</v>
      </c>
      <c r="AH41" s="123">
        <v>0</v>
      </c>
      <c r="AI41" s="123">
        <v>0</v>
      </c>
      <c r="AJ41" s="123">
        <v>0</v>
      </c>
      <c r="AK41" s="123">
        <v>0</v>
      </c>
      <c r="AL41" s="123">
        <v>0</v>
      </c>
      <c r="AM41" s="123">
        <v>0</v>
      </c>
      <c r="AN41" s="123">
        <v>0</v>
      </c>
      <c r="AO41" s="123">
        <v>0</v>
      </c>
      <c r="AP41" s="123">
        <v>0</v>
      </c>
      <c r="AQ41" s="123">
        <v>0</v>
      </c>
      <c r="AR41" s="123">
        <v>0</v>
      </c>
      <c r="AS41" s="123">
        <v>0</v>
      </c>
      <c r="AT41" s="123">
        <v>0</v>
      </c>
      <c r="AU41" s="123">
        <v>0</v>
      </c>
      <c r="AV41" s="123">
        <v>0</v>
      </c>
      <c r="AW41" s="123">
        <v>0</v>
      </c>
      <c r="AX41" s="123">
        <v>0</v>
      </c>
      <c r="AY41" s="123">
        <v>0</v>
      </c>
    </row>
    <row r="42" spans="1:51" x14ac:dyDescent="0.2">
      <c r="A42" s="126"/>
      <c r="B42" s="146">
        <v>10</v>
      </c>
      <c r="C42" s="126" t="s">
        <v>293</v>
      </c>
      <c r="D42" s="123"/>
      <c r="E42" s="123"/>
      <c r="F42" s="123"/>
      <c r="G42" s="123"/>
      <c r="H42" s="123"/>
      <c r="I42" s="123"/>
      <c r="J42" s="123"/>
      <c r="K42" s="123">
        <v>0</v>
      </c>
      <c r="L42" s="123">
        <v>0</v>
      </c>
      <c r="M42" s="123">
        <v>0</v>
      </c>
      <c r="N42" s="123">
        <v>0</v>
      </c>
      <c r="O42" s="123">
        <v>0</v>
      </c>
      <c r="P42" s="123">
        <v>0</v>
      </c>
      <c r="Q42" s="123">
        <v>0</v>
      </c>
      <c r="R42" s="123">
        <v>0</v>
      </c>
      <c r="S42" s="123">
        <v>0</v>
      </c>
      <c r="T42" s="123">
        <v>0</v>
      </c>
      <c r="U42" s="123">
        <v>0</v>
      </c>
      <c r="V42" s="123">
        <v>0</v>
      </c>
      <c r="W42" s="123">
        <v>0</v>
      </c>
      <c r="X42" s="123">
        <v>0</v>
      </c>
      <c r="Y42" s="123">
        <v>0</v>
      </c>
      <c r="Z42" s="123">
        <v>0</v>
      </c>
      <c r="AA42" s="123">
        <v>0</v>
      </c>
      <c r="AB42" s="123">
        <v>0</v>
      </c>
      <c r="AC42" s="123">
        <v>0</v>
      </c>
      <c r="AD42" s="123">
        <v>0</v>
      </c>
      <c r="AE42" s="123">
        <v>0</v>
      </c>
      <c r="AF42" s="123">
        <v>0</v>
      </c>
      <c r="AG42" s="123">
        <v>0</v>
      </c>
      <c r="AH42" s="123">
        <v>0</v>
      </c>
      <c r="AI42" s="123">
        <v>0</v>
      </c>
      <c r="AJ42" s="123">
        <v>0</v>
      </c>
      <c r="AK42" s="123">
        <v>0</v>
      </c>
      <c r="AL42" s="123">
        <v>0</v>
      </c>
      <c r="AM42" s="123">
        <v>0</v>
      </c>
      <c r="AN42" s="123">
        <v>0</v>
      </c>
      <c r="AO42" s="123">
        <v>0</v>
      </c>
      <c r="AP42" s="123">
        <v>0</v>
      </c>
      <c r="AQ42" s="123">
        <v>0</v>
      </c>
      <c r="AR42" s="123">
        <v>0</v>
      </c>
      <c r="AS42" s="123">
        <v>0</v>
      </c>
      <c r="AT42" s="123">
        <v>0</v>
      </c>
      <c r="AU42" s="123">
        <v>0</v>
      </c>
      <c r="AV42" s="123">
        <v>0</v>
      </c>
      <c r="AW42" s="123">
        <v>0</v>
      </c>
      <c r="AX42" s="123">
        <v>0</v>
      </c>
      <c r="AY42" s="123">
        <v>0</v>
      </c>
    </row>
    <row r="43" spans="1:51" x14ac:dyDescent="0.2">
      <c r="A43" s="126"/>
      <c r="B43" s="146">
        <v>11</v>
      </c>
      <c r="C43" s="126" t="s">
        <v>293</v>
      </c>
      <c r="D43" s="123"/>
      <c r="E43" s="123"/>
      <c r="F43" s="123"/>
      <c r="G43" s="123"/>
      <c r="H43" s="123"/>
      <c r="I43" s="123"/>
      <c r="J43" s="123">
        <v>0</v>
      </c>
      <c r="K43" s="123">
        <v>0</v>
      </c>
      <c r="L43" s="123">
        <v>0</v>
      </c>
      <c r="M43" s="123">
        <v>0</v>
      </c>
      <c r="N43" s="123">
        <v>0</v>
      </c>
      <c r="O43" s="123">
        <v>0</v>
      </c>
      <c r="P43" s="123">
        <v>0</v>
      </c>
      <c r="Q43" s="123">
        <v>0</v>
      </c>
      <c r="R43" s="123">
        <v>0</v>
      </c>
      <c r="S43" s="123">
        <v>0</v>
      </c>
      <c r="T43" s="123">
        <v>0</v>
      </c>
      <c r="U43" s="123">
        <v>0</v>
      </c>
      <c r="V43" s="123">
        <v>0</v>
      </c>
      <c r="W43" s="123">
        <v>0</v>
      </c>
      <c r="X43" s="123">
        <v>0</v>
      </c>
      <c r="Y43" s="123">
        <v>0</v>
      </c>
      <c r="Z43" s="123">
        <v>0</v>
      </c>
      <c r="AA43" s="123">
        <v>0</v>
      </c>
      <c r="AB43" s="123">
        <v>0</v>
      </c>
      <c r="AC43" s="123">
        <v>0</v>
      </c>
      <c r="AD43" s="123">
        <v>0</v>
      </c>
      <c r="AE43" s="123">
        <v>0</v>
      </c>
      <c r="AF43" s="123">
        <v>0</v>
      </c>
      <c r="AG43" s="123">
        <v>0</v>
      </c>
      <c r="AH43" s="123">
        <v>0</v>
      </c>
      <c r="AI43" s="123">
        <v>0</v>
      </c>
      <c r="AJ43" s="123">
        <v>0</v>
      </c>
      <c r="AK43" s="123">
        <v>0</v>
      </c>
      <c r="AL43" s="123">
        <v>0</v>
      </c>
      <c r="AM43" s="123">
        <v>0</v>
      </c>
      <c r="AN43" s="123">
        <v>0</v>
      </c>
      <c r="AO43" s="123">
        <v>0</v>
      </c>
      <c r="AP43" s="123">
        <v>0</v>
      </c>
      <c r="AQ43" s="123">
        <v>0</v>
      </c>
      <c r="AR43" s="123">
        <v>0</v>
      </c>
      <c r="AS43" s="123">
        <v>0</v>
      </c>
      <c r="AT43" s="123">
        <v>0</v>
      </c>
      <c r="AU43" s="123">
        <v>0</v>
      </c>
      <c r="AV43" s="123">
        <v>0</v>
      </c>
      <c r="AW43" s="123">
        <v>0</v>
      </c>
      <c r="AX43" s="123">
        <v>0</v>
      </c>
      <c r="AY43" s="123">
        <v>0</v>
      </c>
    </row>
    <row r="44" spans="1:51" x14ac:dyDescent="0.2">
      <c r="A44" s="126"/>
      <c r="B44" s="146">
        <v>12</v>
      </c>
      <c r="C44" s="144" t="s">
        <v>293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0</v>
      </c>
      <c r="M44" s="123">
        <v>0</v>
      </c>
      <c r="N44" s="123">
        <v>0</v>
      </c>
      <c r="O44" s="123">
        <v>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3">
        <v>0</v>
      </c>
      <c r="AP44" s="123">
        <v>0</v>
      </c>
      <c r="AQ44" s="123">
        <v>0</v>
      </c>
      <c r="AR44" s="123">
        <v>0</v>
      </c>
      <c r="AS44" s="123">
        <v>0</v>
      </c>
      <c r="AT44" s="123">
        <v>0</v>
      </c>
      <c r="AU44" s="123">
        <v>0</v>
      </c>
      <c r="AV44" s="123">
        <v>0</v>
      </c>
      <c r="AW44" s="123">
        <v>0</v>
      </c>
      <c r="AX44" s="123">
        <v>0</v>
      </c>
      <c r="AY44" s="123">
        <v>0</v>
      </c>
    </row>
    <row r="45" spans="1:51" x14ac:dyDescent="0.2">
      <c r="A45" s="142" t="s">
        <v>123</v>
      </c>
      <c r="B45" s="139">
        <v>1</v>
      </c>
      <c r="C45" s="126" t="s">
        <v>293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1:51" x14ac:dyDescent="0.2">
      <c r="A46" s="126"/>
      <c r="B46" s="135">
        <v>2</v>
      </c>
      <c r="C46" s="126" t="s">
        <v>293</v>
      </c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</row>
    <row r="47" spans="1:51" x14ac:dyDescent="0.2">
      <c r="A47" s="126"/>
      <c r="B47" s="135">
        <v>3</v>
      </c>
      <c r="C47" s="126" t="s">
        <v>293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1" x14ac:dyDescent="0.2">
      <c r="A48" s="126"/>
      <c r="B48" s="135">
        <v>4</v>
      </c>
      <c r="C48" s="126" t="s">
        <v>293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1" x14ac:dyDescent="0.2">
      <c r="A49" s="126"/>
      <c r="B49" s="135">
        <v>5</v>
      </c>
      <c r="C49" s="126" t="s">
        <v>293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1" x14ac:dyDescent="0.2">
      <c r="A50" s="126"/>
      <c r="B50" s="135">
        <v>6</v>
      </c>
      <c r="C50" s="126" t="s">
        <v>293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</row>
    <row r="51" spans="1:51" x14ac:dyDescent="0.2">
      <c r="A51" s="126"/>
      <c r="B51" s="135">
        <v>7</v>
      </c>
      <c r="C51" s="126" t="s">
        <v>293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</row>
    <row r="52" spans="1:51" x14ac:dyDescent="0.2">
      <c r="A52" s="126"/>
      <c r="B52" s="135">
        <v>8</v>
      </c>
      <c r="C52" s="126" t="s">
        <v>293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</row>
    <row r="53" spans="1:51" x14ac:dyDescent="0.2">
      <c r="A53" s="126"/>
      <c r="B53" s="135">
        <v>9</v>
      </c>
      <c r="C53" s="126" t="s">
        <v>293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</row>
    <row r="54" spans="1:51" x14ac:dyDescent="0.2">
      <c r="A54" s="126"/>
      <c r="B54" s="135">
        <v>10</v>
      </c>
      <c r="C54" s="126" t="s">
        <v>293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</row>
    <row r="55" spans="1:51" x14ac:dyDescent="0.2">
      <c r="A55" s="126"/>
      <c r="B55" s="135">
        <v>11</v>
      </c>
      <c r="C55" s="126" t="s">
        <v>293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</row>
    <row r="56" spans="1:51" x14ac:dyDescent="0.2">
      <c r="A56" s="126"/>
      <c r="B56" s="135">
        <v>12</v>
      </c>
      <c r="C56" s="126" t="s">
        <v>293</v>
      </c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</row>
    <row r="57" spans="1:51" x14ac:dyDescent="0.2">
      <c r="A57" s="126"/>
      <c r="B57" s="136">
        <v>13</v>
      </c>
      <c r="C57" s="126" t="s">
        <v>293</v>
      </c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</row>
    <row r="58" spans="1:51" x14ac:dyDescent="0.2">
      <c r="A58" s="126"/>
      <c r="B58" s="136">
        <v>14</v>
      </c>
      <c r="C58" s="126" t="s">
        <v>293</v>
      </c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27"/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</row>
    <row r="59" spans="1:51" x14ac:dyDescent="0.2">
      <c r="A59" s="126"/>
      <c r="B59" s="136">
        <v>15</v>
      </c>
      <c r="C59" s="126" t="s">
        <v>293</v>
      </c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</row>
    <row r="60" spans="1:51" x14ac:dyDescent="0.2">
      <c r="A60" s="126"/>
      <c r="B60" s="136">
        <v>16</v>
      </c>
      <c r="C60" s="126" t="s">
        <v>293</v>
      </c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</row>
    <row r="61" spans="1:51" x14ac:dyDescent="0.2">
      <c r="A61" s="126"/>
      <c r="B61" s="136">
        <v>17</v>
      </c>
      <c r="C61" s="126" t="s">
        <v>293</v>
      </c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</row>
    <row r="62" spans="1:51" x14ac:dyDescent="0.2">
      <c r="A62" s="126"/>
      <c r="B62" s="136">
        <v>18</v>
      </c>
      <c r="C62" s="126" t="s">
        <v>293</v>
      </c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27"/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</row>
    <row r="63" spans="1:51" x14ac:dyDescent="0.2">
      <c r="A63" s="126"/>
      <c r="B63" s="136">
        <v>19</v>
      </c>
      <c r="C63" s="126" t="s">
        <v>293</v>
      </c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</row>
    <row r="64" spans="1:51" x14ac:dyDescent="0.2">
      <c r="A64" s="126"/>
      <c r="B64" s="136">
        <v>20</v>
      </c>
      <c r="C64" s="126" t="s">
        <v>293</v>
      </c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</row>
    <row r="65" spans="1:51" x14ac:dyDescent="0.2">
      <c r="A65" s="126"/>
      <c r="B65" s="136">
        <v>21</v>
      </c>
      <c r="C65" s="126" t="s">
        <v>293</v>
      </c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27"/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</row>
    <row r="66" spans="1:51" x14ac:dyDescent="0.2">
      <c r="A66" s="126"/>
      <c r="B66" s="136">
        <v>22</v>
      </c>
      <c r="C66" s="126" t="s">
        <v>293</v>
      </c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</row>
    <row r="67" spans="1:51" x14ac:dyDescent="0.2">
      <c r="A67" s="126"/>
      <c r="B67" s="136">
        <v>23</v>
      </c>
      <c r="C67" s="126" t="s">
        <v>293</v>
      </c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</row>
    <row r="68" spans="1:51" x14ac:dyDescent="0.2">
      <c r="A68" s="126"/>
      <c r="B68" s="136">
        <v>24</v>
      </c>
      <c r="C68" s="126" t="s">
        <v>293</v>
      </c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</row>
    <row r="69" spans="1:51" x14ac:dyDescent="0.2">
      <c r="A69" s="126"/>
      <c r="B69" s="143">
        <v>25</v>
      </c>
      <c r="C69" s="126" t="s">
        <v>293</v>
      </c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27"/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</row>
    <row r="70" spans="1:51" x14ac:dyDescent="0.2">
      <c r="A70" s="126"/>
      <c r="B70" s="143">
        <v>26</v>
      </c>
      <c r="C70" s="126" t="s">
        <v>293</v>
      </c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</row>
    <row r="71" spans="1:51" x14ac:dyDescent="0.2">
      <c r="A71" s="126"/>
      <c r="B71" s="143">
        <v>27</v>
      </c>
      <c r="C71" s="126" t="s">
        <v>293</v>
      </c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27"/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</row>
    <row r="72" spans="1:51" x14ac:dyDescent="0.2">
      <c r="A72" s="126"/>
      <c r="B72" s="143">
        <v>28</v>
      </c>
      <c r="C72" s="126" t="s">
        <v>293</v>
      </c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</row>
    <row r="73" spans="1:51" x14ac:dyDescent="0.2">
      <c r="A73" s="126"/>
      <c r="B73" s="143">
        <v>29</v>
      </c>
      <c r="C73" s="126" t="s">
        <v>293</v>
      </c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</row>
    <row r="74" spans="1:51" x14ac:dyDescent="0.2">
      <c r="A74" s="126"/>
      <c r="B74" s="143">
        <v>30</v>
      </c>
      <c r="C74" s="126" t="s">
        <v>293</v>
      </c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</row>
    <row r="75" spans="1:51" x14ac:dyDescent="0.2">
      <c r="A75" s="126"/>
      <c r="B75" s="143">
        <v>31</v>
      </c>
      <c r="C75" s="126" t="s">
        <v>293</v>
      </c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</row>
    <row r="76" spans="1:51" x14ac:dyDescent="0.2">
      <c r="A76" s="126"/>
      <c r="B76" s="143">
        <v>32</v>
      </c>
      <c r="C76" s="126" t="s">
        <v>293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27"/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</row>
    <row r="77" spans="1:51" x14ac:dyDescent="0.2">
      <c r="A77" s="126"/>
      <c r="B77" s="143">
        <v>33</v>
      </c>
      <c r="C77" s="126" t="s">
        <v>293</v>
      </c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</row>
    <row r="78" spans="1:51" x14ac:dyDescent="0.2">
      <c r="A78" s="126"/>
      <c r="B78" s="143">
        <v>34</v>
      </c>
      <c r="C78" s="126" t="s">
        <v>293</v>
      </c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</row>
    <row r="79" spans="1:51" x14ac:dyDescent="0.2">
      <c r="A79" s="126"/>
      <c r="B79" s="143">
        <v>35</v>
      </c>
      <c r="C79" s="126" t="s">
        <v>293</v>
      </c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27"/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</row>
    <row r="80" spans="1:51" x14ac:dyDescent="0.2">
      <c r="A80" s="126"/>
      <c r="B80" s="143">
        <v>36</v>
      </c>
      <c r="C80" s="126" t="s">
        <v>293</v>
      </c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27"/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</row>
    <row r="81" spans="1:52" x14ac:dyDescent="0.2">
      <c r="A81" s="126"/>
      <c r="B81" s="146">
        <v>37</v>
      </c>
      <c r="C81" s="126" t="s">
        <v>293</v>
      </c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</row>
    <row r="82" spans="1:52" x14ac:dyDescent="0.2">
      <c r="A82" s="126"/>
      <c r="B82" s="146">
        <v>38</v>
      </c>
      <c r="C82" s="126" t="s">
        <v>293</v>
      </c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27"/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</row>
    <row r="83" spans="1:52" x14ac:dyDescent="0.2">
      <c r="A83" s="126"/>
      <c r="B83" s="146">
        <v>39</v>
      </c>
      <c r="C83" s="126" t="s">
        <v>293</v>
      </c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27"/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</row>
    <row r="84" spans="1:52" x14ac:dyDescent="0.2">
      <c r="A84" s="126"/>
      <c r="B84" s="146">
        <v>40</v>
      </c>
      <c r="C84" s="126" t="s">
        <v>293</v>
      </c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27"/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</row>
    <row r="85" spans="1:52" x14ac:dyDescent="0.2">
      <c r="A85" s="126"/>
      <c r="B85" s="146">
        <v>41</v>
      </c>
      <c r="C85" s="126" t="s">
        <v>293</v>
      </c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27"/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</row>
    <row r="86" spans="1:52" x14ac:dyDescent="0.2">
      <c r="A86" s="126"/>
      <c r="B86" s="146">
        <v>42</v>
      </c>
      <c r="C86" s="126" t="s">
        <v>293</v>
      </c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27"/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</row>
    <row r="87" spans="1:52" x14ac:dyDescent="0.2">
      <c r="A87" s="126"/>
      <c r="B87" s="146">
        <v>43</v>
      </c>
      <c r="C87" s="126" t="s">
        <v>293</v>
      </c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>
        <v>0</v>
      </c>
      <c r="AE87" s="127">
        <v>0</v>
      </c>
      <c r="AF87" s="127">
        <v>0</v>
      </c>
      <c r="AG87" s="127">
        <v>0</v>
      </c>
      <c r="AH87" s="127">
        <v>0</v>
      </c>
      <c r="AI87" s="127">
        <v>0</v>
      </c>
      <c r="AJ87" s="127">
        <v>0</v>
      </c>
      <c r="AK87" s="127"/>
      <c r="AL87" s="127"/>
      <c r="AM87" s="127"/>
      <c r="AN87" s="127">
        <v>0</v>
      </c>
      <c r="AO87" s="127">
        <v>0</v>
      </c>
      <c r="AP87" s="127">
        <v>0</v>
      </c>
      <c r="AQ87" s="127">
        <v>0</v>
      </c>
      <c r="AR87" s="127">
        <v>0</v>
      </c>
      <c r="AS87" s="127">
        <v>0</v>
      </c>
      <c r="AT87" s="127">
        <v>0</v>
      </c>
      <c r="AU87" s="127">
        <v>0</v>
      </c>
      <c r="AV87" s="127">
        <v>0</v>
      </c>
      <c r="AW87" s="127">
        <v>0</v>
      </c>
      <c r="AX87" s="127">
        <v>0</v>
      </c>
      <c r="AY87" s="127">
        <v>0</v>
      </c>
    </row>
    <row r="88" spans="1:52" x14ac:dyDescent="0.2">
      <c r="A88" s="126"/>
      <c r="B88" s="146">
        <v>44</v>
      </c>
      <c r="C88" s="126" t="s">
        <v>293</v>
      </c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>
        <v>0</v>
      </c>
      <c r="P88" s="127">
        <v>0</v>
      </c>
      <c r="Q88" s="127">
        <v>0</v>
      </c>
      <c r="R88" s="127">
        <v>0</v>
      </c>
      <c r="S88" s="127">
        <v>0</v>
      </c>
      <c r="T88" s="127">
        <v>0</v>
      </c>
      <c r="U88" s="127">
        <v>0</v>
      </c>
      <c r="V88" s="127">
        <v>0</v>
      </c>
      <c r="W88" s="127">
        <v>0</v>
      </c>
      <c r="X88" s="127">
        <v>0</v>
      </c>
      <c r="Y88" s="127">
        <v>0</v>
      </c>
      <c r="Z88" s="127">
        <v>0</v>
      </c>
      <c r="AA88" s="127">
        <v>0</v>
      </c>
      <c r="AB88" s="127">
        <v>0</v>
      </c>
      <c r="AC88" s="127">
        <v>0</v>
      </c>
      <c r="AD88" s="127">
        <v>0</v>
      </c>
      <c r="AE88" s="127">
        <v>0</v>
      </c>
      <c r="AF88" s="127">
        <v>0</v>
      </c>
      <c r="AG88" s="127">
        <v>0</v>
      </c>
      <c r="AH88" s="127">
        <v>0</v>
      </c>
      <c r="AI88" s="127">
        <v>0</v>
      </c>
      <c r="AJ88" s="127">
        <v>0</v>
      </c>
      <c r="AK88" s="127">
        <v>0</v>
      </c>
      <c r="AL88" s="127">
        <v>0</v>
      </c>
      <c r="AM88" s="127">
        <v>0</v>
      </c>
      <c r="AN88" s="127">
        <v>0</v>
      </c>
      <c r="AO88" s="127">
        <v>0</v>
      </c>
      <c r="AP88" s="127">
        <v>0</v>
      </c>
      <c r="AQ88" s="127">
        <v>0</v>
      </c>
      <c r="AR88" s="127">
        <v>0</v>
      </c>
      <c r="AS88" s="127">
        <v>0</v>
      </c>
      <c r="AT88" s="127">
        <v>0</v>
      </c>
      <c r="AU88" s="127">
        <v>0</v>
      </c>
      <c r="AV88" s="127">
        <v>0</v>
      </c>
      <c r="AW88" s="127">
        <v>0</v>
      </c>
      <c r="AX88" s="127">
        <v>0</v>
      </c>
      <c r="AY88" s="127">
        <v>0</v>
      </c>
    </row>
    <row r="89" spans="1:52" x14ac:dyDescent="0.2">
      <c r="A89" s="126"/>
      <c r="B89" s="146">
        <v>45</v>
      </c>
      <c r="C89" s="126" t="s">
        <v>293</v>
      </c>
      <c r="D89" s="127"/>
      <c r="E89" s="127"/>
      <c r="F89" s="127"/>
      <c r="G89" s="127"/>
      <c r="H89" s="127"/>
      <c r="I89" s="127"/>
      <c r="J89" s="127"/>
      <c r="K89" s="127"/>
      <c r="L89" s="127"/>
      <c r="M89" s="127">
        <v>0</v>
      </c>
      <c r="N89" s="127">
        <v>0</v>
      </c>
      <c r="O89" s="127">
        <v>0</v>
      </c>
      <c r="P89" s="127">
        <v>0</v>
      </c>
      <c r="Q89" s="127">
        <v>0</v>
      </c>
      <c r="R89" s="127">
        <v>0</v>
      </c>
      <c r="S89" s="127">
        <v>0</v>
      </c>
      <c r="T89" s="127">
        <v>0</v>
      </c>
      <c r="U89" s="127">
        <v>0</v>
      </c>
      <c r="V89" s="127">
        <v>0</v>
      </c>
      <c r="W89" s="127">
        <v>0</v>
      </c>
      <c r="X89" s="127">
        <v>0</v>
      </c>
      <c r="Y89" s="127">
        <v>0</v>
      </c>
      <c r="Z89" s="127">
        <v>0</v>
      </c>
      <c r="AA89" s="127">
        <v>0</v>
      </c>
      <c r="AB89" s="127">
        <v>0</v>
      </c>
      <c r="AC89" s="127">
        <v>0</v>
      </c>
      <c r="AD89" s="127">
        <v>0</v>
      </c>
      <c r="AE89" s="127">
        <v>0</v>
      </c>
      <c r="AF89" s="127">
        <v>0</v>
      </c>
      <c r="AG89" s="127">
        <v>0</v>
      </c>
      <c r="AH89" s="127">
        <v>0</v>
      </c>
      <c r="AI89" s="127">
        <v>0</v>
      </c>
      <c r="AJ89" s="127">
        <v>0</v>
      </c>
      <c r="AK89" s="127">
        <v>0</v>
      </c>
      <c r="AL89" s="127">
        <v>0</v>
      </c>
      <c r="AM89" s="127">
        <v>0</v>
      </c>
      <c r="AN89" s="127">
        <v>0</v>
      </c>
      <c r="AO89" s="127">
        <v>0</v>
      </c>
      <c r="AP89" s="127">
        <v>0</v>
      </c>
      <c r="AQ89" s="127">
        <v>0</v>
      </c>
      <c r="AR89" s="127">
        <v>0</v>
      </c>
      <c r="AS89" s="127">
        <v>0</v>
      </c>
      <c r="AT89" s="127">
        <v>0</v>
      </c>
      <c r="AU89" s="127">
        <v>0</v>
      </c>
      <c r="AV89" s="127">
        <v>0</v>
      </c>
      <c r="AW89" s="127">
        <v>0</v>
      </c>
      <c r="AX89" s="127">
        <v>0</v>
      </c>
      <c r="AY89" s="127">
        <v>0</v>
      </c>
    </row>
    <row r="90" spans="1:52" x14ac:dyDescent="0.2">
      <c r="A90" s="126"/>
      <c r="B90" s="146">
        <v>46</v>
      </c>
      <c r="C90" s="126" t="s">
        <v>293</v>
      </c>
      <c r="D90" s="127"/>
      <c r="E90" s="127"/>
      <c r="F90" s="127"/>
      <c r="G90" s="127"/>
      <c r="H90" s="127"/>
      <c r="I90" s="127"/>
      <c r="J90" s="127"/>
      <c r="K90" s="127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7">
        <v>0</v>
      </c>
      <c r="R90" s="127">
        <v>0</v>
      </c>
      <c r="S90" s="127">
        <v>0</v>
      </c>
      <c r="T90" s="127">
        <v>0</v>
      </c>
      <c r="U90" s="127">
        <v>0</v>
      </c>
      <c r="V90" s="127">
        <v>0</v>
      </c>
      <c r="W90" s="127">
        <v>0</v>
      </c>
      <c r="X90" s="127">
        <v>0</v>
      </c>
      <c r="Y90" s="127">
        <v>0</v>
      </c>
      <c r="Z90" s="127">
        <v>0</v>
      </c>
      <c r="AA90" s="127">
        <v>0</v>
      </c>
      <c r="AB90" s="127">
        <v>0</v>
      </c>
      <c r="AC90" s="127">
        <v>0</v>
      </c>
      <c r="AD90" s="127">
        <v>0</v>
      </c>
      <c r="AE90" s="127">
        <v>0</v>
      </c>
      <c r="AF90" s="127">
        <v>0</v>
      </c>
      <c r="AG90" s="127">
        <v>0</v>
      </c>
      <c r="AH90" s="127">
        <v>0</v>
      </c>
      <c r="AI90" s="127">
        <v>0</v>
      </c>
      <c r="AJ90" s="127">
        <v>0</v>
      </c>
      <c r="AK90" s="127">
        <v>0</v>
      </c>
      <c r="AL90" s="127">
        <v>0</v>
      </c>
      <c r="AM90" s="127">
        <v>0</v>
      </c>
      <c r="AN90" s="127">
        <v>0</v>
      </c>
      <c r="AO90" s="127">
        <v>0</v>
      </c>
      <c r="AP90" s="127">
        <v>0</v>
      </c>
      <c r="AQ90" s="127">
        <v>0</v>
      </c>
      <c r="AR90" s="127">
        <v>0</v>
      </c>
      <c r="AS90" s="127">
        <v>0</v>
      </c>
      <c r="AT90" s="127">
        <v>0</v>
      </c>
      <c r="AU90" s="127">
        <v>0</v>
      </c>
      <c r="AV90" s="127">
        <v>0</v>
      </c>
      <c r="AW90" s="127">
        <v>0</v>
      </c>
      <c r="AX90" s="127">
        <v>0</v>
      </c>
      <c r="AY90" s="127">
        <v>0</v>
      </c>
    </row>
    <row r="91" spans="1:52" x14ac:dyDescent="0.2">
      <c r="A91" s="126"/>
      <c r="B91" s="146">
        <v>47</v>
      </c>
      <c r="C91" s="126" t="s">
        <v>293</v>
      </c>
      <c r="D91" s="127"/>
      <c r="E91" s="127"/>
      <c r="F91" s="127"/>
      <c r="G91" s="127"/>
      <c r="H91" s="127"/>
      <c r="I91" s="127"/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  <c r="Q91" s="127">
        <v>0</v>
      </c>
      <c r="R91" s="127">
        <v>0</v>
      </c>
      <c r="S91" s="127">
        <v>0</v>
      </c>
      <c r="T91" s="127">
        <v>0</v>
      </c>
      <c r="U91" s="127">
        <v>0</v>
      </c>
      <c r="V91" s="127">
        <v>0</v>
      </c>
      <c r="W91" s="127">
        <v>0</v>
      </c>
      <c r="X91" s="127">
        <v>0</v>
      </c>
      <c r="Y91" s="127">
        <v>0</v>
      </c>
      <c r="Z91" s="127">
        <v>0</v>
      </c>
      <c r="AA91" s="127">
        <v>0</v>
      </c>
      <c r="AB91" s="127">
        <v>0</v>
      </c>
      <c r="AC91" s="127">
        <v>0</v>
      </c>
      <c r="AD91" s="127">
        <v>0</v>
      </c>
      <c r="AE91" s="127">
        <v>0</v>
      </c>
      <c r="AF91" s="127">
        <v>0</v>
      </c>
      <c r="AG91" s="127">
        <v>0</v>
      </c>
      <c r="AH91" s="127">
        <v>0</v>
      </c>
      <c r="AI91" s="127">
        <v>0</v>
      </c>
      <c r="AJ91" s="127">
        <v>0</v>
      </c>
      <c r="AK91" s="127">
        <v>0</v>
      </c>
      <c r="AL91" s="127">
        <v>0</v>
      </c>
      <c r="AM91" s="127">
        <v>0</v>
      </c>
      <c r="AN91" s="127">
        <v>0</v>
      </c>
      <c r="AO91" s="127">
        <v>0</v>
      </c>
      <c r="AP91" s="127">
        <v>0</v>
      </c>
      <c r="AQ91" s="127">
        <v>0</v>
      </c>
      <c r="AR91" s="127">
        <v>0</v>
      </c>
      <c r="AS91" s="127">
        <v>0</v>
      </c>
      <c r="AT91" s="127">
        <v>0</v>
      </c>
      <c r="AU91" s="127">
        <v>0</v>
      </c>
      <c r="AV91" s="127">
        <v>0</v>
      </c>
      <c r="AW91" s="127">
        <v>0</v>
      </c>
      <c r="AX91" s="127">
        <v>0</v>
      </c>
      <c r="AY91" s="127">
        <v>0</v>
      </c>
    </row>
    <row r="92" spans="1:52" x14ac:dyDescent="0.2">
      <c r="A92" s="144"/>
      <c r="B92" s="145">
        <v>48</v>
      </c>
      <c r="C92" s="144" t="s">
        <v>293</v>
      </c>
      <c r="D92" s="141">
        <v>0</v>
      </c>
      <c r="E92" s="141">
        <v>0</v>
      </c>
      <c r="F92" s="141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141">
        <v>0</v>
      </c>
      <c r="M92" s="141">
        <v>0</v>
      </c>
      <c r="N92" s="141">
        <v>0</v>
      </c>
      <c r="O92" s="141">
        <v>0</v>
      </c>
      <c r="P92" s="141">
        <v>0</v>
      </c>
      <c r="Q92" s="141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141">
        <v>0</v>
      </c>
      <c r="X92" s="141">
        <v>0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141">
        <v>0</v>
      </c>
      <c r="AI92" s="141">
        <v>0</v>
      </c>
      <c r="AJ92" s="141">
        <v>0</v>
      </c>
      <c r="AK92" s="141">
        <v>0</v>
      </c>
      <c r="AL92" s="141">
        <v>0</v>
      </c>
      <c r="AM92" s="141">
        <v>0</v>
      </c>
      <c r="AN92" s="141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141">
        <v>0</v>
      </c>
      <c r="AU92" s="141">
        <v>0</v>
      </c>
      <c r="AV92" s="141">
        <v>0</v>
      </c>
      <c r="AW92" s="141">
        <v>0</v>
      </c>
      <c r="AX92" s="141">
        <v>0</v>
      </c>
      <c r="AY92" s="141">
        <v>0</v>
      </c>
      <c r="AZ92" s="124">
        <f>SUM(D21:AY92)</f>
        <v>367333.2203552209</v>
      </c>
    </row>
    <row r="94" spans="1:52" x14ac:dyDescent="0.2">
      <c r="A94" s="1" t="s">
        <v>295</v>
      </c>
      <c r="B94" s="123"/>
      <c r="C94" s="123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</row>
    <row r="95" spans="1:52" x14ac:dyDescent="0.2">
      <c r="A95" s="142" t="s">
        <v>125</v>
      </c>
      <c r="B95" s="139">
        <v>1</v>
      </c>
      <c r="C95" s="140">
        <v>3124.846563508529</v>
      </c>
      <c r="D95" s="127">
        <v>5367.2489403713216</v>
      </c>
      <c r="E95" s="127">
        <v>5367.2489403713216</v>
      </c>
      <c r="F95" s="127">
        <v>4842.6904986497866</v>
      </c>
      <c r="G95" s="127">
        <v>5367.2489403713216</v>
      </c>
      <c r="H95" s="127">
        <v>5092.8039403713219</v>
      </c>
      <c r="I95" s="127">
        <v>5092.8039403713219</v>
      </c>
      <c r="J95" s="127">
        <v>5092.8039403713219</v>
      </c>
      <c r="K95" s="127">
        <v>5092.8039403713219</v>
      </c>
      <c r="L95" s="127">
        <v>5092.8039403713219</v>
      </c>
      <c r="M95" s="127">
        <v>2324.6499606855677</v>
      </c>
      <c r="N95" s="127">
        <v>630.63087663939223</v>
      </c>
      <c r="O95" s="127">
        <v>0</v>
      </c>
      <c r="P95" s="127">
        <v>0</v>
      </c>
      <c r="Q95" s="127">
        <v>0</v>
      </c>
      <c r="R95" s="127">
        <v>0</v>
      </c>
      <c r="S95" s="127">
        <v>0</v>
      </c>
      <c r="T95" s="127">
        <v>0</v>
      </c>
      <c r="U95" s="127">
        <v>0</v>
      </c>
      <c r="V95" s="127">
        <v>0</v>
      </c>
      <c r="W95" s="127">
        <v>0</v>
      </c>
      <c r="X95" s="127">
        <v>0</v>
      </c>
      <c r="Y95" s="127">
        <v>0</v>
      </c>
      <c r="Z95" s="127">
        <v>0</v>
      </c>
      <c r="AA95" s="127">
        <v>0</v>
      </c>
      <c r="AB95" s="127">
        <v>0</v>
      </c>
      <c r="AC95" s="127">
        <v>0</v>
      </c>
      <c r="AD95" s="127">
        <v>0</v>
      </c>
      <c r="AE95" s="127">
        <v>0</v>
      </c>
      <c r="AF95" s="127">
        <v>0</v>
      </c>
      <c r="AG95" s="127">
        <v>0</v>
      </c>
      <c r="AH95" s="127">
        <v>0</v>
      </c>
      <c r="AI95" s="127">
        <v>0</v>
      </c>
      <c r="AJ95" s="127">
        <v>0</v>
      </c>
      <c r="AK95" s="127">
        <v>0</v>
      </c>
      <c r="AL95" s="127">
        <v>0</v>
      </c>
      <c r="AM95" s="127">
        <v>0</v>
      </c>
      <c r="AN95" s="127">
        <v>0</v>
      </c>
      <c r="AO95" s="127">
        <v>0</v>
      </c>
      <c r="AP95" s="127">
        <v>0</v>
      </c>
      <c r="AQ95" s="127">
        <v>0</v>
      </c>
      <c r="AR95" s="127">
        <v>0</v>
      </c>
      <c r="AS95" s="127">
        <v>0</v>
      </c>
      <c r="AT95" s="127">
        <v>0</v>
      </c>
      <c r="AU95" s="127">
        <v>0</v>
      </c>
      <c r="AV95" s="127">
        <v>0</v>
      </c>
      <c r="AW95" s="127">
        <v>0</v>
      </c>
      <c r="AX95" s="127">
        <v>0</v>
      </c>
      <c r="AY95" s="127">
        <v>0</v>
      </c>
    </row>
    <row r="96" spans="1:52" x14ac:dyDescent="0.2">
      <c r="A96" s="126"/>
      <c r="B96" s="136">
        <v>2</v>
      </c>
      <c r="C96" s="127">
        <v>3124.846563508529</v>
      </c>
      <c r="D96" s="127">
        <v>3124.846563508529</v>
      </c>
      <c r="E96" s="127">
        <v>5367.2489403713216</v>
      </c>
      <c r="F96" s="127">
        <v>5367.2489403713216</v>
      </c>
      <c r="G96" s="127">
        <v>4842.6904986497866</v>
      </c>
      <c r="H96" s="127">
        <v>5367.2489403713216</v>
      </c>
      <c r="I96" s="127">
        <v>5092.8039403713219</v>
      </c>
      <c r="J96" s="127">
        <v>5092.8039403713219</v>
      </c>
      <c r="K96" s="127">
        <v>3860.0640187680365</v>
      </c>
      <c r="L96" s="127">
        <v>22.135392940893325</v>
      </c>
      <c r="M96" s="127">
        <v>0</v>
      </c>
      <c r="N96" s="127">
        <v>0</v>
      </c>
      <c r="O96" s="127">
        <v>0</v>
      </c>
      <c r="P96" s="127">
        <v>0</v>
      </c>
      <c r="Q96" s="127">
        <v>0</v>
      </c>
      <c r="R96" s="127">
        <v>0</v>
      </c>
      <c r="S96" s="127">
        <v>0</v>
      </c>
      <c r="T96" s="127">
        <v>0</v>
      </c>
      <c r="U96" s="127">
        <v>0</v>
      </c>
      <c r="V96" s="127">
        <v>0</v>
      </c>
      <c r="W96" s="127">
        <v>0</v>
      </c>
      <c r="X96" s="127">
        <v>0</v>
      </c>
      <c r="Y96" s="127">
        <v>0</v>
      </c>
      <c r="Z96" s="127">
        <v>0</v>
      </c>
      <c r="AA96" s="127">
        <v>0</v>
      </c>
      <c r="AB96" s="127">
        <v>0</v>
      </c>
      <c r="AC96" s="127">
        <v>0</v>
      </c>
      <c r="AD96" s="127">
        <v>0</v>
      </c>
      <c r="AE96" s="127">
        <v>0</v>
      </c>
      <c r="AF96" s="127">
        <v>0</v>
      </c>
      <c r="AG96" s="127">
        <v>0</v>
      </c>
      <c r="AH96" s="127">
        <v>0</v>
      </c>
      <c r="AI96" s="127">
        <v>0</v>
      </c>
      <c r="AJ96" s="127">
        <v>0</v>
      </c>
      <c r="AK96" s="127">
        <v>0</v>
      </c>
      <c r="AL96" s="127">
        <v>0</v>
      </c>
      <c r="AM96" s="127">
        <v>0</v>
      </c>
      <c r="AN96" s="127">
        <v>0</v>
      </c>
      <c r="AO96" s="127">
        <v>0</v>
      </c>
      <c r="AP96" s="127">
        <v>0</v>
      </c>
      <c r="AQ96" s="127">
        <v>0</v>
      </c>
      <c r="AR96" s="127">
        <v>0</v>
      </c>
      <c r="AS96" s="127">
        <v>0</v>
      </c>
      <c r="AT96" s="127">
        <v>0</v>
      </c>
      <c r="AU96" s="127">
        <v>0</v>
      </c>
      <c r="AV96" s="127">
        <v>0</v>
      </c>
      <c r="AW96" s="127">
        <v>0</v>
      </c>
      <c r="AX96" s="127">
        <v>0</v>
      </c>
      <c r="AY96" s="127">
        <v>0</v>
      </c>
    </row>
    <row r="97" spans="1:52" x14ac:dyDescent="0.2">
      <c r="A97" s="126"/>
      <c r="B97" s="143">
        <v>3</v>
      </c>
      <c r="C97" s="127">
        <v>3124.846563508529</v>
      </c>
      <c r="D97" s="127">
        <v>3124.846563508529</v>
      </c>
      <c r="E97" s="127">
        <v>3124.846563508529</v>
      </c>
      <c r="F97" s="127">
        <v>5367.2489403713216</v>
      </c>
      <c r="G97" s="127">
        <v>5367.2489403713216</v>
      </c>
      <c r="H97" s="127">
        <v>4842.6904986497866</v>
      </c>
      <c r="I97" s="127">
        <v>5367.2489403713216</v>
      </c>
      <c r="J97" s="127">
        <v>2355.1887042238577</v>
      </c>
      <c r="K97" s="127">
        <v>0</v>
      </c>
      <c r="L97" s="127">
        <v>0</v>
      </c>
      <c r="M97" s="127">
        <v>0</v>
      </c>
      <c r="N97" s="127">
        <v>0</v>
      </c>
      <c r="O97" s="127">
        <v>0</v>
      </c>
      <c r="P97" s="127">
        <v>0</v>
      </c>
      <c r="Q97" s="127">
        <v>0</v>
      </c>
      <c r="R97" s="127">
        <v>0</v>
      </c>
      <c r="S97" s="127">
        <v>0</v>
      </c>
      <c r="T97" s="127">
        <v>0</v>
      </c>
      <c r="U97" s="127">
        <v>0</v>
      </c>
      <c r="V97" s="127">
        <v>0</v>
      </c>
      <c r="W97" s="127">
        <v>0</v>
      </c>
      <c r="X97" s="127">
        <v>0</v>
      </c>
      <c r="Y97" s="127">
        <v>0</v>
      </c>
      <c r="Z97" s="127">
        <v>0</v>
      </c>
      <c r="AA97" s="127">
        <v>0</v>
      </c>
      <c r="AB97" s="127">
        <v>0</v>
      </c>
      <c r="AC97" s="127">
        <v>0</v>
      </c>
      <c r="AD97" s="127">
        <v>0</v>
      </c>
      <c r="AE97" s="127">
        <v>0</v>
      </c>
      <c r="AF97" s="127">
        <v>0</v>
      </c>
      <c r="AG97" s="127">
        <v>0</v>
      </c>
      <c r="AH97" s="127">
        <v>0</v>
      </c>
      <c r="AI97" s="127">
        <v>0</v>
      </c>
      <c r="AJ97" s="127">
        <v>0</v>
      </c>
      <c r="AK97" s="127">
        <v>0</v>
      </c>
      <c r="AL97" s="127">
        <v>0</v>
      </c>
      <c r="AM97" s="127">
        <v>0</v>
      </c>
      <c r="AN97" s="127">
        <v>0</v>
      </c>
      <c r="AO97" s="127">
        <v>0</v>
      </c>
      <c r="AP97" s="127">
        <v>0</v>
      </c>
      <c r="AQ97" s="127">
        <v>0</v>
      </c>
      <c r="AR97" s="127">
        <v>0</v>
      </c>
      <c r="AS97" s="127">
        <v>0</v>
      </c>
      <c r="AT97" s="127">
        <v>0</v>
      </c>
      <c r="AU97" s="127">
        <v>0</v>
      </c>
      <c r="AV97" s="127">
        <v>0</v>
      </c>
      <c r="AW97" s="127">
        <v>0</v>
      </c>
      <c r="AX97" s="127">
        <v>0</v>
      </c>
      <c r="AY97" s="127">
        <v>0</v>
      </c>
    </row>
    <row r="98" spans="1:52" x14ac:dyDescent="0.2">
      <c r="A98" s="126"/>
      <c r="B98" s="146">
        <v>4</v>
      </c>
      <c r="C98" s="123">
        <v>3124.846563508529</v>
      </c>
      <c r="D98" s="127">
        <v>3124.846563508529</v>
      </c>
      <c r="E98" s="127">
        <v>3124.846563508529</v>
      </c>
      <c r="F98" s="127">
        <v>3124.846563508529</v>
      </c>
      <c r="G98" s="127">
        <v>5367.2489403713216</v>
      </c>
      <c r="H98" s="127">
        <v>4704.6964404190612</v>
      </c>
      <c r="I98" s="127">
        <v>953.77303944432424</v>
      </c>
      <c r="J98" s="127">
        <v>0</v>
      </c>
      <c r="K98" s="127">
        <v>0</v>
      </c>
      <c r="L98" s="127">
        <v>0</v>
      </c>
      <c r="M98" s="127">
        <v>0</v>
      </c>
      <c r="N98" s="127">
        <v>0</v>
      </c>
      <c r="O98" s="127">
        <v>0</v>
      </c>
      <c r="P98" s="127">
        <v>0</v>
      </c>
      <c r="Q98" s="127">
        <v>0</v>
      </c>
      <c r="R98" s="127">
        <v>0</v>
      </c>
      <c r="S98" s="127">
        <v>0</v>
      </c>
      <c r="T98" s="127">
        <v>0</v>
      </c>
      <c r="U98" s="127">
        <v>0</v>
      </c>
      <c r="V98" s="127">
        <v>0</v>
      </c>
      <c r="W98" s="127">
        <v>0</v>
      </c>
      <c r="X98" s="127">
        <v>0</v>
      </c>
      <c r="Y98" s="127">
        <v>0</v>
      </c>
      <c r="Z98" s="127">
        <v>0</v>
      </c>
      <c r="AA98" s="127">
        <v>0</v>
      </c>
      <c r="AB98" s="127">
        <v>0</v>
      </c>
      <c r="AC98" s="127">
        <v>0</v>
      </c>
      <c r="AD98" s="127">
        <v>0</v>
      </c>
      <c r="AE98" s="127">
        <v>0</v>
      </c>
      <c r="AF98" s="127">
        <v>0</v>
      </c>
      <c r="AG98" s="127">
        <v>0</v>
      </c>
      <c r="AH98" s="127">
        <v>0</v>
      </c>
      <c r="AI98" s="127">
        <v>0</v>
      </c>
      <c r="AJ98" s="127">
        <v>0</v>
      </c>
      <c r="AK98" s="127">
        <v>0</v>
      </c>
      <c r="AL98" s="127">
        <v>0</v>
      </c>
      <c r="AM98" s="127">
        <v>0</v>
      </c>
      <c r="AN98" s="127">
        <v>0</v>
      </c>
      <c r="AO98" s="127">
        <v>0</v>
      </c>
      <c r="AP98" s="127">
        <v>0</v>
      </c>
      <c r="AQ98" s="127">
        <v>0</v>
      </c>
      <c r="AR98" s="127">
        <v>0</v>
      </c>
      <c r="AS98" s="127">
        <v>0</v>
      </c>
      <c r="AT98" s="127">
        <v>0</v>
      </c>
      <c r="AU98" s="127">
        <v>0</v>
      </c>
      <c r="AV98" s="127">
        <v>0</v>
      </c>
      <c r="AW98" s="127">
        <v>0</v>
      </c>
      <c r="AX98" s="127">
        <v>0</v>
      </c>
      <c r="AY98" s="127">
        <v>0</v>
      </c>
    </row>
    <row r="99" spans="1:52" x14ac:dyDescent="0.2">
      <c r="A99" s="144"/>
      <c r="B99" s="148" t="s">
        <v>296</v>
      </c>
      <c r="C99" s="141">
        <v>2912.846563508529</v>
      </c>
      <c r="D99" s="141">
        <v>2847.846563508529</v>
      </c>
      <c r="E99" s="141">
        <v>2735.846563508529</v>
      </c>
      <c r="F99" s="141">
        <v>2813.846563508529</v>
      </c>
      <c r="G99" s="141">
        <v>2744.846563508529</v>
      </c>
      <c r="H99" s="141">
        <v>4991.2489403713216</v>
      </c>
      <c r="I99" s="141">
        <v>4000.6964404190612</v>
      </c>
      <c r="J99" s="141">
        <v>148.77303944432424</v>
      </c>
      <c r="K99" s="141">
        <v>0</v>
      </c>
      <c r="L99" s="141">
        <v>0</v>
      </c>
      <c r="M99" s="141">
        <v>0</v>
      </c>
      <c r="N99" s="141">
        <v>0</v>
      </c>
      <c r="O99" s="141">
        <v>0</v>
      </c>
      <c r="P99" s="141">
        <v>0</v>
      </c>
      <c r="Q99" s="141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141">
        <v>0</v>
      </c>
      <c r="X99" s="141">
        <v>0</v>
      </c>
      <c r="Y99" s="141">
        <v>0</v>
      </c>
      <c r="Z99" s="141">
        <v>0</v>
      </c>
      <c r="AA99" s="141">
        <v>0</v>
      </c>
      <c r="AB99" s="141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>
        <v>0</v>
      </c>
      <c r="AX99" s="141">
        <v>0</v>
      </c>
      <c r="AY99" s="141">
        <v>0</v>
      </c>
      <c r="AZ99" s="124">
        <f>SUM($D99:$AY99)</f>
        <v>20283.104674268823</v>
      </c>
    </row>
    <row r="100" spans="1:52" x14ac:dyDescent="0.2">
      <c r="A100" s="147" t="s">
        <v>133</v>
      </c>
      <c r="B100" s="135">
        <v>1</v>
      </c>
      <c r="C100" s="123">
        <v>243.33124677770775</v>
      </c>
      <c r="D100" s="123">
        <v>243.33124677770775</v>
      </c>
      <c r="E100" s="123">
        <v>3008.2738551485127</v>
      </c>
      <c r="F100" s="123">
        <v>693.97460901785291</v>
      </c>
      <c r="G100" s="123">
        <v>1563.974609017853</v>
      </c>
      <c r="H100" s="123">
        <v>1606.974609017853</v>
      </c>
      <c r="I100" s="123">
        <v>1554.0699592532048</v>
      </c>
      <c r="J100" s="123">
        <v>1543.1886258271413</v>
      </c>
      <c r="K100" s="123">
        <v>1500.1886258271413</v>
      </c>
      <c r="L100" s="123">
        <v>1543.1886258271413</v>
      </c>
      <c r="M100" s="123">
        <v>1543.1886258271413</v>
      </c>
      <c r="N100" s="123">
        <v>630.18862582714132</v>
      </c>
      <c r="O100" s="123">
        <v>1500.1886258271413</v>
      </c>
      <c r="P100" s="123">
        <v>630.18862582714132</v>
      </c>
      <c r="Q100" s="123">
        <v>1543.1886258271413</v>
      </c>
      <c r="R100" s="123">
        <v>1606.974609017853</v>
      </c>
      <c r="S100" s="123">
        <v>1584.0699592532048</v>
      </c>
      <c r="T100" s="123">
        <v>1584.0699592532048</v>
      </c>
      <c r="U100" s="123">
        <v>1606.974609017853</v>
      </c>
      <c r="V100" s="123">
        <v>630.18862582714132</v>
      </c>
      <c r="W100" s="123">
        <v>1543.1886258271413</v>
      </c>
      <c r="X100" s="123">
        <v>1543.1886258271413</v>
      </c>
      <c r="Y100" s="123">
        <v>1543.1886258271413</v>
      </c>
      <c r="Z100" s="123">
        <v>1543.1886258271413</v>
      </c>
      <c r="AA100" s="123">
        <v>1222.7208545380179</v>
      </c>
      <c r="AB100" s="123">
        <v>1863.6563971162648</v>
      </c>
      <c r="AC100" s="123">
        <v>1543.1886258271413</v>
      </c>
      <c r="AD100" s="123">
        <v>1265.9046497646482</v>
      </c>
      <c r="AE100" s="123">
        <v>1895.1399185064097</v>
      </c>
      <c r="AF100" s="123">
        <v>693.97460901785291</v>
      </c>
      <c r="AG100" s="123">
        <v>1563.974609017853</v>
      </c>
      <c r="AH100" s="123">
        <v>630.18862582714132</v>
      </c>
      <c r="AI100" s="123">
        <v>1543.1886258271413</v>
      </c>
      <c r="AJ100" s="123">
        <v>630.18862582714132</v>
      </c>
      <c r="AK100" s="123">
        <v>630.18862582714132</v>
      </c>
      <c r="AL100" s="123">
        <v>1543.1886258271413</v>
      </c>
      <c r="AM100" s="123">
        <v>1543.1886258271413</v>
      </c>
      <c r="AN100" s="123">
        <v>1543.1886258271413</v>
      </c>
      <c r="AO100" s="123">
        <v>630.18862582714132</v>
      </c>
      <c r="AP100" s="123">
        <v>1563.974609017853</v>
      </c>
      <c r="AQ100" s="123">
        <v>693.97460901785291</v>
      </c>
      <c r="AR100" s="123">
        <v>1606.974609017853</v>
      </c>
      <c r="AS100" s="123">
        <v>1606.974609017853</v>
      </c>
      <c r="AT100" s="123">
        <v>1543.1886258271413</v>
      </c>
      <c r="AU100" s="123">
        <v>1543.1886258271413</v>
      </c>
      <c r="AV100" s="123">
        <v>1543.1886258271413</v>
      </c>
      <c r="AW100" s="123">
        <v>1543.1886258271413</v>
      </c>
      <c r="AX100" s="123">
        <v>1543.1886258271413</v>
      </c>
      <c r="AY100" s="123">
        <v>320.4677712891235</v>
      </c>
    </row>
    <row r="101" spans="1:52" x14ac:dyDescent="0.2">
      <c r="A101" s="126"/>
      <c r="B101" s="135">
        <v>2</v>
      </c>
      <c r="C101" s="123">
        <v>0</v>
      </c>
      <c r="D101" s="123">
        <v>0</v>
      </c>
      <c r="E101" s="123">
        <v>0</v>
      </c>
      <c r="F101" s="123">
        <v>2009.2738551485127</v>
      </c>
      <c r="G101" s="123">
        <v>693.97460901785291</v>
      </c>
      <c r="H101" s="123">
        <v>1606.974609017853</v>
      </c>
      <c r="I101" s="123">
        <v>1606.974609017853</v>
      </c>
      <c r="J101" s="123">
        <v>1606.974609017853</v>
      </c>
      <c r="K101" s="123">
        <v>1543.1886258271413</v>
      </c>
      <c r="L101" s="123">
        <v>1500.1886258271413</v>
      </c>
      <c r="M101" s="123">
        <v>1543.1886258271413</v>
      </c>
      <c r="N101" s="123">
        <v>1543.1886258271413</v>
      </c>
      <c r="O101" s="123">
        <v>1543.1886258271413</v>
      </c>
      <c r="P101" s="123">
        <v>1543.1886258271413</v>
      </c>
      <c r="Q101" s="123">
        <v>1543.1886258271413</v>
      </c>
      <c r="R101" s="123">
        <v>1543.1886258271413</v>
      </c>
      <c r="S101" s="123">
        <v>1606.974609017853</v>
      </c>
      <c r="T101" s="123">
        <v>1606.974609017853</v>
      </c>
      <c r="U101" s="123">
        <v>1606.974609017853</v>
      </c>
      <c r="V101" s="123">
        <v>1606.974609017853</v>
      </c>
      <c r="W101" s="123">
        <v>630.18862582714132</v>
      </c>
      <c r="X101" s="123">
        <v>1543.1886258271413</v>
      </c>
      <c r="Y101" s="123">
        <v>1543.1886258271413</v>
      </c>
      <c r="Z101" s="123">
        <v>1543.1886258271413</v>
      </c>
      <c r="AA101" s="123">
        <v>1543.1886258271413</v>
      </c>
      <c r="AB101" s="123">
        <v>1222.7208545380179</v>
      </c>
      <c r="AC101" s="123">
        <v>1863.6563971162648</v>
      </c>
      <c r="AD101" s="123">
        <v>1543.1886258271413</v>
      </c>
      <c r="AE101" s="123">
        <v>1265.9046497646482</v>
      </c>
      <c r="AF101" s="123">
        <v>1948.0445682710579</v>
      </c>
      <c r="AG101" s="123">
        <v>1606.9746090178528</v>
      </c>
      <c r="AH101" s="123">
        <v>1606.974609017853</v>
      </c>
      <c r="AI101" s="123">
        <v>1543.1886258271413</v>
      </c>
      <c r="AJ101" s="123">
        <v>1543.1886258271413</v>
      </c>
      <c r="AK101" s="123">
        <v>630.18862582714132</v>
      </c>
      <c r="AL101" s="123">
        <v>630.18862582714132</v>
      </c>
      <c r="AM101" s="123">
        <v>1543.1886258271413</v>
      </c>
      <c r="AN101" s="123">
        <v>1543.1886258271413</v>
      </c>
      <c r="AO101" s="123">
        <v>1543.1886258271413</v>
      </c>
      <c r="AP101" s="123">
        <v>630.18862582714132</v>
      </c>
      <c r="AQ101" s="123">
        <v>1606.974609017853</v>
      </c>
      <c r="AR101" s="123">
        <v>693.97460901785291</v>
      </c>
      <c r="AS101" s="123">
        <v>1606.974609017853</v>
      </c>
      <c r="AT101" s="123">
        <v>1606.974609017853</v>
      </c>
      <c r="AU101" s="123">
        <v>1476.8685110611784</v>
      </c>
      <c r="AV101" s="123">
        <v>1543.1886258271413</v>
      </c>
      <c r="AW101" s="123">
        <v>1543.1886258271413</v>
      </c>
      <c r="AX101" s="123">
        <v>1543.1886258271413</v>
      </c>
      <c r="AY101" s="123">
        <v>1543.1886258271413</v>
      </c>
    </row>
    <row r="102" spans="1:52" x14ac:dyDescent="0.2">
      <c r="A102" s="126"/>
      <c r="B102" s="136">
        <v>3</v>
      </c>
      <c r="C102" s="123">
        <v>0</v>
      </c>
      <c r="D102" s="123">
        <v>0</v>
      </c>
      <c r="E102" s="123">
        <v>0</v>
      </c>
      <c r="F102" s="123">
        <v>0</v>
      </c>
      <c r="G102" s="123">
        <v>721.27385514851267</v>
      </c>
      <c r="H102" s="123">
        <v>1206.2484641663655</v>
      </c>
      <c r="I102" s="123">
        <v>1551.2230731842185</v>
      </c>
      <c r="J102" s="123">
        <v>1606.974609017853</v>
      </c>
      <c r="K102" s="123">
        <v>1606.974609017853</v>
      </c>
      <c r="L102" s="123">
        <v>1543.1886258271413</v>
      </c>
      <c r="M102" s="123">
        <v>1543.1886258271413</v>
      </c>
      <c r="N102" s="123">
        <v>1543.1886258271413</v>
      </c>
      <c r="O102" s="123">
        <v>1543.1886258271413</v>
      </c>
      <c r="P102" s="123">
        <v>1543.1886258271413</v>
      </c>
      <c r="Q102" s="123">
        <v>1543.1886258271413</v>
      </c>
      <c r="R102" s="123">
        <v>1543.1886258271413</v>
      </c>
      <c r="S102" s="123">
        <v>1543.1886258271413</v>
      </c>
      <c r="T102" s="123">
        <v>1606.974609017853</v>
      </c>
      <c r="U102" s="123">
        <v>1606.974609017853</v>
      </c>
      <c r="V102" s="123">
        <v>1606.974609017853</v>
      </c>
      <c r="W102" s="123">
        <v>1606.974609017853</v>
      </c>
      <c r="X102" s="123">
        <v>630.18862582714132</v>
      </c>
      <c r="Y102" s="123">
        <v>1543.1886258271413</v>
      </c>
      <c r="Z102" s="123">
        <v>1543.1886258271413</v>
      </c>
      <c r="AA102" s="123">
        <v>1543.1886258271413</v>
      </c>
      <c r="AB102" s="123">
        <v>1543.1886258271413</v>
      </c>
      <c r="AC102" s="123">
        <v>1222.7208545380179</v>
      </c>
      <c r="AD102" s="123">
        <v>1709.1041358152429</v>
      </c>
      <c r="AE102" s="123">
        <v>1141.8302854897643</v>
      </c>
      <c r="AF102" s="123">
        <v>1106.6232600251114</v>
      </c>
      <c r="AG102" s="123">
        <v>1221.6457039389879</v>
      </c>
      <c r="AH102" s="123">
        <v>1433.8188582830437</v>
      </c>
      <c r="AI102" s="123">
        <v>1176.5390343505851</v>
      </c>
      <c r="AJ102" s="123">
        <v>1471.0602752960124</v>
      </c>
      <c r="AK102" s="123">
        <v>1543.1886258271413</v>
      </c>
      <c r="AL102" s="123">
        <v>1543.1886258271413</v>
      </c>
      <c r="AM102" s="123">
        <v>630.18862582714132</v>
      </c>
      <c r="AN102" s="123">
        <v>1040.267832789827</v>
      </c>
      <c r="AO102" s="123">
        <v>1293.9264798996778</v>
      </c>
      <c r="AP102" s="123">
        <v>1043.9064123478236</v>
      </c>
      <c r="AQ102" s="123">
        <v>370.94038563446884</v>
      </c>
      <c r="AR102" s="123">
        <v>510.85723067134586</v>
      </c>
      <c r="AS102" s="123">
        <v>160.5348004736237</v>
      </c>
      <c r="AT102" s="123">
        <v>30.705276216184131</v>
      </c>
      <c r="AU102" s="123">
        <v>0</v>
      </c>
      <c r="AV102" s="123">
        <v>9.8201458395513441</v>
      </c>
      <c r="AW102" s="123">
        <v>101.7826268191194</v>
      </c>
      <c r="AX102" s="123">
        <v>164.16644345458644</v>
      </c>
      <c r="AY102" s="123">
        <v>425.7290148086085</v>
      </c>
    </row>
    <row r="103" spans="1:52" x14ac:dyDescent="0.2">
      <c r="A103" s="126"/>
      <c r="B103" s="136">
        <v>4</v>
      </c>
      <c r="C103" s="123">
        <v>0</v>
      </c>
      <c r="D103" s="123">
        <v>0</v>
      </c>
      <c r="E103" s="123">
        <v>0</v>
      </c>
      <c r="F103" s="123">
        <v>0</v>
      </c>
      <c r="G103" s="123">
        <v>0</v>
      </c>
      <c r="H103" s="123">
        <v>0</v>
      </c>
      <c r="I103" s="123">
        <v>0</v>
      </c>
      <c r="J103" s="123">
        <v>604.22307318421849</v>
      </c>
      <c r="K103" s="123">
        <v>1151.1976822020715</v>
      </c>
      <c r="L103" s="123">
        <v>1606.974609017853</v>
      </c>
      <c r="M103" s="123">
        <v>1543.1886258271413</v>
      </c>
      <c r="N103" s="123">
        <v>1543.1886258271413</v>
      </c>
      <c r="O103" s="123">
        <v>399.2140960172585</v>
      </c>
      <c r="P103" s="123">
        <v>302.06515811837414</v>
      </c>
      <c r="Q103" s="123">
        <v>177.66746397717452</v>
      </c>
      <c r="R103" s="123">
        <v>157.9926213908343</v>
      </c>
      <c r="S103" s="123">
        <v>158.58967759140864</v>
      </c>
      <c r="T103" s="123">
        <v>385.46779045069809</v>
      </c>
      <c r="U103" s="123">
        <v>167.24822025579846</v>
      </c>
      <c r="V103" s="123">
        <v>296.29368819776471</v>
      </c>
      <c r="W103" s="123">
        <v>235.74842737467046</v>
      </c>
      <c r="X103" s="123">
        <v>533.32510674981495</v>
      </c>
      <c r="Y103" s="123">
        <v>314.51891818352578</v>
      </c>
      <c r="Z103" s="123">
        <v>575.13040689142724</v>
      </c>
      <c r="AA103" s="123">
        <v>743.48779093633084</v>
      </c>
      <c r="AB103" s="123">
        <v>523.61166929412593</v>
      </c>
      <c r="AC103" s="123">
        <v>176.68010721585074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82.648246864996423</v>
      </c>
      <c r="AL103" s="123">
        <v>7.190385529240416</v>
      </c>
      <c r="AM103" s="123">
        <v>61.960963966401948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</row>
    <row r="104" spans="1:52" x14ac:dyDescent="0.2">
      <c r="A104" s="126"/>
      <c r="B104" s="143">
        <v>5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119.19768220207152</v>
      </c>
      <c r="M104" s="123">
        <v>325.5330380194365</v>
      </c>
      <c r="N104" s="123">
        <v>121.81212206560963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0</v>
      </c>
      <c r="AX104" s="123">
        <v>0</v>
      </c>
      <c r="AY104" s="123">
        <v>0</v>
      </c>
    </row>
    <row r="105" spans="1:52" x14ac:dyDescent="0.2">
      <c r="A105" s="126"/>
      <c r="B105" s="143">
        <v>6</v>
      </c>
      <c r="C105" s="123">
        <v>0</v>
      </c>
      <c r="D105" s="123">
        <v>0</v>
      </c>
      <c r="E105" s="123">
        <v>0</v>
      </c>
      <c r="F105" s="123">
        <v>0</v>
      </c>
      <c r="G105" s="123">
        <v>0</v>
      </c>
      <c r="H105" s="123">
        <v>0</v>
      </c>
      <c r="I105" s="123">
        <v>0</v>
      </c>
      <c r="J105" s="123">
        <v>0</v>
      </c>
      <c r="K105" s="123">
        <v>0</v>
      </c>
      <c r="L105" s="123">
        <v>0</v>
      </c>
      <c r="M105" s="123">
        <v>0</v>
      </c>
      <c r="N105" s="123">
        <v>0</v>
      </c>
      <c r="O105" s="123">
        <v>0</v>
      </c>
      <c r="P105" s="123">
        <v>0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3">
        <v>0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</row>
    <row r="106" spans="1:52" x14ac:dyDescent="0.2">
      <c r="A106" s="126"/>
      <c r="B106" s="146">
        <v>7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0</v>
      </c>
      <c r="AX106" s="123">
        <v>0</v>
      </c>
      <c r="AY106" s="123">
        <v>0</v>
      </c>
    </row>
    <row r="107" spans="1:52" x14ac:dyDescent="0.2">
      <c r="A107" s="126"/>
      <c r="B107" s="146">
        <v>8</v>
      </c>
      <c r="C107" s="123">
        <v>0</v>
      </c>
      <c r="D107" s="123">
        <v>0</v>
      </c>
      <c r="E107" s="123">
        <v>0</v>
      </c>
      <c r="F107" s="123">
        <v>0</v>
      </c>
      <c r="G107" s="123">
        <v>0</v>
      </c>
      <c r="H107" s="123">
        <v>0</v>
      </c>
      <c r="I107" s="123">
        <v>0</v>
      </c>
      <c r="J107" s="123">
        <v>0</v>
      </c>
      <c r="K107" s="123">
        <v>0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0</v>
      </c>
      <c r="X107" s="123">
        <v>0</v>
      </c>
      <c r="Y107" s="123">
        <v>0</v>
      </c>
      <c r="Z107" s="123">
        <v>0</v>
      </c>
      <c r="AA107" s="123">
        <v>0</v>
      </c>
      <c r="AB107" s="123">
        <v>0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</row>
    <row r="108" spans="1:52" x14ac:dyDescent="0.2">
      <c r="A108" s="144"/>
      <c r="B108" s="148" t="s">
        <v>296</v>
      </c>
      <c r="C108" s="130">
        <v>0</v>
      </c>
      <c r="D108" s="141">
        <v>0</v>
      </c>
      <c r="E108" s="141">
        <v>0</v>
      </c>
      <c r="F108" s="141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141">
        <v>0</v>
      </c>
      <c r="M108" s="141">
        <v>0</v>
      </c>
      <c r="N108" s="141">
        <v>0</v>
      </c>
      <c r="O108" s="141">
        <v>0</v>
      </c>
      <c r="P108" s="141">
        <v>0</v>
      </c>
      <c r="Q108" s="141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141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24">
        <f>SUM($D108:$AY108)</f>
        <v>0</v>
      </c>
    </row>
    <row r="109" spans="1:52" x14ac:dyDescent="0.2">
      <c r="A109" s="147" t="s">
        <v>134</v>
      </c>
      <c r="B109" s="135">
        <v>1</v>
      </c>
      <c r="C109" s="123">
        <v>0</v>
      </c>
      <c r="D109" s="123">
        <v>0</v>
      </c>
      <c r="E109" s="123">
        <v>1577.8369282876836</v>
      </c>
      <c r="F109" s="123">
        <v>2275.1003646081449</v>
      </c>
      <c r="G109" s="123">
        <v>2709.2962674003243</v>
      </c>
      <c r="H109" s="123">
        <v>3062.390651167037</v>
      </c>
      <c r="I109" s="123">
        <v>2974.3345311105727</v>
      </c>
      <c r="J109" s="123">
        <v>3314.5014828901858</v>
      </c>
      <c r="K109" s="123">
        <v>3539.2161810811785</v>
      </c>
      <c r="L109" s="123">
        <v>3649.9218328867623</v>
      </c>
      <c r="M109" s="123">
        <v>3767.8542437402421</v>
      </c>
      <c r="N109" s="123">
        <v>3518.544271932798</v>
      </c>
      <c r="O109" s="123">
        <v>3405.1544941676843</v>
      </c>
      <c r="P109" s="123">
        <v>3316.2024686899126</v>
      </c>
      <c r="Q109" s="123">
        <v>3401.2534981581007</v>
      </c>
      <c r="R109" s="123">
        <v>3281.0997279571629</v>
      </c>
      <c r="S109" s="123">
        <v>3340.5760477594017</v>
      </c>
      <c r="T109" s="123">
        <v>3413.8365063908682</v>
      </c>
      <c r="U109" s="123">
        <v>3165.5047403826511</v>
      </c>
      <c r="V109" s="123">
        <v>3234.9495425951568</v>
      </c>
      <c r="W109" s="123">
        <v>3263.0828487520303</v>
      </c>
      <c r="X109" s="123">
        <v>3268.8064508250122</v>
      </c>
      <c r="Y109" s="123">
        <v>3366.3546827962159</v>
      </c>
      <c r="Z109" s="123">
        <v>3359.3482386919627</v>
      </c>
      <c r="AA109" s="123">
        <v>3363.0409016658436</v>
      </c>
      <c r="AB109" s="123">
        <v>3332.7972215451869</v>
      </c>
      <c r="AC109" s="123">
        <v>3430.9456953898266</v>
      </c>
      <c r="AD109" s="123">
        <v>3707.9779820717099</v>
      </c>
      <c r="AE109" s="123">
        <v>3865.0635381978377</v>
      </c>
      <c r="AF109" s="123">
        <v>3937.5176716622373</v>
      </c>
      <c r="AG109" s="123">
        <v>3785.2382683991841</v>
      </c>
      <c r="AH109" s="123">
        <v>3707.9285617403029</v>
      </c>
      <c r="AI109" s="123">
        <v>3539.9566683969174</v>
      </c>
      <c r="AJ109" s="123">
        <v>3462.4140908938953</v>
      </c>
      <c r="AK109" s="123">
        <v>3410.9795563636917</v>
      </c>
      <c r="AL109" s="123">
        <v>3494.8572890060195</v>
      </c>
      <c r="AM109" s="123">
        <v>3523.6688034883368</v>
      </c>
      <c r="AN109" s="123">
        <v>3550.9206556061868</v>
      </c>
      <c r="AO109" s="123">
        <v>3761.1857331997885</v>
      </c>
      <c r="AP109" s="123">
        <v>3973.3097977450611</v>
      </c>
      <c r="AQ109" s="123">
        <v>4118.2941686587264</v>
      </c>
      <c r="AR109" s="123">
        <v>4180.9489807748778</v>
      </c>
      <c r="AS109" s="123">
        <v>4060.2966703298225</v>
      </c>
      <c r="AT109" s="123">
        <v>4027.7010177996294</v>
      </c>
      <c r="AU109" s="123">
        <v>4002.4297927405478</v>
      </c>
      <c r="AV109" s="123">
        <v>3965.9011635027036</v>
      </c>
      <c r="AW109" s="123">
        <v>3940.8892128672069</v>
      </c>
      <c r="AX109" s="123">
        <v>3922.3641773933441</v>
      </c>
      <c r="AY109" s="123">
        <v>3870.6216703605901</v>
      </c>
    </row>
    <row r="110" spans="1:52" x14ac:dyDescent="0.2">
      <c r="A110" s="126"/>
      <c r="B110" s="135">
        <v>2</v>
      </c>
      <c r="C110" s="123">
        <v>0</v>
      </c>
      <c r="D110" s="123">
        <v>0</v>
      </c>
      <c r="E110" s="123">
        <v>0</v>
      </c>
      <c r="F110" s="123">
        <v>595.83692828768358</v>
      </c>
      <c r="G110" s="123">
        <v>1905.9372928958285</v>
      </c>
      <c r="H110" s="123">
        <v>2709.2962674003243</v>
      </c>
      <c r="I110" s="123">
        <v>3062.390651167037</v>
      </c>
      <c r="J110" s="123">
        <v>2974.3345311105727</v>
      </c>
      <c r="K110" s="123">
        <v>3314.5014828901858</v>
      </c>
      <c r="L110" s="123">
        <v>3539.2161810811785</v>
      </c>
      <c r="M110" s="123">
        <v>3649.9218328867623</v>
      </c>
      <c r="N110" s="123">
        <v>3767.8542437402421</v>
      </c>
      <c r="O110" s="123">
        <v>3518.544271932798</v>
      </c>
      <c r="P110" s="123">
        <v>3405.1544941676843</v>
      </c>
      <c r="Q110" s="123">
        <v>3316.2024686899126</v>
      </c>
      <c r="R110" s="123">
        <v>3401.2534981581007</v>
      </c>
      <c r="S110" s="123">
        <v>3281.0997279571629</v>
      </c>
      <c r="T110" s="123">
        <v>3340.5760477594017</v>
      </c>
      <c r="U110" s="123">
        <v>3413.8365063908682</v>
      </c>
      <c r="V110" s="123">
        <v>3165.5047403826511</v>
      </c>
      <c r="W110" s="123">
        <v>3234.9495425951568</v>
      </c>
      <c r="X110" s="123">
        <v>3263.0828487520303</v>
      </c>
      <c r="Y110" s="123">
        <v>3268.8064508250122</v>
      </c>
      <c r="Z110" s="123">
        <v>3366.3546827962159</v>
      </c>
      <c r="AA110" s="123">
        <v>3359.3482386919627</v>
      </c>
      <c r="AB110" s="123">
        <v>3363.0409016658436</v>
      </c>
      <c r="AC110" s="123">
        <v>3332.7972215451869</v>
      </c>
      <c r="AD110" s="123">
        <v>3430.9456953898266</v>
      </c>
      <c r="AE110" s="123">
        <v>3707.9779820717099</v>
      </c>
      <c r="AF110" s="123">
        <v>3865.0635381978377</v>
      </c>
      <c r="AG110" s="123">
        <v>3937.5176716622373</v>
      </c>
      <c r="AH110" s="123">
        <v>3785.2382683991841</v>
      </c>
      <c r="AI110" s="123">
        <v>3707.9285617403029</v>
      </c>
      <c r="AJ110" s="123">
        <v>3539.9566683969174</v>
      </c>
      <c r="AK110" s="123">
        <v>3462.4140908938953</v>
      </c>
      <c r="AL110" s="123">
        <v>3410.9795563636917</v>
      </c>
      <c r="AM110" s="123">
        <v>3494.8572890060195</v>
      </c>
      <c r="AN110" s="123">
        <v>3523.6688034883368</v>
      </c>
      <c r="AO110" s="123">
        <v>3550.9206556061868</v>
      </c>
      <c r="AP110" s="123">
        <v>3761.1857331997885</v>
      </c>
      <c r="AQ110" s="123">
        <v>3973.3097977450611</v>
      </c>
      <c r="AR110" s="123">
        <v>4118.2941686587264</v>
      </c>
      <c r="AS110" s="123">
        <v>4180.9489807748778</v>
      </c>
      <c r="AT110" s="123">
        <v>4060.2966703298225</v>
      </c>
      <c r="AU110" s="123">
        <v>4027.7010177996294</v>
      </c>
      <c r="AV110" s="123">
        <v>4002.4297927405478</v>
      </c>
      <c r="AW110" s="123">
        <v>3965.9011635027036</v>
      </c>
      <c r="AX110" s="123">
        <v>3940.8892128672069</v>
      </c>
      <c r="AY110" s="123">
        <v>3922.3641773933441</v>
      </c>
    </row>
    <row r="111" spans="1:52" x14ac:dyDescent="0.2">
      <c r="A111" s="126"/>
      <c r="B111" s="135">
        <v>3</v>
      </c>
      <c r="C111" s="123">
        <v>0</v>
      </c>
      <c r="D111" s="123">
        <v>0</v>
      </c>
      <c r="E111" s="123">
        <v>0</v>
      </c>
      <c r="F111" s="123">
        <v>0</v>
      </c>
      <c r="G111" s="123">
        <v>0</v>
      </c>
      <c r="H111" s="123">
        <v>624.93729289582848</v>
      </c>
      <c r="I111" s="123">
        <v>2519.233560296153</v>
      </c>
      <c r="J111" s="123">
        <v>3062.390651167037</v>
      </c>
      <c r="K111" s="123">
        <v>2974.3345311105727</v>
      </c>
      <c r="L111" s="123">
        <v>3314.5014828901858</v>
      </c>
      <c r="M111" s="123">
        <v>3539.2161810811785</v>
      </c>
      <c r="N111" s="123">
        <v>3649.9218328867623</v>
      </c>
      <c r="O111" s="123">
        <v>3767.8542437402421</v>
      </c>
      <c r="P111" s="123">
        <v>3518.544271932798</v>
      </c>
      <c r="Q111" s="123">
        <v>3405.1544941676843</v>
      </c>
      <c r="R111" s="123">
        <v>3316.2024686899126</v>
      </c>
      <c r="S111" s="123">
        <v>3401.2534981581007</v>
      </c>
      <c r="T111" s="123">
        <v>3281.0997279571629</v>
      </c>
      <c r="U111" s="123">
        <v>3340.5760477594017</v>
      </c>
      <c r="V111" s="123">
        <v>3413.8365063908682</v>
      </c>
      <c r="W111" s="123">
        <v>3165.5047403826511</v>
      </c>
      <c r="X111" s="123">
        <v>3234.9495425951568</v>
      </c>
      <c r="Y111" s="123">
        <v>3263.0828487520303</v>
      </c>
      <c r="Z111" s="123">
        <v>3268.8064508250122</v>
      </c>
      <c r="AA111" s="123">
        <v>3366.3546827962159</v>
      </c>
      <c r="AB111" s="123">
        <v>3359.3482386919627</v>
      </c>
      <c r="AC111" s="123">
        <v>3363.0409016658436</v>
      </c>
      <c r="AD111" s="123">
        <v>3332.7972215451869</v>
      </c>
      <c r="AE111" s="123">
        <v>3430.9456953898266</v>
      </c>
      <c r="AF111" s="123">
        <v>3707.9779820717099</v>
      </c>
      <c r="AG111" s="123">
        <v>3865.0635381978377</v>
      </c>
      <c r="AH111" s="123">
        <v>3937.5176716622373</v>
      </c>
      <c r="AI111" s="123">
        <v>3785.2382683991841</v>
      </c>
      <c r="AJ111" s="123">
        <v>3707.9285617403029</v>
      </c>
      <c r="AK111" s="123">
        <v>3539.9566683969174</v>
      </c>
      <c r="AL111" s="123">
        <v>3462.4140908938953</v>
      </c>
      <c r="AM111" s="123">
        <v>3410.9795563636917</v>
      </c>
      <c r="AN111" s="123">
        <v>3494.8572890060195</v>
      </c>
      <c r="AO111" s="123">
        <v>3523.6688034883368</v>
      </c>
      <c r="AP111" s="123">
        <v>3550.9206556061868</v>
      </c>
      <c r="AQ111" s="123">
        <v>3761.1857331997885</v>
      </c>
      <c r="AR111" s="123">
        <v>3973.3097977450611</v>
      </c>
      <c r="AS111" s="123">
        <v>4118.2941686587264</v>
      </c>
      <c r="AT111" s="123">
        <v>4180.9489807748778</v>
      </c>
      <c r="AU111" s="123">
        <v>4060.2966703298225</v>
      </c>
      <c r="AV111" s="123">
        <v>4027.7010177996294</v>
      </c>
      <c r="AW111" s="123">
        <v>4002.4297927405478</v>
      </c>
      <c r="AX111" s="123">
        <v>3965.9011635027036</v>
      </c>
      <c r="AY111" s="123">
        <v>3940.8892128672069</v>
      </c>
    </row>
    <row r="112" spans="1:52" x14ac:dyDescent="0.2">
      <c r="A112" s="126"/>
      <c r="B112" s="136">
        <v>4</v>
      </c>
      <c r="C112" s="123">
        <v>0</v>
      </c>
      <c r="D112" s="123">
        <v>0</v>
      </c>
      <c r="E112" s="123">
        <v>0</v>
      </c>
      <c r="F112" s="123">
        <v>0</v>
      </c>
      <c r="G112" s="123">
        <v>0</v>
      </c>
      <c r="H112" s="123">
        <v>0</v>
      </c>
      <c r="I112" s="123">
        <v>0</v>
      </c>
      <c r="J112" s="123">
        <v>1828.233560296153</v>
      </c>
      <c r="K112" s="123">
        <v>3062.390651167037</v>
      </c>
      <c r="L112" s="123">
        <v>2974.3345311105727</v>
      </c>
      <c r="M112" s="123">
        <v>3314.5014828901858</v>
      </c>
      <c r="N112" s="123">
        <v>3539.2161810811785</v>
      </c>
      <c r="O112" s="123">
        <v>3649.9218328867623</v>
      </c>
      <c r="P112" s="123">
        <v>3767.8542437402421</v>
      </c>
      <c r="Q112" s="123">
        <v>3518.544271932798</v>
      </c>
      <c r="R112" s="123">
        <v>3405.1544941676843</v>
      </c>
      <c r="S112" s="123">
        <v>3316.2024686899126</v>
      </c>
      <c r="T112" s="123">
        <v>3401.2534981581007</v>
      </c>
      <c r="U112" s="123">
        <v>3281.0997279571629</v>
      </c>
      <c r="V112" s="123">
        <v>3340.5760477594017</v>
      </c>
      <c r="W112" s="123">
        <v>3413.8365063908682</v>
      </c>
      <c r="X112" s="123">
        <v>3165.5047403826511</v>
      </c>
      <c r="Y112" s="123">
        <v>3234.9495425951568</v>
      </c>
      <c r="Z112" s="123">
        <v>3263.0828487520303</v>
      </c>
      <c r="AA112" s="123">
        <v>3268.8064508250122</v>
      </c>
      <c r="AB112" s="123">
        <v>3366.3546827962159</v>
      </c>
      <c r="AC112" s="123">
        <v>3359.3482386919627</v>
      </c>
      <c r="AD112" s="123">
        <v>3363.0409016658436</v>
      </c>
      <c r="AE112" s="123">
        <v>3332.7972215451869</v>
      </c>
      <c r="AF112" s="123">
        <v>3430.9456953898266</v>
      </c>
      <c r="AG112" s="123">
        <v>3707.9779820717099</v>
      </c>
      <c r="AH112" s="123">
        <v>3865.0635381978377</v>
      </c>
      <c r="AI112" s="123">
        <v>3937.5176716622373</v>
      </c>
      <c r="AJ112" s="123">
        <v>3785.2382683991841</v>
      </c>
      <c r="AK112" s="123">
        <v>3707.9285617403029</v>
      </c>
      <c r="AL112" s="123">
        <v>3539.9566683969174</v>
      </c>
      <c r="AM112" s="123">
        <v>3462.4140908938953</v>
      </c>
      <c r="AN112" s="123">
        <v>3410.9795563636917</v>
      </c>
      <c r="AO112" s="123">
        <v>3494.8572890060195</v>
      </c>
      <c r="AP112" s="123">
        <v>3523.6688034883368</v>
      </c>
      <c r="AQ112" s="123">
        <v>3550.9206556061868</v>
      </c>
      <c r="AR112" s="123">
        <v>3761.1857331997885</v>
      </c>
      <c r="AS112" s="123">
        <v>3973.3097977450611</v>
      </c>
      <c r="AT112" s="123">
        <v>4118.2941686587264</v>
      </c>
      <c r="AU112" s="123">
        <v>4180.9489807748778</v>
      </c>
      <c r="AV112" s="123">
        <v>4060.2966703298225</v>
      </c>
      <c r="AW112" s="123">
        <v>4027.7010177996294</v>
      </c>
      <c r="AX112" s="123">
        <v>4002.4297927405478</v>
      </c>
      <c r="AY112" s="123">
        <v>3965.9011635027036</v>
      </c>
    </row>
    <row r="113" spans="1:52" x14ac:dyDescent="0.2">
      <c r="A113" s="126"/>
      <c r="B113" s="136">
        <v>5</v>
      </c>
      <c r="C113" s="123">
        <v>0</v>
      </c>
      <c r="D113" s="123">
        <v>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1095.233560296153</v>
      </c>
      <c r="L113" s="123">
        <v>3062.390651167037</v>
      </c>
      <c r="M113" s="123">
        <v>2974.3345311105727</v>
      </c>
      <c r="N113" s="123">
        <v>3314.5014828901858</v>
      </c>
      <c r="O113" s="123">
        <v>3539.2161810811785</v>
      </c>
      <c r="P113" s="123">
        <v>3649.9218328867623</v>
      </c>
      <c r="Q113" s="123">
        <v>3767.8542437402421</v>
      </c>
      <c r="R113" s="123">
        <v>3518.544271932798</v>
      </c>
      <c r="S113" s="123">
        <v>3405.1544941676843</v>
      </c>
      <c r="T113" s="123">
        <v>3316.2024686899126</v>
      </c>
      <c r="U113" s="123">
        <v>3401.2534981581007</v>
      </c>
      <c r="V113" s="123">
        <v>3281.0997279571629</v>
      </c>
      <c r="W113" s="123">
        <v>3340.5760477594017</v>
      </c>
      <c r="X113" s="123">
        <v>3413.8365063908682</v>
      </c>
      <c r="Y113" s="123">
        <v>3165.5047403826511</v>
      </c>
      <c r="Z113" s="123">
        <v>3234.9495425951568</v>
      </c>
      <c r="AA113" s="123">
        <v>3263.0828487520303</v>
      </c>
      <c r="AB113" s="123">
        <v>3268.8064508250122</v>
      </c>
      <c r="AC113" s="123">
        <v>3366.3546827962159</v>
      </c>
      <c r="AD113" s="123">
        <v>3359.3482386919627</v>
      </c>
      <c r="AE113" s="123">
        <v>3363.0409016658436</v>
      </c>
      <c r="AF113" s="123">
        <v>3332.7972215451869</v>
      </c>
      <c r="AG113" s="123">
        <v>3430.9456953898266</v>
      </c>
      <c r="AH113" s="123">
        <v>3707.9779820717099</v>
      </c>
      <c r="AI113" s="123">
        <v>3865.0635381978377</v>
      </c>
      <c r="AJ113" s="123">
        <v>3937.5176716622373</v>
      </c>
      <c r="AK113" s="123">
        <v>3785.2382683991841</v>
      </c>
      <c r="AL113" s="123">
        <v>3707.9285617403029</v>
      </c>
      <c r="AM113" s="123">
        <v>3539.9566683969174</v>
      </c>
      <c r="AN113" s="123">
        <v>3462.4140908938953</v>
      </c>
      <c r="AO113" s="123">
        <v>3410.9795563636917</v>
      </c>
      <c r="AP113" s="123">
        <v>3494.8572890060195</v>
      </c>
      <c r="AQ113" s="123">
        <v>3523.6688034883368</v>
      </c>
      <c r="AR113" s="123">
        <v>3550.9206556061868</v>
      </c>
      <c r="AS113" s="123">
        <v>3761.1857331997885</v>
      </c>
      <c r="AT113" s="123">
        <v>3973.3097977450611</v>
      </c>
      <c r="AU113" s="123">
        <v>4118.2941686587264</v>
      </c>
      <c r="AV113" s="123">
        <v>4180.9489807748778</v>
      </c>
      <c r="AW113" s="123">
        <v>4060.2966703298225</v>
      </c>
      <c r="AX113" s="123">
        <v>4027.7010177996294</v>
      </c>
      <c r="AY113" s="123">
        <v>4002.4297927405478</v>
      </c>
    </row>
    <row r="114" spans="1:52" x14ac:dyDescent="0.2">
      <c r="A114" s="126"/>
      <c r="B114" s="136">
        <v>6</v>
      </c>
      <c r="C114" s="123">
        <v>0</v>
      </c>
      <c r="D114" s="123">
        <v>0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408.23356029615297</v>
      </c>
      <c r="M114" s="123">
        <v>3062.390651167037</v>
      </c>
      <c r="N114" s="123">
        <v>2974.3345311105727</v>
      </c>
      <c r="O114" s="123">
        <v>3314.5014828901858</v>
      </c>
      <c r="P114" s="123">
        <v>3539.2161810811785</v>
      </c>
      <c r="Q114" s="123">
        <v>3649.9218328867623</v>
      </c>
      <c r="R114" s="123">
        <v>3767.8542437402421</v>
      </c>
      <c r="S114" s="123">
        <v>3518.544271932798</v>
      </c>
      <c r="T114" s="123">
        <v>3405.1544941676843</v>
      </c>
      <c r="U114" s="123">
        <v>3316.2024686899126</v>
      </c>
      <c r="V114" s="123">
        <v>3401.2534981581007</v>
      </c>
      <c r="W114" s="123">
        <v>3281.0997279571629</v>
      </c>
      <c r="X114" s="123">
        <v>3340.5760477594017</v>
      </c>
      <c r="Y114" s="123">
        <v>3413.8365063908682</v>
      </c>
      <c r="Z114" s="123">
        <v>3165.5047403826511</v>
      </c>
      <c r="AA114" s="123">
        <v>3234.9495425951568</v>
      </c>
      <c r="AB114" s="123">
        <v>3263.0828487520303</v>
      </c>
      <c r="AC114" s="123">
        <v>3268.8064508250122</v>
      </c>
      <c r="AD114" s="123">
        <v>3366.3546827962159</v>
      </c>
      <c r="AE114" s="123">
        <v>3359.3482386919627</v>
      </c>
      <c r="AF114" s="123">
        <v>3363.0409016658436</v>
      </c>
      <c r="AG114" s="123">
        <v>3332.7972215451869</v>
      </c>
      <c r="AH114" s="123">
        <v>3430.9456953898266</v>
      </c>
      <c r="AI114" s="123">
        <v>3707.9779820717099</v>
      </c>
      <c r="AJ114" s="123">
        <v>3865.0635381978377</v>
      </c>
      <c r="AK114" s="123">
        <v>3937.5176716622373</v>
      </c>
      <c r="AL114" s="123">
        <v>3785.2382683991841</v>
      </c>
      <c r="AM114" s="123">
        <v>3707.9285617403029</v>
      </c>
      <c r="AN114" s="123">
        <v>3539.9566683969174</v>
      </c>
      <c r="AO114" s="123">
        <v>3462.4140908938953</v>
      </c>
      <c r="AP114" s="123">
        <v>3410.9795563636917</v>
      </c>
      <c r="AQ114" s="123">
        <v>3494.8572890060195</v>
      </c>
      <c r="AR114" s="123">
        <v>3523.6688034883368</v>
      </c>
      <c r="AS114" s="123">
        <v>3550.9206556061868</v>
      </c>
      <c r="AT114" s="123">
        <v>3761.1857331997885</v>
      </c>
      <c r="AU114" s="123">
        <v>3973.3097977450611</v>
      </c>
      <c r="AV114" s="123">
        <v>4118.2941686587264</v>
      </c>
      <c r="AW114" s="123">
        <v>4180.9489807748778</v>
      </c>
      <c r="AX114" s="123">
        <v>4060.2966703298225</v>
      </c>
      <c r="AY114" s="123">
        <v>4027.7010177996294</v>
      </c>
    </row>
    <row r="115" spans="1:52" x14ac:dyDescent="0.2">
      <c r="A115" s="126"/>
      <c r="B115" s="143">
        <v>7</v>
      </c>
      <c r="C115" s="123">
        <v>0</v>
      </c>
      <c r="D115" s="123">
        <v>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14.233560296152973</v>
      </c>
      <c r="N115" s="123">
        <v>2718.62421146319</v>
      </c>
      <c r="O115" s="123">
        <v>2974.3345311105727</v>
      </c>
      <c r="P115" s="123">
        <v>3314.5014828901858</v>
      </c>
      <c r="Q115" s="123">
        <v>3539.2161810811785</v>
      </c>
      <c r="R115" s="123">
        <v>3649.9218328867623</v>
      </c>
      <c r="S115" s="123">
        <v>3767.8542437402421</v>
      </c>
      <c r="T115" s="123">
        <v>3518.544271932798</v>
      </c>
      <c r="U115" s="123">
        <v>3405.1544941676843</v>
      </c>
      <c r="V115" s="123">
        <v>3316.2024686899126</v>
      </c>
      <c r="W115" s="123">
        <v>3401.2534981581007</v>
      </c>
      <c r="X115" s="123">
        <v>3281.0997279571629</v>
      </c>
      <c r="Y115" s="123">
        <v>3340.5760477594017</v>
      </c>
      <c r="Z115" s="123">
        <v>3413.8365063908682</v>
      </c>
      <c r="AA115" s="123">
        <v>3165.5047403826511</v>
      </c>
      <c r="AB115" s="123">
        <v>3234.9495425951568</v>
      </c>
      <c r="AC115" s="123">
        <v>3263.0828487520303</v>
      </c>
      <c r="AD115" s="123">
        <v>2997.7256713894367</v>
      </c>
      <c r="AE115" s="123">
        <v>2490.8204118318636</v>
      </c>
      <c r="AF115" s="123">
        <v>2936.6610669706165</v>
      </c>
      <c r="AG115" s="123">
        <v>2109.0094839757867</v>
      </c>
      <c r="AH115" s="123">
        <v>2973.6795343676349</v>
      </c>
      <c r="AI115" s="123">
        <v>2511.9510368806314</v>
      </c>
      <c r="AJ115" s="123">
        <v>3534.6677780069122</v>
      </c>
      <c r="AK115" s="123">
        <v>3865.0635381978377</v>
      </c>
      <c r="AL115" s="123">
        <v>3937.5176716622373</v>
      </c>
      <c r="AM115" s="123">
        <v>3785.2382683991841</v>
      </c>
      <c r="AN115" s="123">
        <v>3287.4057605126609</v>
      </c>
      <c r="AO115" s="123">
        <v>3071.1212817997193</v>
      </c>
      <c r="AP115" s="123">
        <v>2342.1869570547656</v>
      </c>
      <c r="AQ115" s="123">
        <v>2007.7640569410987</v>
      </c>
      <c r="AR115" s="123">
        <v>1553.9645009102369</v>
      </c>
      <c r="AS115" s="123">
        <v>555.21573459629462</v>
      </c>
      <c r="AT115" s="123">
        <v>350.01189765063828</v>
      </c>
      <c r="AU115" s="123">
        <v>382.26900502328363</v>
      </c>
      <c r="AV115" s="123">
        <v>390.69854216282874</v>
      </c>
      <c r="AW115" s="123">
        <v>533.29022984198446</v>
      </c>
      <c r="AX115" s="123">
        <v>889.11539398139303</v>
      </c>
      <c r="AY115" s="123">
        <v>2178.8303474952045</v>
      </c>
    </row>
    <row r="116" spans="1:52" x14ac:dyDescent="0.2">
      <c r="A116" s="126"/>
      <c r="B116" s="143">
        <v>8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614.3017399780656</v>
      </c>
      <c r="P116" s="123">
        <v>977.20270898752938</v>
      </c>
      <c r="Q116" s="123">
        <v>472.51938601891379</v>
      </c>
      <c r="R116" s="123">
        <v>503.04192649572042</v>
      </c>
      <c r="S116" s="123">
        <v>544.90286975583695</v>
      </c>
      <c r="T116" s="123">
        <v>1374.3530174460834</v>
      </c>
      <c r="U116" s="123">
        <v>1708.4722098091304</v>
      </c>
      <c r="V116" s="123">
        <v>2639.6272192255656</v>
      </c>
      <c r="W116" s="123">
        <v>2799.420931929275</v>
      </c>
      <c r="X116" s="123">
        <v>2397.1437339029485</v>
      </c>
      <c r="Y116" s="123">
        <v>1639.3096504263988</v>
      </c>
      <c r="Z116" s="123">
        <v>1348.5342094778969</v>
      </c>
      <c r="AA116" s="123">
        <v>1644.7411031129877</v>
      </c>
      <c r="AB116" s="123">
        <v>1074.0716938487153</v>
      </c>
      <c r="AC116" s="123">
        <v>370.37029852214664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623.15118061078488</v>
      </c>
      <c r="AL116" s="123">
        <v>66.932580144377425</v>
      </c>
      <c r="AM116" s="123">
        <v>341.93967336945116</v>
      </c>
      <c r="AN116" s="123">
        <v>0</v>
      </c>
      <c r="AO116" s="123">
        <v>0</v>
      </c>
      <c r="AP116" s="123">
        <v>0</v>
      </c>
      <c r="AQ116" s="123">
        <v>0</v>
      </c>
      <c r="AR116" s="123">
        <v>0</v>
      </c>
      <c r="AS116" s="123">
        <v>0</v>
      </c>
      <c r="AT116" s="123">
        <v>0</v>
      </c>
      <c r="AU116" s="123">
        <v>0</v>
      </c>
      <c r="AV116" s="123">
        <v>0</v>
      </c>
      <c r="AW116" s="123">
        <v>0</v>
      </c>
      <c r="AX116" s="123">
        <v>0</v>
      </c>
      <c r="AY116" s="123">
        <v>0</v>
      </c>
    </row>
    <row r="117" spans="1:52" x14ac:dyDescent="0.2">
      <c r="A117" s="126"/>
      <c r="B117" s="143">
        <v>9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3">
        <v>0</v>
      </c>
      <c r="AP117" s="123">
        <v>0</v>
      </c>
      <c r="AQ117" s="123">
        <v>0</v>
      </c>
      <c r="AR117" s="123">
        <v>0</v>
      </c>
      <c r="AS117" s="123">
        <v>0</v>
      </c>
      <c r="AT117" s="123">
        <v>0</v>
      </c>
      <c r="AU117" s="123">
        <v>0</v>
      </c>
      <c r="AV117" s="123">
        <v>0</v>
      </c>
      <c r="AW117" s="123">
        <v>0</v>
      </c>
      <c r="AX117" s="123">
        <v>0</v>
      </c>
      <c r="AY117" s="123">
        <v>0</v>
      </c>
    </row>
    <row r="118" spans="1:52" x14ac:dyDescent="0.2">
      <c r="A118" s="126"/>
      <c r="B118" s="146">
        <v>10</v>
      </c>
      <c r="C118" s="123">
        <v>0</v>
      </c>
      <c r="D118" s="123">
        <v>0</v>
      </c>
      <c r="E118" s="123">
        <v>0</v>
      </c>
      <c r="F118" s="123">
        <v>0</v>
      </c>
      <c r="G118" s="123">
        <v>0</v>
      </c>
      <c r="H118" s="123">
        <v>0</v>
      </c>
      <c r="I118" s="123">
        <v>0</v>
      </c>
      <c r="J118" s="123">
        <v>0</v>
      </c>
      <c r="K118" s="123">
        <v>0</v>
      </c>
      <c r="L118" s="123">
        <v>0</v>
      </c>
      <c r="M118" s="123">
        <v>0</v>
      </c>
      <c r="N118" s="123">
        <v>0</v>
      </c>
      <c r="O118" s="123">
        <v>0</v>
      </c>
      <c r="P118" s="123">
        <v>0</v>
      </c>
      <c r="Q118" s="123">
        <v>0</v>
      </c>
      <c r="R118" s="123">
        <v>0</v>
      </c>
      <c r="S118" s="123">
        <v>0</v>
      </c>
      <c r="T118" s="123">
        <v>0</v>
      </c>
      <c r="U118" s="123">
        <v>0</v>
      </c>
      <c r="V118" s="123">
        <v>0</v>
      </c>
      <c r="W118" s="123">
        <v>0</v>
      </c>
      <c r="X118" s="123">
        <v>0</v>
      </c>
      <c r="Y118" s="123">
        <v>0</v>
      </c>
      <c r="Z118" s="123">
        <v>0</v>
      </c>
      <c r="AA118" s="123">
        <v>0</v>
      </c>
      <c r="AB118" s="123">
        <v>0</v>
      </c>
      <c r="AC118" s="123">
        <v>0</v>
      </c>
      <c r="AD118" s="123">
        <v>0</v>
      </c>
      <c r="AE118" s="123">
        <v>0</v>
      </c>
      <c r="AF118" s="123">
        <v>0</v>
      </c>
      <c r="AG118" s="123">
        <v>0</v>
      </c>
      <c r="AH118" s="123">
        <v>0</v>
      </c>
      <c r="AI118" s="123">
        <v>0</v>
      </c>
      <c r="AJ118" s="123">
        <v>0</v>
      </c>
      <c r="AK118" s="123">
        <v>0</v>
      </c>
      <c r="AL118" s="123">
        <v>0</v>
      </c>
      <c r="AM118" s="123">
        <v>0</v>
      </c>
      <c r="AN118" s="123">
        <v>0</v>
      </c>
      <c r="AO118" s="123">
        <v>0</v>
      </c>
      <c r="AP118" s="123">
        <v>0</v>
      </c>
      <c r="AQ118" s="123">
        <v>0</v>
      </c>
      <c r="AR118" s="123">
        <v>0</v>
      </c>
      <c r="AS118" s="123">
        <v>0</v>
      </c>
      <c r="AT118" s="123">
        <v>0</v>
      </c>
      <c r="AU118" s="123">
        <v>0</v>
      </c>
      <c r="AV118" s="123">
        <v>0</v>
      </c>
      <c r="AW118" s="123">
        <v>0</v>
      </c>
      <c r="AX118" s="123">
        <v>0</v>
      </c>
      <c r="AY118" s="123">
        <v>0</v>
      </c>
    </row>
    <row r="119" spans="1:52" x14ac:dyDescent="0.2">
      <c r="A119" s="126"/>
      <c r="B119" s="146">
        <v>11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0</v>
      </c>
      <c r="L119" s="123">
        <v>0</v>
      </c>
      <c r="M119" s="123">
        <v>0</v>
      </c>
      <c r="N119" s="123">
        <v>0</v>
      </c>
      <c r="O119" s="123">
        <v>0</v>
      </c>
      <c r="P119" s="123">
        <v>0</v>
      </c>
      <c r="Q119" s="123">
        <v>0</v>
      </c>
      <c r="R119" s="123">
        <v>0</v>
      </c>
      <c r="S119" s="123">
        <v>0</v>
      </c>
      <c r="T119" s="123">
        <v>0</v>
      </c>
      <c r="U119" s="123">
        <v>0</v>
      </c>
      <c r="V119" s="123">
        <v>0</v>
      </c>
      <c r="W119" s="123">
        <v>0</v>
      </c>
      <c r="X119" s="123">
        <v>0</v>
      </c>
      <c r="Y119" s="123">
        <v>0</v>
      </c>
      <c r="Z119" s="123">
        <v>0</v>
      </c>
      <c r="AA119" s="123">
        <v>0</v>
      </c>
      <c r="AB119" s="123">
        <v>0</v>
      </c>
      <c r="AC119" s="123">
        <v>0</v>
      </c>
      <c r="AD119" s="123">
        <v>0</v>
      </c>
      <c r="AE119" s="123">
        <v>0</v>
      </c>
      <c r="AF119" s="123">
        <v>0</v>
      </c>
      <c r="AG119" s="123">
        <v>0</v>
      </c>
      <c r="AH119" s="123">
        <v>0</v>
      </c>
      <c r="AI119" s="123">
        <v>0</v>
      </c>
      <c r="AJ119" s="123">
        <v>0</v>
      </c>
      <c r="AK119" s="123">
        <v>0</v>
      </c>
      <c r="AL119" s="123">
        <v>0</v>
      </c>
      <c r="AM119" s="123">
        <v>0</v>
      </c>
      <c r="AN119" s="123">
        <v>0</v>
      </c>
      <c r="AO119" s="123">
        <v>0</v>
      </c>
      <c r="AP119" s="123">
        <v>0</v>
      </c>
      <c r="AQ119" s="123">
        <v>0</v>
      </c>
      <c r="AR119" s="123">
        <v>0</v>
      </c>
      <c r="AS119" s="123">
        <v>0</v>
      </c>
      <c r="AT119" s="123">
        <v>0</v>
      </c>
      <c r="AU119" s="123">
        <v>0</v>
      </c>
      <c r="AV119" s="123">
        <v>0</v>
      </c>
      <c r="AW119" s="123">
        <v>0</v>
      </c>
      <c r="AX119" s="123">
        <v>0</v>
      </c>
      <c r="AY119" s="123">
        <v>0</v>
      </c>
    </row>
    <row r="120" spans="1:52" x14ac:dyDescent="0.2">
      <c r="A120" s="126"/>
      <c r="B120" s="146">
        <v>12</v>
      </c>
      <c r="C120" s="123">
        <v>0</v>
      </c>
      <c r="D120" s="123">
        <v>0</v>
      </c>
      <c r="E120" s="123">
        <v>0</v>
      </c>
      <c r="F120" s="123">
        <v>0</v>
      </c>
      <c r="G120" s="123">
        <v>0</v>
      </c>
      <c r="H120" s="123">
        <v>0</v>
      </c>
      <c r="I120" s="123">
        <v>0</v>
      </c>
      <c r="J120" s="123">
        <v>0</v>
      </c>
      <c r="K120" s="123">
        <v>0</v>
      </c>
      <c r="L120" s="123">
        <v>0</v>
      </c>
      <c r="M120" s="123">
        <v>0</v>
      </c>
      <c r="N120" s="123">
        <v>0</v>
      </c>
      <c r="O120" s="123">
        <v>0</v>
      </c>
      <c r="P120" s="123">
        <v>0</v>
      </c>
      <c r="Q120" s="123">
        <v>0</v>
      </c>
      <c r="R120" s="123">
        <v>0</v>
      </c>
      <c r="S120" s="123">
        <v>0</v>
      </c>
      <c r="T120" s="123">
        <v>0</v>
      </c>
      <c r="U120" s="123">
        <v>0</v>
      </c>
      <c r="V120" s="123">
        <v>0</v>
      </c>
      <c r="W120" s="123">
        <v>0</v>
      </c>
      <c r="X120" s="123">
        <v>0</v>
      </c>
      <c r="Y120" s="123">
        <v>0</v>
      </c>
      <c r="Z120" s="123">
        <v>0</v>
      </c>
      <c r="AA120" s="123">
        <v>0</v>
      </c>
      <c r="AB120" s="123">
        <v>0</v>
      </c>
      <c r="AC120" s="123">
        <v>0</v>
      </c>
      <c r="AD120" s="123">
        <v>0</v>
      </c>
      <c r="AE120" s="123">
        <v>0</v>
      </c>
      <c r="AF120" s="123">
        <v>0</v>
      </c>
      <c r="AG120" s="123">
        <v>0</v>
      </c>
      <c r="AH120" s="123">
        <v>0</v>
      </c>
      <c r="AI120" s="123">
        <v>0</v>
      </c>
      <c r="AJ120" s="123">
        <v>0</v>
      </c>
      <c r="AK120" s="123">
        <v>0</v>
      </c>
      <c r="AL120" s="123">
        <v>0</v>
      </c>
      <c r="AM120" s="123">
        <v>0</v>
      </c>
      <c r="AN120" s="123">
        <v>0</v>
      </c>
      <c r="AO120" s="123">
        <v>0</v>
      </c>
      <c r="AP120" s="123">
        <v>0</v>
      </c>
      <c r="AQ120" s="123">
        <v>0</v>
      </c>
      <c r="AR120" s="123">
        <v>0</v>
      </c>
      <c r="AS120" s="123">
        <v>0</v>
      </c>
      <c r="AT120" s="123">
        <v>0</v>
      </c>
      <c r="AU120" s="123">
        <v>0</v>
      </c>
      <c r="AV120" s="123">
        <v>0</v>
      </c>
      <c r="AW120" s="123">
        <v>0</v>
      </c>
      <c r="AX120" s="123">
        <v>0</v>
      </c>
      <c r="AY120" s="123">
        <v>0</v>
      </c>
    </row>
    <row r="121" spans="1:52" x14ac:dyDescent="0.2">
      <c r="A121" s="144"/>
      <c r="B121" s="148" t="s">
        <v>296</v>
      </c>
      <c r="C121" s="130">
        <v>0</v>
      </c>
      <c r="D121" s="141">
        <v>0</v>
      </c>
      <c r="E121" s="141">
        <v>0</v>
      </c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>
        <v>0</v>
      </c>
      <c r="M121" s="141">
        <v>0</v>
      </c>
      <c r="N121" s="141">
        <v>0</v>
      </c>
      <c r="O121" s="141">
        <v>0</v>
      </c>
      <c r="P121" s="141">
        <v>0</v>
      </c>
      <c r="Q121" s="141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141">
        <v>0</v>
      </c>
      <c r="X121" s="141">
        <v>0</v>
      </c>
      <c r="Y121" s="141">
        <v>0</v>
      </c>
      <c r="Z121" s="141">
        <v>0</v>
      </c>
      <c r="AA121" s="141">
        <v>0</v>
      </c>
      <c r="AB121" s="141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141">
        <v>0</v>
      </c>
      <c r="AI121" s="141">
        <v>0</v>
      </c>
      <c r="AJ121" s="141">
        <v>0</v>
      </c>
      <c r="AK121" s="141">
        <v>0</v>
      </c>
      <c r="AL121" s="141">
        <v>0</v>
      </c>
      <c r="AM121" s="141">
        <v>0</v>
      </c>
      <c r="AN121" s="141">
        <v>0</v>
      </c>
      <c r="AO121" s="141">
        <v>0</v>
      </c>
      <c r="AP121" s="141">
        <v>0</v>
      </c>
      <c r="AQ121" s="141">
        <v>0</v>
      </c>
      <c r="AR121" s="141">
        <v>0</v>
      </c>
      <c r="AS121" s="141">
        <v>0</v>
      </c>
      <c r="AT121" s="141">
        <v>0</v>
      </c>
      <c r="AU121" s="141">
        <v>0</v>
      </c>
      <c r="AV121" s="141">
        <v>0</v>
      </c>
      <c r="AW121" s="141">
        <v>0</v>
      </c>
      <c r="AX121" s="141">
        <v>0</v>
      </c>
      <c r="AY121" s="141">
        <v>0</v>
      </c>
      <c r="AZ121" s="124">
        <f>SUM($D121:$AY121)</f>
        <v>0</v>
      </c>
    </row>
    <row r="122" spans="1:52" x14ac:dyDescent="0.2">
      <c r="A122" s="147" t="s">
        <v>123</v>
      </c>
      <c r="B122" s="135">
        <v>1</v>
      </c>
      <c r="C122" s="123">
        <v>0</v>
      </c>
      <c r="D122" s="123">
        <v>4867.5825000000004</v>
      </c>
      <c r="E122" s="123">
        <v>4867.5825000000004</v>
      </c>
      <c r="F122" s="123">
        <v>4867.5825000000004</v>
      </c>
      <c r="G122" s="123">
        <v>4867.5825000000004</v>
      </c>
      <c r="H122" s="123">
        <v>4326.7400000000007</v>
      </c>
      <c r="I122" s="123">
        <v>4326.7400000000007</v>
      </c>
      <c r="J122" s="123">
        <v>4326.7400000000007</v>
      </c>
      <c r="K122" s="123">
        <v>4326.7400000000007</v>
      </c>
      <c r="L122" s="123">
        <v>4326.7400000000007</v>
      </c>
      <c r="M122" s="123">
        <v>4326.7400000000007</v>
      </c>
      <c r="N122" s="123">
        <v>4326.7400000000007</v>
      </c>
      <c r="O122" s="123">
        <v>4326.7400000000007</v>
      </c>
      <c r="P122" s="123">
        <v>4867.5825000000004</v>
      </c>
      <c r="Q122" s="123">
        <v>4867.5825000000004</v>
      </c>
      <c r="R122" s="123">
        <v>4867.5825000000004</v>
      </c>
      <c r="S122" s="123">
        <v>4867.5825000000004</v>
      </c>
      <c r="T122" s="123">
        <v>4326.7400000000007</v>
      </c>
      <c r="U122" s="123">
        <v>4326.7400000000007</v>
      </c>
      <c r="V122" s="123">
        <v>4326.7400000000007</v>
      </c>
      <c r="W122" s="123">
        <v>4326.7400000000007</v>
      </c>
      <c r="X122" s="123">
        <v>4326.7400000000007</v>
      </c>
      <c r="Y122" s="123">
        <v>4326.7400000000007</v>
      </c>
      <c r="Z122" s="123">
        <v>4326.7400000000007</v>
      </c>
      <c r="AA122" s="123">
        <v>4326.7400000000007</v>
      </c>
      <c r="AB122" s="123">
        <v>4867.5825000000004</v>
      </c>
      <c r="AC122" s="123">
        <v>4867.5825000000004</v>
      </c>
      <c r="AD122" s="123">
        <v>4867.5825000000004</v>
      </c>
      <c r="AE122" s="123">
        <v>4867.5825000000004</v>
      </c>
      <c r="AF122" s="123">
        <v>4326.7400000000007</v>
      </c>
      <c r="AG122" s="123">
        <v>4326.7400000000007</v>
      </c>
      <c r="AH122" s="123">
        <v>4326.7400000000007</v>
      </c>
      <c r="AI122" s="123">
        <v>4326.7400000000007</v>
      </c>
      <c r="AJ122" s="123">
        <v>4326.7400000000007</v>
      </c>
      <c r="AK122" s="123">
        <v>4326.7400000000007</v>
      </c>
      <c r="AL122" s="123">
        <v>4326.7400000000007</v>
      </c>
      <c r="AM122" s="123">
        <v>4326.7400000000007</v>
      </c>
      <c r="AN122" s="123">
        <v>4867.5825000000004</v>
      </c>
      <c r="AO122" s="123">
        <v>4867.5825000000004</v>
      </c>
      <c r="AP122" s="123">
        <v>4867.5825000000004</v>
      </c>
      <c r="AQ122" s="123">
        <v>4867.5825000000004</v>
      </c>
      <c r="AR122" s="123">
        <v>4326.7400000000007</v>
      </c>
      <c r="AS122" s="123">
        <v>4326.7400000000007</v>
      </c>
      <c r="AT122" s="123">
        <v>4326.7400000000007</v>
      </c>
      <c r="AU122" s="123">
        <v>4326.7400000000007</v>
      </c>
      <c r="AV122" s="123">
        <v>4326.7400000000007</v>
      </c>
      <c r="AW122" s="123">
        <v>4326.7400000000007</v>
      </c>
      <c r="AX122" s="123">
        <v>4326.7400000000007</v>
      </c>
      <c r="AY122" s="123">
        <v>4326.7400000000007</v>
      </c>
    </row>
    <row r="123" spans="1:52" x14ac:dyDescent="0.2">
      <c r="A123" s="126"/>
      <c r="B123" s="135">
        <v>2</v>
      </c>
      <c r="C123" s="123">
        <v>0</v>
      </c>
      <c r="D123" s="123">
        <v>0</v>
      </c>
      <c r="E123" s="123">
        <v>2151.038069698749</v>
      </c>
      <c r="F123" s="123">
        <v>3289.7455717123166</v>
      </c>
      <c r="G123" s="123">
        <v>3289.7455717123166</v>
      </c>
      <c r="H123" s="123">
        <v>3289.7455717123166</v>
      </c>
      <c r="I123" s="123">
        <v>2924.218285966504</v>
      </c>
      <c r="J123" s="123">
        <v>2924.218285966504</v>
      </c>
      <c r="K123" s="123">
        <v>2924.218285966504</v>
      </c>
      <c r="L123" s="123">
        <v>2924.218285966504</v>
      </c>
      <c r="M123" s="123">
        <v>2924.218285966504</v>
      </c>
      <c r="N123" s="123">
        <v>2924.218285966504</v>
      </c>
      <c r="O123" s="123">
        <v>2924.218285966504</v>
      </c>
      <c r="P123" s="123">
        <v>2924.218285966504</v>
      </c>
      <c r="Q123" s="123">
        <v>3289.7455717123166</v>
      </c>
      <c r="R123" s="123">
        <v>3289.7455717123166</v>
      </c>
      <c r="S123" s="123">
        <v>3289.7455717123166</v>
      </c>
      <c r="T123" s="123">
        <v>3289.7455717123166</v>
      </c>
      <c r="U123" s="123">
        <v>2924.218285966504</v>
      </c>
      <c r="V123" s="123">
        <v>2924.218285966504</v>
      </c>
      <c r="W123" s="123">
        <v>2924.218285966504</v>
      </c>
      <c r="X123" s="123">
        <v>2924.218285966504</v>
      </c>
      <c r="Y123" s="123">
        <v>2924.218285966504</v>
      </c>
      <c r="Z123" s="123">
        <v>2924.218285966504</v>
      </c>
      <c r="AA123" s="123">
        <v>2924.218285966504</v>
      </c>
      <c r="AB123" s="123">
        <v>2924.218285966504</v>
      </c>
      <c r="AC123" s="123">
        <v>3289.7455717123166</v>
      </c>
      <c r="AD123" s="123">
        <v>3289.7455717123166</v>
      </c>
      <c r="AE123" s="123">
        <v>3289.7455717123166</v>
      </c>
      <c r="AF123" s="123">
        <v>3289.7455717123166</v>
      </c>
      <c r="AG123" s="123">
        <v>2924.218285966504</v>
      </c>
      <c r="AH123" s="123">
        <v>2924.218285966504</v>
      </c>
      <c r="AI123" s="123">
        <v>2924.218285966504</v>
      </c>
      <c r="AJ123" s="123">
        <v>2924.218285966504</v>
      </c>
      <c r="AK123" s="123">
        <v>2924.218285966504</v>
      </c>
      <c r="AL123" s="123">
        <v>2924.218285966504</v>
      </c>
      <c r="AM123" s="123">
        <v>2924.218285966504</v>
      </c>
      <c r="AN123" s="123">
        <v>2924.218285966504</v>
      </c>
      <c r="AO123" s="123">
        <v>3289.7455717123166</v>
      </c>
      <c r="AP123" s="123">
        <v>3289.7455717123166</v>
      </c>
      <c r="AQ123" s="123">
        <v>3289.7455717123166</v>
      </c>
      <c r="AR123" s="123">
        <v>3289.7455717123166</v>
      </c>
      <c r="AS123" s="123">
        <v>2924.218285966504</v>
      </c>
      <c r="AT123" s="123">
        <v>2924.218285966504</v>
      </c>
      <c r="AU123" s="123">
        <v>2924.218285966504</v>
      </c>
      <c r="AV123" s="123">
        <v>2924.218285966504</v>
      </c>
      <c r="AW123" s="123">
        <v>2924.218285966504</v>
      </c>
      <c r="AX123" s="123">
        <v>2924.218285966504</v>
      </c>
      <c r="AY123" s="123">
        <v>2924.218285966504</v>
      </c>
    </row>
    <row r="124" spans="1:52" x14ac:dyDescent="0.2">
      <c r="A124" s="126"/>
      <c r="B124" s="135">
        <v>3</v>
      </c>
      <c r="C124" s="123">
        <v>0</v>
      </c>
      <c r="D124" s="123">
        <v>0</v>
      </c>
      <c r="E124" s="123">
        <v>0</v>
      </c>
      <c r="F124" s="123">
        <v>200.77463337828772</v>
      </c>
      <c r="G124" s="123">
        <v>1290.0608659779639</v>
      </c>
      <c r="H124" s="123">
        <v>1559.252714810927</v>
      </c>
      <c r="I124" s="123">
        <v>2223.3677449947272</v>
      </c>
      <c r="J124" s="123">
        <v>1976.3268844397578</v>
      </c>
      <c r="K124" s="123">
        <v>1976.3268844397578</v>
      </c>
      <c r="L124" s="123">
        <v>1976.3268844397578</v>
      </c>
      <c r="M124" s="123">
        <v>1976.3268844397578</v>
      </c>
      <c r="N124" s="123">
        <v>1976.3268844397578</v>
      </c>
      <c r="O124" s="123">
        <v>1976.3268844397578</v>
      </c>
      <c r="P124" s="123">
        <v>1976.3268844397578</v>
      </c>
      <c r="Q124" s="123">
        <v>1964.7722101534937</v>
      </c>
      <c r="R124" s="123">
        <v>2148.2549821963312</v>
      </c>
      <c r="S124" s="123">
        <v>2223.3677449947272</v>
      </c>
      <c r="T124" s="123">
        <v>2149.0074280460622</v>
      </c>
      <c r="U124" s="123">
        <v>2223.3677449947272</v>
      </c>
      <c r="V124" s="123">
        <v>1976.3268844397578</v>
      </c>
      <c r="W124" s="123">
        <v>1976.3268844397578</v>
      </c>
      <c r="X124" s="123">
        <v>1976.3268844397578</v>
      </c>
      <c r="Y124" s="123">
        <v>1976.3268844397578</v>
      </c>
      <c r="Z124" s="123">
        <v>1976.3268844397578</v>
      </c>
      <c r="AA124" s="123">
        <v>1976.3268844397578</v>
      </c>
      <c r="AB124" s="123">
        <v>1976.3268844397578</v>
      </c>
      <c r="AC124" s="123">
        <v>1976.3268844397578</v>
      </c>
      <c r="AD124" s="123">
        <v>2223.3677449947272</v>
      </c>
      <c r="AE124" s="123">
        <v>2223.3677449947272</v>
      </c>
      <c r="AF124" s="123">
        <v>2223.3677449947272</v>
      </c>
      <c r="AG124" s="123">
        <v>2223.3677449947272</v>
      </c>
      <c r="AH124" s="123">
        <v>1976.3268844397578</v>
      </c>
      <c r="AI124" s="123">
        <v>1976.3268844397578</v>
      </c>
      <c r="AJ124" s="123">
        <v>1976.3268844397578</v>
      </c>
      <c r="AK124" s="123">
        <v>1976.3268844397578</v>
      </c>
      <c r="AL124" s="123">
        <v>1976.3268844397578</v>
      </c>
      <c r="AM124" s="123">
        <v>1976.3268844397578</v>
      </c>
      <c r="AN124" s="123">
        <v>1976.3268844397578</v>
      </c>
      <c r="AO124" s="123">
        <v>1976.3268844397578</v>
      </c>
      <c r="AP124" s="123">
        <v>2223.3677449947272</v>
      </c>
      <c r="AQ124" s="123">
        <v>2223.3677449947272</v>
      </c>
      <c r="AR124" s="123">
        <v>2223.3677449947272</v>
      </c>
      <c r="AS124" s="123">
        <v>2223.3677449947272</v>
      </c>
      <c r="AT124" s="123">
        <v>1976.3268844397578</v>
      </c>
      <c r="AU124" s="123">
        <v>1976.3268844397578</v>
      </c>
      <c r="AV124" s="123">
        <v>1976.3268844397578</v>
      </c>
      <c r="AW124" s="123">
        <v>1976.3268844397578</v>
      </c>
      <c r="AX124" s="123">
        <v>1976.3268844397578</v>
      </c>
      <c r="AY124" s="123">
        <v>1976.3268844397578</v>
      </c>
    </row>
    <row r="125" spans="1:52" x14ac:dyDescent="0.2">
      <c r="A125" s="126"/>
      <c r="B125" s="135">
        <v>4</v>
      </c>
      <c r="C125" s="123">
        <v>0</v>
      </c>
      <c r="D125" s="123">
        <v>0</v>
      </c>
      <c r="E125" s="123">
        <v>0</v>
      </c>
      <c r="F125" s="123">
        <v>0</v>
      </c>
      <c r="G125" s="123">
        <v>0</v>
      </c>
      <c r="H125" s="123">
        <v>0</v>
      </c>
      <c r="I125" s="123">
        <v>750.81772445144065</v>
      </c>
      <c r="J125" s="123">
        <v>1502.6584949272874</v>
      </c>
      <c r="K125" s="123">
        <v>1335.6964399353667</v>
      </c>
      <c r="L125" s="123">
        <v>1335.6964399353667</v>
      </c>
      <c r="M125" s="123">
        <v>1335.6964399353667</v>
      </c>
      <c r="N125" s="123">
        <v>1277.5205724752452</v>
      </c>
      <c r="O125" s="123">
        <v>1003.106078307561</v>
      </c>
      <c r="P125" s="123">
        <v>724.64360961764885</v>
      </c>
      <c r="Q125" s="123">
        <v>0</v>
      </c>
      <c r="R125" s="123">
        <v>0</v>
      </c>
      <c r="S125" s="123">
        <v>150.89368944220291</v>
      </c>
      <c r="T125" s="123">
        <v>0</v>
      </c>
      <c r="U125" s="123">
        <v>505.4022284144969</v>
      </c>
      <c r="V125" s="123">
        <v>839.23354637431021</v>
      </c>
      <c r="W125" s="123">
        <v>856.89069762228007</v>
      </c>
      <c r="X125" s="123">
        <v>1157.8242467972686</v>
      </c>
      <c r="Y125" s="123">
        <v>1136.209564001053</v>
      </c>
      <c r="Z125" s="123">
        <v>1147.601325309091</v>
      </c>
      <c r="AA125" s="123">
        <v>1054.300423643248</v>
      </c>
      <c r="AB125" s="123">
        <v>816.24320209806126</v>
      </c>
      <c r="AC125" s="123">
        <v>1305.3527209624224</v>
      </c>
      <c r="AD125" s="123">
        <v>1335.6964399353667</v>
      </c>
      <c r="AE125" s="123">
        <v>1502.6584949272874</v>
      </c>
      <c r="AF125" s="123">
        <v>1502.6584949272874</v>
      </c>
      <c r="AG125" s="123">
        <v>1502.6584949272874</v>
      </c>
      <c r="AH125" s="123">
        <v>1502.6584949272874</v>
      </c>
      <c r="AI125" s="123">
        <v>1335.6964399353667</v>
      </c>
      <c r="AJ125" s="123">
        <v>1295.4907253461547</v>
      </c>
      <c r="AK125" s="123">
        <v>1335.6964399353667</v>
      </c>
      <c r="AL125" s="123">
        <v>1335.6964399353667</v>
      </c>
      <c r="AM125" s="123">
        <v>1335.6964399353667</v>
      </c>
      <c r="AN125" s="123">
        <v>1335.6964399353667</v>
      </c>
      <c r="AO125" s="123">
        <v>1335.6964399353667</v>
      </c>
      <c r="AP125" s="123">
        <v>1335.6964399353667</v>
      </c>
      <c r="AQ125" s="123">
        <v>1502.6584949272874</v>
      </c>
      <c r="AR125" s="123">
        <v>1502.6584949272874</v>
      </c>
      <c r="AS125" s="123">
        <v>1502.6584949272874</v>
      </c>
      <c r="AT125" s="123">
        <v>1502.6584949272874</v>
      </c>
      <c r="AU125" s="123">
        <v>1335.6964399353667</v>
      </c>
      <c r="AV125" s="123">
        <v>1335.6964399353667</v>
      </c>
      <c r="AW125" s="123">
        <v>1335.6964399353667</v>
      </c>
      <c r="AX125" s="123">
        <v>1335.6964399353667</v>
      </c>
      <c r="AY125" s="123">
        <v>1335.6964399353667</v>
      </c>
    </row>
    <row r="126" spans="1:52" x14ac:dyDescent="0.2">
      <c r="A126" s="126"/>
      <c r="B126" s="135">
        <v>5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188.43860718893723</v>
      </c>
      <c r="K126" s="123">
        <v>696.92448109967961</v>
      </c>
      <c r="L126" s="123">
        <v>902.72767815014515</v>
      </c>
      <c r="M126" s="123">
        <v>291.62840447267604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207.2199384003768</v>
      </c>
      <c r="AE126" s="123">
        <v>263.77684521061894</v>
      </c>
      <c r="AF126" s="123">
        <v>334.841673548382</v>
      </c>
      <c r="AG126" s="123">
        <v>461.87069089501188</v>
      </c>
      <c r="AH126" s="123">
        <v>190.72298970967859</v>
      </c>
      <c r="AI126" s="123">
        <v>118.46837630468247</v>
      </c>
      <c r="AJ126" s="123">
        <v>0</v>
      </c>
      <c r="AK126" s="123">
        <v>218.55472904709666</v>
      </c>
      <c r="AL126" s="123">
        <v>307.43744004107793</v>
      </c>
      <c r="AM126" s="123">
        <v>391.50863655274168</v>
      </c>
      <c r="AN126" s="123">
        <v>499.32798094655561</v>
      </c>
      <c r="AO126" s="123">
        <v>788.19746200095472</v>
      </c>
      <c r="AP126" s="123">
        <v>902.72767815014515</v>
      </c>
      <c r="AQ126" s="123">
        <v>902.72767815014515</v>
      </c>
      <c r="AR126" s="123">
        <v>1015.5686379189132</v>
      </c>
      <c r="AS126" s="123">
        <v>1015.5686379189132</v>
      </c>
      <c r="AT126" s="123">
        <v>1015.5686379189132</v>
      </c>
      <c r="AU126" s="123">
        <v>1015.5686379189132</v>
      </c>
      <c r="AV126" s="123">
        <v>902.72767815014515</v>
      </c>
      <c r="AW126" s="123">
        <v>902.72767815014515</v>
      </c>
      <c r="AX126" s="123">
        <v>902.72767815014515</v>
      </c>
      <c r="AY126" s="123">
        <v>902.72767815014515</v>
      </c>
    </row>
    <row r="127" spans="1:52" x14ac:dyDescent="0.2">
      <c r="A127" s="126"/>
      <c r="B127" s="135">
        <v>6</v>
      </c>
      <c r="C127" s="123">
        <v>0</v>
      </c>
      <c r="D127" s="123">
        <v>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158.01497006277242</v>
      </c>
      <c r="M127" s="123">
        <v>0</v>
      </c>
      <c r="N127" s="123">
        <v>0</v>
      </c>
      <c r="O127" s="123">
        <v>0</v>
      </c>
      <c r="P127" s="123">
        <v>0</v>
      </c>
      <c r="Q127" s="123">
        <v>0</v>
      </c>
      <c r="R127" s="123">
        <v>0</v>
      </c>
      <c r="S127" s="123">
        <v>0</v>
      </c>
      <c r="T127" s="123">
        <v>0</v>
      </c>
      <c r="U127" s="123">
        <v>0</v>
      </c>
      <c r="V127" s="123">
        <v>0</v>
      </c>
      <c r="W127" s="123">
        <v>0</v>
      </c>
      <c r="X127" s="123">
        <v>0</v>
      </c>
      <c r="Y127" s="123">
        <v>0</v>
      </c>
      <c r="Z127" s="123">
        <v>0</v>
      </c>
      <c r="AA127" s="123">
        <v>0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85.701625550779568</v>
      </c>
      <c r="AQ127" s="123">
        <v>112.02790190013326</v>
      </c>
      <c r="AR127" s="123">
        <v>167.82046135648784</v>
      </c>
      <c r="AS127" s="123">
        <v>432.79107677247947</v>
      </c>
      <c r="AT127" s="123">
        <v>601.87091952781975</v>
      </c>
      <c r="AU127" s="123">
        <v>656.14318177919301</v>
      </c>
      <c r="AV127" s="123">
        <v>686.36996483647761</v>
      </c>
      <c r="AW127" s="123">
        <v>610.10663541020233</v>
      </c>
      <c r="AX127" s="123">
        <v>475.04958778470865</v>
      </c>
      <c r="AY127" s="123">
        <v>336.16791742411925</v>
      </c>
    </row>
    <row r="128" spans="1:52" x14ac:dyDescent="0.2">
      <c r="A128" s="126"/>
      <c r="B128" s="135">
        <v>7</v>
      </c>
      <c r="C128" s="123">
        <v>0</v>
      </c>
      <c r="D128" s="123">
        <v>0</v>
      </c>
      <c r="E128" s="123">
        <v>0</v>
      </c>
      <c r="F128" s="123">
        <v>0</v>
      </c>
      <c r="G128" s="123">
        <v>0</v>
      </c>
      <c r="H128" s="123">
        <v>0</v>
      </c>
      <c r="I128" s="123">
        <v>0</v>
      </c>
      <c r="J128" s="123">
        <v>0</v>
      </c>
      <c r="K128" s="123">
        <v>0</v>
      </c>
      <c r="L128" s="123">
        <v>0</v>
      </c>
      <c r="M128" s="123">
        <v>0</v>
      </c>
      <c r="N128" s="123">
        <v>0</v>
      </c>
      <c r="O128" s="123">
        <v>0</v>
      </c>
      <c r="P128" s="123">
        <v>0</v>
      </c>
      <c r="Q128" s="123">
        <v>0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5.4530132087807033</v>
      </c>
      <c r="AW128" s="123">
        <v>24.56712976785002</v>
      </c>
      <c r="AX128" s="123">
        <v>0</v>
      </c>
      <c r="AY128" s="123">
        <v>0</v>
      </c>
    </row>
    <row r="129" spans="1:51" x14ac:dyDescent="0.2">
      <c r="A129" s="126"/>
      <c r="B129" s="135">
        <v>8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</row>
    <row r="130" spans="1:51" x14ac:dyDescent="0.2">
      <c r="A130" s="126"/>
      <c r="B130" s="135">
        <v>9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</row>
    <row r="131" spans="1:51" x14ac:dyDescent="0.2">
      <c r="A131" s="126"/>
      <c r="B131" s="135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</row>
    <row r="132" spans="1:51" x14ac:dyDescent="0.2">
      <c r="A132" s="126"/>
      <c r="B132" s="135">
        <v>11</v>
      </c>
      <c r="C132" s="123">
        <v>0</v>
      </c>
      <c r="D132" s="123">
        <v>0</v>
      </c>
      <c r="E132" s="123">
        <v>0</v>
      </c>
      <c r="F132" s="123">
        <v>0</v>
      </c>
      <c r="G132" s="123">
        <v>0</v>
      </c>
      <c r="H132" s="123">
        <v>0</v>
      </c>
      <c r="I132" s="123">
        <v>0</v>
      </c>
      <c r="J132" s="123">
        <v>0</v>
      </c>
      <c r="K132" s="123">
        <v>0</v>
      </c>
      <c r="L132" s="123">
        <v>0</v>
      </c>
      <c r="M132" s="123">
        <v>0</v>
      </c>
      <c r="N132" s="123">
        <v>0</v>
      </c>
      <c r="O132" s="123">
        <v>0</v>
      </c>
      <c r="P132" s="123">
        <v>0</v>
      </c>
      <c r="Q132" s="123">
        <v>0</v>
      </c>
      <c r="R132" s="123">
        <v>0</v>
      </c>
      <c r="S132" s="123">
        <v>0</v>
      </c>
      <c r="T132" s="123">
        <v>0</v>
      </c>
      <c r="U132" s="123">
        <v>0</v>
      </c>
      <c r="V132" s="123">
        <v>0</v>
      </c>
      <c r="W132" s="123">
        <v>0</v>
      </c>
      <c r="X132" s="123">
        <v>0</v>
      </c>
      <c r="Y132" s="123">
        <v>0</v>
      </c>
      <c r="Z132" s="123">
        <v>0</v>
      </c>
      <c r="AA132" s="123">
        <v>0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</v>
      </c>
      <c r="AW132" s="123">
        <v>0</v>
      </c>
      <c r="AX132" s="123">
        <v>0</v>
      </c>
      <c r="AY132" s="123">
        <v>0</v>
      </c>
    </row>
    <row r="133" spans="1:51" x14ac:dyDescent="0.2">
      <c r="A133" s="126"/>
      <c r="B133" s="135">
        <v>12</v>
      </c>
      <c r="C133" s="123">
        <v>0</v>
      </c>
      <c r="D133" s="123">
        <v>0</v>
      </c>
      <c r="E133" s="123">
        <v>0</v>
      </c>
      <c r="F133" s="123">
        <v>0</v>
      </c>
      <c r="G133" s="123">
        <v>0</v>
      </c>
      <c r="H133" s="123">
        <v>0</v>
      </c>
      <c r="I133" s="123">
        <v>0</v>
      </c>
      <c r="J133" s="123">
        <v>0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0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0</v>
      </c>
      <c r="Z133" s="123">
        <v>0</v>
      </c>
      <c r="AA133" s="123">
        <v>0</v>
      </c>
      <c r="AB133" s="123">
        <v>0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0</v>
      </c>
      <c r="AX133" s="123">
        <v>0</v>
      </c>
      <c r="AY133" s="123">
        <v>0</v>
      </c>
    </row>
    <row r="134" spans="1:51" x14ac:dyDescent="0.2">
      <c r="A134" s="126"/>
      <c r="B134" s="136">
        <v>13</v>
      </c>
      <c r="C134" s="123">
        <v>0</v>
      </c>
      <c r="D134" s="123">
        <v>0</v>
      </c>
      <c r="E134" s="123">
        <v>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0</v>
      </c>
      <c r="L134" s="123">
        <v>0</v>
      </c>
      <c r="M134" s="123">
        <v>0</v>
      </c>
      <c r="N134" s="123">
        <v>0</v>
      </c>
      <c r="O134" s="123">
        <v>0</v>
      </c>
      <c r="P134" s="123">
        <v>0</v>
      </c>
      <c r="Q134" s="123">
        <v>0</v>
      </c>
      <c r="R134" s="123">
        <v>0</v>
      </c>
      <c r="S134" s="123">
        <v>0</v>
      </c>
      <c r="T134" s="123">
        <v>0</v>
      </c>
      <c r="U134" s="123">
        <v>0</v>
      </c>
      <c r="V134" s="123">
        <v>0</v>
      </c>
      <c r="W134" s="123">
        <v>0</v>
      </c>
      <c r="X134" s="123">
        <v>0</v>
      </c>
      <c r="Y134" s="123">
        <v>0</v>
      </c>
      <c r="Z134" s="123">
        <v>0</v>
      </c>
      <c r="AA134" s="123">
        <v>0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</row>
    <row r="135" spans="1:51" x14ac:dyDescent="0.2">
      <c r="A135" s="126"/>
      <c r="B135" s="136">
        <v>14</v>
      </c>
      <c r="C135" s="123">
        <v>0</v>
      </c>
      <c r="D135" s="123">
        <v>0</v>
      </c>
      <c r="E135" s="123">
        <v>0</v>
      </c>
      <c r="F135" s="123">
        <v>0</v>
      </c>
      <c r="G135" s="123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0</v>
      </c>
      <c r="U135" s="123">
        <v>0</v>
      </c>
      <c r="V135" s="123">
        <v>0</v>
      </c>
      <c r="W135" s="123">
        <v>0</v>
      </c>
      <c r="X135" s="123">
        <v>0</v>
      </c>
      <c r="Y135" s="123">
        <v>0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</row>
    <row r="136" spans="1:51" x14ac:dyDescent="0.2">
      <c r="A136" s="126"/>
      <c r="B136" s="136">
        <v>15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</row>
    <row r="137" spans="1:51" x14ac:dyDescent="0.2">
      <c r="A137" s="126"/>
      <c r="B137" s="136">
        <v>16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</row>
    <row r="138" spans="1:51" x14ac:dyDescent="0.2">
      <c r="A138" s="126"/>
      <c r="B138" s="136">
        <v>17</v>
      </c>
      <c r="C138" s="123">
        <v>0</v>
      </c>
      <c r="D138" s="123">
        <v>0</v>
      </c>
      <c r="E138" s="123">
        <v>0</v>
      </c>
      <c r="F138" s="123">
        <v>0</v>
      </c>
      <c r="G138" s="123">
        <v>0</v>
      </c>
      <c r="H138" s="123">
        <v>0</v>
      </c>
      <c r="I138" s="123">
        <v>0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</v>
      </c>
      <c r="Q138" s="123">
        <v>0</v>
      </c>
      <c r="R138" s="123">
        <v>0</v>
      </c>
      <c r="S138" s="123">
        <v>0</v>
      </c>
      <c r="T138" s="123">
        <v>0</v>
      </c>
      <c r="U138" s="123">
        <v>0</v>
      </c>
      <c r="V138" s="123">
        <v>0</v>
      </c>
      <c r="W138" s="123">
        <v>0</v>
      </c>
      <c r="X138" s="123">
        <v>0</v>
      </c>
      <c r="Y138" s="123">
        <v>0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</row>
    <row r="139" spans="1:51" x14ac:dyDescent="0.2">
      <c r="A139" s="126"/>
      <c r="B139" s="136">
        <v>18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</v>
      </c>
      <c r="AX139" s="123">
        <v>0</v>
      </c>
      <c r="AY139" s="123">
        <v>0</v>
      </c>
    </row>
    <row r="140" spans="1:51" x14ac:dyDescent="0.2">
      <c r="A140" s="126"/>
      <c r="B140" s="136">
        <v>19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</row>
    <row r="141" spans="1:51" x14ac:dyDescent="0.2">
      <c r="A141" s="126"/>
      <c r="B141" s="136">
        <v>20</v>
      </c>
      <c r="C141" s="123">
        <v>0</v>
      </c>
      <c r="D141" s="123">
        <v>0</v>
      </c>
      <c r="E141" s="123">
        <v>0</v>
      </c>
      <c r="F141" s="123">
        <v>0</v>
      </c>
      <c r="G141" s="123">
        <v>0</v>
      </c>
      <c r="H141" s="123">
        <v>0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</v>
      </c>
      <c r="T141" s="123">
        <v>0</v>
      </c>
      <c r="U141" s="123">
        <v>0</v>
      </c>
      <c r="V141" s="123">
        <v>0</v>
      </c>
      <c r="W141" s="123">
        <v>0</v>
      </c>
      <c r="X141" s="123">
        <v>0</v>
      </c>
      <c r="Y141" s="123">
        <v>0</v>
      </c>
      <c r="Z141" s="123">
        <v>0</v>
      </c>
      <c r="AA141" s="123">
        <v>0</v>
      </c>
      <c r="AB141" s="123">
        <v>0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</v>
      </c>
      <c r="AX141" s="123">
        <v>0</v>
      </c>
      <c r="AY141" s="123">
        <v>0</v>
      </c>
    </row>
    <row r="142" spans="1:51" x14ac:dyDescent="0.2">
      <c r="A142" s="126"/>
      <c r="B142" s="136">
        <v>21</v>
      </c>
      <c r="C142" s="123">
        <v>0</v>
      </c>
      <c r="D142" s="123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123">
        <v>0</v>
      </c>
      <c r="M142" s="123">
        <v>0</v>
      </c>
      <c r="N142" s="123">
        <v>0</v>
      </c>
      <c r="O142" s="123">
        <v>0</v>
      </c>
      <c r="P142" s="123">
        <v>0</v>
      </c>
      <c r="Q142" s="123">
        <v>0</v>
      </c>
      <c r="R142" s="123">
        <v>0</v>
      </c>
      <c r="S142" s="123">
        <v>0</v>
      </c>
      <c r="T142" s="123">
        <v>0</v>
      </c>
      <c r="U142" s="123">
        <v>0</v>
      </c>
      <c r="V142" s="123">
        <v>0</v>
      </c>
      <c r="W142" s="123">
        <v>0</v>
      </c>
      <c r="X142" s="123">
        <v>0</v>
      </c>
      <c r="Y142" s="123">
        <v>0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</row>
    <row r="143" spans="1:51" x14ac:dyDescent="0.2">
      <c r="A143" s="126"/>
      <c r="B143" s="136">
        <v>22</v>
      </c>
      <c r="C143" s="123">
        <v>0</v>
      </c>
      <c r="D143" s="123">
        <v>0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123">
        <v>0</v>
      </c>
      <c r="M143" s="123">
        <v>0</v>
      </c>
      <c r="N143" s="123">
        <v>0</v>
      </c>
      <c r="O143" s="123">
        <v>0</v>
      </c>
      <c r="P143" s="123">
        <v>0</v>
      </c>
      <c r="Q143" s="123">
        <v>0</v>
      </c>
      <c r="R143" s="123">
        <v>0</v>
      </c>
      <c r="S143" s="123">
        <v>0</v>
      </c>
      <c r="T143" s="123">
        <v>0</v>
      </c>
      <c r="U143" s="123">
        <v>0</v>
      </c>
      <c r="V143" s="123">
        <v>0</v>
      </c>
      <c r="W143" s="123">
        <v>0</v>
      </c>
      <c r="X143" s="123">
        <v>0</v>
      </c>
      <c r="Y143" s="123">
        <v>0</v>
      </c>
      <c r="Z143" s="123">
        <v>0</v>
      </c>
      <c r="AA143" s="123">
        <v>0</v>
      </c>
      <c r="AB143" s="123">
        <v>0</v>
      </c>
      <c r="AC143" s="123">
        <v>0</v>
      </c>
      <c r="AD143" s="123">
        <v>0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</row>
    <row r="144" spans="1:51" x14ac:dyDescent="0.2">
      <c r="A144" s="126"/>
      <c r="B144" s="136">
        <v>23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3">
        <v>0</v>
      </c>
      <c r="AP144" s="123">
        <v>0</v>
      </c>
      <c r="AQ144" s="123">
        <v>0</v>
      </c>
      <c r="AR144" s="123">
        <v>0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</row>
    <row r="145" spans="1:51" x14ac:dyDescent="0.2">
      <c r="A145" s="126"/>
      <c r="B145" s="136">
        <v>24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</row>
    <row r="146" spans="1:51" x14ac:dyDescent="0.2">
      <c r="A146" s="126"/>
      <c r="B146" s="143">
        <v>25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0</v>
      </c>
      <c r="R146" s="123">
        <v>0</v>
      </c>
      <c r="S146" s="123">
        <v>0</v>
      </c>
      <c r="T146" s="123">
        <v>0</v>
      </c>
      <c r="U146" s="123">
        <v>0</v>
      </c>
      <c r="V146" s="123">
        <v>0</v>
      </c>
      <c r="W146" s="123">
        <v>0</v>
      </c>
      <c r="X146" s="123">
        <v>0</v>
      </c>
      <c r="Y146" s="123">
        <v>0</v>
      </c>
      <c r="Z146" s="123">
        <v>0</v>
      </c>
      <c r="AA146" s="123">
        <v>0</v>
      </c>
      <c r="AB146" s="123">
        <v>0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0</v>
      </c>
      <c r="AP146" s="123">
        <v>0</v>
      </c>
      <c r="AQ146" s="123">
        <v>0</v>
      </c>
      <c r="AR146" s="123">
        <v>0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</row>
    <row r="147" spans="1:51" x14ac:dyDescent="0.2">
      <c r="A147" s="126"/>
      <c r="B147" s="143">
        <v>26</v>
      </c>
      <c r="C147" s="123">
        <v>0</v>
      </c>
      <c r="D147" s="123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123">
        <v>0</v>
      </c>
      <c r="M147" s="123">
        <v>0</v>
      </c>
      <c r="N147" s="123">
        <v>0</v>
      </c>
      <c r="O147" s="123">
        <v>0</v>
      </c>
      <c r="P147" s="123">
        <v>0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0</v>
      </c>
      <c r="X147" s="123">
        <v>0</v>
      </c>
      <c r="Y147" s="123">
        <v>0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</row>
    <row r="148" spans="1:51" x14ac:dyDescent="0.2">
      <c r="A148" s="126"/>
      <c r="B148" s="143">
        <v>27</v>
      </c>
      <c r="C148" s="123">
        <v>0</v>
      </c>
      <c r="D148" s="123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</v>
      </c>
      <c r="O148" s="123">
        <v>0</v>
      </c>
      <c r="P148" s="123">
        <v>0</v>
      </c>
      <c r="Q148" s="123">
        <v>0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</v>
      </c>
      <c r="AX148" s="123">
        <v>0</v>
      </c>
      <c r="AY148" s="123">
        <v>0</v>
      </c>
    </row>
    <row r="149" spans="1:51" x14ac:dyDescent="0.2">
      <c r="A149" s="126"/>
      <c r="B149" s="143">
        <v>28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0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</row>
    <row r="150" spans="1:51" x14ac:dyDescent="0.2">
      <c r="A150" s="126"/>
      <c r="B150" s="143">
        <v>29</v>
      </c>
      <c r="C150" s="123">
        <v>0</v>
      </c>
      <c r="D150" s="123">
        <v>0</v>
      </c>
      <c r="E150" s="123">
        <v>0</v>
      </c>
      <c r="F150" s="123">
        <v>0</v>
      </c>
      <c r="G150" s="123">
        <v>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</row>
    <row r="151" spans="1:51" x14ac:dyDescent="0.2">
      <c r="A151" s="126"/>
      <c r="B151" s="143">
        <v>30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</row>
    <row r="152" spans="1:51" x14ac:dyDescent="0.2">
      <c r="A152" s="126"/>
      <c r="B152" s="143">
        <v>31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</v>
      </c>
      <c r="AX152" s="123">
        <v>0</v>
      </c>
      <c r="AY152" s="123">
        <v>0</v>
      </c>
    </row>
    <row r="153" spans="1:51" x14ac:dyDescent="0.2">
      <c r="A153" s="126"/>
      <c r="B153" s="143">
        <v>32</v>
      </c>
      <c r="C153" s="123">
        <v>0</v>
      </c>
      <c r="D153" s="123">
        <v>0</v>
      </c>
      <c r="E153" s="123">
        <v>0</v>
      </c>
      <c r="F153" s="123">
        <v>0</v>
      </c>
      <c r="G153" s="123">
        <v>0</v>
      </c>
      <c r="H153" s="123">
        <v>0</v>
      </c>
      <c r="I153" s="123">
        <v>0</v>
      </c>
      <c r="J153" s="123">
        <v>0</v>
      </c>
      <c r="K153" s="123">
        <v>0</v>
      </c>
      <c r="L153" s="123">
        <v>0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</v>
      </c>
      <c r="T153" s="123">
        <v>0</v>
      </c>
      <c r="U153" s="123">
        <v>0</v>
      </c>
      <c r="V153" s="123">
        <v>0</v>
      </c>
      <c r="W153" s="123">
        <v>0</v>
      </c>
      <c r="X153" s="123">
        <v>0</v>
      </c>
      <c r="Y153" s="123">
        <v>0</v>
      </c>
      <c r="Z153" s="123">
        <v>0</v>
      </c>
      <c r="AA153" s="123">
        <v>0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</v>
      </c>
      <c r="AX153" s="123">
        <v>0</v>
      </c>
      <c r="AY153" s="123">
        <v>0</v>
      </c>
    </row>
    <row r="154" spans="1:51" x14ac:dyDescent="0.2">
      <c r="A154" s="126"/>
      <c r="B154" s="143">
        <v>33</v>
      </c>
      <c r="C154" s="123">
        <v>0</v>
      </c>
      <c r="D154" s="123">
        <v>0</v>
      </c>
      <c r="E154" s="123">
        <v>0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0</v>
      </c>
      <c r="L154" s="123">
        <v>0</v>
      </c>
      <c r="M154" s="123">
        <v>0</v>
      </c>
      <c r="N154" s="123">
        <v>0</v>
      </c>
      <c r="O154" s="123">
        <v>0</v>
      </c>
      <c r="P154" s="123">
        <v>0</v>
      </c>
      <c r="Q154" s="123">
        <v>0</v>
      </c>
      <c r="R154" s="123">
        <v>0</v>
      </c>
      <c r="S154" s="123">
        <v>0</v>
      </c>
      <c r="T154" s="123">
        <v>0</v>
      </c>
      <c r="U154" s="123">
        <v>0</v>
      </c>
      <c r="V154" s="123">
        <v>0</v>
      </c>
      <c r="W154" s="123">
        <v>0</v>
      </c>
      <c r="X154" s="123">
        <v>0</v>
      </c>
      <c r="Y154" s="123">
        <v>0</v>
      </c>
      <c r="Z154" s="123">
        <v>0</v>
      </c>
      <c r="AA154" s="123">
        <v>0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</v>
      </c>
      <c r="AX154" s="123">
        <v>0</v>
      </c>
      <c r="AY154" s="123">
        <v>0</v>
      </c>
    </row>
    <row r="155" spans="1:51" x14ac:dyDescent="0.2">
      <c r="A155" s="126"/>
      <c r="B155" s="143">
        <v>34</v>
      </c>
      <c r="C155" s="123">
        <v>0</v>
      </c>
      <c r="D155" s="123">
        <v>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0</v>
      </c>
      <c r="U155" s="123">
        <v>0</v>
      </c>
      <c r="V155" s="123">
        <v>0</v>
      </c>
      <c r="W155" s="123">
        <v>0</v>
      </c>
      <c r="X155" s="123">
        <v>0</v>
      </c>
      <c r="Y155" s="123">
        <v>0</v>
      </c>
      <c r="Z155" s="123">
        <v>0</v>
      </c>
      <c r="AA155" s="123">
        <v>0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</row>
    <row r="156" spans="1:51" x14ac:dyDescent="0.2">
      <c r="A156" s="126"/>
      <c r="B156" s="143">
        <v>35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</row>
    <row r="157" spans="1:51" x14ac:dyDescent="0.2">
      <c r="A157" s="126"/>
      <c r="B157" s="143">
        <v>36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</v>
      </c>
      <c r="AP157" s="123">
        <v>0</v>
      </c>
      <c r="AQ157" s="123">
        <v>0</v>
      </c>
      <c r="AR157" s="123">
        <v>0</v>
      </c>
      <c r="AS157" s="123">
        <v>0</v>
      </c>
      <c r="AT157" s="123">
        <v>0</v>
      </c>
      <c r="AU157" s="123">
        <v>0</v>
      </c>
      <c r="AV157" s="123">
        <v>0</v>
      </c>
      <c r="AW157" s="123">
        <v>0</v>
      </c>
      <c r="AX157" s="123">
        <v>0</v>
      </c>
      <c r="AY157" s="123">
        <v>0</v>
      </c>
    </row>
    <row r="158" spans="1:51" x14ac:dyDescent="0.2">
      <c r="A158" s="126"/>
      <c r="B158" s="146">
        <v>37</v>
      </c>
      <c r="C158" s="123">
        <v>0</v>
      </c>
      <c r="D158" s="123">
        <v>0</v>
      </c>
      <c r="E158" s="123">
        <v>0</v>
      </c>
      <c r="F158" s="123">
        <v>0</v>
      </c>
      <c r="G158" s="123">
        <v>0</v>
      </c>
      <c r="H158" s="123">
        <v>0</v>
      </c>
      <c r="I158" s="123">
        <v>0</v>
      </c>
      <c r="J158" s="123">
        <v>0</v>
      </c>
      <c r="K158" s="123">
        <v>0</v>
      </c>
      <c r="L158" s="123">
        <v>0</v>
      </c>
      <c r="M158" s="123">
        <v>0</v>
      </c>
      <c r="N158" s="123">
        <v>0</v>
      </c>
      <c r="O158" s="123">
        <v>0</v>
      </c>
      <c r="P158" s="123">
        <v>0</v>
      </c>
      <c r="Q158" s="123">
        <v>0</v>
      </c>
      <c r="R158" s="123">
        <v>0</v>
      </c>
      <c r="S158" s="123">
        <v>0</v>
      </c>
      <c r="T158" s="123">
        <v>0</v>
      </c>
      <c r="U158" s="123">
        <v>0</v>
      </c>
      <c r="V158" s="123">
        <v>0</v>
      </c>
      <c r="W158" s="123">
        <v>0</v>
      </c>
      <c r="X158" s="123">
        <v>0</v>
      </c>
      <c r="Y158" s="123">
        <v>0</v>
      </c>
      <c r="Z158" s="123">
        <v>0</v>
      </c>
      <c r="AA158" s="123">
        <v>0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</v>
      </c>
      <c r="AX158" s="123">
        <v>0</v>
      </c>
      <c r="AY158" s="123">
        <v>0</v>
      </c>
    </row>
    <row r="159" spans="1:51" x14ac:dyDescent="0.2">
      <c r="A159" s="126"/>
      <c r="B159" s="146">
        <v>38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0</v>
      </c>
      <c r="W159" s="123">
        <v>0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</row>
    <row r="160" spans="1:51" x14ac:dyDescent="0.2">
      <c r="A160" s="126"/>
      <c r="B160" s="146">
        <v>39</v>
      </c>
      <c r="C160" s="123">
        <v>0</v>
      </c>
      <c r="D160" s="123">
        <v>0</v>
      </c>
      <c r="E160" s="123">
        <v>0</v>
      </c>
      <c r="F160" s="123">
        <v>0</v>
      </c>
      <c r="G160" s="123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0</v>
      </c>
      <c r="X160" s="123">
        <v>0</v>
      </c>
      <c r="Y160" s="123">
        <v>0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</row>
    <row r="161" spans="1:52" x14ac:dyDescent="0.2">
      <c r="A161" s="126"/>
      <c r="B161" s="146">
        <v>40</v>
      </c>
      <c r="C161" s="123">
        <v>0</v>
      </c>
      <c r="D161" s="123">
        <v>0</v>
      </c>
      <c r="E161" s="123">
        <v>0</v>
      </c>
      <c r="F161" s="123">
        <v>0</v>
      </c>
      <c r="G161" s="123">
        <v>0</v>
      </c>
      <c r="H161" s="123">
        <v>0</v>
      </c>
      <c r="I161" s="123">
        <v>0</v>
      </c>
      <c r="J161" s="123">
        <v>0</v>
      </c>
      <c r="K161" s="123">
        <v>0</v>
      </c>
      <c r="L161" s="123">
        <v>0</v>
      </c>
      <c r="M161" s="123">
        <v>0</v>
      </c>
      <c r="N161" s="123">
        <v>0</v>
      </c>
      <c r="O161" s="123">
        <v>0</v>
      </c>
      <c r="P161" s="123">
        <v>0</v>
      </c>
      <c r="Q161" s="123">
        <v>0</v>
      </c>
      <c r="R161" s="123">
        <v>0</v>
      </c>
      <c r="S161" s="123">
        <v>0</v>
      </c>
      <c r="T161" s="123">
        <v>0</v>
      </c>
      <c r="U161" s="123">
        <v>0</v>
      </c>
      <c r="V161" s="123">
        <v>0</v>
      </c>
      <c r="W161" s="123">
        <v>0</v>
      </c>
      <c r="X161" s="123">
        <v>0</v>
      </c>
      <c r="Y161" s="123">
        <v>0</v>
      </c>
      <c r="Z161" s="123">
        <v>0</v>
      </c>
      <c r="AA161" s="123">
        <v>0</v>
      </c>
      <c r="AB161" s="123">
        <v>0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</v>
      </c>
      <c r="AO161" s="123">
        <v>0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</row>
    <row r="162" spans="1:52" x14ac:dyDescent="0.2">
      <c r="A162" s="126"/>
      <c r="B162" s="146">
        <v>41</v>
      </c>
      <c r="C162" s="123">
        <v>0</v>
      </c>
      <c r="D162" s="123">
        <v>0</v>
      </c>
      <c r="E162" s="123">
        <v>0</v>
      </c>
      <c r="F162" s="123">
        <v>0</v>
      </c>
      <c r="G162" s="123">
        <v>0</v>
      </c>
      <c r="H162" s="123">
        <v>0</v>
      </c>
      <c r="I162" s="123">
        <v>0</v>
      </c>
      <c r="J162" s="123">
        <v>0</v>
      </c>
      <c r="K162" s="123">
        <v>0</v>
      </c>
      <c r="L162" s="123">
        <v>0</v>
      </c>
      <c r="M162" s="123">
        <v>0</v>
      </c>
      <c r="N162" s="123">
        <v>0</v>
      </c>
      <c r="O162" s="123">
        <v>0</v>
      </c>
      <c r="P162" s="123">
        <v>0</v>
      </c>
      <c r="Q162" s="123">
        <v>0</v>
      </c>
      <c r="R162" s="123">
        <v>0</v>
      </c>
      <c r="S162" s="123">
        <v>0</v>
      </c>
      <c r="T162" s="123">
        <v>0</v>
      </c>
      <c r="U162" s="123">
        <v>0</v>
      </c>
      <c r="V162" s="123">
        <v>0</v>
      </c>
      <c r="W162" s="123">
        <v>0</v>
      </c>
      <c r="X162" s="123">
        <v>0</v>
      </c>
      <c r="Y162" s="123">
        <v>0</v>
      </c>
      <c r="Z162" s="123">
        <v>0</v>
      </c>
      <c r="AA162" s="123">
        <v>0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</row>
    <row r="163" spans="1:52" x14ac:dyDescent="0.2">
      <c r="A163" s="126"/>
      <c r="B163" s="146">
        <v>42</v>
      </c>
      <c r="C163" s="123">
        <v>0</v>
      </c>
      <c r="D163" s="123">
        <v>0</v>
      </c>
      <c r="E163" s="123">
        <v>0</v>
      </c>
      <c r="F163" s="123">
        <v>0</v>
      </c>
      <c r="G163" s="123">
        <v>0</v>
      </c>
      <c r="H163" s="123">
        <v>0</v>
      </c>
      <c r="I163" s="123">
        <v>0</v>
      </c>
      <c r="J163" s="123">
        <v>0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0</v>
      </c>
      <c r="U163" s="123">
        <v>0</v>
      </c>
      <c r="V163" s="123">
        <v>0</v>
      </c>
      <c r="W163" s="123">
        <v>0</v>
      </c>
      <c r="X163" s="123">
        <v>0</v>
      </c>
      <c r="Y163" s="123">
        <v>0</v>
      </c>
      <c r="Z163" s="123">
        <v>0</v>
      </c>
      <c r="AA163" s="123">
        <v>0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</row>
    <row r="164" spans="1:52" x14ac:dyDescent="0.2">
      <c r="A164" s="126"/>
      <c r="B164" s="146">
        <v>43</v>
      </c>
      <c r="C164" s="123">
        <v>0</v>
      </c>
      <c r="D164" s="123">
        <v>0</v>
      </c>
      <c r="E164" s="123">
        <v>0</v>
      </c>
      <c r="F164" s="123">
        <v>0</v>
      </c>
      <c r="G164" s="123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</row>
    <row r="165" spans="1:52" x14ac:dyDescent="0.2">
      <c r="A165" s="126"/>
      <c r="B165" s="146">
        <v>44</v>
      </c>
      <c r="C165" s="123">
        <v>0</v>
      </c>
      <c r="D165" s="123">
        <v>0</v>
      </c>
      <c r="E165" s="123">
        <v>0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0</v>
      </c>
      <c r="L165" s="123">
        <v>0</v>
      </c>
      <c r="M165" s="123">
        <v>0</v>
      </c>
      <c r="N165" s="123">
        <v>0</v>
      </c>
      <c r="O165" s="123">
        <v>0</v>
      </c>
      <c r="P165" s="123">
        <v>0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0</v>
      </c>
      <c r="AP165" s="123">
        <v>0</v>
      </c>
      <c r="AQ165" s="123">
        <v>0</v>
      </c>
      <c r="AR165" s="123">
        <v>0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</row>
    <row r="166" spans="1:52" x14ac:dyDescent="0.2">
      <c r="A166" s="126"/>
      <c r="B166" s="146">
        <v>45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0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</v>
      </c>
      <c r="Q166" s="123">
        <v>0</v>
      </c>
      <c r="R166" s="123">
        <v>0</v>
      </c>
      <c r="S166" s="123">
        <v>0</v>
      </c>
      <c r="T166" s="123">
        <v>0</v>
      </c>
      <c r="U166" s="123">
        <v>0</v>
      </c>
      <c r="V166" s="123">
        <v>0</v>
      </c>
      <c r="W166" s="123">
        <v>0</v>
      </c>
      <c r="X166" s="123">
        <v>0</v>
      </c>
      <c r="Y166" s="123">
        <v>0</v>
      </c>
      <c r="Z166" s="123">
        <v>0</v>
      </c>
      <c r="AA166" s="123">
        <v>0</v>
      </c>
      <c r="AB166" s="123">
        <v>0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</row>
    <row r="167" spans="1:52" x14ac:dyDescent="0.2">
      <c r="A167" s="126"/>
      <c r="B167" s="146">
        <v>46</v>
      </c>
      <c r="C167" s="123">
        <v>0</v>
      </c>
      <c r="D167" s="123">
        <v>0</v>
      </c>
      <c r="E167" s="123">
        <v>0</v>
      </c>
      <c r="F167" s="123">
        <v>0</v>
      </c>
      <c r="G167" s="123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</v>
      </c>
      <c r="U167" s="123">
        <v>0</v>
      </c>
      <c r="V167" s="123">
        <v>0</v>
      </c>
      <c r="W167" s="123">
        <v>0</v>
      </c>
      <c r="X167" s="123">
        <v>0</v>
      </c>
      <c r="Y167" s="123">
        <v>0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</v>
      </c>
      <c r="AX167" s="123">
        <v>0</v>
      </c>
      <c r="AY167" s="123">
        <v>0</v>
      </c>
    </row>
    <row r="168" spans="1:52" x14ac:dyDescent="0.2">
      <c r="A168" s="126"/>
      <c r="B168" s="146">
        <v>47</v>
      </c>
      <c r="C168" s="123">
        <v>0</v>
      </c>
      <c r="D168" s="123">
        <v>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123">
        <v>0</v>
      </c>
      <c r="O168" s="123">
        <v>0</v>
      </c>
      <c r="P168" s="123">
        <v>0</v>
      </c>
      <c r="Q168" s="123">
        <v>0</v>
      </c>
      <c r="R168" s="123">
        <v>0</v>
      </c>
      <c r="S168" s="123">
        <v>0</v>
      </c>
      <c r="T168" s="123">
        <v>0</v>
      </c>
      <c r="U168" s="123">
        <v>0</v>
      </c>
      <c r="V168" s="123">
        <v>0</v>
      </c>
      <c r="W168" s="123">
        <v>0</v>
      </c>
      <c r="X168" s="123">
        <v>0</v>
      </c>
      <c r="Y168" s="123">
        <v>0</v>
      </c>
      <c r="Z168" s="123">
        <v>0</v>
      </c>
      <c r="AA168" s="123">
        <v>0</v>
      </c>
      <c r="AB168" s="123">
        <v>0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</v>
      </c>
      <c r="AU168" s="123">
        <v>0</v>
      </c>
      <c r="AV168" s="123">
        <v>0</v>
      </c>
      <c r="AW168" s="123">
        <v>0</v>
      </c>
      <c r="AX168" s="123">
        <v>0</v>
      </c>
      <c r="AY168" s="123">
        <v>0</v>
      </c>
    </row>
    <row r="169" spans="1:52" x14ac:dyDescent="0.2">
      <c r="A169" s="126"/>
      <c r="B169" s="146">
        <v>48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</row>
    <row r="170" spans="1:52" x14ac:dyDescent="0.2">
      <c r="A170" s="144"/>
      <c r="B170" s="148" t="s">
        <v>296</v>
      </c>
      <c r="C170" s="130">
        <v>0</v>
      </c>
      <c r="D170" s="141">
        <v>0</v>
      </c>
      <c r="E170" s="141">
        <v>0</v>
      </c>
      <c r="F170" s="141">
        <v>0</v>
      </c>
      <c r="G170" s="141">
        <v>0</v>
      </c>
      <c r="H170" s="141">
        <v>0</v>
      </c>
      <c r="I170" s="141">
        <v>0</v>
      </c>
      <c r="J170" s="141">
        <v>0</v>
      </c>
      <c r="K170" s="141">
        <v>0</v>
      </c>
      <c r="L170" s="141">
        <v>0</v>
      </c>
      <c r="M170" s="141">
        <v>0</v>
      </c>
      <c r="N170" s="141">
        <v>0</v>
      </c>
      <c r="O170" s="141">
        <v>0</v>
      </c>
      <c r="P170" s="141">
        <v>0</v>
      </c>
      <c r="Q170" s="141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141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141">
        <v>0</v>
      </c>
      <c r="AI170" s="141">
        <v>0</v>
      </c>
      <c r="AJ170" s="141">
        <v>0</v>
      </c>
      <c r="AK170" s="141">
        <v>0</v>
      </c>
      <c r="AL170" s="141">
        <v>0</v>
      </c>
      <c r="AM170" s="141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141">
        <v>0</v>
      </c>
      <c r="AT170" s="141">
        <v>0</v>
      </c>
      <c r="AU170" s="141">
        <v>0</v>
      </c>
      <c r="AV170" s="141">
        <v>0</v>
      </c>
      <c r="AW170" s="141">
        <v>0</v>
      </c>
      <c r="AX170" s="141">
        <v>0</v>
      </c>
      <c r="AY170" s="141">
        <v>0</v>
      </c>
      <c r="AZ170" s="124">
        <f>SUM($D170:$AY170)</f>
        <v>0</v>
      </c>
    </row>
    <row r="172" spans="1:52" x14ac:dyDescent="0.2">
      <c r="A172" s="1" t="s">
        <v>124</v>
      </c>
      <c r="B172" s="149" t="s">
        <v>297</v>
      </c>
      <c r="C172" s="150">
        <v>0.27540347480877819</v>
      </c>
      <c r="D172" s="150">
        <v>0.32415206692186183</v>
      </c>
      <c r="E172" s="150">
        <v>0.32415206692186183</v>
      </c>
      <c r="F172" s="150">
        <v>0.32415206692186183</v>
      </c>
      <c r="G172" s="150">
        <v>0.32415206692186183</v>
      </c>
      <c r="H172" s="150">
        <v>0.32415206692186183</v>
      </c>
      <c r="I172" s="150">
        <v>0.32415206692186183</v>
      </c>
      <c r="J172" s="150">
        <v>0.32415206692186183</v>
      </c>
      <c r="K172" s="150">
        <v>0.32415206692186183</v>
      </c>
      <c r="L172" s="150">
        <v>0.32415206692186183</v>
      </c>
      <c r="M172" s="150">
        <v>0.32415206692186183</v>
      </c>
      <c r="N172" s="150">
        <v>0.32415206692186183</v>
      </c>
      <c r="O172" s="150">
        <v>0.32415206692186183</v>
      </c>
      <c r="P172" s="150">
        <v>0.32415206692186183</v>
      </c>
      <c r="Q172" s="150">
        <v>0.32415206692186183</v>
      </c>
      <c r="R172" s="150">
        <v>0.32415206692186183</v>
      </c>
      <c r="S172" s="150">
        <v>0.32415206692186183</v>
      </c>
      <c r="T172" s="150">
        <v>0.32415206692186183</v>
      </c>
      <c r="U172" s="150">
        <v>0.32415206692186183</v>
      </c>
      <c r="V172" s="150">
        <v>0.32415206692186183</v>
      </c>
      <c r="W172" s="150">
        <v>0.32415206692186183</v>
      </c>
      <c r="X172" s="150">
        <v>0.32415206692186183</v>
      </c>
      <c r="Y172" s="150">
        <v>0.32415206692186183</v>
      </c>
      <c r="Z172" s="150">
        <v>0.32415206692186183</v>
      </c>
      <c r="AA172" s="150">
        <v>0.32415206692186183</v>
      </c>
      <c r="AB172" s="150">
        <v>0.32415206692186183</v>
      </c>
      <c r="AC172" s="150">
        <v>0.32415206692186183</v>
      </c>
      <c r="AD172" s="150">
        <v>0.32415206692186183</v>
      </c>
      <c r="AE172" s="150">
        <v>0.32415206692186183</v>
      </c>
      <c r="AF172" s="150">
        <v>0.32415206692186183</v>
      </c>
      <c r="AG172" s="150">
        <v>0.32415206692186183</v>
      </c>
      <c r="AH172" s="150">
        <v>0.32415206692186183</v>
      </c>
      <c r="AI172" s="150">
        <v>0.32415206692186183</v>
      </c>
      <c r="AJ172" s="150">
        <v>0.32415206692186183</v>
      </c>
      <c r="AK172" s="150">
        <v>0.32415206692186183</v>
      </c>
      <c r="AL172" s="150">
        <v>0.32415206692186183</v>
      </c>
      <c r="AM172" s="150">
        <v>0.32415206692186183</v>
      </c>
      <c r="AN172" s="150">
        <v>0.32415206692186183</v>
      </c>
      <c r="AO172" s="150">
        <v>0.32415206692186183</v>
      </c>
      <c r="AP172" s="150">
        <v>0.32415206692186183</v>
      </c>
      <c r="AQ172" s="150">
        <v>0.32415206692186183</v>
      </c>
      <c r="AR172" s="150">
        <v>0.32415206692186183</v>
      </c>
      <c r="AS172" s="150">
        <v>0.32415206692186183</v>
      </c>
      <c r="AT172" s="150">
        <v>0.32415206692186183</v>
      </c>
      <c r="AU172" s="150">
        <v>0.32415206692186183</v>
      </c>
      <c r="AV172" s="150">
        <v>0.32415206692186183</v>
      </c>
      <c r="AW172" s="150">
        <v>0.32415206692186183</v>
      </c>
      <c r="AX172" s="150">
        <v>0.32415206692186183</v>
      </c>
      <c r="AY172" s="150">
        <v>0.32415206692186183</v>
      </c>
    </row>
    <row r="174" spans="1:52" x14ac:dyDescent="0.2">
      <c r="A174" s="1" t="s">
        <v>272</v>
      </c>
    </row>
    <row r="175" spans="1:52" x14ac:dyDescent="0.2">
      <c r="A175" s="151" t="s">
        <v>125</v>
      </c>
      <c r="B175" s="151" t="s">
        <v>298</v>
      </c>
      <c r="C175" s="140" t="s">
        <v>293</v>
      </c>
      <c r="D175" s="140">
        <f t="shared" ref="D175:AY175" si="1">SUM(D95:D98)</f>
        <v>14741.788630896908</v>
      </c>
      <c r="E175" s="140">
        <f t="shared" si="1"/>
        <v>16984.191007759702</v>
      </c>
      <c r="F175" s="140">
        <f t="shared" si="1"/>
        <v>18702.034942900962</v>
      </c>
      <c r="G175" s="140">
        <f t="shared" si="1"/>
        <v>20944.437319763754</v>
      </c>
      <c r="H175" s="140">
        <f t="shared" si="1"/>
        <v>20007.43981981149</v>
      </c>
      <c r="I175" s="140">
        <f t="shared" si="1"/>
        <v>16506.629860558289</v>
      </c>
      <c r="J175" s="140">
        <f t="shared" si="1"/>
        <v>12540.796584966502</v>
      </c>
      <c r="K175" s="140">
        <f t="shared" si="1"/>
        <v>8952.8679591393593</v>
      </c>
      <c r="L175" s="140">
        <f t="shared" si="1"/>
        <v>5114.9393333122152</v>
      </c>
      <c r="M175" s="140">
        <f t="shared" si="1"/>
        <v>2324.6499606855677</v>
      </c>
      <c r="N175" s="140">
        <f t="shared" si="1"/>
        <v>630.63087663939223</v>
      </c>
      <c r="O175" s="140">
        <f t="shared" si="1"/>
        <v>0</v>
      </c>
      <c r="P175" s="140">
        <f t="shared" si="1"/>
        <v>0</v>
      </c>
      <c r="Q175" s="140">
        <f t="shared" si="1"/>
        <v>0</v>
      </c>
      <c r="R175" s="140">
        <f t="shared" si="1"/>
        <v>0</v>
      </c>
      <c r="S175" s="140">
        <f t="shared" si="1"/>
        <v>0</v>
      </c>
      <c r="T175" s="140">
        <f t="shared" si="1"/>
        <v>0</v>
      </c>
      <c r="U175" s="140">
        <f t="shared" si="1"/>
        <v>0</v>
      </c>
      <c r="V175" s="140">
        <f t="shared" si="1"/>
        <v>0</v>
      </c>
      <c r="W175" s="140">
        <f t="shared" si="1"/>
        <v>0</v>
      </c>
      <c r="X175" s="140">
        <f t="shared" si="1"/>
        <v>0</v>
      </c>
      <c r="Y175" s="140">
        <f t="shared" si="1"/>
        <v>0</v>
      </c>
      <c r="Z175" s="140">
        <f t="shared" si="1"/>
        <v>0</v>
      </c>
      <c r="AA175" s="140">
        <f t="shared" si="1"/>
        <v>0</v>
      </c>
      <c r="AB175" s="140">
        <f t="shared" si="1"/>
        <v>0</v>
      </c>
      <c r="AC175" s="140">
        <f t="shared" si="1"/>
        <v>0</v>
      </c>
      <c r="AD175" s="140">
        <f t="shared" si="1"/>
        <v>0</v>
      </c>
      <c r="AE175" s="140">
        <f t="shared" si="1"/>
        <v>0</v>
      </c>
      <c r="AF175" s="140">
        <f t="shared" si="1"/>
        <v>0</v>
      </c>
      <c r="AG175" s="140">
        <f t="shared" si="1"/>
        <v>0</v>
      </c>
      <c r="AH175" s="140">
        <f t="shared" si="1"/>
        <v>0</v>
      </c>
      <c r="AI175" s="140">
        <f t="shared" si="1"/>
        <v>0</v>
      </c>
      <c r="AJ175" s="140">
        <f t="shared" si="1"/>
        <v>0</v>
      </c>
      <c r="AK175" s="140">
        <f t="shared" si="1"/>
        <v>0</v>
      </c>
      <c r="AL175" s="140">
        <f t="shared" si="1"/>
        <v>0</v>
      </c>
      <c r="AM175" s="140">
        <f t="shared" si="1"/>
        <v>0</v>
      </c>
      <c r="AN175" s="140">
        <f t="shared" si="1"/>
        <v>0</v>
      </c>
      <c r="AO175" s="140">
        <f t="shared" si="1"/>
        <v>0</v>
      </c>
      <c r="AP175" s="140">
        <f t="shared" si="1"/>
        <v>0</v>
      </c>
      <c r="AQ175" s="140">
        <f t="shared" si="1"/>
        <v>0</v>
      </c>
      <c r="AR175" s="140">
        <f t="shared" si="1"/>
        <v>0</v>
      </c>
      <c r="AS175" s="140">
        <f t="shared" si="1"/>
        <v>0</v>
      </c>
      <c r="AT175" s="140">
        <f t="shared" si="1"/>
        <v>0</v>
      </c>
      <c r="AU175" s="140">
        <f t="shared" si="1"/>
        <v>0</v>
      </c>
      <c r="AV175" s="140">
        <f t="shared" si="1"/>
        <v>0</v>
      </c>
      <c r="AW175" s="140">
        <f t="shared" si="1"/>
        <v>0</v>
      </c>
      <c r="AX175" s="140">
        <f t="shared" si="1"/>
        <v>0</v>
      </c>
      <c r="AY175" s="140">
        <f t="shared" si="1"/>
        <v>0</v>
      </c>
    </row>
    <row r="176" spans="1:52" x14ac:dyDescent="0.2">
      <c r="A176" s="141"/>
      <c r="B176" s="152" t="s">
        <v>299</v>
      </c>
      <c r="C176" s="141" t="s">
        <v>293</v>
      </c>
      <c r="D176" s="141">
        <v>389</v>
      </c>
      <c r="E176" s="141">
        <v>311</v>
      </c>
      <c r="F176" s="141">
        <v>380</v>
      </c>
      <c r="G176" s="141">
        <v>376</v>
      </c>
      <c r="H176" s="141">
        <v>704</v>
      </c>
      <c r="I176" s="141">
        <v>805</v>
      </c>
      <c r="J176" s="141">
        <v>608</v>
      </c>
      <c r="K176" s="141">
        <v>723</v>
      </c>
      <c r="L176" s="141">
        <v>354</v>
      </c>
      <c r="M176" s="141">
        <v>395</v>
      </c>
      <c r="N176" s="141">
        <v>355</v>
      </c>
      <c r="O176" s="141">
        <v>0</v>
      </c>
      <c r="P176" s="141">
        <v>0</v>
      </c>
      <c r="Q176" s="141">
        <v>0</v>
      </c>
      <c r="R176" s="141">
        <v>0</v>
      </c>
      <c r="S176" s="141">
        <v>0</v>
      </c>
      <c r="T176" s="141">
        <v>0</v>
      </c>
      <c r="U176" s="141">
        <v>0</v>
      </c>
      <c r="V176" s="141">
        <v>0</v>
      </c>
      <c r="W176" s="141">
        <v>0</v>
      </c>
      <c r="X176" s="141">
        <v>0</v>
      </c>
      <c r="Y176" s="141">
        <v>0</v>
      </c>
      <c r="Z176" s="141">
        <v>0</v>
      </c>
      <c r="AA176" s="141">
        <v>0</v>
      </c>
      <c r="AB176" s="141">
        <v>0</v>
      </c>
      <c r="AC176" s="141">
        <v>0</v>
      </c>
      <c r="AD176" s="141">
        <v>0</v>
      </c>
      <c r="AE176" s="141">
        <v>0</v>
      </c>
      <c r="AF176" s="141">
        <v>0</v>
      </c>
      <c r="AG176" s="141">
        <v>0</v>
      </c>
      <c r="AH176" s="141">
        <v>0</v>
      </c>
      <c r="AI176" s="141">
        <v>0</v>
      </c>
      <c r="AJ176" s="141">
        <v>0</v>
      </c>
      <c r="AK176" s="141">
        <v>0</v>
      </c>
      <c r="AL176" s="141">
        <v>0</v>
      </c>
      <c r="AM176" s="141">
        <v>0</v>
      </c>
      <c r="AN176" s="141">
        <v>0</v>
      </c>
      <c r="AO176" s="141">
        <v>0</v>
      </c>
      <c r="AP176" s="141">
        <v>0</v>
      </c>
      <c r="AQ176" s="141">
        <v>0</v>
      </c>
      <c r="AR176" s="141">
        <v>0</v>
      </c>
      <c r="AS176" s="141">
        <v>0</v>
      </c>
      <c r="AT176" s="141">
        <v>0</v>
      </c>
      <c r="AU176" s="141">
        <v>0</v>
      </c>
      <c r="AV176" s="141">
        <v>0</v>
      </c>
      <c r="AW176" s="141">
        <v>0</v>
      </c>
      <c r="AX176" s="141">
        <v>0</v>
      </c>
      <c r="AY176" s="141">
        <v>0</v>
      </c>
    </row>
    <row r="177" spans="1:51" x14ac:dyDescent="0.2">
      <c r="A177" s="151" t="s">
        <v>133</v>
      </c>
      <c r="B177" s="151" t="s">
        <v>298</v>
      </c>
      <c r="C177" s="140" t="s">
        <v>293</v>
      </c>
      <c r="D177" s="140">
        <f t="shared" ref="D177:AY177" si="2">SUM(D100:D107)</f>
        <v>243.33124677770775</v>
      </c>
      <c r="E177" s="140">
        <f t="shared" si="2"/>
        <v>3008.2738551485127</v>
      </c>
      <c r="F177" s="140">
        <f t="shared" si="2"/>
        <v>2703.2484641663655</v>
      </c>
      <c r="G177" s="140">
        <f t="shared" si="2"/>
        <v>2979.2230731842187</v>
      </c>
      <c r="H177" s="140">
        <f t="shared" si="2"/>
        <v>4420.1976822020715</v>
      </c>
      <c r="I177" s="140">
        <f t="shared" si="2"/>
        <v>4712.2676414552761</v>
      </c>
      <c r="J177" s="140">
        <f t="shared" si="2"/>
        <v>5361.3609170470654</v>
      </c>
      <c r="K177" s="140">
        <f t="shared" si="2"/>
        <v>5801.549542874207</v>
      </c>
      <c r="L177" s="140">
        <f t="shared" si="2"/>
        <v>6312.7381687013485</v>
      </c>
      <c r="M177" s="140">
        <f t="shared" si="2"/>
        <v>6498.2875413280017</v>
      </c>
      <c r="N177" s="140">
        <f t="shared" si="2"/>
        <v>5381.5666253741747</v>
      </c>
      <c r="O177" s="140">
        <f t="shared" si="2"/>
        <v>4985.779973498682</v>
      </c>
      <c r="P177" s="140">
        <f t="shared" si="2"/>
        <v>4018.631035599798</v>
      </c>
      <c r="Q177" s="140">
        <f t="shared" si="2"/>
        <v>4807.2333414585983</v>
      </c>
      <c r="R177" s="140">
        <f t="shared" si="2"/>
        <v>4851.3444820629702</v>
      </c>
      <c r="S177" s="140">
        <f t="shared" si="2"/>
        <v>4892.8228716896083</v>
      </c>
      <c r="T177" s="140">
        <f t="shared" si="2"/>
        <v>5183.4869677396091</v>
      </c>
      <c r="U177" s="140">
        <f t="shared" si="2"/>
        <v>4988.1720473093574</v>
      </c>
      <c r="V177" s="140">
        <f t="shared" si="2"/>
        <v>4140.431532060612</v>
      </c>
      <c r="W177" s="140">
        <f t="shared" si="2"/>
        <v>4016.1002880468059</v>
      </c>
      <c r="X177" s="140">
        <f t="shared" si="2"/>
        <v>4249.8909842312387</v>
      </c>
      <c r="Y177" s="140">
        <f t="shared" si="2"/>
        <v>4944.0847956649495</v>
      </c>
      <c r="Z177" s="140">
        <f t="shared" si="2"/>
        <v>5204.6962843728506</v>
      </c>
      <c r="AA177" s="140">
        <f t="shared" si="2"/>
        <v>5052.5858971286307</v>
      </c>
      <c r="AB177" s="140">
        <f t="shared" si="2"/>
        <v>5153.1775467755497</v>
      </c>
      <c r="AC177" s="140">
        <f t="shared" si="2"/>
        <v>4806.2459846972743</v>
      </c>
      <c r="AD177" s="140">
        <f t="shared" si="2"/>
        <v>4518.1974114070326</v>
      </c>
      <c r="AE177" s="140">
        <f t="shared" si="2"/>
        <v>4302.8748537608226</v>
      </c>
      <c r="AF177" s="140">
        <f t="shared" si="2"/>
        <v>3748.6424373140221</v>
      </c>
      <c r="AG177" s="140">
        <f t="shared" si="2"/>
        <v>4392.5949219746935</v>
      </c>
      <c r="AH177" s="140">
        <f t="shared" si="2"/>
        <v>3670.9820931280383</v>
      </c>
      <c r="AI177" s="140">
        <f t="shared" si="2"/>
        <v>4262.9162860048673</v>
      </c>
      <c r="AJ177" s="140">
        <f t="shared" si="2"/>
        <v>3644.4375269502953</v>
      </c>
      <c r="AK177" s="140">
        <f t="shared" si="2"/>
        <v>2886.2141243464202</v>
      </c>
      <c r="AL177" s="140">
        <f t="shared" si="2"/>
        <v>3723.756263010664</v>
      </c>
      <c r="AM177" s="140">
        <f t="shared" si="2"/>
        <v>3778.5268414478255</v>
      </c>
      <c r="AN177" s="140">
        <f t="shared" si="2"/>
        <v>4126.6450844441097</v>
      </c>
      <c r="AO177" s="140">
        <f t="shared" si="2"/>
        <v>3467.3037315539605</v>
      </c>
      <c r="AP177" s="140">
        <f t="shared" si="2"/>
        <v>3238.0696471928177</v>
      </c>
      <c r="AQ177" s="140">
        <f t="shared" si="2"/>
        <v>2671.8896036701749</v>
      </c>
      <c r="AR177" s="140">
        <f t="shared" si="2"/>
        <v>2811.8064487070519</v>
      </c>
      <c r="AS177" s="140">
        <f t="shared" si="2"/>
        <v>3374.4840185093299</v>
      </c>
      <c r="AT177" s="140">
        <f t="shared" si="2"/>
        <v>3180.8685110611787</v>
      </c>
      <c r="AU177" s="140">
        <f t="shared" si="2"/>
        <v>3020.0571368883197</v>
      </c>
      <c r="AV177" s="140">
        <f t="shared" si="2"/>
        <v>3096.1973974938342</v>
      </c>
      <c r="AW177" s="140">
        <f t="shared" si="2"/>
        <v>3188.1598784734019</v>
      </c>
      <c r="AX177" s="140">
        <f t="shared" si="2"/>
        <v>3250.5436951088691</v>
      </c>
      <c r="AY177" s="140">
        <f t="shared" si="2"/>
        <v>2289.3854119248731</v>
      </c>
    </row>
    <row r="178" spans="1:51" x14ac:dyDescent="0.2">
      <c r="A178" s="141"/>
      <c r="B178" s="152" t="s">
        <v>299</v>
      </c>
      <c r="C178" s="141" t="s">
        <v>293</v>
      </c>
      <c r="D178" s="141">
        <v>243.33124677770775</v>
      </c>
      <c r="E178" s="141">
        <v>999</v>
      </c>
      <c r="F178" s="141">
        <v>1288</v>
      </c>
      <c r="G178" s="141">
        <v>1122</v>
      </c>
      <c r="H178" s="141">
        <v>1262</v>
      </c>
      <c r="I178" s="141">
        <v>947</v>
      </c>
      <c r="J178" s="141">
        <v>1060</v>
      </c>
      <c r="K178" s="141">
        <v>1032</v>
      </c>
      <c r="L178" s="141">
        <v>1013</v>
      </c>
      <c r="M178" s="141">
        <v>885</v>
      </c>
      <c r="N178" s="141">
        <v>1038</v>
      </c>
      <c r="O178" s="141">
        <v>1023</v>
      </c>
      <c r="P178" s="141">
        <v>599</v>
      </c>
      <c r="Q178" s="141">
        <v>611</v>
      </c>
      <c r="R178" s="141">
        <v>645</v>
      </c>
      <c r="S178" s="141">
        <v>645</v>
      </c>
      <c r="T178" s="141">
        <v>1648</v>
      </c>
      <c r="U178" s="141">
        <v>1392</v>
      </c>
      <c r="V178" s="141">
        <v>1624</v>
      </c>
      <c r="W178" s="141">
        <v>1086</v>
      </c>
      <c r="X178" s="141">
        <v>534</v>
      </c>
      <c r="Y178" s="141">
        <v>433</v>
      </c>
      <c r="Z178" s="141">
        <v>447</v>
      </c>
      <c r="AA178" s="141">
        <v>472</v>
      </c>
      <c r="AB178" s="141">
        <v>467</v>
      </c>
      <c r="AC178" s="141">
        <v>443</v>
      </c>
      <c r="AD178" s="141">
        <v>555</v>
      </c>
      <c r="AE178" s="141">
        <v>411</v>
      </c>
      <c r="AF178" s="141">
        <v>441</v>
      </c>
      <c r="AG178" s="141">
        <v>541</v>
      </c>
      <c r="AH178" s="141">
        <v>481</v>
      </c>
      <c r="AI178" s="141">
        <v>546</v>
      </c>
      <c r="AJ178" s="141">
        <v>1139</v>
      </c>
      <c r="AK178" s="141">
        <v>1251</v>
      </c>
      <c r="AL178" s="141">
        <v>994</v>
      </c>
      <c r="AM178" s="141">
        <v>1062</v>
      </c>
      <c r="AN178" s="141">
        <v>1092</v>
      </c>
      <c r="AO178" s="141">
        <v>1034</v>
      </c>
      <c r="AP178" s="141">
        <v>998</v>
      </c>
      <c r="AQ178" s="141">
        <v>829</v>
      </c>
      <c r="AR178" s="141">
        <v>1099</v>
      </c>
      <c r="AS178" s="141">
        <v>1456</v>
      </c>
      <c r="AT178" s="141">
        <v>1704</v>
      </c>
      <c r="AU178" s="141">
        <v>1377</v>
      </c>
      <c r="AV178" s="141">
        <v>767</v>
      </c>
      <c r="AW178" s="141">
        <v>873</v>
      </c>
      <c r="AX178" s="141">
        <v>914</v>
      </c>
      <c r="AY178" s="141">
        <v>735</v>
      </c>
    </row>
    <row r="179" spans="1:51" x14ac:dyDescent="0.2">
      <c r="A179" s="151" t="s">
        <v>134</v>
      </c>
      <c r="B179" s="151" t="s">
        <v>298</v>
      </c>
      <c r="C179" s="140" t="s">
        <v>293</v>
      </c>
      <c r="D179" s="140">
        <f t="shared" ref="D179:AY179" si="3">SUM(D109:D120)</f>
        <v>0</v>
      </c>
      <c r="E179" s="140">
        <f t="shared" si="3"/>
        <v>1577.8369282876836</v>
      </c>
      <c r="F179" s="140">
        <f t="shared" si="3"/>
        <v>2870.9372928958283</v>
      </c>
      <c r="G179" s="140">
        <f t="shared" si="3"/>
        <v>4615.233560296153</v>
      </c>
      <c r="H179" s="140">
        <f t="shared" si="3"/>
        <v>6396.6242114631896</v>
      </c>
      <c r="I179" s="140">
        <f t="shared" si="3"/>
        <v>8555.9587425737627</v>
      </c>
      <c r="J179" s="140">
        <f t="shared" si="3"/>
        <v>11179.46022546395</v>
      </c>
      <c r="K179" s="140">
        <f t="shared" si="3"/>
        <v>13985.676406545128</v>
      </c>
      <c r="L179" s="140">
        <f t="shared" si="3"/>
        <v>16948.598239431889</v>
      </c>
      <c r="M179" s="140">
        <f t="shared" si="3"/>
        <v>20322.452483172128</v>
      </c>
      <c r="N179" s="140">
        <f t="shared" si="3"/>
        <v>23482.996755104927</v>
      </c>
      <c r="O179" s="140">
        <f t="shared" si="3"/>
        <v>24783.828777787494</v>
      </c>
      <c r="P179" s="140">
        <f t="shared" si="3"/>
        <v>25488.597684376295</v>
      </c>
      <c r="Q179" s="140">
        <f t="shared" si="3"/>
        <v>25070.666376675592</v>
      </c>
      <c r="R179" s="140">
        <f t="shared" si="3"/>
        <v>24843.072464028381</v>
      </c>
      <c r="S179" s="140">
        <f t="shared" si="3"/>
        <v>24575.58762216114</v>
      </c>
      <c r="T179" s="140">
        <f t="shared" si="3"/>
        <v>25051.020032502012</v>
      </c>
      <c r="U179" s="140">
        <f t="shared" si="3"/>
        <v>25032.099693314911</v>
      </c>
      <c r="V179" s="140">
        <f t="shared" si="3"/>
        <v>25793.049751158818</v>
      </c>
      <c r="W179" s="140">
        <f t="shared" si="3"/>
        <v>25899.723843924647</v>
      </c>
      <c r="X179" s="140">
        <f t="shared" si="3"/>
        <v>25364.999598565231</v>
      </c>
      <c r="Y179" s="140">
        <f t="shared" si="3"/>
        <v>24692.420469927736</v>
      </c>
      <c r="Z179" s="140">
        <f t="shared" si="3"/>
        <v>24420.417219911793</v>
      </c>
      <c r="AA179" s="140">
        <f t="shared" si="3"/>
        <v>24665.828508821862</v>
      </c>
      <c r="AB179" s="140">
        <f t="shared" si="3"/>
        <v>24262.451580720128</v>
      </c>
      <c r="AC179" s="140">
        <f t="shared" si="3"/>
        <v>23754.746338188226</v>
      </c>
      <c r="AD179" s="140">
        <f t="shared" si="3"/>
        <v>23558.190393550183</v>
      </c>
      <c r="AE179" s="140">
        <f t="shared" si="3"/>
        <v>23549.993989394232</v>
      </c>
      <c r="AF179" s="140">
        <f t="shared" si="3"/>
        <v>24574.004077503261</v>
      </c>
      <c r="AG179" s="140">
        <f t="shared" si="3"/>
        <v>24168.549861241772</v>
      </c>
      <c r="AH179" s="140">
        <f t="shared" si="3"/>
        <v>25408.351251828732</v>
      </c>
      <c r="AI179" s="140">
        <f t="shared" si="3"/>
        <v>25055.633727348817</v>
      </c>
      <c r="AJ179" s="140">
        <f t="shared" si="3"/>
        <v>25832.786577297287</v>
      </c>
      <c r="AK179" s="140">
        <f t="shared" si="3"/>
        <v>26332.249536264855</v>
      </c>
      <c r="AL179" s="140">
        <f t="shared" si="3"/>
        <v>25405.824686606626</v>
      </c>
      <c r="AM179" s="140">
        <f t="shared" si="3"/>
        <v>25266.982911657804</v>
      </c>
      <c r="AN179" s="140">
        <f t="shared" si="3"/>
        <v>24270.202824267708</v>
      </c>
      <c r="AO179" s="140">
        <f t="shared" si="3"/>
        <v>24275.147410357637</v>
      </c>
      <c r="AP179" s="140">
        <f t="shared" si="3"/>
        <v>24057.108792463849</v>
      </c>
      <c r="AQ179" s="140">
        <f t="shared" si="3"/>
        <v>24430.000504645217</v>
      </c>
      <c r="AR179" s="140">
        <f t="shared" si="3"/>
        <v>24662.292640383217</v>
      </c>
      <c r="AS179" s="140">
        <f t="shared" si="3"/>
        <v>24200.171740910759</v>
      </c>
      <c r="AT179" s="140">
        <f t="shared" si="3"/>
        <v>24471.748266158542</v>
      </c>
      <c r="AU179" s="140">
        <f t="shared" si="3"/>
        <v>24745.249433071949</v>
      </c>
      <c r="AV179" s="140">
        <f t="shared" si="3"/>
        <v>24746.270335969137</v>
      </c>
      <c r="AW179" s="140">
        <f t="shared" si="3"/>
        <v>24711.457067856772</v>
      </c>
      <c r="AX179" s="140">
        <f t="shared" si="3"/>
        <v>24808.697428614647</v>
      </c>
      <c r="AY179" s="140">
        <f t="shared" si="3"/>
        <v>25908.73738215923</v>
      </c>
    </row>
    <row r="180" spans="1:51" x14ac:dyDescent="0.2">
      <c r="A180" s="141"/>
      <c r="B180" s="152" t="s">
        <v>299</v>
      </c>
      <c r="C180" s="141" t="s">
        <v>293</v>
      </c>
      <c r="D180" s="141">
        <v>0</v>
      </c>
      <c r="E180" s="141">
        <v>982</v>
      </c>
      <c r="F180" s="141">
        <v>965</v>
      </c>
      <c r="G180" s="141">
        <v>1281</v>
      </c>
      <c r="H180" s="141">
        <v>815</v>
      </c>
      <c r="I180" s="141">
        <v>691</v>
      </c>
      <c r="J180" s="141">
        <v>733</v>
      </c>
      <c r="K180" s="141">
        <v>687</v>
      </c>
      <c r="L180" s="141">
        <v>394</v>
      </c>
      <c r="M180" s="141">
        <v>358</v>
      </c>
      <c r="N180" s="141">
        <v>344</v>
      </c>
      <c r="O180" s="141">
        <v>348</v>
      </c>
      <c r="P180" s="141">
        <v>388</v>
      </c>
      <c r="Q180" s="141">
        <v>478</v>
      </c>
      <c r="R180" s="141">
        <v>524</v>
      </c>
      <c r="S180" s="141">
        <v>471</v>
      </c>
      <c r="T180" s="141">
        <v>594</v>
      </c>
      <c r="U180" s="141">
        <v>550</v>
      </c>
      <c r="V180" s="141">
        <v>609</v>
      </c>
      <c r="W180" s="141">
        <v>487</v>
      </c>
      <c r="X180" s="141">
        <v>676</v>
      </c>
      <c r="Y180" s="141">
        <v>917</v>
      </c>
      <c r="Z180" s="141">
        <v>930</v>
      </c>
      <c r="AA180" s="141">
        <v>648</v>
      </c>
      <c r="AB180" s="141">
        <v>580</v>
      </c>
      <c r="AC180" s="141">
        <v>574</v>
      </c>
      <c r="AD180" s="141">
        <v>517</v>
      </c>
      <c r="AE180" s="141">
        <v>737</v>
      </c>
      <c r="AF180" s="141">
        <v>592</v>
      </c>
      <c r="AG180" s="141">
        <v>542</v>
      </c>
      <c r="AH180" s="141">
        <v>560</v>
      </c>
      <c r="AI180" s="141">
        <v>670</v>
      </c>
      <c r="AJ180" s="141">
        <v>1031</v>
      </c>
      <c r="AK180" s="141">
        <v>999</v>
      </c>
      <c r="AL180" s="141">
        <v>934</v>
      </c>
      <c r="AM180" s="141">
        <v>927</v>
      </c>
      <c r="AN180" s="141">
        <v>988</v>
      </c>
      <c r="AO180" s="141">
        <v>984</v>
      </c>
      <c r="AP180" s="141">
        <v>826</v>
      </c>
      <c r="AQ180" s="141">
        <v>1184</v>
      </c>
      <c r="AR180" s="141">
        <v>436</v>
      </c>
      <c r="AS180" s="141">
        <v>383</v>
      </c>
      <c r="AT180" s="141">
        <v>412</v>
      </c>
      <c r="AU180" s="141">
        <v>357</v>
      </c>
      <c r="AV180" s="141">
        <v>336</v>
      </c>
      <c r="AW180" s="141">
        <v>297</v>
      </c>
      <c r="AX180" s="141">
        <v>334</v>
      </c>
      <c r="AY180" s="141">
        <v>219</v>
      </c>
    </row>
    <row r="181" spans="1:51" x14ac:dyDescent="0.2">
      <c r="A181" s="151" t="s">
        <v>123</v>
      </c>
      <c r="B181" s="151" t="s">
        <v>298</v>
      </c>
      <c r="C181" s="140" t="s">
        <v>293</v>
      </c>
      <c r="D181" s="140">
        <f t="shared" ref="D181:AY181" si="4">(1-D172)*SUM(D122:D169)</f>
        <v>3289.7455717123166</v>
      </c>
      <c r="E181" s="140">
        <f t="shared" si="4"/>
        <v>4743.5202050906046</v>
      </c>
      <c r="F181" s="140">
        <f t="shared" si="4"/>
        <v>5648.8064376902812</v>
      </c>
      <c r="G181" s="140">
        <f t="shared" si="4"/>
        <v>6384.9982865232441</v>
      </c>
      <c r="H181" s="140">
        <f t="shared" si="4"/>
        <v>6201.4037554126726</v>
      </c>
      <c r="I181" s="140">
        <f t="shared" si="4"/>
        <v>6910.6422725224857</v>
      </c>
      <c r="J181" s="140">
        <f t="shared" si="4"/>
        <v>7379.1660914413069</v>
      </c>
      <c r="K181" s="140">
        <f t="shared" si="4"/>
        <v>7609.9842585545448</v>
      </c>
      <c r="L181" s="140">
        <f t="shared" si="4"/>
        <v>7855.8700148143043</v>
      </c>
      <c r="M181" s="140">
        <f t="shared" si="4"/>
        <v>7336.0657428815066</v>
      </c>
      <c r="N181" s="140">
        <f t="shared" si="4"/>
        <v>7099.6512487138216</v>
      </c>
      <c r="O181" s="140">
        <f t="shared" si="4"/>
        <v>6914.1887800239101</v>
      </c>
      <c r="P181" s="140">
        <f t="shared" si="4"/>
        <v>7091.5177818658103</v>
      </c>
      <c r="Q181" s="140">
        <f t="shared" si="4"/>
        <v>6841.0005539086478</v>
      </c>
      <c r="R181" s="140">
        <f t="shared" si="4"/>
        <v>6965.0070061492479</v>
      </c>
      <c r="S181" s="140">
        <f t="shared" si="4"/>
        <v>7117.7529997583779</v>
      </c>
      <c r="T181" s="140">
        <f t="shared" si="4"/>
        <v>6599.9882593757275</v>
      </c>
      <c r="U181" s="140">
        <f t="shared" si="4"/>
        <v>6744.7787167805718</v>
      </c>
      <c r="V181" s="140">
        <f t="shared" si="4"/>
        <v>6803.4358680285404</v>
      </c>
      <c r="W181" s="140">
        <f t="shared" si="4"/>
        <v>6815.3694172035302</v>
      </c>
      <c r="X181" s="140">
        <f t="shared" si="4"/>
        <v>7018.7547344073137</v>
      </c>
      <c r="Y181" s="140">
        <f t="shared" si="4"/>
        <v>7004.146495715353</v>
      </c>
      <c r="Z181" s="140">
        <f t="shared" si="4"/>
        <v>7011.8455940495096</v>
      </c>
      <c r="AA181" s="140">
        <f t="shared" si="4"/>
        <v>6948.7883725043221</v>
      </c>
      <c r="AB181" s="140">
        <f t="shared" si="4"/>
        <v>7153.4251771144973</v>
      </c>
      <c r="AC181" s="140">
        <f t="shared" si="4"/>
        <v>7731.0296950427883</v>
      </c>
      <c r="AD181" s="140">
        <f t="shared" si="4"/>
        <v>8058.5486568449505</v>
      </c>
      <c r="AE181" s="140">
        <f t="shared" si="4"/>
        <v>8209.6134851827137</v>
      </c>
      <c r="AF181" s="140">
        <f t="shared" si="4"/>
        <v>7892.1152167835317</v>
      </c>
      <c r="AG181" s="140">
        <f t="shared" si="4"/>
        <v>7730.9266550432267</v>
      </c>
      <c r="AH181" s="140">
        <f t="shared" si="4"/>
        <v>7380.7099866463104</v>
      </c>
      <c r="AI181" s="140">
        <f t="shared" si="4"/>
        <v>7219.0358957524168</v>
      </c>
      <c r="AJ181" s="140">
        <f t="shared" si="4"/>
        <v>7111.7963393887248</v>
      </c>
      <c r="AK181" s="140">
        <f t="shared" si="4"/>
        <v>7286.679050382706</v>
      </c>
      <c r="AL181" s="140">
        <f t="shared" si="4"/>
        <v>7346.7502468943703</v>
      </c>
      <c r="AM181" s="140">
        <f t="shared" si="4"/>
        <v>7403.5695912881838</v>
      </c>
      <c r="AN181" s="140">
        <f t="shared" si="4"/>
        <v>7841.9663580883962</v>
      </c>
      <c r="AO181" s="140">
        <f t="shared" si="4"/>
        <v>8284.239060343336</v>
      </c>
      <c r="AP181" s="140">
        <f t="shared" si="4"/>
        <v>8586.5273916846108</v>
      </c>
      <c r="AQ181" s="140">
        <f t="shared" si="4"/>
        <v>8717.1609109097335</v>
      </c>
      <c r="AR181" s="140">
        <f t="shared" si="4"/>
        <v>8465.6042405799126</v>
      </c>
      <c r="AS181" s="140">
        <f t="shared" si="4"/>
        <v>8397.6432227802816</v>
      </c>
      <c r="AT181" s="140">
        <f t="shared" si="4"/>
        <v>8344.9534300397336</v>
      </c>
      <c r="AU181" s="140">
        <f t="shared" si="4"/>
        <v>8268.7922665370315</v>
      </c>
      <c r="AV181" s="140">
        <f t="shared" si="4"/>
        <v>8216.6430536698263</v>
      </c>
      <c r="AW181" s="140">
        <f t="shared" si="4"/>
        <v>8178.0188762764819</v>
      </c>
      <c r="AX181" s="140">
        <f t="shared" si="4"/>
        <v>8070.137205915893</v>
      </c>
      <c r="AY181" s="140">
        <f t="shared" si="4"/>
        <v>7976.2743160602495</v>
      </c>
    </row>
    <row r="182" spans="1:51" x14ac:dyDescent="0.2">
      <c r="A182" s="141"/>
      <c r="B182" s="152" t="s">
        <v>299</v>
      </c>
      <c r="C182" s="141" t="s">
        <v>293</v>
      </c>
      <c r="D182" s="141">
        <v>1138.7075020135676</v>
      </c>
      <c r="E182" s="141">
        <v>1253</v>
      </c>
      <c r="F182" s="141">
        <v>1069</v>
      </c>
      <c r="G182" s="141">
        <v>1536</v>
      </c>
      <c r="H182" s="141">
        <v>303</v>
      </c>
      <c r="I182" s="141">
        <v>319</v>
      </c>
      <c r="J182" s="141">
        <v>446</v>
      </c>
      <c r="K182" s="141">
        <v>313</v>
      </c>
      <c r="L182" s="141">
        <v>1328</v>
      </c>
      <c r="M182" s="141">
        <v>1158</v>
      </c>
      <c r="N182" s="141">
        <v>1196</v>
      </c>
      <c r="O182" s="141">
        <v>1289</v>
      </c>
      <c r="P182" s="141">
        <v>1837</v>
      </c>
      <c r="Q182" s="141">
        <v>1403</v>
      </c>
      <c r="R182" s="141">
        <v>1301</v>
      </c>
      <c r="S182" s="141">
        <v>1679</v>
      </c>
      <c r="T182" s="141">
        <v>947</v>
      </c>
      <c r="U182" s="141">
        <v>1005</v>
      </c>
      <c r="V182" s="141">
        <v>1046</v>
      </c>
      <c r="W182" s="141">
        <v>757</v>
      </c>
      <c r="X182" s="141">
        <v>982</v>
      </c>
      <c r="Y182" s="141">
        <v>956</v>
      </c>
      <c r="Z182" s="141">
        <v>1057</v>
      </c>
      <c r="AA182" s="141">
        <v>1232</v>
      </c>
      <c r="AB182" s="141">
        <v>582</v>
      </c>
      <c r="AC182" s="141">
        <v>675</v>
      </c>
      <c r="AD182" s="141">
        <v>779</v>
      </c>
      <c r="AE182" s="141">
        <v>859</v>
      </c>
      <c r="AF182" s="141">
        <v>780</v>
      </c>
      <c r="AG182" s="141">
        <v>1137</v>
      </c>
      <c r="AH182" s="141">
        <v>1026</v>
      </c>
      <c r="AI182" s="141">
        <v>1023</v>
      </c>
      <c r="AJ182" s="141">
        <v>657</v>
      </c>
      <c r="AK182" s="141">
        <v>743</v>
      </c>
      <c r="AL182" s="141">
        <v>719</v>
      </c>
      <c r="AM182" s="141">
        <v>668</v>
      </c>
      <c r="AN182" s="141">
        <v>452</v>
      </c>
      <c r="AO182" s="141">
        <v>447</v>
      </c>
      <c r="AP182" s="141">
        <v>556</v>
      </c>
      <c r="AQ182" s="141">
        <v>518</v>
      </c>
      <c r="AR182" s="141">
        <v>367</v>
      </c>
      <c r="AS182" s="141">
        <v>377</v>
      </c>
      <c r="AT182" s="141">
        <v>437</v>
      </c>
      <c r="AU182" s="141">
        <v>438</v>
      </c>
      <c r="AV182" s="141">
        <v>443</v>
      </c>
      <c r="AW182" s="141">
        <v>564</v>
      </c>
      <c r="AX182" s="141">
        <v>595</v>
      </c>
      <c r="AY182" s="141">
        <v>457</v>
      </c>
    </row>
    <row r="184" spans="1:51" x14ac:dyDescent="0.2">
      <c r="A184" s="1" t="s">
        <v>300</v>
      </c>
    </row>
    <row r="185" spans="1:51" x14ac:dyDescent="0.2">
      <c r="A185" s="142" t="s">
        <v>125</v>
      </c>
      <c r="B185" s="139">
        <v>1</v>
      </c>
      <c r="C185" s="140">
        <v>0</v>
      </c>
      <c r="D185" s="140">
        <v>0</v>
      </c>
      <c r="E185" s="140">
        <v>0</v>
      </c>
      <c r="F185" s="140">
        <v>0</v>
      </c>
      <c r="G185" s="140">
        <v>0</v>
      </c>
      <c r="H185" s="140">
        <v>0</v>
      </c>
      <c r="I185" s="140">
        <v>0</v>
      </c>
      <c r="J185" s="140">
        <v>0</v>
      </c>
      <c r="K185" s="140">
        <v>0</v>
      </c>
      <c r="L185" s="140">
        <v>331.86460705910667</v>
      </c>
      <c r="M185" s="140">
        <v>395</v>
      </c>
      <c r="N185" s="140">
        <v>355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0</v>
      </c>
      <c r="W185" s="140">
        <v>0</v>
      </c>
      <c r="X185" s="140">
        <v>0</v>
      </c>
      <c r="Y185" s="140">
        <v>0</v>
      </c>
      <c r="Z185" s="140">
        <v>0</v>
      </c>
      <c r="AA185" s="140">
        <v>0</v>
      </c>
      <c r="AB185" s="140">
        <v>0</v>
      </c>
      <c r="AC185" s="140">
        <v>0</v>
      </c>
      <c r="AD185" s="140">
        <v>0</v>
      </c>
      <c r="AE185" s="140">
        <v>0</v>
      </c>
      <c r="AF185" s="140">
        <v>0</v>
      </c>
      <c r="AG185" s="140">
        <v>0</v>
      </c>
      <c r="AH185" s="140">
        <v>0</v>
      </c>
      <c r="AI185" s="140">
        <v>0</v>
      </c>
      <c r="AJ185" s="140">
        <v>0</v>
      </c>
      <c r="AK185" s="140">
        <v>0</v>
      </c>
      <c r="AL185" s="140">
        <v>0</v>
      </c>
      <c r="AM185" s="140">
        <v>0</v>
      </c>
      <c r="AN185" s="140">
        <v>0</v>
      </c>
      <c r="AO185" s="140">
        <v>0</v>
      </c>
      <c r="AP185" s="140">
        <v>0</v>
      </c>
      <c r="AQ185" s="140">
        <v>0</v>
      </c>
      <c r="AR185" s="140">
        <v>0</v>
      </c>
      <c r="AS185" s="140">
        <v>0</v>
      </c>
      <c r="AT185" s="140">
        <v>0</v>
      </c>
      <c r="AU185" s="140">
        <v>0</v>
      </c>
      <c r="AV185" s="140">
        <v>0</v>
      </c>
      <c r="AW185" s="140">
        <v>0</v>
      </c>
      <c r="AX185" s="140">
        <v>0</v>
      </c>
      <c r="AY185" s="140">
        <v>0</v>
      </c>
    </row>
    <row r="186" spans="1:51" x14ac:dyDescent="0.2">
      <c r="A186" s="126"/>
      <c r="B186" s="136">
        <v>2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723</v>
      </c>
      <c r="L186" s="123">
        <v>22.135392940893325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0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</row>
    <row r="187" spans="1:51" x14ac:dyDescent="0.2">
      <c r="A187" s="126"/>
      <c r="B187" s="143">
        <v>3</v>
      </c>
      <c r="C187" s="123">
        <v>0</v>
      </c>
      <c r="D187" s="123">
        <v>0</v>
      </c>
      <c r="E187" s="123">
        <v>0</v>
      </c>
      <c r="F187" s="123">
        <v>0</v>
      </c>
      <c r="G187" s="123">
        <v>0</v>
      </c>
      <c r="H187" s="123">
        <v>0</v>
      </c>
      <c r="I187" s="123">
        <v>0</v>
      </c>
      <c r="J187" s="123">
        <v>608</v>
      </c>
      <c r="K187" s="123">
        <v>0</v>
      </c>
      <c r="L187" s="123">
        <v>0</v>
      </c>
      <c r="M187" s="123">
        <v>0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</v>
      </c>
      <c r="U187" s="123">
        <v>0</v>
      </c>
      <c r="V187" s="123">
        <v>0</v>
      </c>
      <c r="W187" s="123">
        <v>0</v>
      </c>
      <c r="X187" s="123">
        <v>0</v>
      </c>
      <c r="Y187" s="123">
        <v>0</v>
      </c>
      <c r="Z187" s="123">
        <v>0</v>
      </c>
      <c r="AA187" s="123">
        <v>0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</row>
    <row r="188" spans="1:51" x14ac:dyDescent="0.2">
      <c r="A188" s="144"/>
      <c r="B188" s="145">
        <v>4</v>
      </c>
      <c r="C188" s="123">
        <v>277</v>
      </c>
      <c r="D188" s="123">
        <v>389</v>
      </c>
      <c r="E188" s="123">
        <v>311</v>
      </c>
      <c r="F188" s="123">
        <v>380</v>
      </c>
      <c r="G188" s="123">
        <v>376</v>
      </c>
      <c r="H188" s="123">
        <v>704</v>
      </c>
      <c r="I188" s="123">
        <v>805</v>
      </c>
      <c r="J188" s="123">
        <v>0</v>
      </c>
      <c r="K188" s="123">
        <v>0</v>
      </c>
      <c r="L188" s="123">
        <v>0</v>
      </c>
      <c r="M188" s="123">
        <v>0</v>
      </c>
      <c r="N188" s="123">
        <v>0</v>
      </c>
      <c r="O188" s="123">
        <v>0</v>
      </c>
      <c r="P188" s="123">
        <v>0</v>
      </c>
      <c r="Q188" s="123">
        <v>0</v>
      </c>
      <c r="R188" s="123">
        <v>0</v>
      </c>
      <c r="S188" s="123">
        <v>0</v>
      </c>
      <c r="T188" s="123">
        <v>0</v>
      </c>
      <c r="U188" s="123">
        <v>0</v>
      </c>
      <c r="V188" s="123">
        <v>0</v>
      </c>
      <c r="W188" s="123">
        <v>0</v>
      </c>
      <c r="X188" s="123">
        <v>0</v>
      </c>
      <c r="Y188" s="123">
        <v>0</v>
      </c>
      <c r="Z188" s="123">
        <v>0</v>
      </c>
      <c r="AA188" s="123">
        <v>0</v>
      </c>
      <c r="AB188" s="123">
        <v>0</v>
      </c>
      <c r="AC188" s="123">
        <v>0</v>
      </c>
      <c r="AD188" s="123">
        <v>0</v>
      </c>
      <c r="AE188" s="123">
        <v>0</v>
      </c>
      <c r="AF188" s="123">
        <v>0</v>
      </c>
      <c r="AG188" s="123">
        <v>0</v>
      </c>
      <c r="AH188" s="123">
        <v>0</v>
      </c>
      <c r="AI188" s="123">
        <v>0</v>
      </c>
      <c r="AJ188" s="123">
        <v>0</v>
      </c>
      <c r="AK188" s="123">
        <v>0</v>
      </c>
      <c r="AL188" s="123">
        <v>0</v>
      </c>
      <c r="AM188" s="123">
        <v>0</v>
      </c>
      <c r="AN188" s="123">
        <v>0</v>
      </c>
      <c r="AO188" s="123">
        <v>0</v>
      </c>
      <c r="AP188" s="123">
        <v>0</v>
      </c>
      <c r="AQ188" s="123">
        <v>0</v>
      </c>
      <c r="AR188" s="123">
        <v>0</v>
      </c>
      <c r="AS188" s="123">
        <v>0</v>
      </c>
      <c r="AT188" s="123">
        <v>0</v>
      </c>
      <c r="AU188" s="123">
        <v>0</v>
      </c>
      <c r="AV188" s="123">
        <v>0</v>
      </c>
      <c r="AW188" s="123">
        <v>0</v>
      </c>
      <c r="AX188" s="123">
        <v>0</v>
      </c>
      <c r="AY188" s="123">
        <v>0</v>
      </c>
    </row>
    <row r="189" spans="1:51" x14ac:dyDescent="0.2">
      <c r="A189" s="142" t="s">
        <v>133</v>
      </c>
      <c r="B189" s="139">
        <v>1</v>
      </c>
      <c r="C189" s="140">
        <v>243.33124677770775</v>
      </c>
      <c r="D189" s="140">
        <v>243.33124677770775</v>
      </c>
      <c r="E189" s="140">
        <v>999</v>
      </c>
      <c r="F189" s="140">
        <v>0</v>
      </c>
      <c r="G189" s="140">
        <v>0</v>
      </c>
      <c r="H189" s="140">
        <v>0</v>
      </c>
      <c r="I189" s="140">
        <v>0</v>
      </c>
      <c r="J189" s="140">
        <v>0</v>
      </c>
      <c r="K189" s="140">
        <v>0</v>
      </c>
      <c r="L189" s="140">
        <v>0</v>
      </c>
      <c r="M189" s="140">
        <v>0</v>
      </c>
      <c r="N189" s="140">
        <v>0</v>
      </c>
      <c r="O189" s="140">
        <v>0</v>
      </c>
      <c r="P189" s="140">
        <v>0</v>
      </c>
      <c r="Q189" s="140">
        <v>0</v>
      </c>
      <c r="R189" s="140">
        <v>0</v>
      </c>
      <c r="S189" s="140">
        <v>0</v>
      </c>
      <c r="T189" s="140">
        <v>0</v>
      </c>
      <c r="U189" s="140">
        <v>0</v>
      </c>
      <c r="V189" s="140">
        <v>0</v>
      </c>
      <c r="W189" s="140">
        <v>0</v>
      </c>
      <c r="X189" s="140">
        <v>0</v>
      </c>
      <c r="Y189" s="140">
        <v>0</v>
      </c>
      <c r="Z189" s="140">
        <v>0</v>
      </c>
      <c r="AA189" s="140">
        <v>0</v>
      </c>
      <c r="AB189" s="140">
        <v>0</v>
      </c>
      <c r="AC189" s="140">
        <v>0</v>
      </c>
      <c r="AD189" s="140">
        <v>0</v>
      </c>
      <c r="AE189" s="140">
        <v>0</v>
      </c>
      <c r="AF189" s="140">
        <v>0</v>
      </c>
      <c r="AG189" s="140">
        <v>0</v>
      </c>
      <c r="AH189" s="140">
        <v>0</v>
      </c>
      <c r="AI189" s="140">
        <v>0</v>
      </c>
      <c r="AJ189" s="140">
        <v>0</v>
      </c>
      <c r="AK189" s="140">
        <v>0</v>
      </c>
      <c r="AL189" s="140">
        <v>0</v>
      </c>
      <c r="AM189" s="140">
        <v>0</v>
      </c>
      <c r="AN189" s="140">
        <v>0</v>
      </c>
      <c r="AO189" s="140">
        <v>0</v>
      </c>
      <c r="AP189" s="140">
        <v>0</v>
      </c>
      <c r="AQ189" s="140">
        <v>0</v>
      </c>
      <c r="AR189" s="140">
        <v>0</v>
      </c>
      <c r="AS189" s="140">
        <v>0</v>
      </c>
      <c r="AT189" s="140">
        <v>66.320114765962899</v>
      </c>
      <c r="AU189" s="140">
        <v>0</v>
      </c>
      <c r="AV189" s="140">
        <v>0</v>
      </c>
      <c r="AW189" s="140">
        <v>0</v>
      </c>
      <c r="AX189" s="140">
        <v>0</v>
      </c>
      <c r="AY189" s="140">
        <v>0</v>
      </c>
    </row>
    <row r="190" spans="1:51" x14ac:dyDescent="0.2">
      <c r="A190" s="126"/>
      <c r="B190" s="135">
        <v>2</v>
      </c>
      <c r="C190" s="123">
        <v>0</v>
      </c>
      <c r="D190" s="123">
        <v>0</v>
      </c>
      <c r="E190" s="123">
        <v>0</v>
      </c>
      <c r="F190" s="123">
        <v>1288</v>
      </c>
      <c r="G190" s="123">
        <v>400.72614485148733</v>
      </c>
      <c r="H190" s="123">
        <v>55.751535833634534</v>
      </c>
      <c r="I190" s="123">
        <v>0</v>
      </c>
      <c r="J190" s="123">
        <v>0</v>
      </c>
      <c r="K190" s="123">
        <v>0</v>
      </c>
      <c r="L190" s="123">
        <v>0</v>
      </c>
      <c r="M190" s="123">
        <v>0</v>
      </c>
      <c r="N190" s="123">
        <v>0</v>
      </c>
      <c r="O190" s="123">
        <v>0</v>
      </c>
      <c r="P190" s="123">
        <v>0</v>
      </c>
      <c r="Q190" s="123">
        <v>0</v>
      </c>
      <c r="R190" s="123">
        <v>0</v>
      </c>
      <c r="S190" s="123">
        <v>0</v>
      </c>
      <c r="T190" s="123">
        <v>0</v>
      </c>
      <c r="U190" s="123">
        <v>0</v>
      </c>
      <c r="V190" s="123">
        <v>0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0</v>
      </c>
      <c r="AE190" s="123">
        <v>0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369.85041020645667</v>
      </c>
      <c r="AN190" s="123">
        <v>51.732167210172975</v>
      </c>
      <c r="AO190" s="123">
        <v>0</v>
      </c>
      <c r="AP190" s="123">
        <v>0</v>
      </c>
      <c r="AQ190" s="123">
        <v>458.05961436553116</v>
      </c>
      <c r="AR190" s="123">
        <v>588.14276932865414</v>
      </c>
      <c r="AS190" s="123">
        <v>1295.4651995263762</v>
      </c>
      <c r="AT190" s="123">
        <v>1606.974609017853</v>
      </c>
      <c r="AU190" s="123">
        <v>1377</v>
      </c>
      <c r="AV190" s="123">
        <v>757.17985416044871</v>
      </c>
      <c r="AW190" s="123">
        <v>771.2173731808806</v>
      </c>
      <c r="AX190" s="123">
        <v>749.83355654541356</v>
      </c>
      <c r="AY190" s="123">
        <v>309.2709851913915</v>
      </c>
    </row>
    <row r="191" spans="1:51" x14ac:dyDescent="0.2">
      <c r="A191" s="126"/>
      <c r="B191" s="136">
        <v>3</v>
      </c>
      <c r="C191" s="123">
        <v>0</v>
      </c>
      <c r="D191" s="123">
        <v>0</v>
      </c>
      <c r="E191" s="123">
        <v>0</v>
      </c>
      <c r="F191" s="123">
        <v>0</v>
      </c>
      <c r="G191" s="123">
        <v>721.27385514851267</v>
      </c>
      <c r="H191" s="123">
        <v>1206.2484641663655</v>
      </c>
      <c r="I191" s="123">
        <v>947</v>
      </c>
      <c r="J191" s="123">
        <v>455.77692681578151</v>
      </c>
      <c r="K191" s="123">
        <v>0</v>
      </c>
      <c r="L191" s="123">
        <v>0</v>
      </c>
      <c r="M191" s="123">
        <v>0</v>
      </c>
      <c r="N191" s="123">
        <v>0</v>
      </c>
      <c r="O191" s="123">
        <v>623.7859039827415</v>
      </c>
      <c r="P191" s="123">
        <v>296.93484188162586</v>
      </c>
      <c r="Q191" s="123">
        <v>433.33253602282548</v>
      </c>
      <c r="R191" s="123">
        <v>487.0073786091657</v>
      </c>
      <c r="S191" s="123">
        <v>486.41032240859136</v>
      </c>
      <c r="T191" s="123">
        <v>1262.532209549302</v>
      </c>
      <c r="U191" s="123">
        <v>1224.7517797442015</v>
      </c>
      <c r="V191" s="123">
        <v>1327.7063118022352</v>
      </c>
      <c r="W191" s="123">
        <v>850.25157262532957</v>
      </c>
      <c r="X191" s="123">
        <v>0.67489325018505042</v>
      </c>
      <c r="Y191" s="123">
        <v>118.48108181647422</v>
      </c>
      <c r="Z191" s="123">
        <v>0</v>
      </c>
      <c r="AA191" s="123">
        <v>0</v>
      </c>
      <c r="AB191" s="123">
        <v>0</v>
      </c>
      <c r="AC191" s="123">
        <v>266.31989278414926</v>
      </c>
      <c r="AD191" s="123">
        <v>555</v>
      </c>
      <c r="AE191" s="123">
        <v>411</v>
      </c>
      <c r="AF191" s="123">
        <v>441</v>
      </c>
      <c r="AG191" s="123">
        <v>541</v>
      </c>
      <c r="AH191" s="123">
        <v>481</v>
      </c>
      <c r="AI191" s="123">
        <v>546</v>
      </c>
      <c r="AJ191" s="123">
        <v>1139</v>
      </c>
      <c r="AK191" s="123">
        <v>1168.3517531350035</v>
      </c>
      <c r="AL191" s="123">
        <v>986.80961447075958</v>
      </c>
      <c r="AM191" s="123">
        <v>630.18862582714132</v>
      </c>
      <c r="AN191" s="123">
        <v>1040.267832789827</v>
      </c>
      <c r="AO191" s="123">
        <v>1034</v>
      </c>
      <c r="AP191" s="123">
        <v>998</v>
      </c>
      <c r="AQ191" s="123">
        <v>370.94038563446884</v>
      </c>
      <c r="AR191" s="123">
        <v>510.85723067134586</v>
      </c>
      <c r="AS191" s="123">
        <v>160.5348004736237</v>
      </c>
      <c r="AT191" s="123">
        <v>30.705276216184131</v>
      </c>
      <c r="AU191" s="123">
        <v>0</v>
      </c>
      <c r="AV191" s="123">
        <v>9.8201458395513441</v>
      </c>
      <c r="AW191" s="123">
        <v>101.7826268191194</v>
      </c>
      <c r="AX191" s="123">
        <v>164.16644345458644</v>
      </c>
      <c r="AY191" s="123">
        <v>425.7290148086085</v>
      </c>
    </row>
    <row r="192" spans="1:51" x14ac:dyDescent="0.2">
      <c r="A192" s="126"/>
      <c r="B192" s="136">
        <v>4</v>
      </c>
      <c r="C192" s="123">
        <v>0</v>
      </c>
      <c r="D192" s="123">
        <v>0</v>
      </c>
      <c r="E192" s="123">
        <v>0</v>
      </c>
      <c r="F192" s="123">
        <v>0</v>
      </c>
      <c r="G192" s="123">
        <v>0</v>
      </c>
      <c r="H192" s="123">
        <v>0</v>
      </c>
      <c r="I192" s="123">
        <v>0</v>
      </c>
      <c r="J192" s="123">
        <v>604.22307318421849</v>
      </c>
      <c r="K192" s="123">
        <v>1032</v>
      </c>
      <c r="L192" s="123">
        <v>893.80231779792848</v>
      </c>
      <c r="M192" s="123">
        <v>559.4669619805635</v>
      </c>
      <c r="N192" s="123">
        <v>916.18787793439037</v>
      </c>
      <c r="O192" s="123">
        <v>399.2140960172585</v>
      </c>
      <c r="P192" s="123">
        <v>302.06515811837414</v>
      </c>
      <c r="Q192" s="123">
        <v>177.66746397717452</v>
      </c>
      <c r="R192" s="123">
        <v>157.9926213908343</v>
      </c>
      <c r="S192" s="123">
        <v>158.58967759140864</v>
      </c>
      <c r="T192" s="123">
        <v>385.46779045069809</v>
      </c>
      <c r="U192" s="123">
        <v>167.24822025579846</v>
      </c>
      <c r="V192" s="123">
        <v>296.29368819776471</v>
      </c>
      <c r="W192" s="123">
        <v>235.74842737467046</v>
      </c>
      <c r="X192" s="123">
        <v>533.32510674981495</v>
      </c>
      <c r="Y192" s="123">
        <v>314.51891818352578</v>
      </c>
      <c r="Z192" s="123">
        <v>447</v>
      </c>
      <c r="AA192" s="123">
        <v>472</v>
      </c>
      <c r="AB192" s="123">
        <v>467</v>
      </c>
      <c r="AC192" s="123">
        <v>176.68010721585074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82.648246864996423</v>
      </c>
      <c r="AL192" s="123">
        <v>7.190385529240416</v>
      </c>
      <c r="AM192" s="123">
        <v>61.960963966401948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</row>
    <row r="193" spans="1:51" x14ac:dyDescent="0.2">
      <c r="A193" s="126"/>
      <c r="B193" s="143">
        <v>5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0</v>
      </c>
      <c r="K193" s="123">
        <v>0</v>
      </c>
      <c r="L193" s="123">
        <v>119.19768220207152</v>
      </c>
      <c r="M193" s="123">
        <v>325.5330380194365</v>
      </c>
      <c r="N193" s="123">
        <v>121.81212206560963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</v>
      </c>
      <c r="W193" s="123">
        <v>0</v>
      </c>
      <c r="X193" s="123">
        <v>0</v>
      </c>
      <c r="Y193" s="123">
        <v>0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</row>
    <row r="194" spans="1:51" x14ac:dyDescent="0.2">
      <c r="A194" s="126"/>
      <c r="B194" s="143">
        <v>6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</v>
      </c>
      <c r="AV194" s="123">
        <v>0</v>
      </c>
      <c r="AW194" s="123">
        <v>0</v>
      </c>
      <c r="AX194" s="123">
        <v>0</v>
      </c>
      <c r="AY194" s="123">
        <v>0</v>
      </c>
    </row>
    <row r="195" spans="1:51" x14ac:dyDescent="0.2">
      <c r="A195" s="126"/>
      <c r="B195" s="146">
        <v>7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</v>
      </c>
      <c r="U195" s="123">
        <v>0</v>
      </c>
      <c r="V195" s="123">
        <v>0</v>
      </c>
      <c r="W195" s="123">
        <v>0</v>
      </c>
      <c r="X195" s="123">
        <v>0</v>
      </c>
      <c r="Y195" s="123">
        <v>0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</v>
      </c>
      <c r="AX195" s="123">
        <v>0</v>
      </c>
      <c r="AY195" s="123">
        <v>0</v>
      </c>
    </row>
    <row r="196" spans="1:51" x14ac:dyDescent="0.2">
      <c r="A196" s="144"/>
      <c r="B196" s="145">
        <v>8</v>
      </c>
      <c r="C196" s="130">
        <v>0</v>
      </c>
      <c r="D196" s="130">
        <v>0</v>
      </c>
      <c r="E196" s="130">
        <v>0</v>
      </c>
      <c r="F196" s="130">
        <v>0</v>
      </c>
      <c r="G196" s="130">
        <v>0</v>
      </c>
      <c r="H196" s="130">
        <v>0</v>
      </c>
      <c r="I196" s="130">
        <v>0</v>
      </c>
      <c r="J196" s="130">
        <v>0</v>
      </c>
      <c r="K196" s="130">
        <v>0</v>
      </c>
      <c r="L196" s="130">
        <v>0</v>
      </c>
      <c r="M196" s="130">
        <v>0</v>
      </c>
      <c r="N196" s="130">
        <v>0</v>
      </c>
      <c r="O196" s="130">
        <v>0</v>
      </c>
      <c r="P196" s="130">
        <v>0</v>
      </c>
      <c r="Q196" s="130">
        <v>0</v>
      </c>
      <c r="R196" s="130">
        <v>0</v>
      </c>
      <c r="S196" s="130">
        <v>0</v>
      </c>
      <c r="T196" s="130">
        <v>0</v>
      </c>
      <c r="U196" s="130">
        <v>0</v>
      </c>
      <c r="V196" s="130">
        <v>0</v>
      </c>
      <c r="W196" s="130">
        <v>0</v>
      </c>
      <c r="X196" s="130">
        <v>0</v>
      </c>
      <c r="Y196" s="130">
        <v>0</v>
      </c>
      <c r="Z196" s="130">
        <v>0</v>
      </c>
      <c r="AA196" s="130">
        <v>0</v>
      </c>
      <c r="AB196" s="130">
        <v>0</v>
      </c>
      <c r="AC196" s="130">
        <v>0</v>
      </c>
      <c r="AD196" s="130">
        <v>0</v>
      </c>
      <c r="AE196" s="130">
        <v>0</v>
      </c>
      <c r="AF196" s="130">
        <v>0</v>
      </c>
      <c r="AG196" s="130">
        <v>0</v>
      </c>
      <c r="AH196" s="130">
        <v>0</v>
      </c>
      <c r="AI196" s="130">
        <v>0</v>
      </c>
      <c r="AJ196" s="130">
        <v>0</v>
      </c>
      <c r="AK196" s="130">
        <v>0</v>
      </c>
      <c r="AL196" s="130">
        <v>0</v>
      </c>
      <c r="AM196" s="130">
        <v>0</v>
      </c>
      <c r="AN196" s="130">
        <v>0</v>
      </c>
      <c r="AO196" s="130">
        <v>0</v>
      </c>
      <c r="AP196" s="130">
        <v>0</v>
      </c>
      <c r="AQ196" s="130">
        <v>0</v>
      </c>
      <c r="AR196" s="130">
        <v>0</v>
      </c>
      <c r="AS196" s="130">
        <v>0</v>
      </c>
      <c r="AT196" s="130">
        <v>0</v>
      </c>
      <c r="AU196" s="130">
        <v>0</v>
      </c>
      <c r="AV196" s="130">
        <v>0</v>
      </c>
      <c r="AW196" s="130">
        <v>0</v>
      </c>
      <c r="AX196" s="130">
        <v>0</v>
      </c>
      <c r="AY196" s="130">
        <v>0</v>
      </c>
    </row>
    <row r="197" spans="1:51" x14ac:dyDescent="0.2">
      <c r="A197" s="147" t="s">
        <v>134</v>
      </c>
      <c r="B197" s="135">
        <v>1</v>
      </c>
      <c r="C197" s="123">
        <v>0</v>
      </c>
      <c r="D197" s="123">
        <v>0</v>
      </c>
      <c r="E197" s="123">
        <v>982</v>
      </c>
      <c r="F197" s="123">
        <v>369.16307171231642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</v>
      </c>
      <c r="AW197" s="123">
        <v>0</v>
      </c>
      <c r="AX197" s="123">
        <v>0</v>
      </c>
      <c r="AY197" s="123">
        <v>0</v>
      </c>
    </row>
    <row r="198" spans="1:51" x14ac:dyDescent="0.2">
      <c r="A198" s="126"/>
      <c r="B198" s="135">
        <v>2</v>
      </c>
      <c r="C198" s="123">
        <v>0</v>
      </c>
      <c r="D198" s="123">
        <v>0</v>
      </c>
      <c r="E198" s="123">
        <v>0</v>
      </c>
      <c r="F198" s="123">
        <v>595.83692828768358</v>
      </c>
      <c r="G198" s="123">
        <v>1281</v>
      </c>
      <c r="H198" s="123">
        <v>190.06270710417152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</row>
    <row r="199" spans="1:51" x14ac:dyDescent="0.2">
      <c r="A199" s="126"/>
      <c r="B199" s="135">
        <v>3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624.93729289582848</v>
      </c>
      <c r="I199" s="123">
        <v>691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</row>
    <row r="200" spans="1:51" x14ac:dyDescent="0.2">
      <c r="A200" s="126"/>
      <c r="B200" s="136">
        <v>4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0</v>
      </c>
      <c r="J200" s="123">
        <v>733</v>
      </c>
      <c r="K200" s="123">
        <v>0</v>
      </c>
      <c r="L200" s="123">
        <v>0</v>
      </c>
      <c r="M200" s="123">
        <v>0</v>
      </c>
      <c r="N200" s="123">
        <v>0</v>
      </c>
      <c r="O200" s="123">
        <v>0</v>
      </c>
      <c r="P200" s="123">
        <v>0</v>
      </c>
      <c r="Q200" s="123">
        <v>0</v>
      </c>
      <c r="R200" s="123">
        <v>0</v>
      </c>
      <c r="S200" s="123">
        <v>0</v>
      </c>
      <c r="T200" s="123">
        <v>0</v>
      </c>
      <c r="U200" s="123">
        <v>0</v>
      </c>
      <c r="V200" s="123">
        <v>0</v>
      </c>
      <c r="W200" s="123">
        <v>0</v>
      </c>
      <c r="X200" s="123">
        <v>0</v>
      </c>
      <c r="Y200" s="123">
        <v>0</v>
      </c>
      <c r="Z200" s="123">
        <v>0</v>
      </c>
      <c r="AA200" s="123">
        <v>0</v>
      </c>
      <c r="AB200" s="123">
        <v>0</v>
      </c>
      <c r="AC200" s="123">
        <v>0</v>
      </c>
      <c r="AD200" s="123">
        <v>0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</v>
      </c>
      <c r="AW200" s="123">
        <v>0</v>
      </c>
      <c r="AX200" s="123">
        <v>0</v>
      </c>
      <c r="AY200" s="123">
        <v>0</v>
      </c>
    </row>
    <row r="201" spans="1:51" x14ac:dyDescent="0.2">
      <c r="A201" s="126"/>
      <c r="B201" s="136">
        <v>5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687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</v>
      </c>
      <c r="AW201" s="123">
        <v>0</v>
      </c>
      <c r="AX201" s="123">
        <v>0</v>
      </c>
      <c r="AY201" s="123">
        <v>0</v>
      </c>
    </row>
    <row r="202" spans="1:51" x14ac:dyDescent="0.2">
      <c r="A202" s="126"/>
      <c r="B202" s="136">
        <v>6</v>
      </c>
      <c r="C202" s="123">
        <v>0</v>
      </c>
      <c r="D202" s="123">
        <v>0</v>
      </c>
      <c r="E202" s="123">
        <v>0</v>
      </c>
      <c r="F202" s="123">
        <v>0</v>
      </c>
      <c r="G202" s="123">
        <v>0</v>
      </c>
      <c r="H202" s="123">
        <v>0</v>
      </c>
      <c r="I202" s="123">
        <v>0</v>
      </c>
      <c r="J202" s="123">
        <v>0</v>
      </c>
      <c r="K202" s="123">
        <v>0</v>
      </c>
      <c r="L202" s="123">
        <v>394</v>
      </c>
      <c r="M202" s="123">
        <v>343.76643970384703</v>
      </c>
      <c r="N202" s="123">
        <v>0</v>
      </c>
      <c r="O202" s="123">
        <v>0</v>
      </c>
      <c r="P202" s="123">
        <v>0</v>
      </c>
      <c r="Q202" s="123">
        <v>0</v>
      </c>
      <c r="R202" s="123">
        <v>0</v>
      </c>
      <c r="S202" s="123">
        <v>0</v>
      </c>
      <c r="T202" s="123">
        <v>0</v>
      </c>
      <c r="U202" s="123">
        <v>0</v>
      </c>
      <c r="V202" s="123">
        <v>0</v>
      </c>
      <c r="W202" s="123">
        <v>0</v>
      </c>
      <c r="X202" s="123">
        <v>0</v>
      </c>
      <c r="Y202" s="123">
        <v>0</v>
      </c>
      <c r="Z202" s="123">
        <v>0</v>
      </c>
      <c r="AA202" s="123">
        <v>0</v>
      </c>
      <c r="AB202" s="123">
        <v>0</v>
      </c>
      <c r="AC202" s="123">
        <v>0</v>
      </c>
      <c r="AD202" s="123">
        <v>0</v>
      </c>
      <c r="AE202" s="123">
        <v>0</v>
      </c>
      <c r="AF202" s="123">
        <v>0</v>
      </c>
      <c r="AG202" s="123">
        <v>0</v>
      </c>
      <c r="AH202" s="123">
        <v>0</v>
      </c>
      <c r="AI202" s="123">
        <v>0</v>
      </c>
      <c r="AJ202" s="123">
        <v>0</v>
      </c>
      <c r="AK202" s="123">
        <v>0</v>
      </c>
      <c r="AL202" s="123">
        <v>0</v>
      </c>
      <c r="AM202" s="123">
        <v>0</v>
      </c>
      <c r="AN202" s="123">
        <v>0</v>
      </c>
      <c r="AO202" s="123">
        <v>0</v>
      </c>
      <c r="AP202" s="123">
        <v>0</v>
      </c>
      <c r="AQ202" s="123">
        <v>0</v>
      </c>
      <c r="AR202" s="123">
        <v>0</v>
      </c>
      <c r="AS202" s="123">
        <v>0</v>
      </c>
      <c r="AT202" s="123">
        <v>61.988102349361725</v>
      </c>
      <c r="AU202" s="123">
        <v>0</v>
      </c>
      <c r="AV202" s="123">
        <v>0</v>
      </c>
      <c r="AW202" s="123">
        <v>0</v>
      </c>
      <c r="AX202" s="123">
        <v>0</v>
      </c>
      <c r="AY202" s="123">
        <v>0</v>
      </c>
    </row>
    <row r="203" spans="1:51" x14ac:dyDescent="0.2">
      <c r="A203" s="126"/>
      <c r="B203" s="143">
        <v>7</v>
      </c>
      <c r="C203" s="123">
        <v>0</v>
      </c>
      <c r="D203" s="123">
        <v>0</v>
      </c>
      <c r="E203" s="123">
        <v>0</v>
      </c>
      <c r="F203" s="123">
        <v>0</v>
      </c>
      <c r="G203" s="123">
        <v>0</v>
      </c>
      <c r="H203" s="123">
        <v>0</v>
      </c>
      <c r="I203" s="123">
        <v>0</v>
      </c>
      <c r="J203" s="123">
        <v>0</v>
      </c>
      <c r="K203" s="123">
        <v>0</v>
      </c>
      <c r="L203" s="123">
        <v>0</v>
      </c>
      <c r="M203" s="123">
        <v>14.233560296152973</v>
      </c>
      <c r="N203" s="123">
        <v>344</v>
      </c>
      <c r="O203" s="123">
        <v>0</v>
      </c>
      <c r="P203" s="123">
        <v>0</v>
      </c>
      <c r="Q203" s="123">
        <v>5.4806139810862078</v>
      </c>
      <c r="R203" s="123">
        <v>20.958073504279582</v>
      </c>
      <c r="S203" s="123">
        <v>0</v>
      </c>
      <c r="T203" s="123">
        <v>0</v>
      </c>
      <c r="U203" s="123">
        <v>0</v>
      </c>
      <c r="V203" s="123">
        <v>0</v>
      </c>
      <c r="W203" s="123">
        <v>0</v>
      </c>
      <c r="X203" s="123">
        <v>0</v>
      </c>
      <c r="Y203" s="123">
        <v>0</v>
      </c>
      <c r="Z203" s="123">
        <v>0</v>
      </c>
      <c r="AA203" s="123">
        <v>0</v>
      </c>
      <c r="AB203" s="123">
        <v>0</v>
      </c>
      <c r="AC203" s="123">
        <v>203.62970147785336</v>
      </c>
      <c r="AD203" s="123">
        <v>517</v>
      </c>
      <c r="AE203" s="123">
        <v>737</v>
      </c>
      <c r="AF203" s="123">
        <v>592</v>
      </c>
      <c r="AG203" s="123">
        <v>542</v>
      </c>
      <c r="AH203" s="123">
        <v>560</v>
      </c>
      <c r="AI203" s="123">
        <v>670</v>
      </c>
      <c r="AJ203" s="123">
        <v>1031</v>
      </c>
      <c r="AK203" s="123">
        <v>375.84881938921512</v>
      </c>
      <c r="AL203" s="123">
        <v>867.06741985562257</v>
      </c>
      <c r="AM203" s="123">
        <v>585.06032663054884</v>
      </c>
      <c r="AN203" s="123">
        <v>988</v>
      </c>
      <c r="AO203" s="123">
        <v>984</v>
      </c>
      <c r="AP203" s="123">
        <v>826</v>
      </c>
      <c r="AQ203" s="123">
        <v>1184</v>
      </c>
      <c r="AR203" s="123">
        <v>436</v>
      </c>
      <c r="AS203" s="123">
        <v>383</v>
      </c>
      <c r="AT203" s="123">
        <v>350.01189765063828</v>
      </c>
      <c r="AU203" s="123">
        <v>357</v>
      </c>
      <c r="AV203" s="123">
        <v>336</v>
      </c>
      <c r="AW203" s="123">
        <v>297</v>
      </c>
      <c r="AX203" s="123">
        <v>334</v>
      </c>
      <c r="AY203" s="123">
        <v>219</v>
      </c>
    </row>
    <row r="204" spans="1:51" x14ac:dyDescent="0.2">
      <c r="A204" s="126"/>
      <c r="B204" s="143">
        <v>8</v>
      </c>
      <c r="C204" s="123">
        <v>0</v>
      </c>
      <c r="D204" s="123">
        <v>0</v>
      </c>
      <c r="E204" s="123">
        <v>0</v>
      </c>
      <c r="F204" s="123">
        <v>0</v>
      </c>
      <c r="G204" s="123">
        <v>0</v>
      </c>
      <c r="H204" s="123">
        <v>0</v>
      </c>
      <c r="I204" s="123">
        <v>0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348</v>
      </c>
      <c r="P204" s="123">
        <v>388</v>
      </c>
      <c r="Q204" s="123">
        <v>472.51938601891379</v>
      </c>
      <c r="R204" s="123">
        <v>503.04192649572042</v>
      </c>
      <c r="S204" s="123">
        <v>471</v>
      </c>
      <c r="T204" s="123">
        <v>594</v>
      </c>
      <c r="U204" s="123">
        <v>550</v>
      </c>
      <c r="V204" s="123">
        <v>609</v>
      </c>
      <c r="W204" s="123">
        <v>487</v>
      </c>
      <c r="X204" s="123">
        <v>676</v>
      </c>
      <c r="Y204" s="123">
        <v>917</v>
      </c>
      <c r="Z204" s="123">
        <v>930</v>
      </c>
      <c r="AA204" s="123">
        <v>648</v>
      </c>
      <c r="AB204" s="123">
        <v>580</v>
      </c>
      <c r="AC204" s="123">
        <v>370.37029852214664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623.15118061078488</v>
      </c>
      <c r="AL204" s="123">
        <v>66.932580144377425</v>
      </c>
      <c r="AM204" s="123">
        <v>341.93967336945116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</row>
    <row r="205" spans="1:51" x14ac:dyDescent="0.2">
      <c r="A205" s="126"/>
      <c r="B205" s="143">
        <v>9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</row>
    <row r="206" spans="1:51" x14ac:dyDescent="0.2">
      <c r="A206" s="126"/>
      <c r="B206" s="146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0</v>
      </c>
      <c r="AX206" s="123">
        <v>0</v>
      </c>
      <c r="AY206" s="123">
        <v>0</v>
      </c>
    </row>
    <row r="207" spans="1:51" x14ac:dyDescent="0.2">
      <c r="A207" s="126"/>
      <c r="B207" s="146">
        <v>11</v>
      </c>
      <c r="C207" s="123">
        <v>0</v>
      </c>
      <c r="D207" s="123">
        <v>0</v>
      </c>
      <c r="E207" s="123">
        <v>0</v>
      </c>
      <c r="F207" s="123">
        <v>0</v>
      </c>
      <c r="G207" s="123">
        <v>0</v>
      </c>
      <c r="H207" s="123">
        <v>0</v>
      </c>
      <c r="I207" s="123">
        <v>0</v>
      </c>
      <c r="J207" s="123">
        <v>0</v>
      </c>
      <c r="K207" s="123">
        <v>0</v>
      </c>
      <c r="L207" s="123">
        <v>0</v>
      </c>
      <c r="M207" s="123">
        <v>0</v>
      </c>
      <c r="N207" s="123">
        <v>0</v>
      </c>
      <c r="O207" s="123">
        <v>0</v>
      </c>
      <c r="P207" s="123">
        <v>0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</v>
      </c>
      <c r="W207" s="123">
        <v>0</v>
      </c>
      <c r="X207" s="123">
        <v>0</v>
      </c>
      <c r="Y207" s="123">
        <v>0</v>
      </c>
      <c r="Z207" s="123">
        <v>0</v>
      </c>
      <c r="AA207" s="123">
        <v>0</v>
      </c>
      <c r="AB207" s="123">
        <v>0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0</v>
      </c>
      <c r="AL207" s="123">
        <v>0</v>
      </c>
      <c r="AM207" s="123">
        <v>0</v>
      </c>
      <c r="AN207" s="123">
        <v>0</v>
      </c>
      <c r="AO207" s="123">
        <v>0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</row>
    <row r="208" spans="1:51" x14ac:dyDescent="0.2">
      <c r="A208" s="126"/>
      <c r="B208" s="146">
        <v>12</v>
      </c>
      <c r="C208" s="123">
        <v>0</v>
      </c>
      <c r="D208" s="123">
        <v>0</v>
      </c>
      <c r="E208" s="123">
        <v>0</v>
      </c>
      <c r="F208" s="123">
        <v>0</v>
      </c>
      <c r="G208" s="123">
        <v>0</v>
      </c>
      <c r="H208" s="123">
        <v>0</v>
      </c>
      <c r="I208" s="123">
        <v>0</v>
      </c>
      <c r="J208" s="123">
        <v>0</v>
      </c>
      <c r="K208" s="123">
        <v>0</v>
      </c>
      <c r="L208" s="123">
        <v>0</v>
      </c>
      <c r="M208" s="123">
        <v>0</v>
      </c>
      <c r="N208" s="123">
        <v>0</v>
      </c>
      <c r="O208" s="123">
        <v>0</v>
      </c>
      <c r="P208" s="123">
        <v>0</v>
      </c>
      <c r="Q208" s="123">
        <v>0</v>
      </c>
      <c r="R208" s="123">
        <v>0</v>
      </c>
      <c r="S208" s="123">
        <v>0</v>
      </c>
      <c r="T208" s="123">
        <v>0</v>
      </c>
      <c r="U208" s="123">
        <v>0</v>
      </c>
      <c r="V208" s="123">
        <v>0</v>
      </c>
      <c r="W208" s="123">
        <v>0</v>
      </c>
      <c r="X208" s="123">
        <v>0</v>
      </c>
      <c r="Y208" s="123">
        <v>0</v>
      </c>
      <c r="Z208" s="123">
        <v>0</v>
      </c>
      <c r="AA208" s="123">
        <v>0</v>
      </c>
      <c r="AB208" s="123">
        <v>0</v>
      </c>
      <c r="AC208" s="123">
        <v>0</v>
      </c>
      <c r="AD208" s="123">
        <v>0</v>
      </c>
      <c r="AE208" s="123">
        <v>0</v>
      </c>
      <c r="AF208" s="123">
        <v>0</v>
      </c>
      <c r="AG208" s="123">
        <v>0</v>
      </c>
      <c r="AH208" s="123">
        <v>0</v>
      </c>
      <c r="AI208" s="123">
        <v>0</v>
      </c>
      <c r="AJ208" s="123">
        <v>0</v>
      </c>
      <c r="AK208" s="123">
        <v>0</v>
      </c>
      <c r="AL208" s="123">
        <v>0</v>
      </c>
      <c r="AM208" s="123">
        <v>0</v>
      </c>
      <c r="AN208" s="123">
        <v>0</v>
      </c>
      <c r="AO208" s="123">
        <v>0</v>
      </c>
      <c r="AP208" s="123">
        <v>0</v>
      </c>
      <c r="AQ208" s="123">
        <v>0</v>
      </c>
      <c r="AR208" s="123">
        <v>0</v>
      </c>
      <c r="AS208" s="123">
        <v>0</v>
      </c>
      <c r="AT208" s="123">
        <v>0</v>
      </c>
      <c r="AU208" s="123">
        <v>0</v>
      </c>
      <c r="AV208" s="123">
        <v>0</v>
      </c>
      <c r="AW208" s="123">
        <v>0</v>
      </c>
      <c r="AX208" s="123">
        <v>0</v>
      </c>
      <c r="AY208" s="123">
        <v>0</v>
      </c>
    </row>
    <row r="209" spans="1:51" x14ac:dyDescent="0.2">
      <c r="A209" s="142" t="s">
        <v>123</v>
      </c>
      <c r="B209" s="139">
        <v>1</v>
      </c>
      <c r="C209" s="140">
        <v>0</v>
      </c>
      <c r="D209" s="140">
        <v>1138.7075020135676</v>
      </c>
      <c r="E209" s="140">
        <v>0</v>
      </c>
      <c r="F209" s="140">
        <v>0</v>
      </c>
      <c r="G209" s="140">
        <v>0</v>
      </c>
      <c r="H209" s="140">
        <v>0</v>
      </c>
      <c r="I209" s="140">
        <v>0</v>
      </c>
      <c r="J209" s="140">
        <v>0</v>
      </c>
      <c r="K209" s="140">
        <v>0</v>
      </c>
      <c r="L209" s="140">
        <v>0</v>
      </c>
      <c r="M209" s="140">
        <v>0</v>
      </c>
      <c r="N209" s="140">
        <v>0</v>
      </c>
      <c r="O209" s="140">
        <v>0</v>
      </c>
      <c r="P209" s="140">
        <v>0</v>
      </c>
      <c r="Q209" s="140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140">
        <v>0</v>
      </c>
      <c r="X209" s="140">
        <v>0</v>
      </c>
      <c r="Y209" s="140">
        <v>0</v>
      </c>
      <c r="Z209" s="140">
        <v>0</v>
      </c>
      <c r="AA209" s="140">
        <v>0</v>
      </c>
      <c r="AB209" s="140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140">
        <v>0</v>
      </c>
      <c r="AI209" s="140">
        <v>0</v>
      </c>
      <c r="AJ209" s="140">
        <v>0</v>
      </c>
      <c r="AK209" s="140">
        <v>0</v>
      </c>
      <c r="AL209" s="140">
        <v>0</v>
      </c>
      <c r="AM209" s="140">
        <v>0</v>
      </c>
      <c r="AN209" s="140">
        <v>0</v>
      </c>
      <c r="AO209" s="140">
        <v>0</v>
      </c>
      <c r="AP209" s="140">
        <v>0</v>
      </c>
      <c r="AQ209" s="140">
        <v>0</v>
      </c>
      <c r="AR209" s="140">
        <v>0</v>
      </c>
      <c r="AS209" s="140">
        <v>0</v>
      </c>
      <c r="AT209" s="140">
        <v>0</v>
      </c>
      <c r="AU209" s="140">
        <v>0</v>
      </c>
      <c r="AV209" s="140">
        <v>0</v>
      </c>
      <c r="AW209" s="140">
        <v>0</v>
      </c>
      <c r="AX209" s="140">
        <v>0</v>
      </c>
      <c r="AY209" s="140">
        <v>0</v>
      </c>
    </row>
    <row r="210" spans="1:51" x14ac:dyDescent="0.2">
      <c r="A210" s="126"/>
      <c r="B210" s="135">
        <v>2</v>
      </c>
      <c r="C210" s="123">
        <v>0</v>
      </c>
      <c r="D210" s="127">
        <v>0</v>
      </c>
      <c r="E210" s="127">
        <v>1253</v>
      </c>
      <c r="F210" s="127">
        <v>933.30687901676333</v>
      </c>
      <c r="G210" s="127">
        <v>664.11503018380006</v>
      </c>
      <c r="H210" s="127">
        <v>0</v>
      </c>
      <c r="I210" s="127">
        <v>0</v>
      </c>
      <c r="J210" s="127">
        <v>0</v>
      </c>
      <c r="K210" s="127">
        <v>0</v>
      </c>
      <c r="L210" s="127">
        <v>0</v>
      </c>
      <c r="M210" s="127">
        <v>0</v>
      </c>
      <c r="N210" s="127">
        <v>0</v>
      </c>
      <c r="O210" s="127">
        <v>0</v>
      </c>
      <c r="P210" s="127">
        <v>11.554674286264117</v>
      </c>
      <c r="Q210" s="127">
        <v>75.112762798396034</v>
      </c>
      <c r="R210" s="127">
        <v>0</v>
      </c>
      <c r="S210" s="127">
        <v>74.360316948665286</v>
      </c>
      <c r="T210" s="127">
        <v>0</v>
      </c>
      <c r="U210" s="127">
        <v>0</v>
      </c>
      <c r="V210" s="127">
        <v>0</v>
      </c>
      <c r="W210" s="127">
        <v>0</v>
      </c>
      <c r="X210" s="127">
        <v>0</v>
      </c>
      <c r="Y210" s="127">
        <v>0</v>
      </c>
      <c r="Z210" s="127">
        <v>0</v>
      </c>
      <c r="AA210" s="127">
        <v>0</v>
      </c>
      <c r="AB210" s="127">
        <v>0</v>
      </c>
      <c r="AC210" s="127">
        <v>0</v>
      </c>
      <c r="AD210" s="127">
        <v>0</v>
      </c>
      <c r="AE210" s="127">
        <v>0</v>
      </c>
      <c r="AF210" s="127">
        <v>0</v>
      </c>
      <c r="AG210" s="127">
        <v>0</v>
      </c>
      <c r="AH210" s="127">
        <v>0</v>
      </c>
      <c r="AI210" s="127">
        <v>0</v>
      </c>
      <c r="AJ210" s="127">
        <v>0</v>
      </c>
      <c r="AK210" s="127">
        <v>0</v>
      </c>
      <c r="AL210" s="127">
        <v>0</v>
      </c>
      <c r="AM210" s="127">
        <v>0</v>
      </c>
      <c r="AN210" s="127">
        <v>0</v>
      </c>
      <c r="AO210" s="127">
        <v>0</v>
      </c>
      <c r="AP210" s="127">
        <v>0</v>
      </c>
      <c r="AQ210" s="127">
        <v>0</v>
      </c>
      <c r="AR210" s="127">
        <v>0</v>
      </c>
      <c r="AS210" s="127">
        <v>0</v>
      </c>
      <c r="AT210" s="127">
        <v>0</v>
      </c>
      <c r="AU210" s="127">
        <v>0</v>
      </c>
      <c r="AV210" s="127">
        <v>0</v>
      </c>
      <c r="AW210" s="127">
        <v>0</v>
      </c>
      <c r="AX210" s="127">
        <v>0</v>
      </c>
      <c r="AY210" s="127">
        <v>0</v>
      </c>
    </row>
    <row r="211" spans="1:51" x14ac:dyDescent="0.2">
      <c r="A211" s="126"/>
      <c r="B211" s="135">
        <v>3</v>
      </c>
      <c r="C211" s="123">
        <v>0</v>
      </c>
      <c r="D211" s="127">
        <v>0</v>
      </c>
      <c r="E211" s="127">
        <v>0</v>
      </c>
      <c r="F211" s="127">
        <v>135.69312098323672</v>
      </c>
      <c r="G211" s="127">
        <v>871.88496981619994</v>
      </c>
      <c r="H211" s="127">
        <v>303</v>
      </c>
      <c r="I211" s="127">
        <v>0</v>
      </c>
      <c r="J211" s="127">
        <v>0</v>
      </c>
      <c r="K211" s="127">
        <v>0</v>
      </c>
      <c r="L211" s="127">
        <v>0</v>
      </c>
      <c r="M211" s="127">
        <v>58.175867460121481</v>
      </c>
      <c r="N211" s="127">
        <v>332.59036162780569</v>
      </c>
      <c r="O211" s="127">
        <v>611.05283031771785</v>
      </c>
      <c r="P211" s="127">
        <v>1335.6964399353667</v>
      </c>
      <c r="Q211" s="127">
        <v>1327.887237201604</v>
      </c>
      <c r="R211" s="127">
        <v>1301</v>
      </c>
      <c r="S211" s="127">
        <v>1502.6584949272874</v>
      </c>
      <c r="T211" s="127">
        <v>947</v>
      </c>
      <c r="U211" s="127">
        <v>663.42494855297718</v>
      </c>
      <c r="V211" s="127">
        <v>478.80574231308663</v>
      </c>
      <c r="W211" s="127">
        <v>177.87219313809817</v>
      </c>
      <c r="X211" s="127">
        <v>199.48687593431384</v>
      </c>
      <c r="Y211" s="127">
        <v>188.09511462627574</v>
      </c>
      <c r="Z211" s="127">
        <v>281.39601629211882</v>
      </c>
      <c r="AA211" s="127">
        <v>519.45323783730544</v>
      </c>
      <c r="AB211" s="127">
        <v>30.343718972944316</v>
      </c>
      <c r="AC211" s="127">
        <v>0</v>
      </c>
      <c r="AD211" s="127">
        <v>0</v>
      </c>
      <c r="AE211" s="127">
        <v>0</v>
      </c>
      <c r="AF211" s="127">
        <v>0</v>
      </c>
      <c r="AG211" s="127">
        <v>0</v>
      </c>
      <c r="AH211" s="127">
        <v>0</v>
      </c>
      <c r="AI211" s="127">
        <v>40.205714589212107</v>
      </c>
      <c r="AJ211" s="127">
        <v>0</v>
      </c>
      <c r="AK211" s="127">
        <v>0</v>
      </c>
      <c r="AL211" s="127">
        <v>0</v>
      </c>
      <c r="AM211" s="127">
        <v>0</v>
      </c>
      <c r="AN211" s="127">
        <v>0</v>
      </c>
      <c r="AO211" s="127">
        <v>0</v>
      </c>
      <c r="AP211" s="127">
        <v>0</v>
      </c>
      <c r="AQ211" s="127">
        <v>0</v>
      </c>
      <c r="AR211" s="127">
        <v>0</v>
      </c>
      <c r="AS211" s="127">
        <v>0</v>
      </c>
      <c r="AT211" s="127">
        <v>0</v>
      </c>
      <c r="AU211" s="127">
        <v>0</v>
      </c>
      <c r="AV211" s="127">
        <v>0</v>
      </c>
      <c r="AW211" s="127">
        <v>0</v>
      </c>
      <c r="AX211" s="127">
        <v>0</v>
      </c>
      <c r="AY211" s="127">
        <v>0</v>
      </c>
    </row>
    <row r="212" spans="1:51" x14ac:dyDescent="0.2">
      <c r="A212" s="126"/>
      <c r="B212" s="135">
        <v>4</v>
      </c>
      <c r="C212" s="123">
        <v>0</v>
      </c>
      <c r="D212" s="127">
        <v>0</v>
      </c>
      <c r="E212" s="127">
        <v>0</v>
      </c>
      <c r="F212" s="127">
        <v>0</v>
      </c>
      <c r="G212" s="127">
        <v>0</v>
      </c>
      <c r="H212" s="127">
        <v>0</v>
      </c>
      <c r="I212" s="127">
        <v>319</v>
      </c>
      <c r="J212" s="127">
        <v>318.64415681923356</v>
      </c>
      <c r="K212" s="127">
        <v>0</v>
      </c>
      <c r="L212" s="127">
        <v>611.09927367746911</v>
      </c>
      <c r="M212" s="127">
        <v>902.72767815014515</v>
      </c>
      <c r="N212" s="127">
        <v>863.40963837219431</v>
      </c>
      <c r="O212" s="127">
        <v>677.94716968228215</v>
      </c>
      <c r="P212" s="127">
        <v>489.74888577836924</v>
      </c>
      <c r="Q212" s="127">
        <v>0</v>
      </c>
      <c r="R212" s="127">
        <v>0</v>
      </c>
      <c r="S212" s="127">
        <v>101.98118812404732</v>
      </c>
      <c r="T212" s="127">
        <v>0</v>
      </c>
      <c r="U212" s="127">
        <v>341.57505144702282</v>
      </c>
      <c r="V212" s="127">
        <v>567.19425768691337</v>
      </c>
      <c r="W212" s="127">
        <v>579.12780686190183</v>
      </c>
      <c r="X212" s="127">
        <v>782.51312406568616</v>
      </c>
      <c r="Y212" s="127">
        <v>767.90488537372426</v>
      </c>
      <c r="Z212" s="127">
        <v>775.60398370788118</v>
      </c>
      <c r="AA212" s="127">
        <v>712.54676216269456</v>
      </c>
      <c r="AB212" s="127">
        <v>551.65628102705568</v>
      </c>
      <c r="AC212" s="127">
        <v>675</v>
      </c>
      <c r="AD212" s="127">
        <v>638.95083293952621</v>
      </c>
      <c r="AE212" s="127">
        <v>680.72696437053116</v>
      </c>
      <c r="AF212" s="127">
        <v>553.69794702390129</v>
      </c>
      <c r="AG212" s="127">
        <v>824.84564820923458</v>
      </c>
      <c r="AH212" s="127">
        <v>897.1002616142307</v>
      </c>
      <c r="AI212" s="127">
        <v>902.72767815014515</v>
      </c>
      <c r="AJ212" s="127">
        <v>657</v>
      </c>
      <c r="AK212" s="127">
        <v>595.29023810906722</v>
      </c>
      <c r="AL212" s="127">
        <v>511.21904159740347</v>
      </c>
      <c r="AM212" s="127">
        <v>403.39969720358954</v>
      </c>
      <c r="AN212" s="127">
        <v>114.53021614919044</v>
      </c>
      <c r="AO212" s="127">
        <v>0</v>
      </c>
      <c r="AP212" s="127">
        <v>0</v>
      </c>
      <c r="AQ212" s="127">
        <v>0</v>
      </c>
      <c r="AR212" s="127">
        <v>0</v>
      </c>
      <c r="AS212" s="127">
        <v>0</v>
      </c>
      <c r="AT212" s="127">
        <v>0</v>
      </c>
      <c r="AU212" s="127">
        <v>0</v>
      </c>
      <c r="AV212" s="127">
        <v>0</v>
      </c>
      <c r="AW212" s="127">
        <v>0</v>
      </c>
      <c r="AX212" s="127">
        <v>0</v>
      </c>
      <c r="AY212" s="127">
        <v>0</v>
      </c>
    </row>
    <row r="213" spans="1:51" x14ac:dyDescent="0.2">
      <c r="A213" s="126"/>
      <c r="B213" s="135">
        <v>5</v>
      </c>
      <c r="C213" s="123">
        <v>0</v>
      </c>
      <c r="D213" s="127">
        <v>0</v>
      </c>
      <c r="E213" s="127">
        <v>0</v>
      </c>
      <c r="F213" s="127">
        <v>0</v>
      </c>
      <c r="G213" s="127">
        <v>0</v>
      </c>
      <c r="H213" s="127">
        <v>0</v>
      </c>
      <c r="I213" s="127">
        <v>0</v>
      </c>
      <c r="J213" s="127">
        <v>127.35584318076641</v>
      </c>
      <c r="K213" s="127">
        <v>313</v>
      </c>
      <c r="L213" s="127">
        <v>610.10663541020233</v>
      </c>
      <c r="M213" s="127">
        <v>197.09645438973337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0</v>
      </c>
      <c r="AD213" s="127">
        <v>140.04916706047376</v>
      </c>
      <c r="AE213" s="127">
        <v>178.27303562946881</v>
      </c>
      <c r="AF213" s="127">
        <v>226.30205297609868</v>
      </c>
      <c r="AG213" s="127">
        <v>312.15435179076542</v>
      </c>
      <c r="AH213" s="127">
        <v>128.8997383857693</v>
      </c>
      <c r="AI213" s="127">
        <v>80.066607260642726</v>
      </c>
      <c r="AJ213" s="127">
        <v>0</v>
      </c>
      <c r="AK213" s="127">
        <v>147.70976189093281</v>
      </c>
      <c r="AL213" s="127">
        <v>207.78095840259655</v>
      </c>
      <c r="AM213" s="127">
        <v>264.60030279641046</v>
      </c>
      <c r="AN213" s="127">
        <v>337.46978385080956</v>
      </c>
      <c r="AO213" s="127">
        <v>447</v>
      </c>
      <c r="AP213" s="127">
        <v>498.07873351006907</v>
      </c>
      <c r="AQ213" s="127">
        <v>442.28617405371449</v>
      </c>
      <c r="AR213" s="127">
        <v>253.57888806399814</v>
      </c>
      <c r="AS213" s="127">
        <v>84.499045308657912</v>
      </c>
      <c r="AT213" s="127">
        <v>30.226783057284592</v>
      </c>
      <c r="AU213" s="127">
        <v>0</v>
      </c>
      <c r="AV213" s="127">
        <v>0</v>
      </c>
      <c r="AW213" s="127">
        <v>135.05704762549368</v>
      </c>
      <c r="AX213" s="127">
        <v>273.93871798608308</v>
      </c>
      <c r="AY213" s="127">
        <v>229.80160784172676</v>
      </c>
    </row>
    <row r="214" spans="1:51" x14ac:dyDescent="0.2">
      <c r="A214" s="126"/>
      <c r="B214" s="135">
        <v>6</v>
      </c>
      <c r="C214" s="123">
        <v>0</v>
      </c>
      <c r="D214" s="127">
        <v>0</v>
      </c>
      <c r="E214" s="127">
        <v>0</v>
      </c>
      <c r="F214" s="127">
        <v>0</v>
      </c>
      <c r="G214" s="127">
        <v>0</v>
      </c>
      <c r="H214" s="127">
        <v>0</v>
      </c>
      <c r="I214" s="127">
        <v>0</v>
      </c>
      <c r="J214" s="127">
        <v>0</v>
      </c>
      <c r="K214" s="127">
        <v>0</v>
      </c>
      <c r="L214" s="127">
        <v>106.79409091232863</v>
      </c>
      <c r="M214" s="127">
        <v>0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0</v>
      </c>
      <c r="AD214" s="127">
        <v>0</v>
      </c>
      <c r="AE214" s="127">
        <v>0</v>
      </c>
      <c r="AF214" s="127">
        <v>0</v>
      </c>
      <c r="AG214" s="127">
        <v>0</v>
      </c>
      <c r="AH214" s="127">
        <v>0</v>
      </c>
      <c r="AI214" s="127">
        <v>0</v>
      </c>
      <c r="AJ214" s="127">
        <v>0</v>
      </c>
      <c r="AK214" s="127">
        <v>0</v>
      </c>
      <c r="AL214" s="127">
        <v>0</v>
      </c>
      <c r="AM214" s="127">
        <v>0</v>
      </c>
      <c r="AN214" s="127">
        <v>0</v>
      </c>
      <c r="AO214" s="127">
        <v>0</v>
      </c>
      <c r="AP214" s="127">
        <v>57.921266489930929</v>
      </c>
      <c r="AQ214" s="127">
        <v>75.713825946285496</v>
      </c>
      <c r="AR214" s="127">
        <v>113.42111193600186</v>
      </c>
      <c r="AS214" s="127">
        <v>292.50095469134209</v>
      </c>
      <c r="AT214" s="127">
        <v>406.77321694271541</v>
      </c>
      <c r="AU214" s="127">
        <v>438</v>
      </c>
      <c r="AV214" s="127">
        <v>439.31459229379777</v>
      </c>
      <c r="AW214" s="127">
        <v>412.33930849924246</v>
      </c>
      <c r="AX214" s="127">
        <v>321.06128201391692</v>
      </c>
      <c r="AY214" s="127">
        <v>227.19839215827324</v>
      </c>
    </row>
    <row r="215" spans="1:51" x14ac:dyDescent="0.2">
      <c r="A215" s="126"/>
      <c r="B215" s="135">
        <v>7</v>
      </c>
      <c r="C215" s="123">
        <v>0</v>
      </c>
      <c r="D215" s="127">
        <v>0</v>
      </c>
      <c r="E215" s="127">
        <v>0</v>
      </c>
      <c r="F215" s="127">
        <v>0</v>
      </c>
      <c r="G215" s="127">
        <v>0</v>
      </c>
      <c r="H215" s="127">
        <v>0</v>
      </c>
      <c r="I215" s="127">
        <v>0</v>
      </c>
      <c r="J215" s="127">
        <v>0</v>
      </c>
      <c r="K215" s="127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0</v>
      </c>
      <c r="AD215" s="127">
        <v>0</v>
      </c>
      <c r="AE215" s="127">
        <v>0</v>
      </c>
      <c r="AF215" s="127">
        <v>0</v>
      </c>
      <c r="AG215" s="127">
        <v>0</v>
      </c>
      <c r="AH215" s="127">
        <v>0</v>
      </c>
      <c r="AI215" s="127">
        <v>0</v>
      </c>
      <c r="AJ215" s="127">
        <v>0</v>
      </c>
      <c r="AK215" s="127">
        <v>0</v>
      </c>
      <c r="AL215" s="127">
        <v>0</v>
      </c>
      <c r="AM215" s="127">
        <v>0</v>
      </c>
      <c r="AN215" s="127">
        <v>0</v>
      </c>
      <c r="AO215" s="127">
        <v>0</v>
      </c>
      <c r="AP215" s="127">
        <v>0</v>
      </c>
      <c r="AQ215" s="127">
        <v>0</v>
      </c>
      <c r="AR215" s="127">
        <v>0</v>
      </c>
      <c r="AS215" s="127">
        <v>0</v>
      </c>
      <c r="AT215" s="127">
        <v>0</v>
      </c>
      <c r="AU215" s="127">
        <v>0</v>
      </c>
      <c r="AV215" s="127">
        <v>3.6854077062022244</v>
      </c>
      <c r="AW215" s="127">
        <v>16.603643875263835</v>
      </c>
      <c r="AX215" s="127">
        <v>0</v>
      </c>
      <c r="AY215" s="127">
        <v>0</v>
      </c>
    </row>
    <row r="216" spans="1:51" x14ac:dyDescent="0.2">
      <c r="A216" s="126"/>
      <c r="B216" s="135">
        <v>8</v>
      </c>
      <c r="C216" s="123">
        <v>0</v>
      </c>
      <c r="D216" s="127">
        <v>0</v>
      </c>
      <c r="E216" s="127">
        <v>0</v>
      </c>
      <c r="F216" s="127">
        <v>0</v>
      </c>
      <c r="G216" s="127">
        <v>0</v>
      </c>
      <c r="H216" s="127">
        <v>0</v>
      </c>
      <c r="I216" s="127">
        <v>0</v>
      </c>
      <c r="J216" s="127">
        <v>0</v>
      </c>
      <c r="K216" s="127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0</v>
      </c>
      <c r="AD216" s="127">
        <v>0</v>
      </c>
      <c r="AE216" s="127">
        <v>0</v>
      </c>
      <c r="AF216" s="127">
        <v>0</v>
      </c>
      <c r="AG216" s="127">
        <v>0</v>
      </c>
      <c r="AH216" s="127">
        <v>0</v>
      </c>
      <c r="AI216" s="127">
        <v>0</v>
      </c>
      <c r="AJ216" s="127">
        <v>0</v>
      </c>
      <c r="AK216" s="127">
        <v>0</v>
      </c>
      <c r="AL216" s="127">
        <v>0</v>
      </c>
      <c r="AM216" s="127">
        <v>0</v>
      </c>
      <c r="AN216" s="127">
        <v>0</v>
      </c>
      <c r="AO216" s="127">
        <v>0</v>
      </c>
      <c r="AP216" s="127">
        <v>0</v>
      </c>
      <c r="AQ216" s="127">
        <v>0</v>
      </c>
      <c r="AR216" s="127">
        <v>0</v>
      </c>
      <c r="AS216" s="127">
        <v>0</v>
      </c>
      <c r="AT216" s="127">
        <v>0</v>
      </c>
      <c r="AU216" s="127">
        <v>0</v>
      </c>
      <c r="AV216" s="127">
        <v>0</v>
      </c>
      <c r="AW216" s="127">
        <v>0</v>
      </c>
      <c r="AX216" s="127">
        <v>0</v>
      </c>
      <c r="AY216" s="127">
        <v>0</v>
      </c>
    </row>
    <row r="217" spans="1:51" x14ac:dyDescent="0.2">
      <c r="A217" s="126"/>
      <c r="B217" s="135">
        <v>9</v>
      </c>
      <c r="C217" s="123">
        <v>0</v>
      </c>
      <c r="D217" s="127">
        <v>0</v>
      </c>
      <c r="E217" s="127">
        <v>0</v>
      </c>
      <c r="F217" s="127">
        <v>0</v>
      </c>
      <c r="G217" s="127">
        <v>0</v>
      </c>
      <c r="H217" s="127">
        <v>0</v>
      </c>
      <c r="I217" s="127">
        <v>0</v>
      </c>
      <c r="J217" s="127">
        <v>0</v>
      </c>
      <c r="K217" s="127">
        <v>0</v>
      </c>
      <c r="L217" s="127">
        <v>0</v>
      </c>
      <c r="M217" s="127">
        <v>0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0</v>
      </c>
      <c r="AD217" s="127">
        <v>0</v>
      </c>
      <c r="AE217" s="127">
        <v>0</v>
      </c>
      <c r="AF217" s="127">
        <v>0</v>
      </c>
      <c r="AG217" s="127">
        <v>0</v>
      </c>
      <c r="AH217" s="127">
        <v>0</v>
      </c>
      <c r="AI217" s="127">
        <v>0</v>
      </c>
      <c r="AJ217" s="127">
        <v>0</v>
      </c>
      <c r="AK217" s="127">
        <v>0</v>
      </c>
      <c r="AL217" s="127">
        <v>0</v>
      </c>
      <c r="AM217" s="127">
        <v>0</v>
      </c>
      <c r="AN217" s="127">
        <v>0</v>
      </c>
      <c r="AO217" s="127">
        <v>0</v>
      </c>
      <c r="AP217" s="127">
        <v>0</v>
      </c>
      <c r="AQ217" s="127">
        <v>0</v>
      </c>
      <c r="AR217" s="127">
        <v>0</v>
      </c>
      <c r="AS217" s="127">
        <v>0</v>
      </c>
      <c r="AT217" s="127">
        <v>0</v>
      </c>
      <c r="AU217" s="127">
        <v>0</v>
      </c>
      <c r="AV217" s="127">
        <v>0</v>
      </c>
      <c r="AW217" s="127">
        <v>0</v>
      </c>
      <c r="AX217" s="127">
        <v>0</v>
      </c>
      <c r="AY217" s="127">
        <v>0</v>
      </c>
    </row>
    <row r="218" spans="1:51" x14ac:dyDescent="0.2">
      <c r="A218" s="126"/>
      <c r="B218" s="135">
        <v>10</v>
      </c>
      <c r="C218" s="123">
        <v>0</v>
      </c>
      <c r="D218" s="127">
        <v>0</v>
      </c>
      <c r="E218" s="127">
        <v>0</v>
      </c>
      <c r="F218" s="127">
        <v>0</v>
      </c>
      <c r="G218" s="127">
        <v>0</v>
      </c>
      <c r="H218" s="127">
        <v>0</v>
      </c>
      <c r="I218" s="127">
        <v>0</v>
      </c>
      <c r="J218" s="127">
        <v>0</v>
      </c>
      <c r="K218" s="127">
        <v>0</v>
      </c>
      <c r="L218" s="127">
        <v>0</v>
      </c>
      <c r="M218" s="127">
        <v>0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0</v>
      </c>
      <c r="AD218" s="127">
        <v>0</v>
      </c>
      <c r="AE218" s="127">
        <v>0</v>
      </c>
      <c r="AF218" s="127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7">
        <v>0</v>
      </c>
      <c r="AM218" s="127">
        <v>0</v>
      </c>
      <c r="AN218" s="127">
        <v>0</v>
      </c>
      <c r="AO218" s="127">
        <v>0</v>
      </c>
      <c r="AP218" s="127">
        <v>0</v>
      </c>
      <c r="AQ218" s="127">
        <v>0</v>
      </c>
      <c r="AR218" s="127">
        <v>0</v>
      </c>
      <c r="AS218" s="127">
        <v>0</v>
      </c>
      <c r="AT218" s="127">
        <v>0</v>
      </c>
      <c r="AU218" s="127">
        <v>0</v>
      </c>
      <c r="AV218" s="127">
        <v>0</v>
      </c>
      <c r="AW218" s="127">
        <v>0</v>
      </c>
      <c r="AX218" s="127">
        <v>0</v>
      </c>
      <c r="AY218" s="127">
        <v>0</v>
      </c>
    </row>
    <row r="219" spans="1:51" x14ac:dyDescent="0.2">
      <c r="A219" s="126"/>
      <c r="B219" s="135">
        <v>11</v>
      </c>
      <c r="C219" s="123">
        <v>0</v>
      </c>
      <c r="D219" s="127">
        <v>0</v>
      </c>
      <c r="E219" s="127">
        <v>0</v>
      </c>
      <c r="F219" s="127">
        <v>0</v>
      </c>
      <c r="G219" s="127">
        <v>0</v>
      </c>
      <c r="H219" s="127">
        <v>0</v>
      </c>
      <c r="I219" s="127">
        <v>0</v>
      </c>
      <c r="J219" s="127">
        <v>0</v>
      </c>
      <c r="K219" s="127">
        <v>0</v>
      </c>
      <c r="L219" s="127">
        <v>0</v>
      </c>
      <c r="M219" s="127">
        <v>0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0</v>
      </c>
      <c r="AD219" s="127">
        <v>0</v>
      </c>
      <c r="AE219" s="127">
        <v>0</v>
      </c>
      <c r="AF219" s="127">
        <v>0</v>
      </c>
      <c r="AG219" s="127">
        <v>0</v>
      </c>
      <c r="AH219" s="127">
        <v>0</v>
      </c>
      <c r="AI219" s="127">
        <v>0</v>
      </c>
      <c r="AJ219" s="127">
        <v>0</v>
      </c>
      <c r="AK219" s="127">
        <v>0</v>
      </c>
      <c r="AL219" s="127">
        <v>0</v>
      </c>
      <c r="AM219" s="127">
        <v>0</v>
      </c>
      <c r="AN219" s="127">
        <v>0</v>
      </c>
      <c r="AO219" s="127">
        <v>0</v>
      </c>
      <c r="AP219" s="127">
        <v>0</v>
      </c>
      <c r="AQ219" s="127">
        <v>0</v>
      </c>
      <c r="AR219" s="127">
        <v>0</v>
      </c>
      <c r="AS219" s="127">
        <v>0</v>
      </c>
      <c r="AT219" s="127">
        <v>0</v>
      </c>
      <c r="AU219" s="127">
        <v>0</v>
      </c>
      <c r="AV219" s="127">
        <v>0</v>
      </c>
      <c r="AW219" s="127">
        <v>0</v>
      </c>
      <c r="AX219" s="127">
        <v>0</v>
      </c>
      <c r="AY219" s="127">
        <v>0</v>
      </c>
    </row>
    <row r="220" spans="1:51" x14ac:dyDescent="0.2">
      <c r="A220" s="126"/>
      <c r="B220" s="135">
        <v>12</v>
      </c>
      <c r="C220" s="123">
        <v>0</v>
      </c>
      <c r="D220" s="127">
        <v>0</v>
      </c>
      <c r="E220" s="127">
        <v>0</v>
      </c>
      <c r="F220" s="127">
        <v>0</v>
      </c>
      <c r="G220" s="127">
        <v>0</v>
      </c>
      <c r="H220" s="127">
        <v>0</v>
      </c>
      <c r="I220" s="127">
        <v>0</v>
      </c>
      <c r="J220" s="127">
        <v>0</v>
      </c>
      <c r="K220" s="127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0</v>
      </c>
      <c r="AD220" s="127">
        <v>0</v>
      </c>
      <c r="AE220" s="127">
        <v>0</v>
      </c>
      <c r="AF220" s="127">
        <v>0</v>
      </c>
      <c r="AG220" s="127">
        <v>0</v>
      </c>
      <c r="AH220" s="127">
        <v>0</v>
      </c>
      <c r="AI220" s="127">
        <v>0</v>
      </c>
      <c r="AJ220" s="127">
        <v>0</v>
      </c>
      <c r="AK220" s="127">
        <v>0</v>
      </c>
      <c r="AL220" s="127">
        <v>0</v>
      </c>
      <c r="AM220" s="127">
        <v>0</v>
      </c>
      <c r="AN220" s="127">
        <v>0</v>
      </c>
      <c r="AO220" s="127">
        <v>0</v>
      </c>
      <c r="AP220" s="127">
        <v>0</v>
      </c>
      <c r="AQ220" s="127">
        <v>0</v>
      </c>
      <c r="AR220" s="127">
        <v>0</v>
      </c>
      <c r="AS220" s="127">
        <v>0</v>
      </c>
      <c r="AT220" s="127">
        <v>0</v>
      </c>
      <c r="AU220" s="127">
        <v>0</v>
      </c>
      <c r="AV220" s="127">
        <v>0</v>
      </c>
      <c r="AW220" s="127">
        <v>0</v>
      </c>
      <c r="AX220" s="127">
        <v>0</v>
      </c>
      <c r="AY220" s="127">
        <v>0</v>
      </c>
    </row>
    <row r="221" spans="1:51" x14ac:dyDescent="0.2">
      <c r="A221" s="126"/>
      <c r="B221" s="136">
        <v>13</v>
      </c>
      <c r="C221" s="123">
        <v>0</v>
      </c>
      <c r="D221" s="127">
        <v>0</v>
      </c>
      <c r="E221" s="127">
        <v>0</v>
      </c>
      <c r="F221" s="127">
        <v>0</v>
      </c>
      <c r="G221" s="127">
        <v>0</v>
      </c>
      <c r="H221" s="127">
        <v>0</v>
      </c>
      <c r="I221" s="127">
        <v>0</v>
      </c>
      <c r="J221" s="127">
        <v>0</v>
      </c>
      <c r="K221" s="127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0</v>
      </c>
      <c r="AD221" s="127">
        <v>0</v>
      </c>
      <c r="AE221" s="127">
        <v>0</v>
      </c>
      <c r="AF221" s="127">
        <v>0</v>
      </c>
      <c r="AG221" s="127">
        <v>0</v>
      </c>
      <c r="AH221" s="127">
        <v>0</v>
      </c>
      <c r="AI221" s="127">
        <v>0</v>
      </c>
      <c r="AJ221" s="127">
        <v>0</v>
      </c>
      <c r="AK221" s="127">
        <v>0</v>
      </c>
      <c r="AL221" s="127">
        <v>0</v>
      </c>
      <c r="AM221" s="127">
        <v>0</v>
      </c>
      <c r="AN221" s="127">
        <v>0</v>
      </c>
      <c r="AO221" s="127">
        <v>0</v>
      </c>
      <c r="AP221" s="127">
        <v>0</v>
      </c>
      <c r="AQ221" s="127">
        <v>0</v>
      </c>
      <c r="AR221" s="127">
        <v>0</v>
      </c>
      <c r="AS221" s="127">
        <v>0</v>
      </c>
      <c r="AT221" s="127">
        <v>0</v>
      </c>
      <c r="AU221" s="127">
        <v>0</v>
      </c>
      <c r="AV221" s="127">
        <v>0</v>
      </c>
      <c r="AW221" s="127">
        <v>0</v>
      </c>
      <c r="AX221" s="127">
        <v>0</v>
      </c>
      <c r="AY221" s="127">
        <v>0</v>
      </c>
    </row>
    <row r="222" spans="1:51" x14ac:dyDescent="0.2">
      <c r="A222" s="126"/>
      <c r="B222" s="136">
        <v>14</v>
      </c>
      <c r="C222" s="123">
        <v>0</v>
      </c>
      <c r="D222" s="127">
        <v>0</v>
      </c>
      <c r="E222" s="127">
        <v>0</v>
      </c>
      <c r="F222" s="127">
        <v>0</v>
      </c>
      <c r="G222" s="127">
        <v>0</v>
      </c>
      <c r="H222" s="127">
        <v>0</v>
      </c>
      <c r="I222" s="127">
        <v>0</v>
      </c>
      <c r="J222" s="127">
        <v>0</v>
      </c>
      <c r="K222" s="127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0</v>
      </c>
      <c r="AD222" s="127">
        <v>0</v>
      </c>
      <c r="AE222" s="127">
        <v>0</v>
      </c>
      <c r="AF222" s="127">
        <v>0</v>
      </c>
      <c r="AG222" s="127">
        <v>0</v>
      </c>
      <c r="AH222" s="127">
        <v>0</v>
      </c>
      <c r="AI222" s="127">
        <v>0</v>
      </c>
      <c r="AJ222" s="127">
        <v>0</v>
      </c>
      <c r="AK222" s="127">
        <v>0</v>
      </c>
      <c r="AL222" s="127">
        <v>0</v>
      </c>
      <c r="AM222" s="127">
        <v>0</v>
      </c>
      <c r="AN222" s="127">
        <v>0</v>
      </c>
      <c r="AO222" s="127">
        <v>0</v>
      </c>
      <c r="AP222" s="127">
        <v>0</v>
      </c>
      <c r="AQ222" s="127">
        <v>0</v>
      </c>
      <c r="AR222" s="127">
        <v>0</v>
      </c>
      <c r="AS222" s="127">
        <v>0</v>
      </c>
      <c r="AT222" s="127">
        <v>0</v>
      </c>
      <c r="AU222" s="127">
        <v>0</v>
      </c>
      <c r="AV222" s="127">
        <v>0</v>
      </c>
      <c r="AW222" s="127">
        <v>0</v>
      </c>
      <c r="AX222" s="127">
        <v>0</v>
      </c>
      <c r="AY222" s="127">
        <v>0</v>
      </c>
    </row>
    <row r="223" spans="1:51" x14ac:dyDescent="0.2">
      <c r="A223" s="126"/>
      <c r="B223" s="136">
        <v>15</v>
      </c>
      <c r="C223" s="123">
        <v>0</v>
      </c>
      <c r="D223" s="127">
        <v>0</v>
      </c>
      <c r="E223" s="127">
        <v>0</v>
      </c>
      <c r="F223" s="127">
        <v>0</v>
      </c>
      <c r="G223" s="127">
        <v>0</v>
      </c>
      <c r="H223" s="127">
        <v>0</v>
      </c>
      <c r="I223" s="127">
        <v>0</v>
      </c>
      <c r="J223" s="127">
        <v>0</v>
      </c>
      <c r="K223" s="127">
        <v>0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0</v>
      </c>
      <c r="AD223" s="127">
        <v>0</v>
      </c>
      <c r="AE223" s="127">
        <v>0</v>
      </c>
      <c r="AF223" s="127">
        <v>0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7">
        <v>0</v>
      </c>
      <c r="AM223" s="127">
        <v>0</v>
      </c>
      <c r="AN223" s="127">
        <v>0</v>
      </c>
      <c r="AO223" s="127">
        <v>0</v>
      </c>
      <c r="AP223" s="127">
        <v>0</v>
      </c>
      <c r="AQ223" s="127">
        <v>0</v>
      </c>
      <c r="AR223" s="127">
        <v>0</v>
      </c>
      <c r="AS223" s="127">
        <v>0</v>
      </c>
      <c r="AT223" s="127">
        <v>0</v>
      </c>
      <c r="AU223" s="127">
        <v>0</v>
      </c>
      <c r="AV223" s="127">
        <v>0</v>
      </c>
      <c r="AW223" s="127">
        <v>0</v>
      </c>
      <c r="AX223" s="127">
        <v>0</v>
      </c>
      <c r="AY223" s="127">
        <v>0</v>
      </c>
    </row>
    <row r="224" spans="1:51" x14ac:dyDescent="0.2">
      <c r="A224" s="126"/>
      <c r="B224" s="136">
        <v>16</v>
      </c>
      <c r="C224" s="123">
        <v>0</v>
      </c>
      <c r="D224" s="127">
        <v>0</v>
      </c>
      <c r="E224" s="127">
        <v>0</v>
      </c>
      <c r="F224" s="127">
        <v>0</v>
      </c>
      <c r="G224" s="127">
        <v>0</v>
      </c>
      <c r="H224" s="127">
        <v>0</v>
      </c>
      <c r="I224" s="127">
        <v>0</v>
      </c>
      <c r="J224" s="127">
        <v>0</v>
      </c>
      <c r="K224" s="127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0</v>
      </c>
      <c r="AD224" s="127">
        <v>0</v>
      </c>
      <c r="AE224" s="127">
        <v>0</v>
      </c>
      <c r="AF224" s="127">
        <v>0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7">
        <v>0</v>
      </c>
      <c r="AM224" s="127">
        <v>0</v>
      </c>
      <c r="AN224" s="127">
        <v>0</v>
      </c>
      <c r="AO224" s="127">
        <v>0</v>
      </c>
      <c r="AP224" s="127">
        <v>0</v>
      </c>
      <c r="AQ224" s="127">
        <v>0</v>
      </c>
      <c r="AR224" s="127">
        <v>0</v>
      </c>
      <c r="AS224" s="127">
        <v>0</v>
      </c>
      <c r="AT224" s="127">
        <v>0</v>
      </c>
      <c r="AU224" s="127">
        <v>0</v>
      </c>
      <c r="AV224" s="127">
        <v>0</v>
      </c>
      <c r="AW224" s="127">
        <v>0</v>
      </c>
      <c r="AX224" s="127">
        <v>0</v>
      </c>
      <c r="AY224" s="127">
        <v>0</v>
      </c>
    </row>
    <row r="225" spans="1:51" x14ac:dyDescent="0.2">
      <c r="A225" s="126"/>
      <c r="B225" s="136">
        <v>17</v>
      </c>
      <c r="C225" s="123">
        <v>0</v>
      </c>
      <c r="D225" s="127">
        <v>0</v>
      </c>
      <c r="E225" s="127">
        <v>0</v>
      </c>
      <c r="F225" s="127">
        <v>0</v>
      </c>
      <c r="G225" s="127">
        <v>0</v>
      </c>
      <c r="H225" s="127">
        <v>0</v>
      </c>
      <c r="I225" s="127">
        <v>0</v>
      </c>
      <c r="J225" s="127">
        <v>0</v>
      </c>
      <c r="K225" s="127">
        <v>0</v>
      </c>
      <c r="L225" s="127">
        <v>0</v>
      </c>
      <c r="M225" s="127">
        <v>0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0</v>
      </c>
      <c r="AD225" s="127">
        <v>0</v>
      </c>
      <c r="AE225" s="127">
        <v>0</v>
      </c>
      <c r="AF225" s="127">
        <v>0</v>
      </c>
      <c r="AG225" s="127">
        <v>0</v>
      </c>
      <c r="AH225" s="127">
        <v>0</v>
      </c>
      <c r="AI225" s="127">
        <v>0</v>
      </c>
      <c r="AJ225" s="127">
        <v>0</v>
      </c>
      <c r="AK225" s="127">
        <v>0</v>
      </c>
      <c r="AL225" s="127">
        <v>0</v>
      </c>
      <c r="AM225" s="127">
        <v>0</v>
      </c>
      <c r="AN225" s="127">
        <v>0</v>
      </c>
      <c r="AO225" s="127">
        <v>0</v>
      </c>
      <c r="AP225" s="127">
        <v>0</v>
      </c>
      <c r="AQ225" s="127">
        <v>0</v>
      </c>
      <c r="AR225" s="127">
        <v>0</v>
      </c>
      <c r="AS225" s="127">
        <v>0</v>
      </c>
      <c r="AT225" s="127">
        <v>0</v>
      </c>
      <c r="AU225" s="127">
        <v>0</v>
      </c>
      <c r="AV225" s="127">
        <v>0</v>
      </c>
      <c r="AW225" s="127">
        <v>0</v>
      </c>
      <c r="AX225" s="127">
        <v>0</v>
      </c>
      <c r="AY225" s="127">
        <v>0</v>
      </c>
    </row>
    <row r="226" spans="1:51" x14ac:dyDescent="0.2">
      <c r="A226" s="126"/>
      <c r="B226" s="136">
        <v>18</v>
      </c>
      <c r="C226" s="123">
        <v>0</v>
      </c>
      <c r="D226" s="127">
        <v>0</v>
      </c>
      <c r="E226" s="127">
        <v>0</v>
      </c>
      <c r="F226" s="127">
        <v>0</v>
      </c>
      <c r="G226" s="127">
        <v>0</v>
      </c>
      <c r="H226" s="127">
        <v>0</v>
      </c>
      <c r="I226" s="127">
        <v>0</v>
      </c>
      <c r="J226" s="127">
        <v>0</v>
      </c>
      <c r="K226" s="127">
        <v>0</v>
      </c>
      <c r="L226" s="127">
        <v>0</v>
      </c>
      <c r="M226" s="127">
        <v>0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0</v>
      </c>
      <c r="AD226" s="127">
        <v>0</v>
      </c>
      <c r="AE226" s="127">
        <v>0</v>
      </c>
      <c r="AF226" s="127">
        <v>0</v>
      </c>
      <c r="AG226" s="127">
        <v>0</v>
      </c>
      <c r="AH226" s="127">
        <v>0</v>
      </c>
      <c r="AI226" s="127">
        <v>0</v>
      </c>
      <c r="AJ226" s="127">
        <v>0</v>
      </c>
      <c r="AK226" s="127">
        <v>0</v>
      </c>
      <c r="AL226" s="127">
        <v>0</v>
      </c>
      <c r="AM226" s="127">
        <v>0</v>
      </c>
      <c r="AN226" s="127">
        <v>0</v>
      </c>
      <c r="AO226" s="127">
        <v>0</v>
      </c>
      <c r="AP226" s="127">
        <v>0</v>
      </c>
      <c r="AQ226" s="127">
        <v>0</v>
      </c>
      <c r="AR226" s="127">
        <v>0</v>
      </c>
      <c r="AS226" s="127">
        <v>0</v>
      </c>
      <c r="AT226" s="127">
        <v>0</v>
      </c>
      <c r="AU226" s="127">
        <v>0</v>
      </c>
      <c r="AV226" s="127">
        <v>0</v>
      </c>
      <c r="AW226" s="127">
        <v>0</v>
      </c>
      <c r="AX226" s="127">
        <v>0</v>
      </c>
      <c r="AY226" s="127">
        <v>0</v>
      </c>
    </row>
    <row r="227" spans="1:51" x14ac:dyDescent="0.2">
      <c r="A227" s="126"/>
      <c r="B227" s="136">
        <v>19</v>
      </c>
      <c r="C227" s="123">
        <v>0</v>
      </c>
      <c r="D227" s="127">
        <v>0</v>
      </c>
      <c r="E227" s="127">
        <v>0</v>
      </c>
      <c r="F227" s="127">
        <v>0</v>
      </c>
      <c r="G227" s="127">
        <v>0</v>
      </c>
      <c r="H227" s="127">
        <v>0</v>
      </c>
      <c r="I227" s="127">
        <v>0</v>
      </c>
      <c r="J227" s="127">
        <v>0</v>
      </c>
      <c r="K227" s="127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0</v>
      </c>
      <c r="AD227" s="127">
        <v>0</v>
      </c>
      <c r="AE227" s="127">
        <v>0</v>
      </c>
      <c r="AF227" s="127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7">
        <v>0</v>
      </c>
      <c r="AM227" s="127">
        <v>0</v>
      </c>
      <c r="AN227" s="127">
        <v>0</v>
      </c>
      <c r="AO227" s="127">
        <v>0</v>
      </c>
      <c r="AP227" s="127">
        <v>0</v>
      </c>
      <c r="AQ227" s="127">
        <v>0</v>
      </c>
      <c r="AR227" s="127">
        <v>0</v>
      </c>
      <c r="AS227" s="127">
        <v>0</v>
      </c>
      <c r="AT227" s="127">
        <v>0</v>
      </c>
      <c r="AU227" s="127">
        <v>0</v>
      </c>
      <c r="AV227" s="127">
        <v>0</v>
      </c>
      <c r="AW227" s="127">
        <v>0</v>
      </c>
      <c r="AX227" s="127">
        <v>0</v>
      </c>
      <c r="AY227" s="127">
        <v>0</v>
      </c>
    </row>
    <row r="228" spans="1:51" x14ac:dyDescent="0.2">
      <c r="A228" s="126"/>
      <c r="B228" s="136">
        <v>20</v>
      </c>
      <c r="C228" s="123">
        <v>0</v>
      </c>
      <c r="D228" s="127">
        <v>0</v>
      </c>
      <c r="E228" s="127">
        <v>0</v>
      </c>
      <c r="F228" s="127">
        <v>0</v>
      </c>
      <c r="G228" s="127">
        <v>0</v>
      </c>
      <c r="H228" s="127">
        <v>0</v>
      </c>
      <c r="I228" s="127">
        <v>0</v>
      </c>
      <c r="J228" s="127">
        <v>0</v>
      </c>
      <c r="K228" s="127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0</v>
      </c>
      <c r="AD228" s="127">
        <v>0</v>
      </c>
      <c r="AE228" s="127">
        <v>0</v>
      </c>
      <c r="AF228" s="127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7">
        <v>0</v>
      </c>
      <c r="AM228" s="127">
        <v>0</v>
      </c>
      <c r="AN228" s="127">
        <v>0</v>
      </c>
      <c r="AO228" s="127">
        <v>0</v>
      </c>
      <c r="AP228" s="127">
        <v>0</v>
      </c>
      <c r="AQ228" s="127">
        <v>0</v>
      </c>
      <c r="AR228" s="127">
        <v>0</v>
      </c>
      <c r="AS228" s="127">
        <v>0</v>
      </c>
      <c r="AT228" s="127">
        <v>0</v>
      </c>
      <c r="AU228" s="127">
        <v>0</v>
      </c>
      <c r="AV228" s="127">
        <v>0</v>
      </c>
      <c r="AW228" s="127">
        <v>0</v>
      </c>
      <c r="AX228" s="127">
        <v>0</v>
      </c>
      <c r="AY228" s="127">
        <v>0</v>
      </c>
    </row>
    <row r="229" spans="1:51" x14ac:dyDescent="0.2">
      <c r="A229" s="126"/>
      <c r="B229" s="136">
        <v>21</v>
      </c>
      <c r="C229" s="123">
        <v>0</v>
      </c>
      <c r="D229" s="127">
        <v>0</v>
      </c>
      <c r="E229" s="127">
        <v>0</v>
      </c>
      <c r="F229" s="127">
        <v>0</v>
      </c>
      <c r="G229" s="127">
        <v>0</v>
      </c>
      <c r="H229" s="127">
        <v>0</v>
      </c>
      <c r="I229" s="127">
        <v>0</v>
      </c>
      <c r="J229" s="127">
        <v>0</v>
      </c>
      <c r="K229" s="127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0</v>
      </c>
      <c r="AD229" s="127">
        <v>0</v>
      </c>
      <c r="AE229" s="127">
        <v>0</v>
      </c>
      <c r="AF229" s="127">
        <v>0</v>
      </c>
      <c r="AG229" s="127">
        <v>0</v>
      </c>
      <c r="AH229" s="127">
        <v>0</v>
      </c>
      <c r="AI229" s="127">
        <v>0</v>
      </c>
      <c r="AJ229" s="127">
        <v>0</v>
      </c>
      <c r="AK229" s="127">
        <v>0</v>
      </c>
      <c r="AL229" s="127">
        <v>0</v>
      </c>
      <c r="AM229" s="127">
        <v>0</v>
      </c>
      <c r="AN229" s="127">
        <v>0</v>
      </c>
      <c r="AO229" s="127">
        <v>0</v>
      </c>
      <c r="AP229" s="127">
        <v>0</v>
      </c>
      <c r="AQ229" s="127">
        <v>0</v>
      </c>
      <c r="AR229" s="127">
        <v>0</v>
      </c>
      <c r="AS229" s="127">
        <v>0</v>
      </c>
      <c r="AT229" s="127">
        <v>0</v>
      </c>
      <c r="AU229" s="127">
        <v>0</v>
      </c>
      <c r="AV229" s="127">
        <v>0</v>
      </c>
      <c r="AW229" s="127">
        <v>0</v>
      </c>
      <c r="AX229" s="127">
        <v>0</v>
      </c>
      <c r="AY229" s="127">
        <v>0</v>
      </c>
    </row>
    <row r="230" spans="1:51" x14ac:dyDescent="0.2">
      <c r="A230" s="126"/>
      <c r="B230" s="136">
        <v>22</v>
      </c>
      <c r="C230" s="123">
        <v>0</v>
      </c>
      <c r="D230" s="127">
        <v>0</v>
      </c>
      <c r="E230" s="127">
        <v>0</v>
      </c>
      <c r="F230" s="127">
        <v>0</v>
      </c>
      <c r="G230" s="127">
        <v>0</v>
      </c>
      <c r="H230" s="127">
        <v>0</v>
      </c>
      <c r="I230" s="127">
        <v>0</v>
      </c>
      <c r="J230" s="127">
        <v>0</v>
      </c>
      <c r="K230" s="127">
        <v>0</v>
      </c>
      <c r="L230" s="127">
        <v>0</v>
      </c>
      <c r="M230" s="127">
        <v>0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0</v>
      </c>
      <c r="AD230" s="127">
        <v>0</v>
      </c>
      <c r="AE230" s="127">
        <v>0</v>
      </c>
      <c r="AF230" s="127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7">
        <v>0</v>
      </c>
      <c r="AM230" s="127">
        <v>0</v>
      </c>
      <c r="AN230" s="127">
        <v>0</v>
      </c>
      <c r="AO230" s="127">
        <v>0</v>
      </c>
      <c r="AP230" s="127">
        <v>0</v>
      </c>
      <c r="AQ230" s="127">
        <v>0</v>
      </c>
      <c r="AR230" s="127">
        <v>0</v>
      </c>
      <c r="AS230" s="127">
        <v>0</v>
      </c>
      <c r="AT230" s="127">
        <v>0</v>
      </c>
      <c r="AU230" s="127">
        <v>0</v>
      </c>
      <c r="AV230" s="127">
        <v>0</v>
      </c>
      <c r="AW230" s="127">
        <v>0</v>
      </c>
      <c r="AX230" s="127">
        <v>0</v>
      </c>
      <c r="AY230" s="127">
        <v>0</v>
      </c>
    </row>
    <row r="231" spans="1:51" x14ac:dyDescent="0.2">
      <c r="A231" s="126"/>
      <c r="B231" s="136">
        <v>23</v>
      </c>
      <c r="C231" s="123">
        <v>0</v>
      </c>
      <c r="D231" s="127">
        <v>0</v>
      </c>
      <c r="E231" s="127">
        <v>0</v>
      </c>
      <c r="F231" s="127">
        <v>0</v>
      </c>
      <c r="G231" s="127">
        <v>0</v>
      </c>
      <c r="H231" s="127">
        <v>0</v>
      </c>
      <c r="I231" s="127">
        <v>0</v>
      </c>
      <c r="J231" s="127">
        <v>0</v>
      </c>
      <c r="K231" s="127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0</v>
      </c>
      <c r="AD231" s="127">
        <v>0</v>
      </c>
      <c r="AE231" s="127">
        <v>0</v>
      </c>
      <c r="AF231" s="127">
        <v>0</v>
      </c>
      <c r="AG231" s="127">
        <v>0</v>
      </c>
      <c r="AH231" s="127">
        <v>0</v>
      </c>
      <c r="AI231" s="127">
        <v>0</v>
      </c>
      <c r="AJ231" s="127">
        <v>0</v>
      </c>
      <c r="AK231" s="127">
        <v>0</v>
      </c>
      <c r="AL231" s="127">
        <v>0</v>
      </c>
      <c r="AM231" s="127">
        <v>0</v>
      </c>
      <c r="AN231" s="127">
        <v>0</v>
      </c>
      <c r="AO231" s="127">
        <v>0</v>
      </c>
      <c r="AP231" s="127">
        <v>0</v>
      </c>
      <c r="AQ231" s="127">
        <v>0</v>
      </c>
      <c r="AR231" s="127">
        <v>0</v>
      </c>
      <c r="AS231" s="127">
        <v>0</v>
      </c>
      <c r="AT231" s="127">
        <v>0</v>
      </c>
      <c r="AU231" s="127">
        <v>0</v>
      </c>
      <c r="AV231" s="127">
        <v>0</v>
      </c>
      <c r="AW231" s="127">
        <v>0</v>
      </c>
      <c r="AX231" s="127">
        <v>0</v>
      </c>
      <c r="AY231" s="127">
        <v>0</v>
      </c>
    </row>
    <row r="232" spans="1:51" x14ac:dyDescent="0.2">
      <c r="A232" s="126"/>
      <c r="B232" s="136">
        <v>24</v>
      </c>
      <c r="C232" s="123">
        <v>0</v>
      </c>
      <c r="D232" s="127">
        <v>0</v>
      </c>
      <c r="E232" s="127">
        <v>0</v>
      </c>
      <c r="F232" s="127">
        <v>0</v>
      </c>
      <c r="G232" s="127">
        <v>0</v>
      </c>
      <c r="H232" s="127">
        <v>0</v>
      </c>
      <c r="I232" s="127">
        <v>0</v>
      </c>
      <c r="J232" s="127">
        <v>0</v>
      </c>
      <c r="K232" s="127">
        <v>0</v>
      </c>
      <c r="L232" s="127">
        <v>0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0</v>
      </c>
      <c r="AD232" s="127">
        <v>0</v>
      </c>
      <c r="AE232" s="127">
        <v>0</v>
      </c>
      <c r="AF232" s="127">
        <v>0</v>
      </c>
      <c r="AG232" s="127">
        <v>0</v>
      </c>
      <c r="AH232" s="127">
        <v>0</v>
      </c>
      <c r="AI232" s="127">
        <v>0</v>
      </c>
      <c r="AJ232" s="127">
        <v>0</v>
      </c>
      <c r="AK232" s="127">
        <v>0</v>
      </c>
      <c r="AL232" s="127">
        <v>0</v>
      </c>
      <c r="AM232" s="127">
        <v>0</v>
      </c>
      <c r="AN232" s="127">
        <v>0</v>
      </c>
      <c r="AO232" s="127">
        <v>0</v>
      </c>
      <c r="AP232" s="127">
        <v>0</v>
      </c>
      <c r="AQ232" s="127">
        <v>0</v>
      </c>
      <c r="AR232" s="127">
        <v>0</v>
      </c>
      <c r="AS232" s="127">
        <v>0</v>
      </c>
      <c r="AT232" s="127">
        <v>0</v>
      </c>
      <c r="AU232" s="127">
        <v>0</v>
      </c>
      <c r="AV232" s="127">
        <v>0</v>
      </c>
      <c r="AW232" s="127">
        <v>0</v>
      </c>
      <c r="AX232" s="127">
        <v>0</v>
      </c>
      <c r="AY232" s="127">
        <v>0</v>
      </c>
    </row>
    <row r="233" spans="1:51" x14ac:dyDescent="0.2">
      <c r="A233" s="126"/>
      <c r="B233" s="143">
        <v>25</v>
      </c>
      <c r="C233" s="123">
        <v>0</v>
      </c>
      <c r="D233" s="127">
        <v>0</v>
      </c>
      <c r="E233" s="127">
        <v>0</v>
      </c>
      <c r="F233" s="127">
        <v>0</v>
      </c>
      <c r="G233" s="127">
        <v>0</v>
      </c>
      <c r="H233" s="127">
        <v>0</v>
      </c>
      <c r="I233" s="127">
        <v>0</v>
      </c>
      <c r="J233" s="127">
        <v>0</v>
      </c>
      <c r="K233" s="127">
        <v>0</v>
      </c>
      <c r="L233" s="127">
        <v>0</v>
      </c>
      <c r="M233" s="127">
        <v>0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0</v>
      </c>
      <c r="AD233" s="127">
        <v>0</v>
      </c>
      <c r="AE233" s="127">
        <v>0</v>
      </c>
      <c r="AF233" s="127">
        <v>0</v>
      </c>
      <c r="AG233" s="127">
        <v>0</v>
      </c>
      <c r="AH233" s="127">
        <v>0</v>
      </c>
      <c r="AI233" s="127">
        <v>0</v>
      </c>
      <c r="AJ233" s="127">
        <v>0</v>
      </c>
      <c r="AK233" s="127">
        <v>0</v>
      </c>
      <c r="AL233" s="127">
        <v>0</v>
      </c>
      <c r="AM233" s="127">
        <v>0</v>
      </c>
      <c r="AN233" s="127">
        <v>0</v>
      </c>
      <c r="AO233" s="127">
        <v>0</v>
      </c>
      <c r="AP233" s="127">
        <v>0</v>
      </c>
      <c r="AQ233" s="127">
        <v>0</v>
      </c>
      <c r="AR233" s="127">
        <v>0</v>
      </c>
      <c r="AS233" s="127">
        <v>0</v>
      </c>
      <c r="AT233" s="127">
        <v>0</v>
      </c>
      <c r="AU233" s="127">
        <v>0</v>
      </c>
      <c r="AV233" s="127">
        <v>0</v>
      </c>
      <c r="AW233" s="127">
        <v>0</v>
      </c>
      <c r="AX233" s="127">
        <v>0</v>
      </c>
      <c r="AY233" s="127">
        <v>0</v>
      </c>
    </row>
    <row r="234" spans="1:51" x14ac:dyDescent="0.2">
      <c r="A234" s="126"/>
      <c r="B234" s="143">
        <v>26</v>
      </c>
      <c r="C234" s="123">
        <v>0</v>
      </c>
      <c r="D234" s="127">
        <v>0</v>
      </c>
      <c r="E234" s="127">
        <v>0</v>
      </c>
      <c r="F234" s="127">
        <v>0</v>
      </c>
      <c r="G234" s="127">
        <v>0</v>
      </c>
      <c r="H234" s="127">
        <v>0</v>
      </c>
      <c r="I234" s="127">
        <v>0</v>
      </c>
      <c r="J234" s="127">
        <v>0</v>
      </c>
      <c r="K234" s="127">
        <v>0</v>
      </c>
      <c r="L234" s="127">
        <v>0</v>
      </c>
      <c r="M234" s="127">
        <v>0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0</v>
      </c>
      <c r="AD234" s="127">
        <v>0</v>
      </c>
      <c r="AE234" s="127">
        <v>0</v>
      </c>
      <c r="AF234" s="127">
        <v>0</v>
      </c>
      <c r="AG234" s="127">
        <v>0</v>
      </c>
      <c r="AH234" s="127">
        <v>0</v>
      </c>
      <c r="AI234" s="127">
        <v>0</v>
      </c>
      <c r="AJ234" s="127">
        <v>0</v>
      </c>
      <c r="AK234" s="127">
        <v>0</v>
      </c>
      <c r="AL234" s="127">
        <v>0</v>
      </c>
      <c r="AM234" s="127">
        <v>0</v>
      </c>
      <c r="AN234" s="127">
        <v>0</v>
      </c>
      <c r="AO234" s="127">
        <v>0</v>
      </c>
      <c r="AP234" s="127">
        <v>0</v>
      </c>
      <c r="AQ234" s="127">
        <v>0</v>
      </c>
      <c r="AR234" s="127">
        <v>0</v>
      </c>
      <c r="AS234" s="127">
        <v>0</v>
      </c>
      <c r="AT234" s="127">
        <v>0</v>
      </c>
      <c r="AU234" s="127">
        <v>0</v>
      </c>
      <c r="AV234" s="127">
        <v>0</v>
      </c>
      <c r="AW234" s="127">
        <v>0</v>
      </c>
      <c r="AX234" s="127">
        <v>0</v>
      </c>
      <c r="AY234" s="127">
        <v>0</v>
      </c>
    </row>
    <row r="235" spans="1:51" x14ac:dyDescent="0.2">
      <c r="A235" s="126"/>
      <c r="B235" s="143">
        <v>27</v>
      </c>
      <c r="C235" s="123">
        <v>0</v>
      </c>
      <c r="D235" s="127">
        <v>0</v>
      </c>
      <c r="E235" s="127">
        <v>0</v>
      </c>
      <c r="F235" s="127">
        <v>0</v>
      </c>
      <c r="G235" s="127">
        <v>0</v>
      </c>
      <c r="H235" s="127">
        <v>0</v>
      </c>
      <c r="I235" s="127">
        <v>0</v>
      </c>
      <c r="J235" s="127">
        <v>0</v>
      </c>
      <c r="K235" s="127">
        <v>0</v>
      </c>
      <c r="L235" s="127">
        <v>0</v>
      </c>
      <c r="M235" s="127">
        <v>0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0</v>
      </c>
      <c r="AD235" s="127">
        <v>0</v>
      </c>
      <c r="AE235" s="127">
        <v>0</v>
      </c>
      <c r="AF235" s="127">
        <v>0</v>
      </c>
      <c r="AG235" s="127">
        <v>0</v>
      </c>
      <c r="AH235" s="127">
        <v>0</v>
      </c>
      <c r="AI235" s="127">
        <v>0</v>
      </c>
      <c r="AJ235" s="127">
        <v>0</v>
      </c>
      <c r="AK235" s="127">
        <v>0</v>
      </c>
      <c r="AL235" s="127">
        <v>0</v>
      </c>
      <c r="AM235" s="127">
        <v>0</v>
      </c>
      <c r="AN235" s="127">
        <v>0</v>
      </c>
      <c r="AO235" s="127">
        <v>0</v>
      </c>
      <c r="AP235" s="127">
        <v>0</v>
      </c>
      <c r="AQ235" s="127">
        <v>0</v>
      </c>
      <c r="AR235" s="127">
        <v>0</v>
      </c>
      <c r="AS235" s="127">
        <v>0</v>
      </c>
      <c r="AT235" s="127">
        <v>0</v>
      </c>
      <c r="AU235" s="127">
        <v>0</v>
      </c>
      <c r="AV235" s="127">
        <v>0</v>
      </c>
      <c r="AW235" s="127">
        <v>0</v>
      </c>
      <c r="AX235" s="127">
        <v>0</v>
      </c>
      <c r="AY235" s="127">
        <v>0</v>
      </c>
    </row>
    <row r="236" spans="1:51" x14ac:dyDescent="0.2">
      <c r="A236" s="126"/>
      <c r="B236" s="143">
        <v>28</v>
      </c>
      <c r="C236" s="123">
        <v>0</v>
      </c>
      <c r="D236" s="127">
        <v>0</v>
      </c>
      <c r="E236" s="127">
        <v>0</v>
      </c>
      <c r="F236" s="127">
        <v>0</v>
      </c>
      <c r="G236" s="127">
        <v>0</v>
      </c>
      <c r="H236" s="127">
        <v>0</v>
      </c>
      <c r="I236" s="127">
        <v>0</v>
      </c>
      <c r="J236" s="127">
        <v>0</v>
      </c>
      <c r="K236" s="127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0</v>
      </c>
      <c r="AD236" s="127">
        <v>0</v>
      </c>
      <c r="AE236" s="127">
        <v>0</v>
      </c>
      <c r="AF236" s="127">
        <v>0</v>
      </c>
      <c r="AG236" s="127">
        <v>0</v>
      </c>
      <c r="AH236" s="127">
        <v>0</v>
      </c>
      <c r="AI236" s="127">
        <v>0</v>
      </c>
      <c r="AJ236" s="127">
        <v>0</v>
      </c>
      <c r="AK236" s="127">
        <v>0</v>
      </c>
      <c r="AL236" s="127">
        <v>0</v>
      </c>
      <c r="AM236" s="127">
        <v>0</v>
      </c>
      <c r="AN236" s="127">
        <v>0</v>
      </c>
      <c r="AO236" s="127">
        <v>0</v>
      </c>
      <c r="AP236" s="127">
        <v>0</v>
      </c>
      <c r="AQ236" s="127">
        <v>0</v>
      </c>
      <c r="AR236" s="127">
        <v>0</v>
      </c>
      <c r="AS236" s="127">
        <v>0</v>
      </c>
      <c r="AT236" s="127">
        <v>0</v>
      </c>
      <c r="AU236" s="127">
        <v>0</v>
      </c>
      <c r="AV236" s="127">
        <v>0</v>
      </c>
      <c r="AW236" s="127">
        <v>0</v>
      </c>
      <c r="AX236" s="127">
        <v>0</v>
      </c>
      <c r="AY236" s="127">
        <v>0</v>
      </c>
    </row>
    <row r="237" spans="1:51" x14ac:dyDescent="0.2">
      <c r="A237" s="126"/>
      <c r="B237" s="143">
        <v>29</v>
      </c>
      <c r="C237" s="123">
        <v>0</v>
      </c>
      <c r="D237" s="127">
        <v>0</v>
      </c>
      <c r="E237" s="127">
        <v>0</v>
      </c>
      <c r="F237" s="127">
        <v>0</v>
      </c>
      <c r="G237" s="127">
        <v>0</v>
      </c>
      <c r="H237" s="127">
        <v>0</v>
      </c>
      <c r="I237" s="127">
        <v>0</v>
      </c>
      <c r="J237" s="127">
        <v>0</v>
      </c>
      <c r="K237" s="127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0</v>
      </c>
      <c r="AD237" s="127">
        <v>0</v>
      </c>
      <c r="AE237" s="127">
        <v>0</v>
      </c>
      <c r="AF237" s="127">
        <v>0</v>
      </c>
      <c r="AG237" s="127">
        <v>0</v>
      </c>
      <c r="AH237" s="127">
        <v>0</v>
      </c>
      <c r="AI237" s="127">
        <v>0</v>
      </c>
      <c r="AJ237" s="127">
        <v>0</v>
      </c>
      <c r="AK237" s="127">
        <v>0</v>
      </c>
      <c r="AL237" s="127">
        <v>0</v>
      </c>
      <c r="AM237" s="127">
        <v>0</v>
      </c>
      <c r="AN237" s="127">
        <v>0</v>
      </c>
      <c r="AO237" s="127">
        <v>0</v>
      </c>
      <c r="AP237" s="127">
        <v>0</v>
      </c>
      <c r="AQ237" s="127">
        <v>0</v>
      </c>
      <c r="AR237" s="127">
        <v>0</v>
      </c>
      <c r="AS237" s="127">
        <v>0</v>
      </c>
      <c r="AT237" s="127">
        <v>0</v>
      </c>
      <c r="AU237" s="127">
        <v>0</v>
      </c>
      <c r="AV237" s="127">
        <v>0</v>
      </c>
      <c r="AW237" s="127">
        <v>0</v>
      </c>
      <c r="AX237" s="127">
        <v>0</v>
      </c>
      <c r="AY237" s="127">
        <v>0</v>
      </c>
    </row>
    <row r="238" spans="1:51" x14ac:dyDescent="0.2">
      <c r="A238" s="126"/>
      <c r="B238" s="143">
        <v>30</v>
      </c>
      <c r="C238" s="123">
        <v>0</v>
      </c>
      <c r="D238" s="127">
        <v>0</v>
      </c>
      <c r="E238" s="127">
        <v>0</v>
      </c>
      <c r="F238" s="127">
        <v>0</v>
      </c>
      <c r="G238" s="127">
        <v>0</v>
      </c>
      <c r="H238" s="127">
        <v>0</v>
      </c>
      <c r="I238" s="127">
        <v>0</v>
      </c>
      <c r="J238" s="127">
        <v>0</v>
      </c>
      <c r="K238" s="127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0</v>
      </c>
      <c r="AD238" s="127">
        <v>0</v>
      </c>
      <c r="AE238" s="127">
        <v>0</v>
      </c>
      <c r="AF238" s="127">
        <v>0</v>
      </c>
      <c r="AG238" s="127">
        <v>0</v>
      </c>
      <c r="AH238" s="127">
        <v>0</v>
      </c>
      <c r="AI238" s="127">
        <v>0</v>
      </c>
      <c r="AJ238" s="127">
        <v>0</v>
      </c>
      <c r="AK238" s="127">
        <v>0</v>
      </c>
      <c r="AL238" s="127">
        <v>0</v>
      </c>
      <c r="AM238" s="127">
        <v>0</v>
      </c>
      <c r="AN238" s="127">
        <v>0</v>
      </c>
      <c r="AO238" s="127">
        <v>0</v>
      </c>
      <c r="AP238" s="127">
        <v>0</v>
      </c>
      <c r="AQ238" s="127">
        <v>0</v>
      </c>
      <c r="AR238" s="127">
        <v>0</v>
      </c>
      <c r="AS238" s="127">
        <v>0</v>
      </c>
      <c r="AT238" s="127">
        <v>0</v>
      </c>
      <c r="AU238" s="127">
        <v>0</v>
      </c>
      <c r="AV238" s="127">
        <v>0</v>
      </c>
      <c r="AW238" s="127">
        <v>0</v>
      </c>
      <c r="AX238" s="127">
        <v>0</v>
      </c>
      <c r="AY238" s="127">
        <v>0</v>
      </c>
    </row>
    <row r="239" spans="1:51" x14ac:dyDescent="0.2">
      <c r="A239" s="126"/>
      <c r="B239" s="143">
        <v>31</v>
      </c>
      <c r="C239" s="123">
        <v>0</v>
      </c>
      <c r="D239" s="127">
        <v>0</v>
      </c>
      <c r="E239" s="127">
        <v>0</v>
      </c>
      <c r="F239" s="127">
        <v>0</v>
      </c>
      <c r="G239" s="127">
        <v>0</v>
      </c>
      <c r="H239" s="127">
        <v>0</v>
      </c>
      <c r="I239" s="127">
        <v>0</v>
      </c>
      <c r="J239" s="127">
        <v>0</v>
      </c>
      <c r="K239" s="127">
        <v>0</v>
      </c>
      <c r="L239" s="127">
        <v>0</v>
      </c>
      <c r="M239" s="127">
        <v>0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0</v>
      </c>
      <c r="AD239" s="127">
        <v>0</v>
      </c>
      <c r="AE239" s="127">
        <v>0</v>
      </c>
      <c r="AF239" s="127">
        <v>0</v>
      </c>
      <c r="AG239" s="127">
        <v>0</v>
      </c>
      <c r="AH239" s="127">
        <v>0</v>
      </c>
      <c r="AI239" s="127">
        <v>0</v>
      </c>
      <c r="AJ239" s="127">
        <v>0</v>
      </c>
      <c r="AK239" s="127">
        <v>0</v>
      </c>
      <c r="AL239" s="127">
        <v>0</v>
      </c>
      <c r="AM239" s="127">
        <v>0</v>
      </c>
      <c r="AN239" s="127">
        <v>0</v>
      </c>
      <c r="AO239" s="127">
        <v>0</v>
      </c>
      <c r="AP239" s="127">
        <v>0</v>
      </c>
      <c r="AQ239" s="127">
        <v>0</v>
      </c>
      <c r="AR239" s="127">
        <v>0</v>
      </c>
      <c r="AS239" s="127">
        <v>0</v>
      </c>
      <c r="AT239" s="127">
        <v>0</v>
      </c>
      <c r="AU239" s="127">
        <v>0</v>
      </c>
      <c r="AV239" s="127">
        <v>0</v>
      </c>
      <c r="AW239" s="127">
        <v>0</v>
      </c>
      <c r="AX239" s="127">
        <v>0</v>
      </c>
      <c r="AY239" s="127">
        <v>0</v>
      </c>
    </row>
    <row r="240" spans="1:51" x14ac:dyDescent="0.2">
      <c r="A240" s="126"/>
      <c r="B240" s="143">
        <v>32</v>
      </c>
      <c r="C240" s="123">
        <v>0</v>
      </c>
      <c r="D240" s="127">
        <v>0</v>
      </c>
      <c r="E240" s="127">
        <v>0</v>
      </c>
      <c r="F240" s="127">
        <v>0</v>
      </c>
      <c r="G240" s="127">
        <v>0</v>
      </c>
      <c r="H240" s="127">
        <v>0</v>
      </c>
      <c r="I240" s="127">
        <v>0</v>
      </c>
      <c r="J240" s="127">
        <v>0</v>
      </c>
      <c r="K240" s="127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0</v>
      </c>
      <c r="AD240" s="127">
        <v>0</v>
      </c>
      <c r="AE240" s="127">
        <v>0</v>
      </c>
      <c r="AF240" s="127">
        <v>0</v>
      </c>
      <c r="AG240" s="127">
        <v>0</v>
      </c>
      <c r="AH240" s="127">
        <v>0</v>
      </c>
      <c r="AI240" s="127">
        <v>0</v>
      </c>
      <c r="AJ240" s="127">
        <v>0</v>
      </c>
      <c r="AK240" s="127">
        <v>0</v>
      </c>
      <c r="AL240" s="127">
        <v>0</v>
      </c>
      <c r="AM240" s="127">
        <v>0</v>
      </c>
      <c r="AN240" s="127">
        <v>0</v>
      </c>
      <c r="AO240" s="127">
        <v>0</v>
      </c>
      <c r="AP240" s="127">
        <v>0</v>
      </c>
      <c r="AQ240" s="127">
        <v>0</v>
      </c>
      <c r="AR240" s="127">
        <v>0</v>
      </c>
      <c r="AS240" s="127">
        <v>0</v>
      </c>
      <c r="AT240" s="127">
        <v>0</v>
      </c>
      <c r="AU240" s="127">
        <v>0</v>
      </c>
      <c r="AV240" s="127">
        <v>0</v>
      </c>
      <c r="AW240" s="127">
        <v>0</v>
      </c>
      <c r="AX240" s="127">
        <v>0</v>
      </c>
      <c r="AY240" s="127">
        <v>0</v>
      </c>
    </row>
    <row r="241" spans="1:51" x14ac:dyDescent="0.2">
      <c r="A241" s="126"/>
      <c r="B241" s="143">
        <v>33</v>
      </c>
      <c r="C241" s="123">
        <v>0</v>
      </c>
      <c r="D241" s="127">
        <v>0</v>
      </c>
      <c r="E241" s="127">
        <v>0</v>
      </c>
      <c r="F241" s="127">
        <v>0</v>
      </c>
      <c r="G241" s="127">
        <v>0</v>
      </c>
      <c r="H241" s="127">
        <v>0</v>
      </c>
      <c r="I241" s="127">
        <v>0</v>
      </c>
      <c r="J241" s="127">
        <v>0</v>
      </c>
      <c r="K241" s="127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0</v>
      </c>
      <c r="AD241" s="127">
        <v>0</v>
      </c>
      <c r="AE241" s="127">
        <v>0</v>
      </c>
      <c r="AF241" s="127">
        <v>0</v>
      </c>
      <c r="AG241" s="127">
        <v>0</v>
      </c>
      <c r="AH241" s="127">
        <v>0</v>
      </c>
      <c r="AI241" s="127">
        <v>0</v>
      </c>
      <c r="AJ241" s="127">
        <v>0</v>
      </c>
      <c r="AK241" s="127">
        <v>0</v>
      </c>
      <c r="AL241" s="127">
        <v>0</v>
      </c>
      <c r="AM241" s="127">
        <v>0</v>
      </c>
      <c r="AN241" s="127">
        <v>0</v>
      </c>
      <c r="AO241" s="127">
        <v>0</v>
      </c>
      <c r="AP241" s="127">
        <v>0</v>
      </c>
      <c r="AQ241" s="127">
        <v>0</v>
      </c>
      <c r="AR241" s="127">
        <v>0</v>
      </c>
      <c r="AS241" s="127">
        <v>0</v>
      </c>
      <c r="AT241" s="127">
        <v>0</v>
      </c>
      <c r="AU241" s="127">
        <v>0</v>
      </c>
      <c r="AV241" s="127">
        <v>0</v>
      </c>
      <c r="AW241" s="127">
        <v>0</v>
      </c>
      <c r="AX241" s="127">
        <v>0</v>
      </c>
      <c r="AY241" s="127">
        <v>0</v>
      </c>
    </row>
    <row r="242" spans="1:51" x14ac:dyDescent="0.2">
      <c r="A242" s="126"/>
      <c r="B242" s="143">
        <v>34</v>
      </c>
      <c r="C242" s="123">
        <v>0</v>
      </c>
      <c r="D242" s="127">
        <v>0</v>
      </c>
      <c r="E242" s="127">
        <v>0</v>
      </c>
      <c r="F242" s="127">
        <v>0</v>
      </c>
      <c r="G242" s="127">
        <v>0</v>
      </c>
      <c r="H242" s="127">
        <v>0</v>
      </c>
      <c r="I242" s="127">
        <v>0</v>
      </c>
      <c r="J242" s="127">
        <v>0</v>
      </c>
      <c r="K242" s="127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0</v>
      </c>
      <c r="AD242" s="127">
        <v>0</v>
      </c>
      <c r="AE242" s="127">
        <v>0</v>
      </c>
      <c r="AF242" s="127">
        <v>0</v>
      </c>
      <c r="AG242" s="127">
        <v>0</v>
      </c>
      <c r="AH242" s="127">
        <v>0</v>
      </c>
      <c r="AI242" s="127">
        <v>0</v>
      </c>
      <c r="AJ242" s="127">
        <v>0</v>
      </c>
      <c r="AK242" s="127">
        <v>0</v>
      </c>
      <c r="AL242" s="127">
        <v>0</v>
      </c>
      <c r="AM242" s="127">
        <v>0</v>
      </c>
      <c r="AN242" s="127">
        <v>0</v>
      </c>
      <c r="AO242" s="127">
        <v>0</v>
      </c>
      <c r="AP242" s="127">
        <v>0</v>
      </c>
      <c r="AQ242" s="127">
        <v>0</v>
      </c>
      <c r="AR242" s="127">
        <v>0</v>
      </c>
      <c r="AS242" s="127">
        <v>0</v>
      </c>
      <c r="AT242" s="127">
        <v>0</v>
      </c>
      <c r="AU242" s="127">
        <v>0</v>
      </c>
      <c r="AV242" s="127">
        <v>0</v>
      </c>
      <c r="AW242" s="127">
        <v>0</v>
      </c>
      <c r="AX242" s="127">
        <v>0</v>
      </c>
      <c r="AY242" s="127">
        <v>0</v>
      </c>
    </row>
    <row r="243" spans="1:51" x14ac:dyDescent="0.2">
      <c r="A243" s="126"/>
      <c r="B243" s="143">
        <v>35</v>
      </c>
      <c r="C243" s="123">
        <v>0</v>
      </c>
      <c r="D243" s="127">
        <v>0</v>
      </c>
      <c r="E243" s="127">
        <v>0</v>
      </c>
      <c r="F243" s="127">
        <v>0</v>
      </c>
      <c r="G243" s="127">
        <v>0</v>
      </c>
      <c r="H243" s="127">
        <v>0</v>
      </c>
      <c r="I243" s="127">
        <v>0</v>
      </c>
      <c r="J243" s="127">
        <v>0</v>
      </c>
      <c r="K243" s="127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0</v>
      </c>
      <c r="AD243" s="127">
        <v>0</v>
      </c>
      <c r="AE243" s="127">
        <v>0</v>
      </c>
      <c r="AF243" s="127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7">
        <v>0</v>
      </c>
      <c r="AM243" s="127">
        <v>0</v>
      </c>
      <c r="AN243" s="127">
        <v>0</v>
      </c>
      <c r="AO243" s="127">
        <v>0</v>
      </c>
      <c r="AP243" s="127">
        <v>0</v>
      </c>
      <c r="AQ243" s="127">
        <v>0</v>
      </c>
      <c r="AR243" s="127">
        <v>0</v>
      </c>
      <c r="AS243" s="127">
        <v>0</v>
      </c>
      <c r="AT243" s="127">
        <v>0</v>
      </c>
      <c r="AU243" s="127">
        <v>0</v>
      </c>
      <c r="AV243" s="127">
        <v>0</v>
      </c>
      <c r="AW243" s="127">
        <v>0</v>
      </c>
      <c r="AX243" s="127">
        <v>0</v>
      </c>
      <c r="AY243" s="127">
        <v>0</v>
      </c>
    </row>
    <row r="244" spans="1:51" x14ac:dyDescent="0.2">
      <c r="A244" s="126"/>
      <c r="B244" s="143">
        <v>36</v>
      </c>
      <c r="C244" s="123">
        <v>0</v>
      </c>
      <c r="D244" s="127">
        <v>0</v>
      </c>
      <c r="E244" s="127">
        <v>0</v>
      </c>
      <c r="F244" s="127">
        <v>0</v>
      </c>
      <c r="G244" s="127">
        <v>0</v>
      </c>
      <c r="H244" s="127">
        <v>0</v>
      </c>
      <c r="I244" s="127">
        <v>0</v>
      </c>
      <c r="J244" s="127">
        <v>0</v>
      </c>
      <c r="K244" s="127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0</v>
      </c>
      <c r="AD244" s="127">
        <v>0</v>
      </c>
      <c r="AE244" s="127">
        <v>0</v>
      </c>
      <c r="AF244" s="127">
        <v>0</v>
      </c>
      <c r="AG244" s="127">
        <v>0</v>
      </c>
      <c r="AH244" s="127">
        <v>0</v>
      </c>
      <c r="AI244" s="127">
        <v>0</v>
      </c>
      <c r="AJ244" s="127">
        <v>0</v>
      </c>
      <c r="AK244" s="127">
        <v>0</v>
      </c>
      <c r="AL244" s="127">
        <v>0</v>
      </c>
      <c r="AM244" s="127">
        <v>0</v>
      </c>
      <c r="AN244" s="127">
        <v>0</v>
      </c>
      <c r="AO244" s="127">
        <v>0</v>
      </c>
      <c r="AP244" s="127">
        <v>0</v>
      </c>
      <c r="AQ244" s="127">
        <v>0</v>
      </c>
      <c r="AR244" s="127">
        <v>0</v>
      </c>
      <c r="AS244" s="127">
        <v>0</v>
      </c>
      <c r="AT244" s="127">
        <v>0</v>
      </c>
      <c r="AU244" s="127">
        <v>0</v>
      </c>
      <c r="AV244" s="127">
        <v>0</v>
      </c>
      <c r="AW244" s="127">
        <v>0</v>
      </c>
      <c r="AX244" s="127">
        <v>0</v>
      </c>
      <c r="AY244" s="127">
        <v>0</v>
      </c>
    </row>
    <row r="245" spans="1:51" x14ac:dyDescent="0.2">
      <c r="A245" s="126"/>
      <c r="B245" s="146">
        <v>37</v>
      </c>
      <c r="C245" s="123">
        <v>0</v>
      </c>
      <c r="D245" s="127">
        <v>0</v>
      </c>
      <c r="E245" s="127">
        <v>0</v>
      </c>
      <c r="F245" s="127">
        <v>0</v>
      </c>
      <c r="G245" s="127">
        <v>0</v>
      </c>
      <c r="H245" s="127">
        <v>0</v>
      </c>
      <c r="I245" s="127">
        <v>0</v>
      </c>
      <c r="J245" s="127">
        <v>0</v>
      </c>
      <c r="K245" s="127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0</v>
      </c>
      <c r="AD245" s="127">
        <v>0</v>
      </c>
      <c r="AE245" s="127">
        <v>0</v>
      </c>
      <c r="AF245" s="127">
        <v>0</v>
      </c>
      <c r="AG245" s="127">
        <v>0</v>
      </c>
      <c r="AH245" s="127">
        <v>0</v>
      </c>
      <c r="AI245" s="127">
        <v>0</v>
      </c>
      <c r="AJ245" s="127">
        <v>0</v>
      </c>
      <c r="AK245" s="127">
        <v>0</v>
      </c>
      <c r="AL245" s="127">
        <v>0</v>
      </c>
      <c r="AM245" s="127">
        <v>0</v>
      </c>
      <c r="AN245" s="127">
        <v>0</v>
      </c>
      <c r="AO245" s="127">
        <v>0</v>
      </c>
      <c r="AP245" s="127">
        <v>0</v>
      </c>
      <c r="AQ245" s="127">
        <v>0</v>
      </c>
      <c r="AR245" s="127">
        <v>0</v>
      </c>
      <c r="AS245" s="127">
        <v>0</v>
      </c>
      <c r="AT245" s="127">
        <v>0</v>
      </c>
      <c r="AU245" s="127">
        <v>0</v>
      </c>
      <c r="AV245" s="127">
        <v>0</v>
      </c>
      <c r="AW245" s="127">
        <v>0</v>
      </c>
      <c r="AX245" s="127">
        <v>0</v>
      </c>
      <c r="AY245" s="127">
        <v>0</v>
      </c>
    </row>
    <row r="246" spans="1:51" x14ac:dyDescent="0.2">
      <c r="A246" s="126"/>
      <c r="B246" s="146">
        <v>38</v>
      </c>
      <c r="C246" s="123">
        <v>0</v>
      </c>
      <c r="D246" s="127">
        <v>0</v>
      </c>
      <c r="E246" s="127">
        <v>0</v>
      </c>
      <c r="F246" s="127">
        <v>0</v>
      </c>
      <c r="G246" s="127">
        <v>0</v>
      </c>
      <c r="H246" s="127">
        <v>0</v>
      </c>
      <c r="I246" s="127">
        <v>0</v>
      </c>
      <c r="J246" s="127">
        <v>0</v>
      </c>
      <c r="K246" s="127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0</v>
      </c>
      <c r="AD246" s="127">
        <v>0</v>
      </c>
      <c r="AE246" s="127">
        <v>0</v>
      </c>
      <c r="AF246" s="127">
        <v>0</v>
      </c>
      <c r="AG246" s="127">
        <v>0</v>
      </c>
      <c r="AH246" s="127">
        <v>0</v>
      </c>
      <c r="AI246" s="127">
        <v>0</v>
      </c>
      <c r="AJ246" s="127">
        <v>0</v>
      </c>
      <c r="AK246" s="127">
        <v>0</v>
      </c>
      <c r="AL246" s="127">
        <v>0</v>
      </c>
      <c r="AM246" s="127">
        <v>0</v>
      </c>
      <c r="AN246" s="127">
        <v>0</v>
      </c>
      <c r="AO246" s="127">
        <v>0</v>
      </c>
      <c r="AP246" s="127">
        <v>0</v>
      </c>
      <c r="AQ246" s="127">
        <v>0</v>
      </c>
      <c r="AR246" s="127">
        <v>0</v>
      </c>
      <c r="AS246" s="127">
        <v>0</v>
      </c>
      <c r="AT246" s="127">
        <v>0</v>
      </c>
      <c r="AU246" s="127">
        <v>0</v>
      </c>
      <c r="AV246" s="127">
        <v>0</v>
      </c>
      <c r="AW246" s="127">
        <v>0</v>
      </c>
      <c r="AX246" s="127">
        <v>0</v>
      </c>
      <c r="AY246" s="127">
        <v>0</v>
      </c>
    </row>
    <row r="247" spans="1:51" x14ac:dyDescent="0.2">
      <c r="A247" s="126"/>
      <c r="B247" s="146">
        <v>39</v>
      </c>
      <c r="C247" s="123">
        <v>0</v>
      </c>
      <c r="D247" s="127">
        <v>0</v>
      </c>
      <c r="E247" s="127">
        <v>0</v>
      </c>
      <c r="F247" s="127">
        <v>0</v>
      </c>
      <c r="G247" s="127">
        <v>0</v>
      </c>
      <c r="H247" s="127">
        <v>0</v>
      </c>
      <c r="I247" s="127">
        <v>0</v>
      </c>
      <c r="J247" s="127">
        <v>0</v>
      </c>
      <c r="K247" s="127">
        <v>0</v>
      </c>
      <c r="L247" s="127">
        <v>0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0</v>
      </c>
      <c r="AD247" s="127">
        <v>0</v>
      </c>
      <c r="AE247" s="127">
        <v>0</v>
      </c>
      <c r="AF247" s="127">
        <v>0</v>
      </c>
      <c r="AG247" s="127">
        <v>0</v>
      </c>
      <c r="AH247" s="127">
        <v>0</v>
      </c>
      <c r="AI247" s="127">
        <v>0</v>
      </c>
      <c r="AJ247" s="127">
        <v>0</v>
      </c>
      <c r="AK247" s="127">
        <v>0</v>
      </c>
      <c r="AL247" s="127">
        <v>0</v>
      </c>
      <c r="AM247" s="127">
        <v>0</v>
      </c>
      <c r="AN247" s="127">
        <v>0</v>
      </c>
      <c r="AO247" s="127">
        <v>0</v>
      </c>
      <c r="AP247" s="127">
        <v>0</v>
      </c>
      <c r="AQ247" s="127">
        <v>0</v>
      </c>
      <c r="AR247" s="127">
        <v>0</v>
      </c>
      <c r="AS247" s="127">
        <v>0</v>
      </c>
      <c r="AT247" s="127">
        <v>0</v>
      </c>
      <c r="AU247" s="127">
        <v>0</v>
      </c>
      <c r="AV247" s="127">
        <v>0</v>
      </c>
      <c r="AW247" s="127">
        <v>0</v>
      </c>
      <c r="AX247" s="127">
        <v>0</v>
      </c>
      <c r="AY247" s="127">
        <v>0</v>
      </c>
    </row>
    <row r="248" spans="1:51" x14ac:dyDescent="0.2">
      <c r="A248" s="126"/>
      <c r="B248" s="146">
        <v>40</v>
      </c>
      <c r="C248" s="123">
        <v>0</v>
      </c>
      <c r="D248" s="127">
        <v>0</v>
      </c>
      <c r="E248" s="127">
        <v>0</v>
      </c>
      <c r="F248" s="127">
        <v>0</v>
      </c>
      <c r="G248" s="127">
        <v>0</v>
      </c>
      <c r="H248" s="127">
        <v>0</v>
      </c>
      <c r="I248" s="127">
        <v>0</v>
      </c>
      <c r="J248" s="127">
        <v>0</v>
      </c>
      <c r="K248" s="127">
        <v>0</v>
      </c>
      <c r="L248" s="127">
        <v>0</v>
      </c>
      <c r="M248" s="127">
        <v>0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0</v>
      </c>
      <c r="AD248" s="127">
        <v>0</v>
      </c>
      <c r="AE248" s="127">
        <v>0</v>
      </c>
      <c r="AF248" s="127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7">
        <v>0</v>
      </c>
      <c r="AM248" s="127">
        <v>0</v>
      </c>
      <c r="AN248" s="127">
        <v>0</v>
      </c>
      <c r="AO248" s="127">
        <v>0</v>
      </c>
      <c r="AP248" s="127">
        <v>0</v>
      </c>
      <c r="AQ248" s="127">
        <v>0</v>
      </c>
      <c r="AR248" s="127">
        <v>0</v>
      </c>
      <c r="AS248" s="127">
        <v>0</v>
      </c>
      <c r="AT248" s="127">
        <v>0</v>
      </c>
      <c r="AU248" s="127">
        <v>0</v>
      </c>
      <c r="AV248" s="127">
        <v>0</v>
      </c>
      <c r="AW248" s="127">
        <v>0</v>
      </c>
      <c r="AX248" s="127">
        <v>0</v>
      </c>
      <c r="AY248" s="127">
        <v>0</v>
      </c>
    </row>
    <row r="249" spans="1:51" x14ac:dyDescent="0.2">
      <c r="A249" s="126"/>
      <c r="B249" s="146">
        <v>41</v>
      </c>
      <c r="C249" s="123">
        <v>0</v>
      </c>
      <c r="D249" s="127">
        <v>0</v>
      </c>
      <c r="E249" s="127">
        <v>0</v>
      </c>
      <c r="F249" s="127">
        <v>0</v>
      </c>
      <c r="G249" s="127">
        <v>0</v>
      </c>
      <c r="H249" s="127">
        <v>0</v>
      </c>
      <c r="I249" s="127">
        <v>0</v>
      </c>
      <c r="J249" s="127">
        <v>0</v>
      </c>
      <c r="K249" s="127">
        <v>0</v>
      </c>
      <c r="L249" s="127">
        <v>0</v>
      </c>
      <c r="M249" s="127">
        <v>0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0</v>
      </c>
      <c r="AD249" s="127">
        <v>0</v>
      </c>
      <c r="AE249" s="127">
        <v>0</v>
      </c>
      <c r="AF249" s="127">
        <v>0</v>
      </c>
      <c r="AG249" s="127">
        <v>0</v>
      </c>
      <c r="AH249" s="127">
        <v>0</v>
      </c>
      <c r="AI249" s="127">
        <v>0</v>
      </c>
      <c r="AJ249" s="127">
        <v>0</v>
      </c>
      <c r="AK249" s="127">
        <v>0</v>
      </c>
      <c r="AL249" s="127">
        <v>0</v>
      </c>
      <c r="AM249" s="127">
        <v>0</v>
      </c>
      <c r="AN249" s="127">
        <v>0</v>
      </c>
      <c r="AO249" s="127">
        <v>0</v>
      </c>
      <c r="AP249" s="127">
        <v>0</v>
      </c>
      <c r="AQ249" s="127">
        <v>0</v>
      </c>
      <c r="AR249" s="127">
        <v>0</v>
      </c>
      <c r="AS249" s="127">
        <v>0</v>
      </c>
      <c r="AT249" s="127">
        <v>0</v>
      </c>
      <c r="AU249" s="127">
        <v>0</v>
      </c>
      <c r="AV249" s="127">
        <v>0</v>
      </c>
      <c r="AW249" s="127">
        <v>0</v>
      </c>
      <c r="AX249" s="127">
        <v>0</v>
      </c>
      <c r="AY249" s="127">
        <v>0</v>
      </c>
    </row>
    <row r="250" spans="1:51" x14ac:dyDescent="0.2">
      <c r="A250" s="126"/>
      <c r="B250" s="146">
        <v>42</v>
      </c>
      <c r="C250" s="123">
        <v>0</v>
      </c>
      <c r="D250" s="127">
        <v>0</v>
      </c>
      <c r="E250" s="127">
        <v>0</v>
      </c>
      <c r="F250" s="127">
        <v>0</v>
      </c>
      <c r="G250" s="127">
        <v>0</v>
      </c>
      <c r="H250" s="127">
        <v>0</v>
      </c>
      <c r="I250" s="127">
        <v>0</v>
      </c>
      <c r="J250" s="127">
        <v>0</v>
      </c>
      <c r="K250" s="127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0</v>
      </c>
      <c r="AD250" s="127">
        <v>0</v>
      </c>
      <c r="AE250" s="127">
        <v>0</v>
      </c>
      <c r="AF250" s="127">
        <v>0</v>
      </c>
      <c r="AG250" s="127">
        <v>0</v>
      </c>
      <c r="AH250" s="127">
        <v>0</v>
      </c>
      <c r="AI250" s="127">
        <v>0</v>
      </c>
      <c r="AJ250" s="127">
        <v>0</v>
      </c>
      <c r="AK250" s="127">
        <v>0</v>
      </c>
      <c r="AL250" s="127">
        <v>0</v>
      </c>
      <c r="AM250" s="127">
        <v>0</v>
      </c>
      <c r="AN250" s="127">
        <v>0</v>
      </c>
      <c r="AO250" s="127">
        <v>0</v>
      </c>
      <c r="AP250" s="127">
        <v>0</v>
      </c>
      <c r="AQ250" s="127">
        <v>0</v>
      </c>
      <c r="AR250" s="127">
        <v>0</v>
      </c>
      <c r="AS250" s="127">
        <v>0</v>
      </c>
      <c r="AT250" s="127">
        <v>0</v>
      </c>
      <c r="AU250" s="127">
        <v>0</v>
      </c>
      <c r="AV250" s="127">
        <v>0</v>
      </c>
      <c r="AW250" s="127">
        <v>0</v>
      </c>
      <c r="AX250" s="127">
        <v>0</v>
      </c>
      <c r="AY250" s="127">
        <v>0</v>
      </c>
    </row>
    <row r="251" spans="1:51" x14ac:dyDescent="0.2">
      <c r="A251" s="126"/>
      <c r="B251" s="146">
        <v>43</v>
      </c>
      <c r="C251" s="123">
        <v>0</v>
      </c>
      <c r="D251" s="127">
        <v>0</v>
      </c>
      <c r="E251" s="127">
        <v>0</v>
      </c>
      <c r="F251" s="127">
        <v>0</v>
      </c>
      <c r="G251" s="127">
        <v>0</v>
      </c>
      <c r="H251" s="127">
        <v>0</v>
      </c>
      <c r="I251" s="127">
        <v>0</v>
      </c>
      <c r="J251" s="127">
        <v>0</v>
      </c>
      <c r="K251" s="127">
        <v>0</v>
      </c>
      <c r="L251" s="127">
        <v>0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0</v>
      </c>
      <c r="AD251" s="127">
        <v>0</v>
      </c>
      <c r="AE251" s="127">
        <v>0</v>
      </c>
      <c r="AF251" s="127">
        <v>0</v>
      </c>
      <c r="AG251" s="127">
        <v>0</v>
      </c>
      <c r="AH251" s="127">
        <v>0</v>
      </c>
      <c r="AI251" s="127">
        <v>0</v>
      </c>
      <c r="AJ251" s="127">
        <v>0</v>
      </c>
      <c r="AK251" s="127">
        <v>0</v>
      </c>
      <c r="AL251" s="127">
        <v>0</v>
      </c>
      <c r="AM251" s="127">
        <v>0</v>
      </c>
      <c r="AN251" s="127">
        <v>0</v>
      </c>
      <c r="AO251" s="127">
        <v>0</v>
      </c>
      <c r="AP251" s="127">
        <v>0</v>
      </c>
      <c r="AQ251" s="127">
        <v>0</v>
      </c>
      <c r="AR251" s="127">
        <v>0</v>
      </c>
      <c r="AS251" s="127">
        <v>0</v>
      </c>
      <c r="AT251" s="127">
        <v>0</v>
      </c>
      <c r="AU251" s="127">
        <v>0</v>
      </c>
      <c r="AV251" s="127">
        <v>0</v>
      </c>
      <c r="AW251" s="127">
        <v>0</v>
      </c>
      <c r="AX251" s="127">
        <v>0</v>
      </c>
      <c r="AY251" s="127">
        <v>0</v>
      </c>
    </row>
    <row r="252" spans="1:51" x14ac:dyDescent="0.2">
      <c r="A252" s="126"/>
      <c r="B252" s="146">
        <v>44</v>
      </c>
      <c r="C252" s="123">
        <v>0</v>
      </c>
      <c r="D252" s="127">
        <v>0</v>
      </c>
      <c r="E252" s="127">
        <v>0</v>
      </c>
      <c r="F252" s="127">
        <v>0</v>
      </c>
      <c r="G252" s="127">
        <v>0</v>
      </c>
      <c r="H252" s="127">
        <v>0</v>
      </c>
      <c r="I252" s="127">
        <v>0</v>
      </c>
      <c r="J252" s="127">
        <v>0</v>
      </c>
      <c r="K252" s="127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0</v>
      </c>
      <c r="AD252" s="127">
        <v>0</v>
      </c>
      <c r="AE252" s="127">
        <v>0</v>
      </c>
      <c r="AF252" s="127">
        <v>0</v>
      </c>
      <c r="AG252" s="127">
        <v>0</v>
      </c>
      <c r="AH252" s="127">
        <v>0</v>
      </c>
      <c r="AI252" s="127">
        <v>0</v>
      </c>
      <c r="AJ252" s="127">
        <v>0</v>
      </c>
      <c r="AK252" s="127">
        <v>0</v>
      </c>
      <c r="AL252" s="127">
        <v>0</v>
      </c>
      <c r="AM252" s="127">
        <v>0</v>
      </c>
      <c r="AN252" s="127">
        <v>0</v>
      </c>
      <c r="AO252" s="127">
        <v>0</v>
      </c>
      <c r="AP252" s="127">
        <v>0</v>
      </c>
      <c r="AQ252" s="127">
        <v>0</v>
      </c>
      <c r="AR252" s="127">
        <v>0</v>
      </c>
      <c r="AS252" s="127">
        <v>0</v>
      </c>
      <c r="AT252" s="127">
        <v>0</v>
      </c>
      <c r="AU252" s="127">
        <v>0</v>
      </c>
      <c r="AV252" s="127">
        <v>0</v>
      </c>
      <c r="AW252" s="127">
        <v>0</v>
      </c>
      <c r="AX252" s="127">
        <v>0</v>
      </c>
      <c r="AY252" s="127">
        <v>0</v>
      </c>
    </row>
    <row r="253" spans="1:51" x14ac:dyDescent="0.2">
      <c r="A253" s="126"/>
      <c r="B253" s="146">
        <v>45</v>
      </c>
      <c r="C253" s="123">
        <v>0</v>
      </c>
      <c r="D253" s="127">
        <v>0</v>
      </c>
      <c r="E253" s="127">
        <v>0</v>
      </c>
      <c r="F253" s="127">
        <v>0</v>
      </c>
      <c r="G253" s="127">
        <v>0</v>
      </c>
      <c r="H253" s="127">
        <v>0</v>
      </c>
      <c r="I253" s="127">
        <v>0</v>
      </c>
      <c r="J253" s="127">
        <v>0</v>
      </c>
      <c r="K253" s="127">
        <v>0</v>
      </c>
      <c r="L253" s="127">
        <v>0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0</v>
      </c>
      <c r="AD253" s="127">
        <v>0</v>
      </c>
      <c r="AE253" s="127">
        <v>0</v>
      </c>
      <c r="AF253" s="127">
        <v>0</v>
      </c>
      <c r="AG253" s="127">
        <v>0</v>
      </c>
      <c r="AH253" s="127">
        <v>0</v>
      </c>
      <c r="AI253" s="127">
        <v>0</v>
      </c>
      <c r="AJ253" s="127">
        <v>0</v>
      </c>
      <c r="AK253" s="127">
        <v>0</v>
      </c>
      <c r="AL253" s="127">
        <v>0</v>
      </c>
      <c r="AM253" s="127">
        <v>0</v>
      </c>
      <c r="AN253" s="127">
        <v>0</v>
      </c>
      <c r="AO253" s="127">
        <v>0</v>
      </c>
      <c r="AP253" s="127">
        <v>0</v>
      </c>
      <c r="AQ253" s="127">
        <v>0</v>
      </c>
      <c r="AR253" s="127">
        <v>0</v>
      </c>
      <c r="AS253" s="127">
        <v>0</v>
      </c>
      <c r="AT253" s="127">
        <v>0</v>
      </c>
      <c r="AU253" s="127">
        <v>0</v>
      </c>
      <c r="AV253" s="127">
        <v>0</v>
      </c>
      <c r="AW253" s="127">
        <v>0</v>
      </c>
      <c r="AX253" s="127">
        <v>0</v>
      </c>
      <c r="AY253" s="127">
        <v>0</v>
      </c>
    </row>
    <row r="254" spans="1:51" x14ac:dyDescent="0.2">
      <c r="A254" s="126"/>
      <c r="B254" s="146">
        <v>46</v>
      </c>
      <c r="C254" s="123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0</v>
      </c>
      <c r="AD254" s="127">
        <v>0</v>
      </c>
      <c r="AE254" s="127">
        <v>0</v>
      </c>
      <c r="AF254" s="127">
        <v>0</v>
      </c>
      <c r="AG254" s="127">
        <v>0</v>
      </c>
      <c r="AH254" s="127">
        <v>0</v>
      </c>
      <c r="AI254" s="127">
        <v>0</v>
      </c>
      <c r="AJ254" s="127">
        <v>0</v>
      </c>
      <c r="AK254" s="127">
        <v>0</v>
      </c>
      <c r="AL254" s="127">
        <v>0</v>
      </c>
      <c r="AM254" s="127">
        <v>0</v>
      </c>
      <c r="AN254" s="127">
        <v>0</v>
      </c>
      <c r="AO254" s="127">
        <v>0</v>
      </c>
      <c r="AP254" s="127">
        <v>0</v>
      </c>
      <c r="AQ254" s="127">
        <v>0</v>
      </c>
      <c r="AR254" s="127">
        <v>0</v>
      </c>
      <c r="AS254" s="127">
        <v>0</v>
      </c>
      <c r="AT254" s="127">
        <v>0</v>
      </c>
      <c r="AU254" s="127">
        <v>0</v>
      </c>
      <c r="AV254" s="127">
        <v>0</v>
      </c>
      <c r="AW254" s="127">
        <v>0</v>
      </c>
      <c r="AX254" s="127">
        <v>0</v>
      </c>
      <c r="AY254" s="127">
        <v>0</v>
      </c>
    </row>
    <row r="255" spans="1:51" x14ac:dyDescent="0.2">
      <c r="A255" s="126"/>
      <c r="B255" s="146">
        <v>47</v>
      </c>
      <c r="C255" s="123">
        <v>0</v>
      </c>
      <c r="D255" s="127">
        <v>0</v>
      </c>
      <c r="E255" s="127">
        <v>0</v>
      </c>
      <c r="F255" s="127">
        <v>0</v>
      </c>
      <c r="G255" s="127">
        <v>0</v>
      </c>
      <c r="H255" s="127">
        <v>0</v>
      </c>
      <c r="I255" s="127">
        <v>0</v>
      </c>
      <c r="J255" s="127">
        <v>0</v>
      </c>
      <c r="K255" s="127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0</v>
      </c>
      <c r="AD255" s="127">
        <v>0</v>
      </c>
      <c r="AE255" s="127">
        <v>0</v>
      </c>
      <c r="AF255" s="127">
        <v>0</v>
      </c>
      <c r="AG255" s="127">
        <v>0</v>
      </c>
      <c r="AH255" s="127">
        <v>0</v>
      </c>
      <c r="AI255" s="127">
        <v>0</v>
      </c>
      <c r="AJ255" s="127">
        <v>0</v>
      </c>
      <c r="AK255" s="127">
        <v>0</v>
      </c>
      <c r="AL255" s="127">
        <v>0</v>
      </c>
      <c r="AM255" s="127">
        <v>0</v>
      </c>
      <c r="AN255" s="127">
        <v>0</v>
      </c>
      <c r="AO255" s="127">
        <v>0</v>
      </c>
      <c r="AP255" s="127">
        <v>0</v>
      </c>
      <c r="AQ255" s="127">
        <v>0</v>
      </c>
      <c r="AR255" s="127">
        <v>0</v>
      </c>
      <c r="AS255" s="127">
        <v>0</v>
      </c>
      <c r="AT255" s="127">
        <v>0</v>
      </c>
      <c r="AU255" s="127">
        <v>0</v>
      </c>
      <c r="AV255" s="127">
        <v>0</v>
      </c>
      <c r="AW255" s="127">
        <v>0</v>
      </c>
      <c r="AX255" s="127">
        <v>0</v>
      </c>
      <c r="AY255" s="127">
        <v>0</v>
      </c>
    </row>
    <row r="256" spans="1:51" x14ac:dyDescent="0.2">
      <c r="A256" s="144"/>
      <c r="B256" s="145">
        <v>48</v>
      </c>
      <c r="C256" s="130">
        <v>0</v>
      </c>
      <c r="D256" s="141">
        <v>0</v>
      </c>
      <c r="E256" s="141">
        <v>0</v>
      </c>
      <c r="F256" s="141">
        <v>0</v>
      </c>
      <c r="G256" s="141">
        <v>0</v>
      </c>
      <c r="H256" s="141">
        <v>0</v>
      </c>
      <c r="I256" s="141">
        <v>0</v>
      </c>
      <c r="J256" s="141">
        <v>0</v>
      </c>
      <c r="K256" s="141">
        <v>0</v>
      </c>
      <c r="L256" s="141">
        <v>0</v>
      </c>
      <c r="M256" s="141">
        <v>0</v>
      </c>
      <c r="N256" s="141">
        <v>0</v>
      </c>
      <c r="O256" s="141">
        <v>0</v>
      </c>
      <c r="P256" s="141">
        <v>0</v>
      </c>
      <c r="Q256" s="141">
        <v>0</v>
      </c>
      <c r="R256" s="141">
        <v>0</v>
      </c>
      <c r="S256" s="141">
        <v>0</v>
      </c>
      <c r="T256" s="141">
        <v>0</v>
      </c>
      <c r="U256" s="141">
        <v>0</v>
      </c>
      <c r="V256" s="141">
        <v>0</v>
      </c>
      <c r="W256" s="141">
        <v>0</v>
      </c>
      <c r="X256" s="141">
        <v>0</v>
      </c>
      <c r="Y256" s="141">
        <v>0</v>
      </c>
      <c r="Z256" s="141">
        <v>0</v>
      </c>
      <c r="AA256" s="141">
        <v>0</v>
      </c>
      <c r="AB256" s="141">
        <v>0</v>
      </c>
      <c r="AC256" s="141">
        <v>0</v>
      </c>
      <c r="AD256" s="141">
        <v>0</v>
      </c>
      <c r="AE256" s="141">
        <v>0</v>
      </c>
      <c r="AF256" s="141">
        <v>0</v>
      </c>
      <c r="AG256" s="141">
        <v>0</v>
      </c>
      <c r="AH256" s="141">
        <v>0</v>
      </c>
      <c r="AI256" s="141">
        <v>0</v>
      </c>
      <c r="AJ256" s="141">
        <v>0</v>
      </c>
      <c r="AK256" s="141">
        <v>0</v>
      </c>
      <c r="AL256" s="141">
        <v>0</v>
      </c>
      <c r="AM256" s="141">
        <v>0</v>
      </c>
      <c r="AN256" s="141">
        <v>0</v>
      </c>
      <c r="AO256" s="141">
        <v>0</v>
      </c>
      <c r="AP256" s="141">
        <v>0</v>
      </c>
      <c r="AQ256" s="141">
        <v>0</v>
      </c>
      <c r="AR256" s="141">
        <v>0</v>
      </c>
      <c r="AS256" s="141">
        <v>0</v>
      </c>
      <c r="AT256" s="141">
        <v>0</v>
      </c>
      <c r="AU256" s="141">
        <v>0</v>
      </c>
      <c r="AV256" s="141">
        <v>0</v>
      </c>
      <c r="AW256" s="141">
        <v>0</v>
      </c>
      <c r="AX256" s="141">
        <v>0</v>
      </c>
      <c r="AY256" s="141">
        <v>0</v>
      </c>
    </row>
    <row r="258" spans="1:52" x14ac:dyDescent="0.2">
      <c r="A258" s="1" t="s">
        <v>301</v>
      </c>
    </row>
    <row r="259" spans="1:52" x14ac:dyDescent="0.2">
      <c r="A259" s="153" t="s">
        <v>124</v>
      </c>
      <c r="B259" s="154">
        <v>650</v>
      </c>
      <c r="C259" s="140" t="s">
        <v>293</v>
      </c>
      <c r="D259" s="140">
        <f>E$14*$B$259</f>
        <v>1025594.0033869944</v>
      </c>
      <c r="E259" s="140">
        <f t="shared" ref="E259:AX259" si="5">F$14*$B$259</f>
        <v>1478815.2369952942</v>
      </c>
      <c r="F259" s="140">
        <f t="shared" si="5"/>
        <v>1761042.5738102107</v>
      </c>
      <c r="G259" s="140">
        <f t="shared" si="5"/>
        <v>1990553.923258574</v>
      </c>
      <c r="H259" s="140">
        <f t="shared" si="5"/>
        <v>1933317.4452218723</v>
      </c>
      <c r="I259" s="140">
        <f t="shared" si="5"/>
        <v>2154425.9638786209</v>
      </c>
      <c r="J259" s="140">
        <f t="shared" si="5"/>
        <v>2300490.5177027662</v>
      </c>
      <c r="K259" s="140">
        <f t="shared" si="5"/>
        <v>2372449.1913763955</v>
      </c>
      <c r="L259" s="140">
        <f t="shared" si="5"/>
        <v>2449105.2584311576</v>
      </c>
      <c r="M259" s="140">
        <f t="shared" si="5"/>
        <v>2287053.7767563188</v>
      </c>
      <c r="N259" s="140">
        <f t="shared" si="5"/>
        <v>2213350.4212089949</v>
      </c>
      <c r="O259" s="140">
        <f t="shared" si="5"/>
        <v>2155531.6046484434</v>
      </c>
      <c r="P259" s="140">
        <f t="shared" si="5"/>
        <v>2210814.7738027656</v>
      </c>
      <c r="Q259" s="140">
        <f t="shared" si="5"/>
        <v>2132714.8231721558</v>
      </c>
      <c r="R259" s="140">
        <f t="shared" si="5"/>
        <v>2171374.4310436109</v>
      </c>
      <c r="S259" s="140">
        <f t="shared" si="5"/>
        <v>2218993.7291540643</v>
      </c>
      <c r="T259" s="140">
        <f t="shared" si="5"/>
        <v>2057578.0812487232</v>
      </c>
      <c r="U259" s="140">
        <f t="shared" si="5"/>
        <v>2102717.2026868518</v>
      </c>
      <c r="V259" s="140">
        <f t="shared" si="5"/>
        <v>2121003.8516888195</v>
      </c>
      <c r="W259" s="140">
        <f t="shared" si="5"/>
        <v>2124724.1930362578</v>
      </c>
      <c r="X259" s="140">
        <f t="shared" si="5"/>
        <v>2188130.5438175402</v>
      </c>
      <c r="Y259" s="140">
        <f t="shared" si="5"/>
        <v>2183576.3551497757</v>
      </c>
      <c r="Z259" s="140">
        <f t="shared" si="5"/>
        <v>2185976.5860827984</v>
      </c>
      <c r="AA259" s="140">
        <f t="shared" si="5"/>
        <v>2166318.1940043713</v>
      </c>
      <c r="AB259" s="140">
        <f t="shared" si="5"/>
        <v>2230114.7020033873</v>
      </c>
      <c r="AC259" s="140">
        <f t="shared" si="5"/>
        <v>2410185.6883466113</v>
      </c>
      <c r="AD259" s="140">
        <f t="shared" si="5"/>
        <v>2512291.2998285946</v>
      </c>
      <c r="AE259" s="140">
        <f t="shared" si="5"/>
        <v>2559386.4865804543</v>
      </c>
      <c r="AF259" s="140">
        <f t="shared" si="5"/>
        <v>2460404.8744594697</v>
      </c>
      <c r="AG259" s="140">
        <f t="shared" si="5"/>
        <v>2410153.5651311968</v>
      </c>
      <c r="AH259" s="140">
        <f t="shared" si="5"/>
        <v>2300971.8344579963</v>
      </c>
      <c r="AI259" s="140">
        <f t="shared" si="5"/>
        <v>2250569.159081032</v>
      </c>
      <c r="AJ259" s="140">
        <f t="shared" si="5"/>
        <v>2217136.7116363994</v>
      </c>
      <c r="AK259" s="140">
        <f t="shared" si="5"/>
        <v>2271657.2378539126</v>
      </c>
      <c r="AL259" s="140">
        <f t="shared" si="5"/>
        <v>2290384.7222674191</v>
      </c>
      <c r="AM259" s="140">
        <f t="shared" si="5"/>
        <v>2308098.4261440216</v>
      </c>
      <c r="AN259" s="140">
        <f t="shared" si="5"/>
        <v>2444770.7265798626</v>
      </c>
      <c r="AO259" s="140">
        <f t="shared" si="5"/>
        <v>2582651.3685342898</v>
      </c>
      <c r="AP259" s="140">
        <f t="shared" si="5"/>
        <v>2676891.2096281722</v>
      </c>
      <c r="AQ259" s="140">
        <f t="shared" si="5"/>
        <v>2717616.8375036707</v>
      </c>
      <c r="AR259" s="140">
        <f t="shared" si="5"/>
        <v>2639192.8357143844</v>
      </c>
      <c r="AS259" s="140">
        <f t="shared" si="5"/>
        <v>2618005.6615697592</v>
      </c>
      <c r="AT259" s="140">
        <f t="shared" si="5"/>
        <v>2601579.365281356</v>
      </c>
      <c r="AU259" s="140">
        <f t="shared" si="5"/>
        <v>2577835.7562767575</v>
      </c>
      <c r="AV259" s="140">
        <f t="shared" si="5"/>
        <v>2561577.9883636846</v>
      </c>
      <c r="AW259" s="140">
        <f t="shared" si="5"/>
        <v>2549536.7153056739</v>
      </c>
      <c r="AX259" s="140">
        <f t="shared" si="5"/>
        <v>2515904.0857343837</v>
      </c>
      <c r="AY259" s="140">
        <f>AZ$14*$B$259</f>
        <v>2486641.8784061689</v>
      </c>
      <c r="AZ259" s="155">
        <f>SUM($D259:$AY259)</f>
        <v>109179211.81825204</v>
      </c>
    </row>
    <row r="260" spans="1:52" x14ac:dyDescent="0.2">
      <c r="A260" s="156" t="s">
        <v>302</v>
      </c>
      <c r="B260" s="130">
        <v>60</v>
      </c>
      <c r="C260" s="141" t="s">
        <v>293</v>
      </c>
      <c r="D260" s="141">
        <f>(D$175-D$176+D$177-D$178+D$179-D$180+D$181-D$182)*$B$260</f>
        <v>990229.60203573946</v>
      </c>
      <c r="E260" s="141">
        <f t="shared" ref="E260:AY260" si="6">(E$175-E$176+E$177-E$178+E$179-E$180+E$181-E$182)*$B$260</f>
        <v>1366129.3197771902</v>
      </c>
      <c r="F260" s="141">
        <f t="shared" si="6"/>
        <v>1573381.6282592062</v>
      </c>
      <c r="G260" s="141">
        <f t="shared" si="6"/>
        <v>1836533.5343860423</v>
      </c>
      <c r="H260" s="141">
        <f t="shared" si="6"/>
        <v>2036499.9281333652</v>
      </c>
      <c r="I260" s="141">
        <f t="shared" si="6"/>
        <v>2035409.9110265889</v>
      </c>
      <c r="J260" s="141">
        <f t="shared" si="6"/>
        <v>2016827.0291351296</v>
      </c>
      <c r="K260" s="141">
        <f t="shared" si="6"/>
        <v>2015704.6900267946</v>
      </c>
      <c r="L260" s="141">
        <f t="shared" si="6"/>
        <v>1988588.7453755855</v>
      </c>
      <c r="M260" s="141">
        <f t="shared" si="6"/>
        <v>2021127.3436840321</v>
      </c>
      <c r="N260" s="141">
        <f t="shared" si="6"/>
        <v>2019710.7303499389</v>
      </c>
      <c r="O260" s="141">
        <f t="shared" si="6"/>
        <v>2041427.8518786053</v>
      </c>
      <c r="P260" s="141">
        <f t="shared" si="6"/>
        <v>2026484.790110514</v>
      </c>
      <c r="Q260" s="141">
        <f t="shared" si="6"/>
        <v>2053614.0163225704</v>
      </c>
      <c r="R260" s="141">
        <f t="shared" si="6"/>
        <v>2051365.4371344359</v>
      </c>
      <c r="S260" s="141">
        <f t="shared" si="6"/>
        <v>2027469.8096165478</v>
      </c>
      <c r="T260" s="141">
        <f t="shared" si="6"/>
        <v>2018729.7155770408</v>
      </c>
      <c r="U260" s="141">
        <f t="shared" si="6"/>
        <v>2029083.0274442905</v>
      </c>
      <c r="V260" s="141">
        <f t="shared" si="6"/>
        <v>2007475.029074878</v>
      </c>
      <c r="W260" s="141">
        <f t="shared" si="6"/>
        <v>2064071.6129504989</v>
      </c>
      <c r="X260" s="141">
        <f t="shared" si="6"/>
        <v>2066498.7190322273</v>
      </c>
      <c r="Y260" s="141">
        <f t="shared" si="6"/>
        <v>2060079.1056784822</v>
      </c>
      <c r="Z260" s="141">
        <f t="shared" si="6"/>
        <v>2052177.5459000494</v>
      </c>
      <c r="AA260" s="141">
        <f t="shared" si="6"/>
        <v>2058912.1667072887</v>
      </c>
      <c r="AB260" s="141">
        <f t="shared" si="6"/>
        <v>2096403.2582766104</v>
      </c>
      <c r="AC260" s="141">
        <f t="shared" si="6"/>
        <v>2076001.3210756974</v>
      </c>
      <c r="AD260" s="141">
        <f t="shared" si="6"/>
        <v>2057036.1877081299</v>
      </c>
      <c r="AE260" s="141">
        <f t="shared" si="6"/>
        <v>2043328.9397002661</v>
      </c>
      <c r="AF260" s="141">
        <f t="shared" si="6"/>
        <v>2064105.7038960487</v>
      </c>
      <c r="AG260" s="141">
        <f t="shared" si="6"/>
        <v>2044324.2862955816</v>
      </c>
      <c r="AH260" s="141">
        <f t="shared" si="6"/>
        <v>2063582.5998961851</v>
      </c>
      <c r="AI260" s="141">
        <f t="shared" si="6"/>
        <v>2057915.1545463661</v>
      </c>
      <c r="AJ260" s="141">
        <f t="shared" si="6"/>
        <v>2025721.2266181784</v>
      </c>
      <c r="AK260" s="141">
        <f t="shared" si="6"/>
        <v>2010728.5626596389</v>
      </c>
      <c r="AL260" s="141">
        <f t="shared" si="6"/>
        <v>2029759.8717906997</v>
      </c>
      <c r="AM260" s="141">
        <f t="shared" si="6"/>
        <v>2027524.760663629</v>
      </c>
      <c r="AN260" s="141">
        <f t="shared" si="6"/>
        <v>2022408.8560080128</v>
      </c>
      <c r="AO260" s="141">
        <f t="shared" si="6"/>
        <v>2013701.412135296</v>
      </c>
      <c r="AP260" s="141">
        <f t="shared" si="6"/>
        <v>2010102.3498804767</v>
      </c>
      <c r="AQ260" s="141">
        <f t="shared" si="6"/>
        <v>1997283.0611535073</v>
      </c>
      <c r="AR260" s="141">
        <f t="shared" si="6"/>
        <v>2042262.1997802111</v>
      </c>
      <c r="AS260" s="141">
        <f t="shared" si="6"/>
        <v>2025377.9389320223</v>
      </c>
      <c r="AT260" s="141">
        <f t="shared" si="6"/>
        <v>2006674.2124355675</v>
      </c>
      <c r="AU260" s="141">
        <f t="shared" si="6"/>
        <v>2031725.9301898382</v>
      </c>
      <c r="AV260" s="141">
        <f t="shared" si="6"/>
        <v>2070786.6472279679</v>
      </c>
      <c r="AW260" s="141">
        <f t="shared" si="6"/>
        <v>2060618.1493563994</v>
      </c>
      <c r="AX260" s="141">
        <f t="shared" si="6"/>
        <v>2057182.6997783645</v>
      </c>
      <c r="AY260" s="141">
        <f t="shared" si="6"/>
        <v>2085803.8266086611</v>
      </c>
      <c r="AZ260" s="157">
        <f>SUM($D260:$AY260)</f>
        <v>95477890.446230382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4" t="s">
        <v>59</v>
      </c>
    </row>
    <row r="3" spans="1:54" x14ac:dyDescent="0.2">
      <c r="A3" t="s">
        <v>286</v>
      </c>
      <c r="B3" s="125">
        <v>43000</v>
      </c>
      <c r="C3" s="126"/>
    </row>
    <row r="4" spans="1:54" x14ac:dyDescent="0.2">
      <c r="B4" s="127"/>
      <c r="C4" s="127"/>
    </row>
    <row r="5" spans="1:54" x14ac:dyDescent="0.2">
      <c r="C5" s="9" t="s">
        <v>287</v>
      </c>
    </row>
    <row r="6" spans="1:54" x14ac:dyDescent="0.2">
      <c r="C6" s="128">
        <v>0</v>
      </c>
      <c r="D6" s="128">
        <v>1</v>
      </c>
      <c r="E6" s="128">
        <v>2</v>
      </c>
      <c r="F6" s="128">
        <v>3</v>
      </c>
      <c r="G6" s="128">
        <v>4</v>
      </c>
      <c r="H6" s="128">
        <v>5</v>
      </c>
      <c r="I6" s="128">
        <v>6</v>
      </c>
      <c r="J6" s="128">
        <v>7</v>
      </c>
      <c r="K6" s="128">
        <v>8</v>
      </c>
      <c r="L6" s="128">
        <v>9</v>
      </c>
      <c r="M6" s="128">
        <v>10</v>
      </c>
      <c r="N6" s="128">
        <v>11</v>
      </c>
      <c r="O6" s="128">
        <v>12</v>
      </c>
      <c r="P6" s="128">
        <v>13</v>
      </c>
      <c r="Q6" s="128">
        <v>14</v>
      </c>
      <c r="R6" s="128">
        <v>15</v>
      </c>
      <c r="S6" s="128">
        <v>16</v>
      </c>
      <c r="T6" s="128">
        <v>17</v>
      </c>
      <c r="U6" s="128">
        <v>18</v>
      </c>
      <c r="V6" s="128">
        <v>19</v>
      </c>
      <c r="W6" s="128">
        <v>20</v>
      </c>
      <c r="X6" s="128">
        <v>21</v>
      </c>
      <c r="Y6" s="128">
        <v>22</v>
      </c>
      <c r="Z6" s="128">
        <v>23</v>
      </c>
      <c r="AA6" s="128">
        <v>24</v>
      </c>
      <c r="AB6" s="128">
        <v>25</v>
      </c>
      <c r="AC6" s="128">
        <v>26</v>
      </c>
      <c r="AD6" s="128">
        <v>27</v>
      </c>
      <c r="AE6" s="128">
        <v>28</v>
      </c>
      <c r="AF6" s="128">
        <v>29</v>
      </c>
      <c r="AG6" s="128">
        <v>30</v>
      </c>
      <c r="AH6" s="128">
        <v>31</v>
      </c>
      <c r="AI6" s="128">
        <v>32</v>
      </c>
      <c r="AJ6" s="128">
        <v>33</v>
      </c>
      <c r="AK6" s="128">
        <v>34</v>
      </c>
      <c r="AL6" s="128">
        <v>35</v>
      </c>
      <c r="AM6" s="128">
        <v>36</v>
      </c>
      <c r="AN6" s="128">
        <v>37</v>
      </c>
      <c r="AO6" s="128">
        <v>38</v>
      </c>
      <c r="AP6" s="128">
        <v>39</v>
      </c>
      <c r="AQ6" s="128">
        <v>40</v>
      </c>
      <c r="AR6" s="128">
        <v>41</v>
      </c>
      <c r="AS6" s="128">
        <v>42</v>
      </c>
      <c r="AT6" s="128">
        <v>43</v>
      </c>
      <c r="AU6" s="128">
        <v>44</v>
      </c>
      <c r="AV6" s="128">
        <v>45</v>
      </c>
      <c r="AW6" s="128">
        <v>46</v>
      </c>
      <c r="AX6" s="128">
        <v>47</v>
      </c>
      <c r="AY6" s="128">
        <v>48</v>
      </c>
    </row>
    <row r="7" spans="1:54" x14ac:dyDescent="0.2">
      <c r="B7" s="127"/>
      <c r="C7" s="129" t="s">
        <v>288</v>
      </c>
      <c r="D7" s="128" t="s">
        <v>289</v>
      </c>
      <c r="E7" s="128" t="s">
        <v>289</v>
      </c>
      <c r="F7" s="128" t="s">
        <v>289</v>
      </c>
      <c r="G7" s="128" t="s">
        <v>289</v>
      </c>
      <c r="H7" s="128" t="s">
        <v>289</v>
      </c>
      <c r="I7" s="128" t="s">
        <v>289</v>
      </c>
      <c r="J7" s="128" t="s">
        <v>289</v>
      </c>
      <c r="K7" s="128" t="s">
        <v>289</v>
      </c>
      <c r="L7" s="128" t="s">
        <v>289</v>
      </c>
      <c r="M7" s="128" t="s">
        <v>289</v>
      </c>
      <c r="N7" s="128" t="s">
        <v>289</v>
      </c>
      <c r="O7" s="128" t="s">
        <v>289</v>
      </c>
      <c r="P7" s="128" t="s">
        <v>289</v>
      </c>
      <c r="Q7" s="128" t="s">
        <v>289</v>
      </c>
      <c r="R7" s="128" t="s">
        <v>289</v>
      </c>
      <c r="S7" s="128" t="s">
        <v>289</v>
      </c>
      <c r="T7" s="128" t="s">
        <v>289</v>
      </c>
      <c r="U7" s="128" t="s">
        <v>289</v>
      </c>
      <c r="V7" s="128" t="s">
        <v>289</v>
      </c>
      <c r="W7" s="128" t="s">
        <v>289</v>
      </c>
      <c r="X7" s="128" t="s">
        <v>289</v>
      </c>
      <c r="Y7" s="128" t="s">
        <v>289</v>
      </c>
      <c r="Z7" s="128" t="s">
        <v>289</v>
      </c>
      <c r="AA7" s="128" t="s">
        <v>289</v>
      </c>
      <c r="AB7" s="128" t="s">
        <v>289</v>
      </c>
      <c r="AC7" s="128" t="s">
        <v>289</v>
      </c>
      <c r="AD7" s="128" t="s">
        <v>289</v>
      </c>
      <c r="AE7" s="128" t="s">
        <v>289</v>
      </c>
      <c r="AF7" s="128" t="s">
        <v>289</v>
      </c>
      <c r="AG7" s="128" t="s">
        <v>289</v>
      </c>
      <c r="AH7" s="128" t="s">
        <v>289</v>
      </c>
      <c r="AI7" s="128" t="s">
        <v>289</v>
      </c>
      <c r="AJ7" s="128" t="s">
        <v>289</v>
      </c>
      <c r="AK7" s="128" t="s">
        <v>289</v>
      </c>
      <c r="AL7" s="128" t="s">
        <v>289</v>
      </c>
      <c r="AM7" s="128" t="s">
        <v>289</v>
      </c>
      <c r="AN7" s="128" t="s">
        <v>289</v>
      </c>
      <c r="AO7" s="128" t="s">
        <v>289</v>
      </c>
      <c r="AP7" s="128" t="s">
        <v>289</v>
      </c>
      <c r="AQ7" s="128" t="s">
        <v>289</v>
      </c>
      <c r="AR7" s="128" t="s">
        <v>289</v>
      </c>
      <c r="AS7" s="128" t="s">
        <v>289</v>
      </c>
      <c r="AT7" s="128" t="s">
        <v>289</v>
      </c>
      <c r="AU7" s="128" t="s">
        <v>289</v>
      </c>
      <c r="AV7" s="128" t="s">
        <v>289</v>
      </c>
      <c r="AW7" s="128" t="s">
        <v>289</v>
      </c>
      <c r="AX7" s="128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0"/>
      <c r="AY8" s="127"/>
    </row>
    <row r="9" spans="1:54" x14ac:dyDescent="0.2">
      <c r="A9" s="131" t="s">
        <v>125</v>
      </c>
      <c r="B9" s="132">
        <v>1</v>
      </c>
      <c r="C9" s="133" t="s">
        <v>293</v>
      </c>
      <c r="D9" s="133">
        <v>3450.0212674468758</v>
      </c>
      <c r="E9" s="133">
        <v>3450.0212674468758</v>
      </c>
      <c r="F9" s="133">
        <v>1899.5112436405702</v>
      </c>
      <c r="G9" s="133">
        <v>3450.0212674468758</v>
      </c>
      <c r="H9" s="133">
        <v>3342.8924064627272</v>
      </c>
      <c r="I9" s="133">
        <v>3342.8924064627272</v>
      </c>
      <c r="J9" s="133">
        <v>3342.8924064627272</v>
      </c>
      <c r="K9" s="133">
        <v>3342.8924064627272</v>
      </c>
      <c r="L9" s="133">
        <v>3342.8924064627272</v>
      </c>
      <c r="M9" s="133">
        <v>3342.8924064627272</v>
      </c>
      <c r="N9" s="133">
        <v>3342.8924064627272</v>
      </c>
      <c r="O9" s="133">
        <v>3342.8924064627272</v>
      </c>
      <c r="P9" s="133">
        <v>3450.0212674468758</v>
      </c>
      <c r="Q9" s="133">
        <v>3450.0212674468758</v>
      </c>
      <c r="R9" s="133">
        <v>3450.0212674468758</v>
      </c>
      <c r="S9" s="133">
        <v>3450.0212674468758</v>
      </c>
      <c r="T9" s="133">
        <v>3342.8924064627272</v>
      </c>
      <c r="U9" s="133">
        <v>3342.8924064627272</v>
      </c>
      <c r="V9" s="133">
        <v>3342.8924064627272</v>
      </c>
      <c r="W9" s="133">
        <v>3342.8924064627272</v>
      </c>
      <c r="X9" s="133">
        <v>3342.8924064627272</v>
      </c>
      <c r="Y9" s="133">
        <v>3342.8924064627272</v>
      </c>
      <c r="Z9" s="133">
        <v>3342.8924064627272</v>
      </c>
      <c r="AA9" s="133">
        <v>3342.8924064627272</v>
      </c>
      <c r="AB9" s="133">
        <v>3450.0212674468758</v>
      </c>
      <c r="AC9" s="133">
        <v>3450.0212674468758</v>
      </c>
      <c r="AD9" s="133">
        <v>3450.0212674468758</v>
      </c>
      <c r="AE9" s="133">
        <v>3450.0212674468758</v>
      </c>
      <c r="AF9" s="133">
        <v>3342.8924064627272</v>
      </c>
      <c r="AG9" s="133">
        <v>3342.8924064627272</v>
      </c>
      <c r="AH9" s="133">
        <v>3342.8924064627272</v>
      </c>
      <c r="AI9" s="133">
        <v>1812.526461901477</v>
      </c>
      <c r="AJ9" s="133">
        <v>3342.8924064627272</v>
      </c>
      <c r="AK9" s="133">
        <v>3342.8924064627272</v>
      </c>
      <c r="AL9" s="133">
        <v>3342.8924064627272</v>
      </c>
      <c r="AM9" s="133">
        <v>3342.8924064627272</v>
      </c>
      <c r="AN9" s="133">
        <v>3450.0212674468758</v>
      </c>
      <c r="AO9" s="133">
        <v>3450.0212674468758</v>
      </c>
      <c r="AP9" s="133">
        <v>2976.5985585089848</v>
      </c>
      <c r="AQ9" s="133">
        <v>2979.1345065972719</v>
      </c>
      <c r="AR9" s="133">
        <v>1818.3359320479562</v>
      </c>
      <c r="AS9" s="133">
        <v>1818.9615015281029</v>
      </c>
      <c r="AT9" s="133">
        <v>3342.8924064627272</v>
      </c>
      <c r="AU9" s="133">
        <v>3342.8924064627272</v>
      </c>
      <c r="AV9" s="133">
        <v>3342.8924064627272</v>
      </c>
      <c r="AW9" s="133">
        <v>2886.8579358853176</v>
      </c>
      <c r="AX9" s="133">
        <v>2889.2690240322659</v>
      </c>
      <c r="AY9" s="133">
        <v>3342.8924064627272</v>
      </c>
    </row>
    <row r="10" spans="1:54" x14ac:dyDescent="0.2">
      <c r="A10" s="134" t="s">
        <v>133</v>
      </c>
      <c r="B10" s="135">
        <v>1</v>
      </c>
      <c r="C10" s="123" t="s">
        <v>293</v>
      </c>
      <c r="D10">
        <v>852.90234624572781</v>
      </c>
      <c r="E10">
        <v>541.95973787492278</v>
      </c>
      <c r="F10">
        <v>594.47042874691806</v>
      </c>
      <c r="G10">
        <v>594.47042874691806</v>
      </c>
      <c r="H10">
        <v>594.47042874691806</v>
      </c>
      <c r="I10">
        <v>594.47042874691806</v>
      </c>
      <c r="J10">
        <v>539.83027292177803</v>
      </c>
      <c r="K10">
        <v>539.83027292177803</v>
      </c>
      <c r="L10">
        <v>539.83027292177803</v>
      </c>
      <c r="M10">
        <v>539.83027292177803</v>
      </c>
      <c r="N10">
        <v>539.83027292177803</v>
      </c>
      <c r="O10">
        <v>539.83027292177803</v>
      </c>
      <c r="P10">
        <v>539.83027292177803</v>
      </c>
      <c r="Q10">
        <v>539.83027292177803</v>
      </c>
      <c r="R10">
        <v>594.47042874691806</v>
      </c>
      <c r="S10">
        <v>594.47042874691806</v>
      </c>
      <c r="T10">
        <v>594.47042874691806</v>
      </c>
      <c r="U10">
        <v>594.47042874691806</v>
      </c>
      <c r="V10">
        <v>539.83027292177803</v>
      </c>
      <c r="W10">
        <v>539.83027292177803</v>
      </c>
      <c r="X10">
        <v>539.83027292177803</v>
      </c>
      <c r="Y10">
        <v>539.83027292177803</v>
      </c>
      <c r="Z10">
        <v>539.83027292177803</v>
      </c>
      <c r="AA10">
        <v>539.83027292177803</v>
      </c>
      <c r="AB10">
        <v>539.83027292177803</v>
      </c>
      <c r="AC10">
        <v>539.83027292177803</v>
      </c>
      <c r="AD10">
        <v>0</v>
      </c>
      <c r="AE10">
        <v>1188.9408574938361</v>
      </c>
      <c r="AF10">
        <v>594.47042874691806</v>
      </c>
      <c r="AG10">
        <v>594.47042874691806</v>
      </c>
      <c r="AH10">
        <v>539.83027292177803</v>
      </c>
      <c r="AI10">
        <v>539.83027292177803</v>
      </c>
      <c r="AJ10">
        <v>539.83027292177803</v>
      </c>
      <c r="AK10">
        <v>539.83027292177803</v>
      </c>
      <c r="AL10">
        <v>539.83027292177803</v>
      </c>
      <c r="AM10">
        <v>539.83027292177803</v>
      </c>
      <c r="AN10">
        <v>539.83027292177803</v>
      </c>
      <c r="AO10">
        <v>539.83027292177803</v>
      </c>
      <c r="AP10">
        <v>594.47042874691806</v>
      </c>
      <c r="AQ10">
        <v>594.47042874691806</v>
      </c>
      <c r="AR10">
        <v>594.47042874691806</v>
      </c>
      <c r="AS10">
        <v>594.47042874691806</v>
      </c>
      <c r="AT10">
        <v>539.83027292177803</v>
      </c>
      <c r="AU10">
        <v>539.83027292177803</v>
      </c>
      <c r="AV10">
        <v>539.83027292177803</v>
      </c>
      <c r="AW10">
        <v>539.83027292177803</v>
      </c>
      <c r="AX10">
        <v>539.83027292177803</v>
      </c>
      <c r="AY10">
        <v>0</v>
      </c>
      <c r="AZ10">
        <v>1079.6605458435561</v>
      </c>
    </row>
    <row r="11" spans="1:54" x14ac:dyDescent="0.2">
      <c r="B11" s="135">
        <v>2</v>
      </c>
      <c r="C11" s="123" t="s">
        <v>293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X11">
        <v>0</v>
      </c>
      <c r="Y11">
        <v>0</v>
      </c>
      <c r="Z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</row>
    <row r="12" spans="1:54" x14ac:dyDescent="0.2">
      <c r="B12" s="136">
        <v>3</v>
      </c>
      <c r="C12" s="123" t="s">
        <v>293</v>
      </c>
      <c r="D12">
        <v>0</v>
      </c>
      <c r="G12">
        <v>0</v>
      </c>
      <c r="I12">
        <v>0</v>
      </c>
      <c r="J12">
        <v>0</v>
      </c>
      <c r="M12">
        <v>0</v>
      </c>
      <c r="Q12">
        <v>0</v>
      </c>
      <c r="T12">
        <v>0</v>
      </c>
      <c r="U12">
        <v>0</v>
      </c>
      <c r="X12">
        <v>0</v>
      </c>
      <c r="Z12">
        <v>0</v>
      </c>
      <c r="AC12">
        <v>0</v>
      </c>
      <c r="AD12">
        <v>0</v>
      </c>
      <c r="AI12">
        <v>0</v>
      </c>
      <c r="AL12">
        <v>0</v>
      </c>
      <c r="AN12">
        <v>0</v>
      </c>
      <c r="AO12">
        <v>0</v>
      </c>
      <c r="AR12">
        <v>0</v>
      </c>
      <c r="AU12">
        <v>0</v>
      </c>
      <c r="AX12">
        <v>0</v>
      </c>
      <c r="BB12">
        <v>0</v>
      </c>
    </row>
    <row r="13" spans="1:54" x14ac:dyDescent="0.2">
      <c r="B13" s="136">
        <v>4</v>
      </c>
      <c r="C13" s="123" t="s">
        <v>293</v>
      </c>
      <c r="O13">
        <v>0</v>
      </c>
      <c r="Q13">
        <v>0</v>
      </c>
      <c r="U13">
        <v>0</v>
      </c>
      <c r="AC13">
        <v>0</v>
      </c>
      <c r="AL13">
        <v>0</v>
      </c>
    </row>
    <row r="14" spans="1:54" x14ac:dyDescent="0.2">
      <c r="A14" s="131" t="s">
        <v>134</v>
      </c>
      <c r="B14" s="137">
        <v>1</v>
      </c>
      <c r="C14" s="133" t="s">
        <v>293</v>
      </c>
      <c r="D14" s="133">
        <v>0</v>
      </c>
      <c r="E14" s="133">
        <f t="shared" ref="E14:AZ14" si="0">D$172*SUM(D$122:D$169)</f>
        <v>6223.9211976886645</v>
      </c>
      <c r="F14" s="133">
        <f t="shared" si="0"/>
        <v>10240.960159636674</v>
      </c>
      <c r="G14" s="133">
        <f t="shared" si="0"/>
        <v>13005.841164090389</v>
      </c>
      <c r="H14" s="133">
        <f t="shared" si="0"/>
        <v>13460.566930586412</v>
      </c>
      <c r="I14" s="133">
        <f t="shared" si="0"/>
        <v>13460.566930586412</v>
      </c>
      <c r="J14" s="133">
        <f t="shared" si="0"/>
        <v>13460.566930586412</v>
      </c>
      <c r="K14" s="133">
        <f t="shared" si="0"/>
        <v>13460.566930586412</v>
      </c>
      <c r="L14" s="133">
        <f t="shared" si="0"/>
        <v>13460.56693058641</v>
      </c>
      <c r="M14" s="133">
        <f t="shared" si="0"/>
        <v>13460.566930586412</v>
      </c>
      <c r="N14" s="133">
        <f t="shared" si="0"/>
        <v>13460.56693058641</v>
      </c>
      <c r="O14" s="133">
        <f t="shared" si="0"/>
        <v>13460.566930586412</v>
      </c>
      <c r="P14" s="133">
        <f t="shared" si="0"/>
        <v>13460.566930586412</v>
      </c>
      <c r="Q14" s="133">
        <f t="shared" si="0"/>
        <v>13460.566930586412</v>
      </c>
      <c r="R14" s="133">
        <f t="shared" si="0"/>
        <v>13460.566930586412</v>
      </c>
      <c r="S14" s="133">
        <f t="shared" si="0"/>
        <v>13460.56693058641</v>
      </c>
      <c r="T14" s="133">
        <f t="shared" si="0"/>
        <v>13460.566930586412</v>
      </c>
      <c r="U14" s="133">
        <f t="shared" si="0"/>
        <v>13460.566930586416</v>
      </c>
      <c r="V14" s="133">
        <f t="shared" si="0"/>
        <v>13460.566930586412</v>
      </c>
      <c r="W14" s="133">
        <f t="shared" si="0"/>
        <v>13460.566930586412</v>
      </c>
      <c r="X14" s="133">
        <f t="shared" si="0"/>
        <v>13460.56693058641</v>
      </c>
      <c r="Y14" s="133">
        <f t="shared" si="0"/>
        <v>13460.566930586412</v>
      </c>
      <c r="Z14" s="133">
        <f t="shared" si="0"/>
        <v>13460.56693058641</v>
      </c>
      <c r="AA14" s="133">
        <f t="shared" si="0"/>
        <v>13460.566930586412</v>
      </c>
      <c r="AB14" s="133">
        <f t="shared" si="0"/>
        <v>13460.56693058641</v>
      </c>
      <c r="AC14" s="133">
        <f t="shared" si="0"/>
        <v>13460.56693058641</v>
      </c>
      <c r="AD14" s="133">
        <f t="shared" si="0"/>
        <v>13460.566930586412</v>
      </c>
      <c r="AE14" s="133">
        <f t="shared" si="0"/>
        <v>13460.566930586412</v>
      </c>
      <c r="AF14" s="133">
        <f t="shared" si="0"/>
        <v>13460.56693058641</v>
      </c>
      <c r="AG14" s="133">
        <f t="shared" si="0"/>
        <v>13460.566930586412</v>
      </c>
      <c r="AH14" s="133">
        <f t="shared" si="0"/>
        <v>13460.566930586412</v>
      </c>
      <c r="AI14" s="133">
        <f t="shared" si="0"/>
        <v>13460.566930586412</v>
      </c>
      <c r="AJ14" s="133">
        <f t="shared" si="0"/>
        <v>13460.56693058641</v>
      </c>
      <c r="AK14" s="133">
        <f t="shared" si="0"/>
        <v>13460.566930586412</v>
      </c>
      <c r="AL14" s="133">
        <f t="shared" si="0"/>
        <v>13460.56693058641</v>
      </c>
      <c r="AM14" s="133">
        <f t="shared" si="0"/>
        <v>13460.566930586412</v>
      </c>
      <c r="AN14" s="133">
        <f t="shared" si="0"/>
        <v>13460.56693058641</v>
      </c>
      <c r="AO14" s="133">
        <f t="shared" si="0"/>
        <v>13460.56693058641</v>
      </c>
      <c r="AP14" s="133">
        <f t="shared" si="0"/>
        <v>13460.566930586412</v>
      </c>
      <c r="AQ14" s="133">
        <f t="shared" si="0"/>
        <v>13460.566930586412</v>
      </c>
      <c r="AR14" s="133">
        <f t="shared" si="0"/>
        <v>13460.566930586412</v>
      </c>
      <c r="AS14" s="133">
        <f t="shared" si="0"/>
        <v>13460.566930586412</v>
      </c>
      <c r="AT14" s="133">
        <f t="shared" si="0"/>
        <v>13460.56693058641</v>
      </c>
      <c r="AU14" s="133">
        <f t="shared" si="0"/>
        <v>13460.566930586412</v>
      </c>
      <c r="AV14" s="133">
        <f t="shared" si="0"/>
        <v>13460.56693058641</v>
      </c>
      <c r="AW14" s="133">
        <f t="shared" si="0"/>
        <v>13460.566930586412</v>
      </c>
      <c r="AX14" s="133">
        <f t="shared" si="0"/>
        <v>13460.56693058641</v>
      </c>
      <c r="AY14" s="133">
        <f t="shared" si="0"/>
        <v>13460.566930586412</v>
      </c>
      <c r="AZ14" s="127">
        <f t="shared" si="0"/>
        <v>13460.56693058641</v>
      </c>
      <c r="BA14" s="124">
        <f>SUM($E14:$AZ14)</f>
        <v>635196.23439780378</v>
      </c>
    </row>
    <row r="15" spans="1:54" x14ac:dyDescent="0.2">
      <c r="A15" s="138" t="s">
        <v>123</v>
      </c>
      <c r="B15" s="139">
        <v>1</v>
      </c>
      <c r="C15" s="140" t="s">
        <v>293</v>
      </c>
      <c r="D15" s="140">
        <v>19882.4175</v>
      </c>
      <c r="E15" s="140">
        <v>19882.4175</v>
      </c>
      <c r="F15" s="140">
        <v>19882.4175</v>
      </c>
      <c r="G15" s="140">
        <v>19882.4175</v>
      </c>
      <c r="H15" s="140">
        <v>17673.259999999998</v>
      </c>
      <c r="I15" s="140">
        <v>17673.259999999998</v>
      </c>
      <c r="J15" s="140">
        <v>17673.259999999998</v>
      </c>
      <c r="K15" s="140">
        <v>17673.259999999998</v>
      </c>
      <c r="L15" s="140">
        <v>17673.259999999998</v>
      </c>
      <c r="M15" s="140">
        <v>17673.259999999998</v>
      </c>
      <c r="N15" s="140">
        <v>17673.259999999998</v>
      </c>
      <c r="O15" s="140">
        <v>17673.259999999998</v>
      </c>
      <c r="P15" s="140">
        <v>19882.4175</v>
      </c>
      <c r="Q15" s="140">
        <v>19882.4175</v>
      </c>
      <c r="R15" s="140">
        <v>19882.4175</v>
      </c>
      <c r="S15" s="140">
        <v>19882.4175</v>
      </c>
      <c r="T15" s="140">
        <v>17673.259999999998</v>
      </c>
      <c r="U15" s="140">
        <v>17673.259999999998</v>
      </c>
      <c r="V15" s="140">
        <v>17673.259999999998</v>
      </c>
      <c r="W15" s="140">
        <v>17673.259999999998</v>
      </c>
      <c r="X15" s="140">
        <v>17673.259999999998</v>
      </c>
      <c r="Y15" s="140">
        <v>17673.259999999998</v>
      </c>
      <c r="Z15" s="140">
        <v>17673.259999999998</v>
      </c>
      <c r="AA15" s="140">
        <v>17673.259999999998</v>
      </c>
      <c r="AB15" s="140">
        <v>19882.4175</v>
      </c>
      <c r="AC15" s="140">
        <v>19882.4175</v>
      </c>
      <c r="AD15" s="140">
        <v>19882.4175</v>
      </c>
      <c r="AE15" s="140">
        <v>19882.4175</v>
      </c>
      <c r="AF15" s="140">
        <v>17673.259999999998</v>
      </c>
      <c r="AG15" s="140">
        <v>17673.259999999998</v>
      </c>
      <c r="AH15" s="140">
        <v>17673.259999999998</v>
      </c>
      <c r="AI15" s="140">
        <v>17673.259999999998</v>
      </c>
      <c r="AJ15" s="140">
        <v>17673.259999999998</v>
      </c>
      <c r="AK15" s="140">
        <v>17673.259999999998</v>
      </c>
      <c r="AL15" s="140">
        <v>17673.259999999998</v>
      </c>
      <c r="AM15" s="140">
        <v>17673.259999999998</v>
      </c>
      <c r="AN15" s="140">
        <v>19882.4175</v>
      </c>
      <c r="AO15" s="140">
        <v>19882.4175</v>
      </c>
      <c r="AP15" s="140">
        <v>19882.4175</v>
      </c>
      <c r="AQ15" s="140">
        <v>19882.4175</v>
      </c>
      <c r="AR15" s="140">
        <v>17673.259999999998</v>
      </c>
      <c r="AS15" s="140">
        <v>17673.259999999998</v>
      </c>
      <c r="AT15" s="140">
        <v>17673.259999999998</v>
      </c>
      <c r="AU15" s="140">
        <v>17673.259999999998</v>
      </c>
      <c r="AV15" s="140">
        <v>17673.259999999998</v>
      </c>
      <c r="AW15" s="140">
        <v>17673.259999999998</v>
      </c>
      <c r="AX15" s="140">
        <v>17673.259999999998</v>
      </c>
      <c r="AY15" s="140">
        <v>17673.259999999998</v>
      </c>
      <c r="AZ15">
        <v>0</v>
      </c>
    </row>
    <row r="16" spans="1:54" x14ac:dyDescent="0.2">
      <c r="A16" s="127"/>
      <c r="B16" s="135">
        <v>2</v>
      </c>
      <c r="C16" s="126" t="s">
        <v>293</v>
      </c>
      <c r="D16" s="123">
        <v>0</v>
      </c>
      <c r="E16" s="127">
        <v>0</v>
      </c>
      <c r="F16" s="127">
        <v>0</v>
      </c>
      <c r="G16" s="127">
        <v>0</v>
      </c>
      <c r="H16" s="127">
        <v>0</v>
      </c>
      <c r="I16" s="127">
        <v>0</v>
      </c>
      <c r="J16" s="127">
        <v>0</v>
      </c>
      <c r="K16" s="127">
        <v>0</v>
      </c>
      <c r="L16" s="127">
        <v>0</v>
      </c>
      <c r="M16" s="127">
        <v>0</v>
      </c>
      <c r="N16" s="127">
        <v>0</v>
      </c>
      <c r="O16" s="127">
        <v>0</v>
      </c>
      <c r="P16" s="127">
        <v>0</v>
      </c>
      <c r="Q16" s="127">
        <v>0</v>
      </c>
      <c r="R16" s="127">
        <v>0</v>
      </c>
      <c r="S16" s="127">
        <v>0</v>
      </c>
      <c r="T16" s="127">
        <v>0</v>
      </c>
      <c r="U16" s="127">
        <v>0</v>
      </c>
      <c r="V16" s="127">
        <v>0</v>
      </c>
      <c r="W16" s="127"/>
      <c r="X16" s="127">
        <v>0</v>
      </c>
      <c r="Y16" s="127">
        <v>0</v>
      </c>
      <c r="Z16" s="127">
        <v>0</v>
      </c>
      <c r="AA16" s="127"/>
      <c r="AB16" s="127"/>
      <c r="AC16" s="127"/>
      <c r="AD16" s="127">
        <v>0</v>
      </c>
      <c r="AE16" s="127">
        <v>0</v>
      </c>
      <c r="AF16" s="127">
        <v>0</v>
      </c>
      <c r="AG16" s="127">
        <v>0</v>
      </c>
      <c r="AH16" s="127">
        <v>0</v>
      </c>
      <c r="AI16" s="127">
        <v>0</v>
      </c>
      <c r="AJ16" s="127"/>
      <c r="AK16" s="127">
        <v>0</v>
      </c>
      <c r="AL16" s="127">
        <v>0</v>
      </c>
      <c r="AM16" s="127">
        <v>0</v>
      </c>
      <c r="AN16" s="127">
        <v>0</v>
      </c>
      <c r="AO16" s="127">
        <v>0</v>
      </c>
      <c r="AP16" s="127">
        <v>0</v>
      </c>
      <c r="AQ16" s="127"/>
      <c r="AR16" s="127">
        <v>0</v>
      </c>
      <c r="AS16" s="127">
        <v>0</v>
      </c>
      <c r="AT16" s="127">
        <v>0</v>
      </c>
      <c r="AU16" s="127">
        <v>0</v>
      </c>
      <c r="AV16" s="127">
        <v>0</v>
      </c>
      <c r="AW16" s="127">
        <v>0</v>
      </c>
      <c r="AX16" s="127">
        <v>0</v>
      </c>
      <c r="AY16" s="127">
        <v>0</v>
      </c>
      <c r="AZ16">
        <v>0</v>
      </c>
      <c r="BA16">
        <v>0</v>
      </c>
    </row>
    <row r="17" spans="1:54" x14ac:dyDescent="0.2">
      <c r="A17" s="127"/>
      <c r="B17" s="135">
        <v>3</v>
      </c>
      <c r="C17" s="126" t="s">
        <v>293</v>
      </c>
      <c r="D17" s="123">
        <v>0</v>
      </c>
      <c r="E17" s="127"/>
      <c r="F17" s="127"/>
      <c r="G17" s="127">
        <v>0</v>
      </c>
      <c r="H17" s="127"/>
      <c r="I17" s="127">
        <v>0</v>
      </c>
      <c r="J17" s="127">
        <v>0</v>
      </c>
      <c r="K17" s="127"/>
      <c r="L17" s="127"/>
      <c r="M17" s="127">
        <v>0</v>
      </c>
      <c r="N17" s="127"/>
      <c r="O17" s="127"/>
      <c r="P17" s="127"/>
      <c r="Q17" s="127">
        <v>0</v>
      </c>
      <c r="R17" s="127"/>
      <c r="S17" s="127"/>
      <c r="T17" s="127">
        <v>0</v>
      </c>
      <c r="U17" s="127">
        <v>0</v>
      </c>
      <c r="V17" s="127"/>
      <c r="W17" s="127"/>
      <c r="X17" s="127">
        <v>0</v>
      </c>
      <c r="Y17" s="127"/>
      <c r="Z17" s="127">
        <v>0</v>
      </c>
      <c r="AA17" s="127"/>
      <c r="AB17" s="127"/>
      <c r="AC17" s="127">
        <v>0</v>
      </c>
      <c r="AD17" s="127">
        <v>0</v>
      </c>
      <c r="AE17" s="127"/>
      <c r="AF17" s="127"/>
      <c r="AG17" s="127"/>
      <c r="AH17" s="127"/>
      <c r="AI17" s="127">
        <v>0</v>
      </c>
      <c r="AJ17" s="127"/>
      <c r="AK17" s="127"/>
      <c r="AL17" s="127">
        <v>0</v>
      </c>
      <c r="AM17" s="127"/>
      <c r="AN17" s="127">
        <v>0</v>
      </c>
      <c r="AO17" s="127">
        <v>0</v>
      </c>
      <c r="AP17" s="127"/>
      <c r="AQ17" s="127"/>
      <c r="AR17" s="127">
        <v>0</v>
      </c>
      <c r="AS17" s="127"/>
      <c r="AT17" s="127"/>
      <c r="AU17" s="127">
        <v>0</v>
      </c>
      <c r="AV17" s="127"/>
      <c r="AW17" s="127"/>
      <c r="AX17" s="127">
        <v>0</v>
      </c>
      <c r="AY17" s="127"/>
      <c r="BB17">
        <v>0</v>
      </c>
    </row>
    <row r="18" spans="1:54" x14ac:dyDescent="0.2">
      <c r="A18" s="141"/>
      <c r="B18" s="132">
        <v>4</v>
      </c>
      <c r="C18" s="141" t="s">
        <v>293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>
        <v>0</v>
      </c>
      <c r="P18" s="141"/>
      <c r="Q18" s="141">
        <v>0</v>
      </c>
      <c r="R18" s="141"/>
      <c r="S18" s="141"/>
      <c r="T18" s="141"/>
      <c r="U18" s="141">
        <v>0</v>
      </c>
      <c r="V18" s="141"/>
      <c r="W18" s="141"/>
      <c r="X18" s="141"/>
      <c r="Y18" s="141"/>
      <c r="Z18" s="141"/>
      <c r="AA18" s="141"/>
      <c r="AB18" s="141"/>
      <c r="AC18" s="141">
        <v>0</v>
      </c>
      <c r="AD18" s="141"/>
      <c r="AE18" s="141"/>
      <c r="AF18" s="141"/>
      <c r="AG18" s="141"/>
      <c r="AH18" s="141"/>
      <c r="AI18" s="141"/>
      <c r="AJ18" s="141"/>
      <c r="AK18" s="141"/>
      <c r="AL18" s="141">
        <v>0</v>
      </c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</row>
    <row r="20" spans="1:54" x14ac:dyDescent="0.2">
      <c r="A20" s="1" t="s">
        <v>294</v>
      </c>
    </row>
    <row r="21" spans="1:54" x14ac:dyDescent="0.2">
      <c r="A21" s="142" t="s">
        <v>125</v>
      </c>
      <c r="B21" s="139">
        <v>1</v>
      </c>
      <c r="C21" s="140" t="s">
        <v>293</v>
      </c>
      <c r="D21" s="140"/>
      <c r="E21" s="140">
        <v>3450.0212674468758</v>
      </c>
      <c r="F21" s="140">
        <v>1899.5112436405702</v>
      </c>
      <c r="G21" s="140">
        <v>3450.0212674468758</v>
      </c>
      <c r="H21" s="140">
        <v>3342.8924064627272</v>
      </c>
      <c r="I21" s="140">
        <v>3342.8924064627272</v>
      </c>
      <c r="J21" s="140">
        <v>3342.8924064627272</v>
      </c>
      <c r="K21" s="140">
        <v>3342.8924064627272</v>
      </c>
      <c r="L21" s="140">
        <v>3342.8924064627272</v>
      </c>
      <c r="M21" s="140">
        <v>3342.8924064627272</v>
      </c>
      <c r="N21" s="140">
        <v>3342.8924064627272</v>
      </c>
      <c r="O21" s="140">
        <v>3342.8924064627272</v>
      </c>
      <c r="P21" s="140">
        <v>3450.0212674468758</v>
      </c>
      <c r="Q21" s="140">
        <v>3450.0212674468758</v>
      </c>
      <c r="R21" s="140">
        <v>3450.0212674468758</v>
      </c>
      <c r="S21" s="140">
        <v>3450.0212674468758</v>
      </c>
      <c r="T21" s="140">
        <v>3342.8924064627272</v>
      </c>
      <c r="U21" s="140">
        <v>3342.8924064627272</v>
      </c>
      <c r="V21" s="140">
        <v>3342.8924064627272</v>
      </c>
      <c r="W21" s="140">
        <v>3342.8924064627272</v>
      </c>
      <c r="X21" s="140">
        <v>3342.8924064627272</v>
      </c>
      <c r="Y21" s="140">
        <v>3342.8924064627272</v>
      </c>
      <c r="Z21" s="140">
        <v>3342.8924064627272</v>
      </c>
      <c r="AA21" s="140">
        <v>3342.8924064627272</v>
      </c>
      <c r="AB21" s="140">
        <v>3450.0212674468758</v>
      </c>
      <c r="AC21" s="140">
        <v>3450.0212674468758</v>
      </c>
      <c r="AD21" s="140">
        <v>3450.0212674468758</v>
      </c>
      <c r="AE21" s="140">
        <v>3450.0212674468758</v>
      </c>
      <c r="AF21" s="140">
        <v>3342.8924064627272</v>
      </c>
      <c r="AG21" s="140">
        <v>3342.8924064627272</v>
      </c>
      <c r="AH21" s="140">
        <v>3342.8924064627272</v>
      </c>
      <c r="AI21" s="140">
        <v>1812.526461901477</v>
      </c>
      <c r="AJ21" s="140">
        <v>3342.8924064627272</v>
      </c>
      <c r="AK21" s="140">
        <v>3342.8924064627272</v>
      </c>
      <c r="AL21" s="140">
        <v>3342.8924064627272</v>
      </c>
      <c r="AM21" s="140">
        <v>3342.8924064627272</v>
      </c>
      <c r="AN21" s="140">
        <v>3450.0212674468758</v>
      </c>
      <c r="AO21" s="140">
        <v>3450.0212674468758</v>
      </c>
      <c r="AP21" s="140">
        <v>2976.5985585089848</v>
      </c>
      <c r="AQ21" s="140">
        <v>2979.1345065972719</v>
      </c>
      <c r="AR21" s="140">
        <v>1818.3359320479562</v>
      </c>
      <c r="AS21" s="140">
        <v>1818.9615015281029</v>
      </c>
      <c r="AT21" s="140">
        <v>3342.8924064627272</v>
      </c>
      <c r="AU21" s="140">
        <v>3342.8924064627272</v>
      </c>
      <c r="AV21" s="140">
        <v>3342.8924064627272</v>
      </c>
      <c r="AW21" s="140">
        <v>2886.8579358853176</v>
      </c>
      <c r="AX21" s="140">
        <v>2889.2690240322659</v>
      </c>
      <c r="AY21" s="140">
        <v>3342.8924064627272</v>
      </c>
    </row>
    <row r="22" spans="1:54" x14ac:dyDescent="0.2">
      <c r="A22" s="126"/>
      <c r="B22" s="136">
        <v>2</v>
      </c>
      <c r="C22" s="127" t="s">
        <v>293</v>
      </c>
      <c r="D22" s="127"/>
      <c r="E22" s="127">
        <v>3450.0212674468758</v>
      </c>
      <c r="F22" s="127">
        <v>0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  <c r="AC22" s="127">
        <v>0</v>
      </c>
      <c r="AD22" s="127">
        <v>0</v>
      </c>
      <c r="AE22" s="127">
        <v>0</v>
      </c>
      <c r="AF22" s="127">
        <v>0</v>
      </c>
      <c r="AG22" s="127">
        <v>0</v>
      </c>
      <c r="AH22" s="127">
        <v>0</v>
      </c>
      <c r="AI22" s="127">
        <v>0</v>
      </c>
      <c r="AJ22" s="127">
        <v>0</v>
      </c>
      <c r="AK22" s="127">
        <v>0</v>
      </c>
      <c r="AL22" s="127">
        <v>0</v>
      </c>
      <c r="AM22" s="127">
        <v>0</v>
      </c>
      <c r="AN22" s="127">
        <v>0</v>
      </c>
      <c r="AO22" s="127">
        <v>0</v>
      </c>
      <c r="AP22" s="127">
        <v>0</v>
      </c>
      <c r="AQ22" s="127">
        <v>0</v>
      </c>
      <c r="AR22" s="127">
        <v>0</v>
      </c>
      <c r="AS22" s="127">
        <v>0</v>
      </c>
      <c r="AT22" s="127">
        <v>0</v>
      </c>
      <c r="AU22" s="127">
        <v>0</v>
      </c>
      <c r="AV22" s="127">
        <v>0</v>
      </c>
      <c r="AW22" s="127">
        <v>0</v>
      </c>
      <c r="AX22" s="127">
        <v>0</v>
      </c>
      <c r="AY22" s="127">
        <v>0</v>
      </c>
    </row>
    <row r="23" spans="1:54" x14ac:dyDescent="0.2">
      <c r="A23" s="126"/>
      <c r="B23" s="143">
        <v>3</v>
      </c>
      <c r="C23" s="127" t="s">
        <v>293</v>
      </c>
      <c r="D23" s="127"/>
      <c r="E23" s="127">
        <v>4608.9648029835898</v>
      </c>
      <c r="F23" s="127">
        <v>0</v>
      </c>
      <c r="G23" s="127">
        <v>0</v>
      </c>
      <c r="H23" s="127">
        <v>0</v>
      </c>
      <c r="I23" s="127">
        <v>0</v>
      </c>
      <c r="J23" s="127">
        <v>0</v>
      </c>
      <c r="K23" s="127">
        <v>0</v>
      </c>
      <c r="L23" s="127">
        <v>0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  <c r="AC23" s="127">
        <v>0</v>
      </c>
      <c r="AD23" s="127">
        <v>0</v>
      </c>
      <c r="AE23" s="127">
        <v>0</v>
      </c>
      <c r="AF23" s="127">
        <v>0</v>
      </c>
      <c r="AG23" s="127">
        <v>0</v>
      </c>
      <c r="AH23" s="127">
        <v>0</v>
      </c>
      <c r="AI23" s="127">
        <v>0</v>
      </c>
      <c r="AJ23" s="127">
        <v>0</v>
      </c>
      <c r="AK23" s="127">
        <v>0</v>
      </c>
      <c r="AL23" s="127">
        <v>0</v>
      </c>
      <c r="AM23" s="127">
        <v>0</v>
      </c>
      <c r="AN23" s="127">
        <v>0</v>
      </c>
      <c r="AO23" s="127">
        <v>0</v>
      </c>
      <c r="AP23" s="127">
        <v>0</v>
      </c>
      <c r="AQ23" s="127">
        <v>0</v>
      </c>
      <c r="AR23" s="127">
        <v>0</v>
      </c>
      <c r="AS23" s="127">
        <v>0</v>
      </c>
      <c r="AT23" s="127">
        <v>0</v>
      </c>
      <c r="AU23" s="127">
        <v>0</v>
      </c>
      <c r="AV23" s="127">
        <v>0</v>
      </c>
      <c r="AW23" s="127">
        <v>0</v>
      </c>
      <c r="AX23" s="127">
        <v>0</v>
      </c>
      <c r="AY23" s="127">
        <v>0</v>
      </c>
    </row>
    <row r="24" spans="1:54" x14ac:dyDescent="0.2">
      <c r="A24" s="144"/>
      <c r="B24" s="145">
        <v>4</v>
      </c>
      <c r="C24" s="144" t="s">
        <v>293</v>
      </c>
      <c r="D24" s="141">
        <v>2773.0453990017704</v>
      </c>
      <c r="E24" s="141">
        <v>4608.9648029835898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  <c r="AT24" s="141">
        <v>0</v>
      </c>
      <c r="AU24" s="141">
        <v>0</v>
      </c>
      <c r="AV24" s="141">
        <v>0</v>
      </c>
      <c r="AW24" s="141">
        <v>0</v>
      </c>
      <c r="AX24" s="141">
        <v>0</v>
      </c>
      <c r="AY24" s="141">
        <v>0</v>
      </c>
    </row>
    <row r="25" spans="1:54" x14ac:dyDescent="0.2">
      <c r="A25" s="142" t="s">
        <v>133</v>
      </c>
      <c r="B25" s="139">
        <v>1</v>
      </c>
      <c r="C25" s="126" t="s">
        <v>293</v>
      </c>
      <c r="D25" s="127"/>
      <c r="E25" s="127"/>
      <c r="F25" s="127">
        <v>594.47042874691806</v>
      </c>
      <c r="G25" s="127">
        <v>594.47042874691806</v>
      </c>
      <c r="H25" s="127">
        <v>594.47042874691806</v>
      </c>
      <c r="I25" s="127">
        <v>594.47042874691806</v>
      </c>
      <c r="J25" s="127">
        <v>539.83027292177803</v>
      </c>
      <c r="K25" s="127">
        <v>539.83027292177803</v>
      </c>
      <c r="L25" s="127">
        <v>539.83027292177803</v>
      </c>
      <c r="M25" s="127">
        <v>539.83027292177803</v>
      </c>
      <c r="N25" s="127">
        <v>539.83027292177803</v>
      </c>
      <c r="O25" s="127">
        <v>539.83027292177803</v>
      </c>
      <c r="P25" s="127">
        <v>539.83027292177803</v>
      </c>
      <c r="Q25" s="127">
        <v>539.83027292177803</v>
      </c>
      <c r="R25" s="127">
        <v>594.47042874691806</v>
      </c>
      <c r="S25" s="127">
        <v>594.47042874691806</v>
      </c>
      <c r="T25" s="127">
        <v>594.47042874691806</v>
      </c>
      <c r="U25" s="127">
        <v>594.47042874691806</v>
      </c>
      <c r="V25" s="127">
        <v>539.83027292177803</v>
      </c>
      <c r="W25" s="127">
        <v>539.83027292177803</v>
      </c>
      <c r="X25" s="127">
        <v>539.83027292177803</v>
      </c>
      <c r="Y25" s="127">
        <v>539.83027292177803</v>
      </c>
      <c r="Z25" s="127">
        <v>539.83027292177803</v>
      </c>
      <c r="AA25" s="127">
        <v>539.83027292177803</v>
      </c>
      <c r="AB25" s="127">
        <v>539.83027292177803</v>
      </c>
      <c r="AC25" s="127">
        <v>539.83027292177803</v>
      </c>
      <c r="AD25" s="127">
        <v>0</v>
      </c>
      <c r="AE25" s="127">
        <v>1188.9408574938361</v>
      </c>
      <c r="AF25" s="127">
        <v>594.47042874691806</v>
      </c>
      <c r="AG25" s="127">
        <v>594.47042874691806</v>
      </c>
      <c r="AH25" s="127">
        <v>539.83027292177803</v>
      </c>
      <c r="AI25" s="127">
        <v>539.83027292177803</v>
      </c>
      <c r="AJ25" s="127">
        <v>539.83027292177803</v>
      </c>
      <c r="AK25" s="127">
        <v>539.83027292177803</v>
      </c>
      <c r="AL25" s="127">
        <v>539.83027292177803</v>
      </c>
      <c r="AM25" s="127">
        <v>539.83027292177803</v>
      </c>
      <c r="AN25" s="127">
        <v>539.83027292177803</v>
      </c>
      <c r="AO25" s="127">
        <v>539.83027292177803</v>
      </c>
      <c r="AP25" s="127">
        <v>594.47042874691806</v>
      </c>
      <c r="AQ25" s="127">
        <v>594.47042874691806</v>
      </c>
      <c r="AR25" s="127">
        <v>594.47042874691806</v>
      </c>
      <c r="AS25" s="127">
        <v>594.47042874691806</v>
      </c>
      <c r="AT25" s="127">
        <v>539.83027292177803</v>
      </c>
      <c r="AU25" s="127">
        <v>539.83027292177803</v>
      </c>
      <c r="AV25" s="127">
        <v>539.83027292177803</v>
      </c>
      <c r="AW25" s="127">
        <v>539.83027292177803</v>
      </c>
      <c r="AX25" s="127">
        <v>539.83027292177803</v>
      </c>
      <c r="AY25" s="127">
        <v>0</v>
      </c>
    </row>
    <row r="26" spans="1:54" x14ac:dyDescent="0.2">
      <c r="A26" s="126"/>
      <c r="B26" s="135">
        <v>2</v>
      </c>
      <c r="C26" s="126" t="s">
        <v>293</v>
      </c>
      <c r="D26" s="127"/>
      <c r="E26" s="127"/>
      <c r="F26" s="127">
        <v>541.95973787492278</v>
      </c>
      <c r="G26" s="127">
        <v>0</v>
      </c>
      <c r="H26" s="127">
        <v>0</v>
      </c>
      <c r="I26" s="127">
        <v>0</v>
      </c>
      <c r="J26" s="127">
        <v>0</v>
      </c>
      <c r="K26" s="127">
        <v>0</v>
      </c>
      <c r="L26" s="127">
        <v>0</v>
      </c>
      <c r="M26" s="127">
        <v>0</v>
      </c>
      <c r="N26" s="127">
        <v>0</v>
      </c>
      <c r="O26" s="127">
        <v>0</v>
      </c>
      <c r="P26" s="127">
        <v>0</v>
      </c>
      <c r="Q26" s="127">
        <v>0</v>
      </c>
      <c r="R26" s="127">
        <v>0</v>
      </c>
      <c r="S26" s="127">
        <v>0</v>
      </c>
      <c r="T26" s="127">
        <v>0</v>
      </c>
      <c r="U26" s="127">
        <v>0</v>
      </c>
      <c r="V26" s="127">
        <v>0</v>
      </c>
      <c r="W26" s="127">
        <v>0</v>
      </c>
      <c r="X26" s="127">
        <v>0</v>
      </c>
      <c r="Y26" s="127">
        <v>0</v>
      </c>
      <c r="Z26" s="127">
        <v>0</v>
      </c>
      <c r="AA26" s="127">
        <v>0</v>
      </c>
      <c r="AB26" s="127">
        <v>0</v>
      </c>
      <c r="AC26" s="127">
        <v>0</v>
      </c>
      <c r="AD26" s="127">
        <v>0</v>
      </c>
      <c r="AE26" s="127">
        <v>0</v>
      </c>
      <c r="AF26" s="127">
        <v>0</v>
      </c>
      <c r="AG26" s="127">
        <v>0</v>
      </c>
      <c r="AH26" s="127">
        <v>0</v>
      </c>
      <c r="AI26" s="127">
        <v>0</v>
      </c>
      <c r="AJ26" s="127">
        <v>0</v>
      </c>
      <c r="AK26" s="127">
        <v>0</v>
      </c>
      <c r="AL26" s="127">
        <v>0</v>
      </c>
      <c r="AM26" s="127">
        <v>0</v>
      </c>
      <c r="AN26" s="127">
        <v>0</v>
      </c>
      <c r="AO26" s="127">
        <v>0</v>
      </c>
      <c r="AP26" s="127">
        <v>0</v>
      </c>
      <c r="AQ26" s="127">
        <v>0</v>
      </c>
      <c r="AR26" s="127">
        <v>0</v>
      </c>
      <c r="AS26" s="127">
        <v>0</v>
      </c>
      <c r="AT26" s="127">
        <v>0</v>
      </c>
      <c r="AU26" s="127">
        <v>0</v>
      </c>
      <c r="AV26" s="127">
        <v>0</v>
      </c>
      <c r="AW26" s="127">
        <v>0</v>
      </c>
      <c r="AX26" s="127">
        <v>0</v>
      </c>
      <c r="AY26" s="127">
        <v>0</v>
      </c>
    </row>
    <row r="27" spans="1:54" x14ac:dyDescent="0.2">
      <c r="A27" s="126"/>
      <c r="B27" s="136">
        <v>3</v>
      </c>
      <c r="C27" s="126" t="s">
        <v>293</v>
      </c>
      <c r="D27" s="127"/>
      <c r="E27" s="127"/>
      <c r="F27" s="127">
        <v>336.20526212508298</v>
      </c>
      <c r="G27" s="127">
        <v>0</v>
      </c>
      <c r="H27" s="127">
        <v>0</v>
      </c>
      <c r="I27" s="127">
        <v>0</v>
      </c>
      <c r="J27" s="127">
        <v>0</v>
      </c>
      <c r="K27" s="127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7">
        <v>0</v>
      </c>
      <c r="R27" s="127">
        <v>0</v>
      </c>
      <c r="S27" s="127">
        <v>0</v>
      </c>
      <c r="T27" s="127">
        <v>0</v>
      </c>
      <c r="U27" s="127">
        <v>0</v>
      </c>
      <c r="V27" s="127">
        <v>0</v>
      </c>
      <c r="W27" s="127">
        <v>0</v>
      </c>
      <c r="X27" s="127">
        <v>0</v>
      </c>
      <c r="Y27" s="127">
        <v>0</v>
      </c>
      <c r="Z27" s="127">
        <v>0</v>
      </c>
      <c r="AA27" s="127">
        <v>0</v>
      </c>
      <c r="AB27" s="127">
        <v>0</v>
      </c>
      <c r="AC27" s="127">
        <v>0</v>
      </c>
      <c r="AD27" s="127">
        <v>0</v>
      </c>
      <c r="AE27" s="127">
        <v>0</v>
      </c>
      <c r="AF27" s="127">
        <v>0</v>
      </c>
      <c r="AG27" s="127">
        <v>0</v>
      </c>
      <c r="AH27" s="127">
        <v>0</v>
      </c>
      <c r="AI27" s="127">
        <v>0</v>
      </c>
      <c r="AJ27" s="127">
        <v>0</v>
      </c>
      <c r="AK27" s="127">
        <v>0</v>
      </c>
      <c r="AL27" s="127">
        <v>0</v>
      </c>
      <c r="AM27" s="127">
        <v>0</v>
      </c>
      <c r="AN27" s="127">
        <v>0</v>
      </c>
      <c r="AO27" s="127">
        <v>0</v>
      </c>
      <c r="AP27" s="127">
        <v>0</v>
      </c>
      <c r="AQ27" s="127">
        <v>0</v>
      </c>
      <c r="AR27" s="127">
        <v>0</v>
      </c>
      <c r="AS27" s="127">
        <v>0</v>
      </c>
      <c r="AT27" s="127">
        <v>0</v>
      </c>
      <c r="AU27" s="127">
        <v>0</v>
      </c>
      <c r="AV27" s="127">
        <v>0</v>
      </c>
      <c r="AW27" s="127">
        <v>0</v>
      </c>
      <c r="AX27" s="127">
        <v>0</v>
      </c>
      <c r="AY27" s="127">
        <v>0</v>
      </c>
    </row>
    <row r="28" spans="1:54" x14ac:dyDescent="0.2">
      <c r="A28" s="126"/>
      <c r="B28" s="136">
        <v>4</v>
      </c>
      <c r="C28" s="126" t="s">
        <v>293</v>
      </c>
      <c r="D28" s="127"/>
      <c r="E28" s="127">
        <v>1702.5449112187171</v>
      </c>
      <c r="F28" s="127">
        <v>0</v>
      </c>
      <c r="G28" s="127">
        <v>0</v>
      </c>
      <c r="H28" s="127">
        <v>0</v>
      </c>
      <c r="I28" s="127">
        <v>0</v>
      </c>
      <c r="J28" s="127">
        <v>0</v>
      </c>
      <c r="K28" s="127">
        <v>0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7">
        <v>0</v>
      </c>
      <c r="R28" s="127">
        <v>0</v>
      </c>
      <c r="S28" s="127">
        <v>0</v>
      </c>
      <c r="T28" s="127">
        <v>0</v>
      </c>
      <c r="U28" s="127">
        <v>0</v>
      </c>
      <c r="V28" s="127">
        <v>0</v>
      </c>
      <c r="W28" s="127">
        <v>0</v>
      </c>
      <c r="X28" s="127">
        <v>0</v>
      </c>
      <c r="Y28" s="127">
        <v>0</v>
      </c>
      <c r="Z28" s="127">
        <v>0</v>
      </c>
      <c r="AA28" s="127">
        <v>0</v>
      </c>
      <c r="AB28" s="127">
        <v>0</v>
      </c>
      <c r="AC28" s="127">
        <v>0</v>
      </c>
      <c r="AD28" s="127">
        <v>0</v>
      </c>
      <c r="AE28" s="127">
        <v>0</v>
      </c>
      <c r="AF28" s="127">
        <v>0</v>
      </c>
      <c r="AG28" s="127">
        <v>0</v>
      </c>
      <c r="AH28" s="127">
        <v>0</v>
      </c>
      <c r="AI28" s="127">
        <v>0</v>
      </c>
      <c r="AJ28" s="127">
        <v>0</v>
      </c>
      <c r="AK28" s="127">
        <v>0</v>
      </c>
      <c r="AL28" s="127">
        <v>0</v>
      </c>
      <c r="AM28" s="127">
        <v>0</v>
      </c>
      <c r="AN28" s="127">
        <v>0</v>
      </c>
      <c r="AO28" s="127">
        <v>0</v>
      </c>
      <c r="AP28" s="127">
        <v>0</v>
      </c>
      <c r="AQ28" s="127">
        <v>0</v>
      </c>
      <c r="AR28" s="127">
        <v>0</v>
      </c>
      <c r="AS28" s="127">
        <v>0</v>
      </c>
      <c r="AT28" s="127">
        <v>0</v>
      </c>
      <c r="AU28" s="127">
        <v>0</v>
      </c>
      <c r="AV28" s="127">
        <v>0</v>
      </c>
      <c r="AW28" s="127">
        <v>0</v>
      </c>
      <c r="AX28" s="127">
        <v>0</v>
      </c>
      <c r="AY28" s="127">
        <v>0</v>
      </c>
    </row>
    <row r="29" spans="1:54" x14ac:dyDescent="0.2">
      <c r="A29" s="126"/>
      <c r="B29" s="143">
        <v>5</v>
      </c>
      <c r="C29" s="126" t="s">
        <v>293</v>
      </c>
      <c r="D29" s="127"/>
      <c r="E29" s="127">
        <v>195.96204926033261</v>
      </c>
      <c r="F29" s="127">
        <v>0</v>
      </c>
      <c r="G29" s="127">
        <v>0</v>
      </c>
      <c r="H29" s="127">
        <v>0</v>
      </c>
      <c r="I29" s="127">
        <v>0</v>
      </c>
      <c r="J29" s="127">
        <v>0</v>
      </c>
      <c r="K29" s="127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>
        <v>0</v>
      </c>
      <c r="AC29" s="127">
        <v>0</v>
      </c>
      <c r="AD29" s="127">
        <v>0</v>
      </c>
      <c r="AE29" s="127">
        <v>0</v>
      </c>
      <c r="AF29" s="127">
        <v>0</v>
      </c>
      <c r="AG29" s="127">
        <v>0</v>
      </c>
      <c r="AH29" s="127">
        <v>0</v>
      </c>
      <c r="AI29" s="127">
        <v>0</v>
      </c>
      <c r="AJ29" s="127">
        <v>0</v>
      </c>
      <c r="AK29" s="127">
        <v>0</v>
      </c>
      <c r="AL29" s="127">
        <v>0</v>
      </c>
      <c r="AM29" s="127">
        <v>0</v>
      </c>
      <c r="AN29" s="127">
        <v>0</v>
      </c>
      <c r="AO29" s="127">
        <v>0</v>
      </c>
      <c r="AP29" s="127">
        <v>0</v>
      </c>
      <c r="AQ29" s="127">
        <v>0</v>
      </c>
      <c r="AR29" s="127">
        <v>0</v>
      </c>
      <c r="AS29" s="127">
        <v>0</v>
      </c>
      <c r="AT29" s="127">
        <v>0</v>
      </c>
      <c r="AU29" s="127">
        <v>0</v>
      </c>
      <c r="AV29" s="127">
        <v>0</v>
      </c>
      <c r="AW29" s="127">
        <v>0</v>
      </c>
      <c r="AX29" s="127">
        <v>0</v>
      </c>
      <c r="AY29" s="127">
        <v>0</v>
      </c>
    </row>
    <row r="30" spans="1:54" x14ac:dyDescent="0.2">
      <c r="A30" s="126"/>
      <c r="B30" s="143">
        <v>6</v>
      </c>
      <c r="C30" s="126" t="s">
        <v>293</v>
      </c>
      <c r="D30" s="127"/>
      <c r="E30" s="127">
        <v>0</v>
      </c>
      <c r="F30" s="127">
        <v>0</v>
      </c>
      <c r="G30" s="127">
        <v>0</v>
      </c>
      <c r="H30" s="127">
        <v>0</v>
      </c>
      <c r="I30" s="127">
        <v>0</v>
      </c>
      <c r="J30" s="127">
        <v>0</v>
      </c>
      <c r="K30" s="127">
        <v>0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7">
        <v>0</v>
      </c>
      <c r="R30" s="127">
        <v>0</v>
      </c>
      <c r="S30" s="127">
        <v>0</v>
      </c>
      <c r="T30" s="127">
        <v>0</v>
      </c>
      <c r="U30" s="127">
        <v>0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>
        <v>0</v>
      </c>
      <c r="AC30" s="127">
        <v>0</v>
      </c>
      <c r="AD30" s="127">
        <v>0</v>
      </c>
      <c r="AE30" s="127">
        <v>0</v>
      </c>
      <c r="AF30" s="127">
        <v>0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7">
        <v>0</v>
      </c>
      <c r="AM30" s="127">
        <v>0</v>
      </c>
      <c r="AN30" s="127">
        <v>0</v>
      </c>
      <c r="AO30" s="127">
        <v>0</v>
      </c>
      <c r="AP30" s="127">
        <v>0</v>
      </c>
      <c r="AQ30" s="127">
        <v>0</v>
      </c>
      <c r="AR30" s="127">
        <v>0</v>
      </c>
      <c r="AS30" s="127">
        <v>0</v>
      </c>
      <c r="AT30" s="127">
        <v>0</v>
      </c>
      <c r="AU30" s="127">
        <v>0</v>
      </c>
      <c r="AV30" s="127">
        <v>0</v>
      </c>
      <c r="AW30" s="127">
        <v>0</v>
      </c>
      <c r="AX30" s="127">
        <v>0</v>
      </c>
      <c r="AY30" s="127">
        <v>0</v>
      </c>
    </row>
    <row r="31" spans="1:54" x14ac:dyDescent="0.2">
      <c r="A31" s="126"/>
      <c r="B31" s="146">
        <v>7</v>
      </c>
      <c r="C31" s="126" t="s">
        <v>293</v>
      </c>
      <c r="D31" s="127"/>
      <c r="E31" s="127">
        <v>0</v>
      </c>
      <c r="F31" s="127">
        <v>0</v>
      </c>
      <c r="G31" s="127">
        <v>0</v>
      </c>
      <c r="H31" s="127">
        <v>0</v>
      </c>
      <c r="I31" s="127">
        <v>0</v>
      </c>
      <c r="J31" s="127">
        <v>0</v>
      </c>
      <c r="K31" s="127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7">
        <v>0</v>
      </c>
      <c r="R31" s="127">
        <v>0</v>
      </c>
      <c r="S31" s="127">
        <v>0</v>
      </c>
      <c r="T31" s="127">
        <v>0</v>
      </c>
      <c r="U31" s="127">
        <v>0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>
        <v>0</v>
      </c>
      <c r="AC31" s="127">
        <v>0</v>
      </c>
      <c r="AD31" s="127">
        <v>0</v>
      </c>
      <c r="AE31" s="127">
        <v>0</v>
      </c>
      <c r="AF31" s="127">
        <v>0</v>
      </c>
      <c r="AG31" s="127">
        <v>0</v>
      </c>
      <c r="AH31" s="127">
        <v>0</v>
      </c>
      <c r="AI31" s="127">
        <v>0</v>
      </c>
      <c r="AJ31" s="127">
        <v>0</v>
      </c>
      <c r="AK31" s="127">
        <v>0</v>
      </c>
      <c r="AL31" s="127">
        <v>0</v>
      </c>
      <c r="AM31" s="127">
        <v>0</v>
      </c>
      <c r="AN31" s="127">
        <v>0</v>
      </c>
      <c r="AO31" s="127">
        <v>0</v>
      </c>
      <c r="AP31" s="127">
        <v>0</v>
      </c>
      <c r="AQ31" s="127">
        <v>0</v>
      </c>
      <c r="AR31" s="127">
        <v>0</v>
      </c>
      <c r="AS31" s="127">
        <v>0</v>
      </c>
      <c r="AT31" s="127">
        <v>0</v>
      </c>
      <c r="AU31" s="127">
        <v>0</v>
      </c>
      <c r="AV31" s="127">
        <v>0</v>
      </c>
      <c r="AW31" s="127">
        <v>0</v>
      </c>
      <c r="AX31" s="127">
        <v>0</v>
      </c>
      <c r="AY31" s="127">
        <v>0</v>
      </c>
    </row>
    <row r="32" spans="1:54" x14ac:dyDescent="0.2">
      <c r="A32" s="144"/>
      <c r="B32" s="145">
        <v>8</v>
      </c>
      <c r="C32" s="144" t="s">
        <v>293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  <c r="AU32" s="141">
        <v>0</v>
      </c>
      <c r="AV32" s="141">
        <v>0</v>
      </c>
      <c r="AW32" s="141">
        <v>0</v>
      </c>
      <c r="AX32" s="141">
        <v>0</v>
      </c>
      <c r="AY32" s="141">
        <v>0</v>
      </c>
    </row>
    <row r="33" spans="1:51" x14ac:dyDescent="0.2">
      <c r="A33" s="147" t="s">
        <v>134</v>
      </c>
      <c r="B33" s="135">
        <v>1</v>
      </c>
      <c r="C33" s="126" t="s">
        <v>293</v>
      </c>
      <c r="D33" s="123"/>
      <c r="E33" s="123"/>
      <c r="F33" s="123">
        <v>8788.3313023113369</v>
      </c>
      <c r="G33" s="123">
        <v>13005.841164090389</v>
      </c>
      <c r="H33" s="123">
        <v>13460.566930586412</v>
      </c>
      <c r="I33" s="123">
        <v>13460.566930586412</v>
      </c>
      <c r="J33" s="123">
        <v>13460.566930586412</v>
      </c>
      <c r="K33" s="123">
        <v>13460.566930586412</v>
      </c>
      <c r="L33" s="123">
        <v>13460.56693058641</v>
      </c>
      <c r="M33" s="123">
        <v>13460.566930586412</v>
      </c>
      <c r="N33" s="123">
        <v>13460.56693058641</v>
      </c>
      <c r="O33" s="123">
        <v>13460.566930586412</v>
      </c>
      <c r="P33" s="123">
        <v>13460.566930586412</v>
      </c>
      <c r="Q33" s="123">
        <v>13460.566930586412</v>
      </c>
      <c r="R33" s="123">
        <v>13460.566930586412</v>
      </c>
      <c r="S33" s="123">
        <v>13460.56693058641</v>
      </c>
      <c r="T33" s="123">
        <v>13460.566930586412</v>
      </c>
      <c r="U33" s="123">
        <v>13460.566930586416</v>
      </c>
      <c r="V33" s="123">
        <v>13460.566930586412</v>
      </c>
      <c r="W33" s="123">
        <v>13460.566930586412</v>
      </c>
      <c r="X33" s="123">
        <v>13460.56693058641</v>
      </c>
      <c r="Y33" s="123">
        <v>13460.566930586412</v>
      </c>
      <c r="Z33" s="123">
        <v>13460.56693058641</v>
      </c>
      <c r="AA33" s="123">
        <v>13460.566930586412</v>
      </c>
      <c r="AB33" s="123">
        <v>13460.56693058641</v>
      </c>
      <c r="AC33" s="123">
        <v>13460.56693058641</v>
      </c>
      <c r="AD33" s="123">
        <v>13460.566930586412</v>
      </c>
      <c r="AE33" s="123">
        <v>13460.566930586412</v>
      </c>
      <c r="AF33" s="123">
        <v>13460.56693058641</v>
      </c>
      <c r="AG33" s="123">
        <v>13460.566930586412</v>
      </c>
      <c r="AH33" s="123">
        <v>13460.566930586412</v>
      </c>
      <c r="AI33" s="123">
        <v>13460.566930586412</v>
      </c>
      <c r="AJ33" s="123">
        <v>13460.56693058641</v>
      </c>
      <c r="AK33" s="123">
        <v>13460.566930586412</v>
      </c>
      <c r="AL33" s="123">
        <v>13460.56693058641</v>
      </c>
      <c r="AM33" s="123">
        <v>13460.566930586412</v>
      </c>
      <c r="AN33" s="123">
        <v>13460.56693058641</v>
      </c>
      <c r="AO33" s="123">
        <v>13460.56693058641</v>
      </c>
      <c r="AP33" s="123">
        <v>13460.566930586412</v>
      </c>
      <c r="AQ33" s="123">
        <v>13460.566930586412</v>
      </c>
      <c r="AR33" s="123">
        <v>13460.566930586412</v>
      </c>
      <c r="AS33" s="123">
        <v>13460.566930586412</v>
      </c>
      <c r="AT33" s="123">
        <v>13460.56693058641</v>
      </c>
      <c r="AU33" s="123">
        <v>13460.566930586412</v>
      </c>
      <c r="AV33" s="123">
        <v>13460.56693058641</v>
      </c>
      <c r="AW33" s="123">
        <v>13460.566930586412</v>
      </c>
      <c r="AX33" s="123">
        <v>13460.56693058641</v>
      </c>
      <c r="AY33" s="123">
        <v>13460.566930586412</v>
      </c>
    </row>
    <row r="34" spans="1:51" x14ac:dyDescent="0.2">
      <c r="A34" s="126"/>
      <c r="B34" s="135">
        <v>2</v>
      </c>
      <c r="C34" s="126" t="s">
        <v>293</v>
      </c>
      <c r="D34" s="123"/>
      <c r="E34" s="123"/>
      <c r="F34" s="123">
        <v>4386.9211976886645</v>
      </c>
      <c r="G34" s="123">
        <v>0</v>
      </c>
      <c r="H34" s="123">
        <v>0</v>
      </c>
      <c r="I34" s="123">
        <v>0</v>
      </c>
      <c r="J34" s="123">
        <v>0</v>
      </c>
      <c r="K34" s="123">
        <v>0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T34" s="123">
        <v>0</v>
      </c>
      <c r="U34" s="123">
        <v>0</v>
      </c>
      <c r="V34" s="123">
        <v>0</v>
      </c>
      <c r="W34" s="123">
        <v>0</v>
      </c>
      <c r="X34" s="123">
        <v>0</v>
      </c>
      <c r="Y34" s="123">
        <v>0</v>
      </c>
      <c r="Z34" s="123">
        <v>0</v>
      </c>
      <c r="AA34" s="123">
        <v>0</v>
      </c>
      <c r="AB34" s="123">
        <v>0</v>
      </c>
      <c r="AC34" s="123">
        <v>0</v>
      </c>
      <c r="AD34" s="123">
        <v>0</v>
      </c>
      <c r="AE34" s="123">
        <v>0</v>
      </c>
      <c r="AF34" s="123">
        <v>0</v>
      </c>
      <c r="AG34" s="123">
        <v>0</v>
      </c>
      <c r="AH34" s="123">
        <v>0</v>
      </c>
      <c r="AI34" s="123">
        <v>0</v>
      </c>
      <c r="AJ34" s="123">
        <v>0</v>
      </c>
      <c r="AK34" s="123">
        <v>0</v>
      </c>
      <c r="AL34" s="123">
        <v>0</v>
      </c>
      <c r="AM34" s="123">
        <v>0</v>
      </c>
      <c r="AN34" s="123">
        <v>0</v>
      </c>
      <c r="AO34" s="123">
        <v>0</v>
      </c>
      <c r="AP34" s="123">
        <v>0</v>
      </c>
      <c r="AQ34" s="123">
        <v>0</v>
      </c>
      <c r="AR34" s="123">
        <v>0</v>
      </c>
      <c r="AS34" s="123">
        <v>0</v>
      </c>
      <c r="AT34" s="123">
        <v>0</v>
      </c>
      <c r="AU34" s="123">
        <v>0</v>
      </c>
      <c r="AV34" s="123">
        <v>0</v>
      </c>
      <c r="AW34" s="123">
        <v>0</v>
      </c>
      <c r="AX34" s="123">
        <v>0</v>
      </c>
      <c r="AY34" s="123">
        <v>0</v>
      </c>
    </row>
    <row r="35" spans="1:51" x14ac:dyDescent="0.2">
      <c r="A35" s="126"/>
      <c r="B35" s="135">
        <v>3</v>
      </c>
      <c r="C35" s="126" t="s">
        <v>293</v>
      </c>
      <c r="D35" s="123"/>
      <c r="E35" s="123"/>
      <c r="F35" s="123">
        <v>0</v>
      </c>
      <c r="G35" s="123">
        <v>0</v>
      </c>
      <c r="H35" s="123">
        <v>0</v>
      </c>
      <c r="I35" s="123">
        <v>0</v>
      </c>
      <c r="J35" s="123">
        <v>0</v>
      </c>
      <c r="K35" s="123">
        <v>0</v>
      </c>
      <c r="L35" s="123">
        <v>0</v>
      </c>
      <c r="M35" s="123">
        <v>0</v>
      </c>
      <c r="N35" s="123">
        <v>0</v>
      </c>
      <c r="O35" s="123">
        <v>0</v>
      </c>
      <c r="P35" s="123">
        <v>0</v>
      </c>
      <c r="Q35" s="123">
        <v>0</v>
      </c>
      <c r="R35" s="123">
        <v>0</v>
      </c>
      <c r="S35" s="123">
        <v>0</v>
      </c>
      <c r="T35" s="123">
        <v>0</v>
      </c>
      <c r="U35" s="123">
        <v>0</v>
      </c>
      <c r="V35" s="123">
        <v>0</v>
      </c>
      <c r="W35" s="123">
        <v>0</v>
      </c>
      <c r="X35" s="123">
        <v>0</v>
      </c>
      <c r="Y35" s="123">
        <v>0</v>
      </c>
      <c r="Z35" s="123">
        <v>0</v>
      </c>
      <c r="AA35" s="123">
        <v>0</v>
      </c>
      <c r="AB35" s="123">
        <v>0</v>
      </c>
      <c r="AC35" s="123">
        <v>0</v>
      </c>
      <c r="AD35" s="123">
        <v>0</v>
      </c>
      <c r="AE35" s="123">
        <v>0</v>
      </c>
      <c r="AF35" s="123">
        <v>0</v>
      </c>
      <c r="AG35" s="123">
        <v>0</v>
      </c>
      <c r="AH35" s="123">
        <v>0</v>
      </c>
      <c r="AI35" s="123">
        <v>0</v>
      </c>
      <c r="AJ35" s="123">
        <v>0</v>
      </c>
      <c r="AK35" s="123">
        <v>0</v>
      </c>
      <c r="AL35" s="123">
        <v>0</v>
      </c>
      <c r="AM35" s="123">
        <v>0</v>
      </c>
      <c r="AN35" s="123">
        <v>0</v>
      </c>
      <c r="AO35" s="123">
        <v>0</v>
      </c>
      <c r="AP35" s="123">
        <v>0</v>
      </c>
      <c r="AQ35" s="123">
        <v>0</v>
      </c>
      <c r="AR35" s="123">
        <v>0</v>
      </c>
      <c r="AS35" s="123">
        <v>0</v>
      </c>
      <c r="AT35" s="123">
        <v>0</v>
      </c>
      <c r="AU35" s="123">
        <v>0</v>
      </c>
      <c r="AV35" s="123">
        <v>0</v>
      </c>
      <c r="AW35" s="123">
        <v>0</v>
      </c>
      <c r="AX35" s="123">
        <v>0</v>
      </c>
      <c r="AY35" s="123">
        <v>0</v>
      </c>
    </row>
    <row r="36" spans="1:51" x14ac:dyDescent="0.2">
      <c r="A36" s="126"/>
      <c r="B36" s="136">
        <v>4</v>
      </c>
      <c r="C36" s="126" t="s">
        <v>293</v>
      </c>
      <c r="D36" s="123"/>
      <c r="E36" s="123"/>
      <c r="F36" s="123">
        <v>0</v>
      </c>
      <c r="G36" s="123">
        <v>0</v>
      </c>
      <c r="H36" s="123">
        <v>0</v>
      </c>
      <c r="I36" s="123">
        <v>0</v>
      </c>
      <c r="J36" s="123">
        <v>0</v>
      </c>
      <c r="K36" s="123">
        <v>0</v>
      </c>
      <c r="L36" s="123">
        <v>0</v>
      </c>
      <c r="M36" s="123">
        <v>0</v>
      </c>
      <c r="N36" s="123">
        <v>0</v>
      </c>
      <c r="O36" s="123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123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3">
        <v>0</v>
      </c>
      <c r="AJ36" s="123">
        <v>0</v>
      </c>
      <c r="AK36" s="123">
        <v>0</v>
      </c>
      <c r="AL36" s="123">
        <v>0</v>
      </c>
      <c r="AM36" s="123">
        <v>0</v>
      </c>
      <c r="AN36" s="123">
        <v>0</v>
      </c>
      <c r="AO36" s="123">
        <v>0</v>
      </c>
      <c r="AP36" s="123">
        <v>0</v>
      </c>
      <c r="AQ36" s="123">
        <v>0</v>
      </c>
      <c r="AR36" s="123">
        <v>0</v>
      </c>
      <c r="AS36" s="123">
        <v>0</v>
      </c>
      <c r="AT36" s="123">
        <v>0</v>
      </c>
      <c r="AU36" s="123">
        <v>0</v>
      </c>
      <c r="AV36" s="123">
        <v>0</v>
      </c>
      <c r="AW36" s="123">
        <v>0</v>
      </c>
      <c r="AX36" s="123">
        <v>0</v>
      </c>
      <c r="AY36" s="123">
        <v>0</v>
      </c>
    </row>
    <row r="37" spans="1:51" x14ac:dyDescent="0.2">
      <c r="A37" s="126"/>
      <c r="B37" s="136">
        <v>5</v>
      </c>
      <c r="C37" s="126" t="s">
        <v>293</v>
      </c>
      <c r="D37" s="123"/>
      <c r="E37" s="123"/>
      <c r="F37" s="123">
        <v>0</v>
      </c>
      <c r="G37" s="123">
        <v>0</v>
      </c>
      <c r="H37" s="123">
        <v>0</v>
      </c>
      <c r="I37" s="123">
        <v>0</v>
      </c>
      <c r="J37" s="123">
        <v>0</v>
      </c>
      <c r="K37" s="123">
        <v>0</v>
      </c>
      <c r="L37" s="123">
        <v>0</v>
      </c>
      <c r="M37" s="123">
        <v>0</v>
      </c>
      <c r="N37" s="123">
        <v>0</v>
      </c>
      <c r="O37" s="123">
        <v>0</v>
      </c>
      <c r="P37" s="123">
        <v>0</v>
      </c>
      <c r="Q37" s="123">
        <v>0</v>
      </c>
      <c r="R37" s="123">
        <v>0</v>
      </c>
      <c r="S37" s="123">
        <v>0</v>
      </c>
      <c r="T37" s="123">
        <v>0</v>
      </c>
      <c r="U37" s="123">
        <v>0</v>
      </c>
      <c r="V37" s="123">
        <v>0</v>
      </c>
      <c r="W37" s="123">
        <v>0</v>
      </c>
      <c r="X37" s="123">
        <v>0</v>
      </c>
      <c r="Y37" s="123">
        <v>0</v>
      </c>
      <c r="Z37" s="123">
        <v>0</v>
      </c>
      <c r="AA37" s="123">
        <v>0</v>
      </c>
      <c r="AB37" s="123">
        <v>0</v>
      </c>
      <c r="AC37" s="123">
        <v>0</v>
      </c>
      <c r="AD37" s="123">
        <v>0</v>
      </c>
      <c r="AE37" s="123">
        <v>0</v>
      </c>
      <c r="AF37" s="123">
        <v>0</v>
      </c>
      <c r="AG37" s="123">
        <v>0</v>
      </c>
      <c r="AH37" s="123">
        <v>0</v>
      </c>
      <c r="AI37" s="123">
        <v>0</v>
      </c>
      <c r="AJ37" s="123">
        <v>0</v>
      </c>
      <c r="AK37" s="123">
        <v>0</v>
      </c>
      <c r="AL37" s="123">
        <v>0</v>
      </c>
      <c r="AM37" s="123">
        <v>0</v>
      </c>
      <c r="AN37" s="123">
        <v>0</v>
      </c>
      <c r="AO37" s="123">
        <v>0</v>
      </c>
      <c r="AP37" s="123">
        <v>0</v>
      </c>
      <c r="AQ37" s="123">
        <v>0</v>
      </c>
      <c r="AR37" s="123">
        <v>0</v>
      </c>
      <c r="AS37" s="123">
        <v>0</v>
      </c>
      <c r="AT37" s="123">
        <v>0</v>
      </c>
      <c r="AU37" s="123">
        <v>0</v>
      </c>
      <c r="AV37" s="123">
        <v>0</v>
      </c>
      <c r="AW37" s="123">
        <v>0</v>
      </c>
      <c r="AX37" s="123">
        <v>0</v>
      </c>
      <c r="AY37" s="123">
        <v>0</v>
      </c>
    </row>
    <row r="38" spans="1:51" x14ac:dyDescent="0.2">
      <c r="A38" s="126"/>
      <c r="B38" s="136">
        <v>6</v>
      </c>
      <c r="C38" s="126" t="s">
        <v>293</v>
      </c>
      <c r="D38" s="123"/>
      <c r="E38" s="123"/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0</v>
      </c>
      <c r="L38" s="123">
        <v>0</v>
      </c>
      <c r="M38" s="123">
        <v>0</v>
      </c>
      <c r="N38" s="123">
        <v>0</v>
      </c>
      <c r="O38" s="123">
        <v>0</v>
      </c>
      <c r="P38" s="123">
        <v>0</v>
      </c>
      <c r="Q38" s="123">
        <v>0</v>
      </c>
      <c r="R38" s="123">
        <v>0</v>
      </c>
      <c r="S38" s="123">
        <v>0</v>
      </c>
      <c r="T38" s="123">
        <v>0</v>
      </c>
      <c r="U38" s="123">
        <v>0</v>
      </c>
      <c r="V38" s="123">
        <v>0</v>
      </c>
      <c r="W38" s="123">
        <v>0</v>
      </c>
      <c r="X38" s="123">
        <v>0</v>
      </c>
      <c r="Y38" s="123">
        <v>0</v>
      </c>
      <c r="Z38" s="123">
        <v>0</v>
      </c>
      <c r="AA38" s="123">
        <v>0</v>
      </c>
      <c r="AB38" s="123">
        <v>0</v>
      </c>
      <c r="AC38" s="123">
        <v>0</v>
      </c>
      <c r="AD38" s="123">
        <v>0</v>
      </c>
      <c r="AE38" s="123">
        <v>0</v>
      </c>
      <c r="AF38" s="123">
        <v>0</v>
      </c>
      <c r="AG38" s="123">
        <v>0</v>
      </c>
      <c r="AH38" s="123">
        <v>0</v>
      </c>
      <c r="AI38" s="123">
        <v>0</v>
      </c>
      <c r="AJ38" s="123">
        <v>0</v>
      </c>
      <c r="AK38" s="123">
        <v>0</v>
      </c>
      <c r="AL38" s="123">
        <v>0</v>
      </c>
      <c r="AM38" s="123">
        <v>0</v>
      </c>
      <c r="AN38" s="123">
        <v>0</v>
      </c>
      <c r="AO38" s="123">
        <v>0</v>
      </c>
      <c r="AP38" s="123">
        <v>0</v>
      </c>
      <c r="AQ38" s="123">
        <v>0</v>
      </c>
      <c r="AR38" s="123">
        <v>0</v>
      </c>
      <c r="AS38" s="123">
        <v>0</v>
      </c>
      <c r="AT38" s="123">
        <v>0</v>
      </c>
      <c r="AU38" s="123">
        <v>0</v>
      </c>
      <c r="AV38" s="123">
        <v>0</v>
      </c>
      <c r="AW38" s="123">
        <v>0</v>
      </c>
      <c r="AX38" s="123">
        <v>0</v>
      </c>
      <c r="AY38" s="123">
        <v>0</v>
      </c>
    </row>
    <row r="39" spans="1:51" x14ac:dyDescent="0.2">
      <c r="A39" s="126"/>
      <c r="B39" s="143">
        <v>7</v>
      </c>
      <c r="C39" s="126" t="s">
        <v>293</v>
      </c>
      <c r="D39" s="123"/>
      <c r="E39" s="123"/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123">
        <v>0</v>
      </c>
      <c r="O39" s="123">
        <v>0</v>
      </c>
      <c r="P39" s="123">
        <v>0</v>
      </c>
      <c r="Q39" s="123">
        <v>0</v>
      </c>
      <c r="R39" s="123">
        <v>0</v>
      </c>
      <c r="S39" s="123">
        <v>0</v>
      </c>
      <c r="T39" s="123">
        <v>0</v>
      </c>
      <c r="U39" s="123">
        <v>0</v>
      </c>
      <c r="V39" s="123">
        <v>0</v>
      </c>
      <c r="W39" s="123">
        <v>0</v>
      </c>
      <c r="X39" s="123">
        <v>0</v>
      </c>
      <c r="Y39" s="123">
        <v>0</v>
      </c>
      <c r="Z39" s="123">
        <v>0</v>
      </c>
      <c r="AA39" s="123">
        <v>0</v>
      </c>
      <c r="AB39" s="123">
        <v>0</v>
      </c>
      <c r="AC39" s="123">
        <v>0</v>
      </c>
      <c r="AD39" s="123">
        <v>0</v>
      </c>
      <c r="AE39" s="123">
        <v>0</v>
      </c>
      <c r="AF39" s="123">
        <v>0</v>
      </c>
      <c r="AG39" s="123">
        <v>0</v>
      </c>
      <c r="AH39" s="123">
        <v>0</v>
      </c>
      <c r="AI39" s="123">
        <v>0</v>
      </c>
      <c r="AJ39" s="123">
        <v>0</v>
      </c>
      <c r="AK39" s="123">
        <v>0</v>
      </c>
      <c r="AL39" s="123">
        <v>0</v>
      </c>
      <c r="AM39" s="123">
        <v>0</v>
      </c>
      <c r="AN39" s="123">
        <v>0</v>
      </c>
      <c r="AO39" s="123">
        <v>0</v>
      </c>
      <c r="AP39" s="123">
        <v>0</v>
      </c>
      <c r="AQ39" s="123">
        <v>0</v>
      </c>
      <c r="AR39" s="123">
        <v>0</v>
      </c>
      <c r="AS39" s="123">
        <v>0</v>
      </c>
      <c r="AT39" s="123">
        <v>0</v>
      </c>
      <c r="AU39" s="123">
        <v>0</v>
      </c>
      <c r="AV39" s="123">
        <v>0</v>
      </c>
      <c r="AW39" s="123">
        <v>0</v>
      </c>
      <c r="AX39" s="123">
        <v>0</v>
      </c>
      <c r="AY39" s="123">
        <v>0</v>
      </c>
    </row>
    <row r="40" spans="1:51" x14ac:dyDescent="0.2">
      <c r="A40" s="126"/>
      <c r="B40" s="143">
        <v>8</v>
      </c>
      <c r="C40" s="126" t="s">
        <v>293</v>
      </c>
      <c r="D40" s="123"/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123">
        <v>0</v>
      </c>
      <c r="O40" s="123">
        <v>0</v>
      </c>
      <c r="P40" s="123">
        <v>0</v>
      </c>
      <c r="Q40" s="123">
        <v>0</v>
      </c>
      <c r="R40" s="123">
        <v>0</v>
      </c>
      <c r="S40" s="123">
        <v>0</v>
      </c>
      <c r="T40" s="123">
        <v>0</v>
      </c>
      <c r="U40" s="123">
        <v>0</v>
      </c>
      <c r="V40" s="123">
        <v>0</v>
      </c>
      <c r="W40" s="123">
        <v>0</v>
      </c>
      <c r="X40" s="123">
        <v>0</v>
      </c>
      <c r="Y40" s="123">
        <v>0</v>
      </c>
      <c r="Z40" s="123">
        <v>0</v>
      </c>
      <c r="AA40" s="123">
        <v>0</v>
      </c>
      <c r="AB40" s="123">
        <v>0</v>
      </c>
      <c r="AC40" s="123">
        <v>0</v>
      </c>
      <c r="AD40" s="123">
        <v>0</v>
      </c>
      <c r="AE40" s="123">
        <v>0</v>
      </c>
      <c r="AF40" s="123">
        <v>0</v>
      </c>
      <c r="AG40" s="123">
        <v>0</v>
      </c>
      <c r="AH40" s="123">
        <v>0</v>
      </c>
      <c r="AI40" s="123">
        <v>0</v>
      </c>
      <c r="AJ40" s="123">
        <v>0</v>
      </c>
      <c r="AK40" s="123">
        <v>0</v>
      </c>
      <c r="AL40" s="123">
        <v>0</v>
      </c>
      <c r="AM40" s="123">
        <v>0</v>
      </c>
      <c r="AN40" s="123">
        <v>0</v>
      </c>
      <c r="AO40" s="123">
        <v>0</v>
      </c>
      <c r="AP40" s="123">
        <v>0</v>
      </c>
      <c r="AQ40" s="123">
        <v>0</v>
      </c>
      <c r="AR40" s="123">
        <v>0</v>
      </c>
      <c r="AS40" s="123">
        <v>0</v>
      </c>
      <c r="AT40" s="123">
        <v>0</v>
      </c>
      <c r="AU40" s="123">
        <v>0</v>
      </c>
      <c r="AV40" s="123">
        <v>0</v>
      </c>
      <c r="AW40" s="123">
        <v>0</v>
      </c>
      <c r="AX40" s="123">
        <v>0</v>
      </c>
      <c r="AY40" s="123">
        <v>0</v>
      </c>
    </row>
    <row r="41" spans="1:51" x14ac:dyDescent="0.2">
      <c r="A41" s="126"/>
      <c r="B41" s="143">
        <v>9</v>
      </c>
      <c r="C41" s="126" t="s">
        <v>293</v>
      </c>
      <c r="D41" s="123"/>
      <c r="E41" s="123">
        <v>0</v>
      </c>
      <c r="F41" s="123">
        <v>0</v>
      </c>
      <c r="G41" s="123">
        <v>0</v>
      </c>
      <c r="H41" s="123">
        <v>0</v>
      </c>
      <c r="I41" s="123">
        <v>0</v>
      </c>
      <c r="J41" s="123">
        <v>0</v>
      </c>
      <c r="K41" s="123">
        <v>0</v>
      </c>
      <c r="L41" s="123">
        <v>0</v>
      </c>
      <c r="M41" s="123">
        <v>0</v>
      </c>
      <c r="N41" s="123">
        <v>0</v>
      </c>
      <c r="O41" s="123">
        <v>0</v>
      </c>
      <c r="P41" s="123">
        <v>0</v>
      </c>
      <c r="Q41" s="123">
        <v>0</v>
      </c>
      <c r="R41" s="123">
        <v>0</v>
      </c>
      <c r="S41" s="123">
        <v>0</v>
      </c>
      <c r="T41" s="123">
        <v>0</v>
      </c>
      <c r="U41" s="123">
        <v>0</v>
      </c>
      <c r="V41" s="123">
        <v>0</v>
      </c>
      <c r="W41" s="123">
        <v>0</v>
      </c>
      <c r="X41" s="123">
        <v>0</v>
      </c>
      <c r="Y41" s="123">
        <v>0</v>
      </c>
      <c r="Z41" s="123">
        <v>0</v>
      </c>
      <c r="AA41" s="123">
        <v>0</v>
      </c>
      <c r="AB41" s="123">
        <v>0</v>
      </c>
      <c r="AC41" s="123">
        <v>0</v>
      </c>
      <c r="AD41" s="123">
        <v>0</v>
      </c>
      <c r="AE41" s="123">
        <v>0</v>
      </c>
      <c r="AF41" s="123">
        <v>0</v>
      </c>
      <c r="AG41" s="123">
        <v>0</v>
      </c>
      <c r="AH41" s="123">
        <v>0</v>
      </c>
      <c r="AI41" s="123">
        <v>0</v>
      </c>
      <c r="AJ41" s="123">
        <v>0</v>
      </c>
      <c r="AK41" s="123">
        <v>0</v>
      </c>
      <c r="AL41" s="123">
        <v>0</v>
      </c>
      <c r="AM41" s="123">
        <v>0</v>
      </c>
      <c r="AN41" s="123">
        <v>0</v>
      </c>
      <c r="AO41" s="123">
        <v>0</v>
      </c>
      <c r="AP41" s="123">
        <v>0</v>
      </c>
      <c r="AQ41" s="123">
        <v>0</v>
      </c>
      <c r="AR41" s="123">
        <v>0</v>
      </c>
      <c r="AS41" s="123">
        <v>0</v>
      </c>
      <c r="AT41" s="123">
        <v>0</v>
      </c>
      <c r="AU41" s="123">
        <v>0</v>
      </c>
      <c r="AV41" s="123">
        <v>0</v>
      </c>
      <c r="AW41" s="123">
        <v>0</v>
      </c>
      <c r="AX41" s="123">
        <v>0</v>
      </c>
      <c r="AY41" s="123">
        <v>0</v>
      </c>
    </row>
    <row r="42" spans="1:51" x14ac:dyDescent="0.2">
      <c r="A42" s="126"/>
      <c r="B42" s="146">
        <v>10</v>
      </c>
      <c r="C42" s="126" t="s">
        <v>293</v>
      </c>
      <c r="D42" s="123"/>
      <c r="E42" s="123">
        <v>0</v>
      </c>
      <c r="F42" s="123">
        <v>0</v>
      </c>
      <c r="G42" s="123">
        <v>0</v>
      </c>
      <c r="H42" s="123">
        <v>0</v>
      </c>
      <c r="I42" s="123">
        <v>0</v>
      </c>
      <c r="J42" s="123">
        <v>0</v>
      </c>
      <c r="K42" s="123">
        <v>0</v>
      </c>
      <c r="L42" s="123">
        <v>0</v>
      </c>
      <c r="M42" s="123">
        <v>0</v>
      </c>
      <c r="N42" s="123">
        <v>0</v>
      </c>
      <c r="O42" s="123">
        <v>0</v>
      </c>
      <c r="P42" s="123">
        <v>0</v>
      </c>
      <c r="Q42" s="123">
        <v>0</v>
      </c>
      <c r="R42" s="123">
        <v>0</v>
      </c>
      <c r="S42" s="123">
        <v>0</v>
      </c>
      <c r="T42" s="123">
        <v>0</v>
      </c>
      <c r="U42" s="123">
        <v>0</v>
      </c>
      <c r="V42" s="123">
        <v>0</v>
      </c>
      <c r="W42" s="123">
        <v>0</v>
      </c>
      <c r="X42" s="123">
        <v>0</v>
      </c>
      <c r="Y42" s="123">
        <v>0</v>
      </c>
      <c r="Z42" s="123">
        <v>0</v>
      </c>
      <c r="AA42" s="123">
        <v>0</v>
      </c>
      <c r="AB42" s="123">
        <v>0</v>
      </c>
      <c r="AC42" s="123">
        <v>0</v>
      </c>
      <c r="AD42" s="123">
        <v>0</v>
      </c>
      <c r="AE42" s="123">
        <v>0</v>
      </c>
      <c r="AF42" s="123">
        <v>0</v>
      </c>
      <c r="AG42" s="123">
        <v>0</v>
      </c>
      <c r="AH42" s="123">
        <v>0</v>
      </c>
      <c r="AI42" s="123">
        <v>0</v>
      </c>
      <c r="AJ42" s="123">
        <v>0</v>
      </c>
      <c r="AK42" s="123">
        <v>0</v>
      </c>
      <c r="AL42" s="123">
        <v>0</v>
      </c>
      <c r="AM42" s="123">
        <v>0</v>
      </c>
      <c r="AN42" s="123">
        <v>0</v>
      </c>
      <c r="AO42" s="123">
        <v>0</v>
      </c>
      <c r="AP42" s="123">
        <v>0</v>
      </c>
      <c r="AQ42" s="123">
        <v>0</v>
      </c>
      <c r="AR42" s="123">
        <v>0</v>
      </c>
      <c r="AS42" s="123">
        <v>0</v>
      </c>
      <c r="AT42" s="123">
        <v>0</v>
      </c>
      <c r="AU42" s="123">
        <v>0</v>
      </c>
      <c r="AV42" s="123">
        <v>0</v>
      </c>
      <c r="AW42" s="123">
        <v>0</v>
      </c>
      <c r="AX42" s="123">
        <v>0</v>
      </c>
      <c r="AY42" s="123">
        <v>0</v>
      </c>
    </row>
    <row r="43" spans="1:51" x14ac:dyDescent="0.2">
      <c r="A43" s="126"/>
      <c r="B43" s="146">
        <v>11</v>
      </c>
      <c r="C43" s="126" t="s">
        <v>293</v>
      </c>
      <c r="D43" s="123"/>
      <c r="E43" s="123">
        <v>0</v>
      </c>
      <c r="F43" s="123">
        <v>0</v>
      </c>
      <c r="G43" s="123">
        <v>0</v>
      </c>
      <c r="H43" s="123">
        <v>0</v>
      </c>
      <c r="I43" s="123">
        <v>0</v>
      </c>
      <c r="J43" s="123">
        <v>0</v>
      </c>
      <c r="K43" s="123">
        <v>0</v>
      </c>
      <c r="L43" s="123">
        <v>0</v>
      </c>
      <c r="M43" s="123">
        <v>0</v>
      </c>
      <c r="N43" s="123">
        <v>0</v>
      </c>
      <c r="O43" s="123">
        <v>0</v>
      </c>
      <c r="P43" s="123">
        <v>0</v>
      </c>
      <c r="Q43" s="123">
        <v>0</v>
      </c>
      <c r="R43" s="123">
        <v>0</v>
      </c>
      <c r="S43" s="123">
        <v>0</v>
      </c>
      <c r="T43" s="123">
        <v>0</v>
      </c>
      <c r="U43" s="123">
        <v>0</v>
      </c>
      <c r="V43" s="123">
        <v>0</v>
      </c>
      <c r="W43" s="123">
        <v>0</v>
      </c>
      <c r="X43" s="123">
        <v>0</v>
      </c>
      <c r="Y43" s="123">
        <v>0</v>
      </c>
      <c r="Z43" s="123">
        <v>0</v>
      </c>
      <c r="AA43" s="123">
        <v>0</v>
      </c>
      <c r="AB43" s="123">
        <v>0</v>
      </c>
      <c r="AC43" s="123">
        <v>0</v>
      </c>
      <c r="AD43" s="123">
        <v>0</v>
      </c>
      <c r="AE43" s="123">
        <v>0</v>
      </c>
      <c r="AF43" s="123">
        <v>0</v>
      </c>
      <c r="AG43" s="123">
        <v>0</v>
      </c>
      <c r="AH43" s="123">
        <v>0</v>
      </c>
      <c r="AI43" s="123">
        <v>0</v>
      </c>
      <c r="AJ43" s="123">
        <v>0</v>
      </c>
      <c r="AK43" s="123">
        <v>0</v>
      </c>
      <c r="AL43" s="123">
        <v>0</v>
      </c>
      <c r="AM43" s="123">
        <v>0</v>
      </c>
      <c r="AN43" s="123">
        <v>0</v>
      </c>
      <c r="AO43" s="123">
        <v>0</v>
      </c>
      <c r="AP43" s="123">
        <v>0</v>
      </c>
      <c r="AQ43" s="123">
        <v>0</v>
      </c>
      <c r="AR43" s="123">
        <v>0</v>
      </c>
      <c r="AS43" s="123">
        <v>0</v>
      </c>
      <c r="AT43" s="123">
        <v>0</v>
      </c>
      <c r="AU43" s="123">
        <v>0</v>
      </c>
      <c r="AV43" s="123">
        <v>0</v>
      </c>
      <c r="AW43" s="123">
        <v>0</v>
      </c>
      <c r="AX43" s="123">
        <v>0</v>
      </c>
      <c r="AY43" s="123">
        <v>0</v>
      </c>
    </row>
    <row r="44" spans="1:51" x14ac:dyDescent="0.2">
      <c r="A44" s="126"/>
      <c r="B44" s="146">
        <v>12</v>
      </c>
      <c r="C44" s="144" t="s">
        <v>293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0</v>
      </c>
      <c r="M44" s="123">
        <v>0</v>
      </c>
      <c r="N44" s="123">
        <v>0</v>
      </c>
      <c r="O44" s="123">
        <v>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3">
        <v>0</v>
      </c>
      <c r="AP44" s="123">
        <v>0</v>
      </c>
      <c r="AQ44" s="123">
        <v>0</v>
      </c>
      <c r="AR44" s="123">
        <v>0</v>
      </c>
      <c r="AS44" s="123">
        <v>0</v>
      </c>
      <c r="AT44" s="123">
        <v>0</v>
      </c>
      <c r="AU44" s="123">
        <v>0</v>
      </c>
      <c r="AV44" s="123">
        <v>0</v>
      </c>
      <c r="AW44" s="123">
        <v>0</v>
      </c>
      <c r="AX44" s="123">
        <v>0</v>
      </c>
      <c r="AY44" s="123">
        <v>0</v>
      </c>
    </row>
    <row r="45" spans="1:51" x14ac:dyDescent="0.2">
      <c r="A45" s="142" t="s">
        <v>123</v>
      </c>
      <c r="B45" s="139">
        <v>1</v>
      </c>
      <c r="C45" s="126" t="s">
        <v>293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1:51" x14ac:dyDescent="0.2">
      <c r="A46" s="126"/>
      <c r="B46" s="135">
        <v>2</v>
      </c>
      <c r="C46" s="126" t="s">
        <v>293</v>
      </c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</row>
    <row r="47" spans="1:51" x14ac:dyDescent="0.2">
      <c r="A47" s="126"/>
      <c r="B47" s="135">
        <v>3</v>
      </c>
      <c r="C47" s="126" t="s">
        <v>293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1" x14ac:dyDescent="0.2">
      <c r="A48" s="126"/>
      <c r="B48" s="135">
        <v>4</v>
      </c>
      <c r="C48" s="126" t="s">
        <v>293</v>
      </c>
      <c r="D48" s="127"/>
      <c r="E48" s="127"/>
      <c r="F48" s="127"/>
      <c r="G48" s="127">
        <v>4638.9474785842667</v>
      </c>
      <c r="H48" s="127">
        <v>3331.6930694135863</v>
      </c>
      <c r="I48" s="127">
        <v>2642.7378363551516</v>
      </c>
      <c r="J48" s="127">
        <v>1600.194587386271</v>
      </c>
      <c r="K48" s="127">
        <v>884.00536587731176</v>
      </c>
      <c r="L48" s="127">
        <v>884.00536587730858</v>
      </c>
      <c r="M48" s="127">
        <v>884.00536587731176</v>
      </c>
      <c r="N48" s="127">
        <v>884.0053658773104</v>
      </c>
      <c r="O48" s="127">
        <v>884.00536587730721</v>
      </c>
      <c r="P48" s="127">
        <v>3093.1628658773079</v>
      </c>
      <c r="Q48" s="127">
        <v>4610.7735661341167</v>
      </c>
      <c r="R48" s="127">
        <v>4443.8505694135911</v>
      </c>
      <c r="S48" s="127">
        <v>4556.8505694135856</v>
      </c>
      <c r="T48" s="127">
        <v>2152.693069413579</v>
      </c>
      <c r="U48" s="127">
        <v>2642.7378363551525</v>
      </c>
      <c r="V48" s="127">
        <v>1600.1945873862715</v>
      </c>
      <c r="W48" s="127">
        <v>884.00536587731222</v>
      </c>
      <c r="X48" s="127">
        <v>884.00536587730858</v>
      </c>
      <c r="Y48" s="127">
        <v>884.00536587731176</v>
      </c>
      <c r="Z48" s="127">
        <v>884.00536587730858</v>
      </c>
      <c r="AA48" s="127">
        <v>884.00536587731176</v>
      </c>
      <c r="AB48" s="127">
        <v>3093.1628658773134</v>
      </c>
      <c r="AC48" s="127">
        <v>4027.8505694135783</v>
      </c>
      <c r="AD48" s="127">
        <v>4375.8505694135874</v>
      </c>
      <c r="AE48" s="127">
        <v>3665.8505694135947</v>
      </c>
      <c r="AF48" s="127">
        <v>2120.6930694135808</v>
      </c>
      <c r="AG48" s="127">
        <v>2642.7378363551525</v>
      </c>
      <c r="AH48" s="127">
        <v>1600.1945873862715</v>
      </c>
      <c r="AI48" s="127">
        <v>884.00536587731222</v>
      </c>
      <c r="AJ48" s="127">
        <v>884.00536587730858</v>
      </c>
      <c r="AK48" s="127">
        <v>884.00536587731176</v>
      </c>
      <c r="AL48" s="127">
        <v>884.00536587730858</v>
      </c>
      <c r="AM48" s="127">
        <v>884.00536587731176</v>
      </c>
      <c r="AN48" s="127">
        <v>3093.1628658773134</v>
      </c>
      <c r="AO48" s="127">
        <v>4610.7735661341148</v>
      </c>
      <c r="AP48" s="127">
        <v>5653.3168151029968</v>
      </c>
      <c r="AQ48" s="127">
        <v>5708.8505694135874</v>
      </c>
      <c r="AR48" s="127">
        <v>3432.6930694135863</v>
      </c>
      <c r="AS48" s="127">
        <v>2642.7378363551593</v>
      </c>
      <c r="AT48" s="127">
        <v>1600.1945873862705</v>
      </c>
      <c r="AU48" s="127">
        <v>884.00536587731176</v>
      </c>
      <c r="AV48" s="127">
        <v>884.00536587730858</v>
      </c>
      <c r="AW48" s="127">
        <v>884.00536587731358</v>
      </c>
      <c r="AX48" s="127">
        <v>884.0053658773063</v>
      </c>
      <c r="AY48" s="127">
        <v>884.00536587731403</v>
      </c>
    </row>
    <row r="49" spans="1:51" x14ac:dyDescent="0.2">
      <c r="A49" s="126"/>
      <c r="B49" s="135">
        <v>5</v>
      </c>
      <c r="C49" s="126" t="s">
        <v>293</v>
      </c>
      <c r="D49" s="127"/>
      <c r="E49" s="127"/>
      <c r="F49" s="127"/>
      <c r="G49" s="127">
        <v>0</v>
      </c>
      <c r="H49" s="127">
        <v>0</v>
      </c>
      <c r="I49" s="127">
        <v>1092.955233058442</v>
      </c>
      <c r="J49" s="127">
        <v>2003.4984820273226</v>
      </c>
      <c r="K49" s="127">
        <v>2739.6877035362818</v>
      </c>
      <c r="L49" s="127">
        <v>2828.6877035362795</v>
      </c>
      <c r="M49" s="127">
        <v>2271.6877035362818</v>
      </c>
      <c r="N49" s="127">
        <v>2010.6877035362795</v>
      </c>
      <c r="O49" s="127">
        <v>1994.6877035362809</v>
      </c>
      <c r="P49" s="127">
        <v>2365.6877035362832</v>
      </c>
      <c r="Q49" s="127">
        <v>89.077003279467135</v>
      </c>
      <c r="R49" s="127">
        <v>0</v>
      </c>
      <c r="S49" s="127">
        <v>0</v>
      </c>
      <c r="T49" s="127">
        <v>0</v>
      </c>
      <c r="U49" s="127">
        <v>534.95523305844449</v>
      </c>
      <c r="V49" s="127">
        <v>1601.4984820273221</v>
      </c>
      <c r="W49" s="127">
        <v>2635.6877035362813</v>
      </c>
      <c r="X49" s="127">
        <v>2608.6877035362795</v>
      </c>
      <c r="Y49" s="127">
        <v>2937.6877035362818</v>
      </c>
      <c r="Z49" s="127">
        <v>2917.6877035362795</v>
      </c>
      <c r="AA49" s="127">
        <v>2851.6877035362818</v>
      </c>
      <c r="AB49" s="127">
        <v>2928.6877035362795</v>
      </c>
      <c r="AC49" s="127">
        <v>0</v>
      </c>
      <c r="AD49" s="127">
        <v>0</v>
      </c>
      <c r="AE49" s="127">
        <v>0</v>
      </c>
      <c r="AF49" s="127">
        <v>0</v>
      </c>
      <c r="AG49" s="127">
        <v>339.95523305844085</v>
      </c>
      <c r="AH49" s="127">
        <v>1453.4984820273221</v>
      </c>
      <c r="AI49" s="127">
        <v>2269.6877035362813</v>
      </c>
      <c r="AJ49" s="127">
        <v>2119.6877035362795</v>
      </c>
      <c r="AK49" s="127">
        <v>2391.6877035362818</v>
      </c>
      <c r="AL49" s="127">
        <v>2400.6877035362795</v>
      </c>
      <c r="AM49" s="127">
        <v>2400.6877035362818</v>
      </c>
      <c r="AN49" s="127">
        <v>2311.6877035362795</v>
      </c>
      <c r="AO49" s="127">
        <v>1156.0770032794635</v>
      </c>
      <c r="AP49" s="127">
        <v>93.533754310587256</v>
      </c>
      <c r="AQ49" s="127">
        <v>0</v>
      </c>
      <c r="AR49" s="127">
        <v>0</v>
      </c>
      <c r="AS49" s="127">
        <v>602.95523305844154</v>
      </c>
      <c r="AT49" s="127">
        <v>1808.4984820273176</v>
      </c>
      <c r="AU49" s="127">
        <v>2384.6877035362818</v>
      </c>
      <c r="AV49" s="127">
        <v>2404.6877035362795</v>
      </c>
      <c r="AW49" s="127">
        <v>2028.6877035362818</v>
      </c>
      <c r="AX49" s="127">
        <v>2067.6877035362781</v>
      </c>
      <c r="AY49" s="127">
        <v>2090.6877035362832</v>
      </c>
    </row>
    <row r="50" spans="1:51" x14ac:dyDescent="0.2">
      <c r="A50" s="126"/>
      <c r="B50" s="135">
        <v>6</v>
      </c>
      <c r="C50" s="126" t="s">
        <v>293</v>
      </c>
      <c r="D50" s="127"/>
      <c r="E50" s="127"/>
      <c r="F50" s="127"/>
      <c r="G50" s="127">
        <v>0</v>
      </c>
      <c r="H50" s="127">
        <v>0</v>
      </c>
      <c r="I50" s="127">
        <v>0</v>
      </c>
      <c r="J50" s="127">
        <v>0</v>
      </c>
      <c r="K50" s="127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7">
        <v>0</v>
      </c>
      <c r="R50" s="127">
        <v>0</v>
      </c>
      <c r="S50" s="127">
        <v>0</v>
      </c>
      <c r="T50" s="127">
        <v>0</v>
      </c>
      <c r="U50" s="127">
        <v>0</v>
      </c>
      <c r="V50" s="127">
        <v>0</v>
      </c>
      <c r="W50" s="127">
        <v>0</v>
      </c>
      <c r="X50" s="127">
        <v>0</v>
      </c>
      <c r="Y50" s="127">
        <v>0</v>
      </c>
      <c r="Z50" s="127">
        <v>0</v>
      </c>
      <c r="AA50" s="127">
        <v>0</v>
      </c>
      <c r="AB50" s="127">
        <v>0</v>
      </c>
      <c r="AC50" s="127">
        <v>0</v>
      </c>
      <c r="AD50" s="127">
        <v>0</v>
      </c>
      <c r="AE50" s="127">
        <v>0</v>
      </c>
      <c r="AF50" s="127">
        <v>0</v>
      </c>
      <c r="AG50" s="127">
        <v>0</v>
      </c>
      <c r="AH50" s="127">
        <v>0</v>
      </c>
      <c r="AI50" s="127">
        <v>0</v>
      </c>
      <c r="AJ50" s="127">
        <v>0</v>
      </c>
      <c r="AK50" s="127">
        <v>0</v>
      </c>
      <c r="AL50" s="127">
        <v>0</v>
      </c>
      <c r="AM50" s="127">
        <v>0</v>
      </c>
      <c r="AN50" s="127">
        <v>0</v>
      </c>
      <c r="AO50" s="127">
        <v>0</v>
      </c>
      <c r="AP50" s="127">
        <v>0</v>
      </c>
      <c r="AQ50" s="127">
        <v>0</v>
      </c>
      <c r="AR50" s="127">
        <v>0</v>
      </c>
      <c r="AS50" s="127">
        <v>0</v>
      </c>
      <c r="AT50" s="127">
        <v>0</v>
      </c>
      <c r="AU50" s="127">
        <v>0</v>
      </c>
      <c r="AV50" s="127">
        <v>0</v>
      </c>
      <c r="AW50" s="127">
        <v>0</v>
      </c>
      <c r="AX50" s="127">
        <v>0</v>
      </c>
      <c r="AY50" s="127">
        <v>0</v>
      </c>
    </row>
    <row r="51" spans="1:51" x14ac:dyDescent="0.2">
      <c r="A51" s="126"/>
      <c r="B51" s="135">
        <v>7</v>
      </c>
      <c r="C51" s="126" t="s">
        <v>293</v>
      </c>
      <c r="D51" s="127"/>
      <c r="E51" s="127"/>
      <c r="F51" s="127"/>
      <c r="G51" s="127">
        <v>0</v>
      </c>
      <c r="H51" s="127">
        <v>0</v>
      </c>
      <c r="I51" s="127">
        <v>0</v>
      </c>
      <c r="J51" s="127">
        <v>0</v>
      </c>
      <c r="K51" s="127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7">
        <v>0</v>
      </c>
      <c r="AA51" s="127">
        <v>0</v>
      </c>
      <c r="AB51" s="127">
        <v>0</v>
      </c>
      <c r="AC51" s="127">
        <v>0</v>
      </c>
      <c r="AD51" s="127">
        <v>0</v>
      </c>
      <c r="AE51" s="127">
        <v>0</v>
      </c>
      <c r="AF51" s="127">
        <v>0</v>
      </c>
      <c r="AG51" s="127">
        <v>0</v>
      </c>
      <c r="AH51" s="127">
        <v>0</v>
      </c>
      <c r="AI51" s="127">
        <v>0</v>
      </c>
      <c r="AJ51" s="127">
        <v>0</v>
      </c>
      <c r="AK51" s="127">
        <v>0</v>
      </c>
      <c r="AL51" s="127">
        <v>0</v>
      </c>
      <c r="AM51" s="127">
        <v>0</v>
      </c>
      <c r="AN51" s="127">
        <v>0</v>
      </c>
      <c r="AO51" s="127">
        <v>0</v>
      </c>
      <c r="AP51" s="127">
        <v>0</v>
      </c>
      <c r="AQ51" s="127">
        <v>0</v>
      </c>
      <c r="AR51" s="127">
        <v>0</v>
      </c>
      <c r="AS51" s="127">
        <v>0</v>
      </c>
      <c r="AT51" s="127">
        <v>0</v>
      </c>
      <c r="AU51" s="127">
        <v>0</v>
      </c>
      <c r="AV51" s="127">
        <v>0</v>
      </c>
      <c r="AW51" s="127">
        <v>0</v>
      </c>
      <c r="AX51" s="127">
        <v>0</v>
      </c>
      <c r="AY51" s="127">
        <v>0</v>
      </c>
    </row>
    <row r="52" spans="1:51" x14ac:dyDescent="0.2">
      <c r="A52" s="126"/>
      <c r="B52" s="135">
        <v>8</v>
      </c>
      <c r="C52" s="126" t="s">
        <v>293</v>
      </c>
      <c r="D52" s="127"/>
      <c r="E52" s="127"/>
      <c r="F52" s="127"/>
      <c r="G52" s="127">
        <v>0</v>
      </c>
      <c r="H52" s="127">
        <v>0</v>
      </c>
      <c r="I52" s="127">
        <v>0</v>
      </c>
      <c r="J52" s="127">
        <v>0</v>
      </c>
      <c r="K52" s="127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7">
        <v>0</v>
      </c>
      <c r="R52" s="127">
        <v>0</v>
      </c>
      <c r="S52" s="127">
        <v>0</v>
      </c>
      <c r="T52" s="127">
        <v>0</v>
      </c>
      <c r="U52" s="127">
        <v>0</v>
      </c>
      <c r="V52" s="127">
        <v>0</v>
      </c>
      <c r="W52" s="127">
        <v>0</v>
      </c>
      <c r="X52" s="127">
        <v>0</v>
      </c>
      <c r="Y52" s="127">
        <v>0</v>
      </c>
      <c r="Z52" s="127">
        <v>0</v>
      </c>
      <c r="AA52" s="127">
        <v>0</v>
      </c>
      <c r="AB52" s="127">
        <v>0</v>
      </c>
      <c r="AC52" s="127">
        <v>0</v>
      </c>
      <c r="AD52" s="127">
        <v>0</v>
      </c>
      <c r="AE52" s="127">
        <v>0</v>
      </c>
      <c r="AF52" s="127">
        <v>0</v>
      </c>
      <c r="AG52" s="127">
        <v>0</v>
      </c>
      <c r="AH52" s="127">
        <v>0</v>
      </c>
      <c r="AI52" s="127">
        <v>0</v>
      </c>
      <c r="AJ52" s="127">
        <v>0</v>
      </c>
      <c r="AK52" s="127">
        <v>0</v>
      </c>
      <c r="AL52" s="127">
        <v>0</v>
      </c>
      <c r="AM52" s="127">
        <v>0</v>
      </c>
      <c r="AN52" s="127">
        <v>0</v>
      </c>
      <c r="AO52" s="127">
        <v>0</v>
      </c>
      <c r="AP52" s="127">
        <v>0</v>
      </c>
      <c r="AQ52" s="127">
        <v>0</v>
      </c>
      <c r="AR52" s="127">
        <v>0</v>
      </c>
      <c r="AS52" s="127">
        <v>0</v>
      </c>
      <c r="AT52" s="127">
        <v>0</v>
      </c>
      <c r="AU52" s="127">
        <v>0</v>
      </c>
      <c r="AV52" s="127">
        <v>0</v>
      </c>
      <c r="AW52" s="127">
        <v>0</v>
      </c>
      <c r="AX52" s="127">
        <v>0</v>
      </c>
      <c r="AY52" s="127">
        <v>0</v>
      </c>
    </row>
    <row r="53" spans="1:51" x14ac:dyDescent="0.2">
      <c r="A53" s="126"/>
      <c r="B53" s="135">
        <v>9</v>
      </c>
      <c r="C53" s="126" t="s">
        <v>293</v>
      </c>
      <c r="D53" s="127"/>
      <c r="E53" s="127"/>
      <c r="F53" s="127"/>
      <c r="G53" s="127">
        <v>0</v>
      </c>
      <c r="H53" s="127">
        <v>0</v>
      </c>
      <c r="I53" s="127">
        <v>0</v>
      </c>
      <c r="J53" s="127">
        <v>0</v>
      </c>
      <c r="K53" s="127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7">
        <v>0</v>
      </c>
      <c r="R53" s="127">
        <v>0</v>
      </c>
      <c r="S53" s="127">
        <v>0</v>
      </c>
      <c r="T53" s="127">
        <v>0</v>
      </c>
      <c r="U53" s="127">
        <v>0</v>
      </c>
      <c r="V53" s="127">
        <v>0</v>
      </c>
      <c r="W53" s="127">
        <v>0</v>
      </c>
      <c r="X53" s="127">
        <v>0</v>
      </c>
      <c r="Y53" s="127">
        <v>0</v>
      </c>
      <c r="Z53" s="127">
        <v>0</v>
      </c>
      <c r="AA53" s="127">
        <v>0</v>
      </c>
      <c r="AB53" s="127">
        <v>0</v>
      </c>
      <c r="AC53" s="127">
        <v>0</v>
      </c>
      <c r="AD53" s="127">
        <v>0</v>
      </c>
      <c r="AE53" s="127">
        <v>0</v>
      </c>
      <c r="AF53" s="127">
        <v>0</v>
      </c>
      <c r="AG53" s="127">
        <v>0</v>
      </c>
      <c r="AH53" s="127">
        <v>0</v>
      </c>
      <c r="AI53" s="127">
        <v>0</v>
      </c>
      <c r="AJ53" s="127">
        <v>0</v>
      </c>
      <c r="AK53" s="127">
        <v>0</v>
      </c>
      <c r="AL53" s="127">
        <v>0</v>
      </c>
      <c r="AM53" s="127">
        <v>0</v>
      </c>
      <c r="AN53" s="127">
        <v>0</v>
      </c>
      <c r="AO53" s="127">
        <v>0</v>
      </c>
      <c r="AP53" s="127">
        <v>0</v>
      </c>
      <c r="AQ53" s="127">
        <v>0</v>
      </c>
      <c r="AR53" s="127">
        <v>0</v>
      </c>
      <c r="AS53" s="127">
        <v>0</v>
      </c>
      <c r="AT53" s="127">
        <v>0</v>
      </c>
      <c r="AU53" s="127">
        <v>0</v>
      </c>
      <c r="AV53" s="127">
        <v>0</v>
      </c>
      <c r="AW53" s="127">
        <v>0</v>
      </c>
      <c r="AX53" s="127">
        <v>0</v>
      </c>
      <c r="AY53" s="127">
        <v>0</v>
      </c>
    </row>
    <row r="54" spans="1:51" x14ac:dyDescent="0.2">
      <c r="A54" s="126"/>
      <c r="B54" s="135">
        <v>10</v>
      </c>
      <c r="C54" s="126" t="s">
        <v>293</v>
      </c>
      <c r="D54" s="127"/>
      <c r="E54" s="127"/>
      <c r="F54" s="127"/>
      <c r="G54" s="127">
        <v>0</v>
      </c>
      <c r="H54" s="127">
        <v>0</v>
      </c>
      <c r="I54" s="127">
        <v>0</v>
      </c>
      <c r="J54" s="127">
        <v>0</v>
      </c>
      <c r="K54" s="127">
        <v>0</v>
      </c>
      <c r="L54" s="127">
        <v>0</v>
      </c>
      <c r="M54" s="127">
        <v>0</v>
      </c>
      <c r="N54" s="127">
        <v>0</v>
      </c>
      <c r="O54" s="127">
        <v>0</v>
      </c>
      <c r="P54" s="127">
        <v>0</v>
      </c>
      <c r="Q54" s="127">
        <v>0</v>
      </c>
      <c r="R54" s="127">
        <v>0</v>
      </c>
      <c r="S54" s="127">
        <v>0</v>
      </c>
      <c r="T54" s="127">
        <v>0</v>
      </c>
      <c r="U54" s="127">
        <v>0</v>
      </c>
      <c r="V54" s="127">
        <v>0</v>
      </c>
      <c r="W54" s="127">
        <v>0</v>
      </c>
      <c r="X54" s="127">
        <v>0</v>
      </c>
      <c r="Y54" s="127">
        <v>0</v>
      </c>
      <c r="Z54" s="127">
        <v>0</v>
      </c>
      <c r="AA54" s="127">
        <v>0</v>
      </c>
      <c r="AB54" s="127">
        <v>0</v>
      </c>
      <c r="AC54" s="127">
        <v>0</v>
      </c>
      <c r="AD54" s="127">
        <v>0</v>
      </c>
      <c r="AE54" s="127">
        <v>0</v>
      </c>
      <c r="AF54" s="127">
        <v>0</v>
      </c>
      <c r="AG54" s="127">
        <v>0</v>
      </c>
      <c r="AH54" s="127">
        <v>0</v>
      </c>
      <c r="AI54" s="127">
        <v>0</v>
      </c>
      <c r="AJ54" s="127">
        <v>0</v>
      </c>
      <c r="AK54" s="127">
        <v>0</v>
      </c>
      <c r="AL54" s="127">
        <v>0</v>
      </c>
      <c r="AM54" s="127">
        <v>0</v>
      </c>
      <c r="AN54" s="127">
        <v>0</v>
      </c>
      <c r="AO54" s="127">
        <v>0</v>
      </c>
      <c r="AP54" s="127">
        <v>0</v>
      </c>
      <c r="AQ54" s="127">
        <v>0</v>
      </c>
      <c r="AR54" s="127">
        <v>0</v>
      </c>
      <c r="AS54" s="127">
        <v>0</v>
      </c>
      <c r="AT54" s="127">
        <v>0</v>
      </c>
      <c r="AU54" s="127">
        <v>0</v>
      </c>
      <c r="AV54" s="127">
        <v>0</v>
      </c>
      <c r="AW54" s="127">
        <v>0</v>
      </c>
      <c r="AX54" s="127">
        <v>0</v>
      </c>
      <c r="AY54" s="127">
        <v>0</v>
      </c>
    </row>
    <row r="55" spans="1:51" x14ac:dyDescent="0.2">
      <c r="A55" s="126"/>
      <c r="B55" s="135">
        <v>11</v>
      </c>
      <c r="C55" s="126" t="s">
        <v>293</v>
      </c>
      <c r="D55" s="127"/>
      <c r="E55" s="127"/>
      <c r="F55" s="127"/>
      <c r="G55" s="127">
        <v>0</v>
      </c>
      <c r="H55" s="127">
        <v>0</v>
      </c>
      <c r="I55" s="127">
        <v>0</v>
      </c>
      <c r="J55" s="127">
        <v>0</v>
      </c>
      <c r="K55" s="127">
        <v>0</v>
      </c>
      <c r="L55" s="127">
        <v>0</v>
      </c>
      <c r="M55" s="127">
        <v>0</v>
      </c>
      <c r="N55" s="127">
        <v>0</v>
      </c>
      <c r="O55" s="127">
        <v>0</v>
      </c>
      <c r="P55" s="127">
        <v>0</v>
      </c>
      <c r="Q55" s="127">
        <v>0</v>
      </c>
      <c r="R55" s="127">
        <v>0</v>
      </c>
      <c r="S55" s="127">
        <v>0</v>
      </c>
      <c r="T55" s="127">
        <v>0</v>
      </c>
      <c r="U55" s="127">
        <v>0</v>
      </c>
      <c r="V55" s="127">
        <v>0</v>
      </c>
      <c r="W55" s="127">
        <v>0</v>
      </c>
      <c r="X55" s="127">
        <v>0</v>
      </c>
      <c r="Y55" s="127">
        <v>0</v>
      </c>
      <c r="Z55" s="127">
        <v>0</v>
      </c>
      <c r="AA55" s="127">
        <v>0</v>
      </c>
      <c r="AB55" s="127">
        <v>0</v>
      </c>
      <c r="AC55" s="127">
        <v>0</v>
      </c>
      <c r="AD55" s="127">
        <v>0</v>
      </c>
      <c r="AE55" s="127">
        <v>0</v>
      </c>
      <c r="AF55" s="127">
        <v>0</v>
      </c>
      <c r="AG55" s="127">
        <v>0</v>
      </c>
      <c r="AH55" s="127">
        <v>0</v>
      </c>
      <c r="AI55" s="127">
        <v>0</v>
      </c>
      <c r="AJ55" s="127">
        <v>0</v>
      </c>
      <c r="AK55" s="127">
        <v>0</v>
      </c>
      <c r="AL55" s="127">
        <v>0</v>
      </c>
      <c r="AM55" s="127">
        <v>0</v>
      </c>
      <c r="AN55" s="127">
        <v>0</v>
      </c>
      <c r="AO55" s="127">
        <v>0</v>
      </c>
      <c r="AP55" s="127">
        <v>0</v>
      </c>
      <c r="AQ55" s="127">
        <v>0</v>
      </c>
      <c r="AR55" s="127">
        <v>0</v>
      </c>
      <c r="AS55" s="127">
        <v>0</v>
      </c>
      <c r="AT55" s="127">
        <v>0</v>
      </c>
      <c r="AU55" s="127">
        <v>0</v>
      </c>
      <c r="AV55" s="127">
        <v>0</v>
      </c>
      <c r="AW55" s="127">
        <v>0</v>
      </c>
      <c r="AX55" s="127">
        <v>0</v>
      </c>
      <c r="AY55" s="127">
        <v>0</v>
      </c>
    </row>
    <row r="56" spans="1:51" x14ac:dyDescent="0.2">
      <c r="A56" s="126"/>
      <c r="B56" s="135">
        <v>12</v>
      </c>
      <c r="C56" s="126" t="s">
        <v>293</v>
      </c>
      <c r="D56" s="127"/>
      <c r="E56" s="127"/>
      <c r="F56" s="127"/>
      <c r="G56" s="127">
        <v>0</v>
      </c>
      <c r="H56" s="127">
        <v>0</v>
      </c>
      <c r="I56" s="127">
        <v>0</v>
      </c>
      <c r="J56" s="127">
        <v>0</v>
      </c>
      <c r="K56" s="127">
        <v>0</v>
      </c>
      <c r="L56" s="127">
        <v>0</v>
      </c>
      <c r="M56" s="127">
        <v>0</v>
      </c>
      <c r="N56" s="127">
        <v>0</v>
      </c>
      <c r="O56" s="127">
        <v>0</v>
      </c>
      <c r="P56" s="127">
        <v>0</v>
      </c>
      <c r="Q56" s="127">
        <v>0</v>
      </c>
      <c r="R56" s="127">
        <v>0</v>
      </c>
      <c r="S56" s="127">
        <v>0</v>
      </c>
      <c r="T56" s="127">
        <v>0</v>
      </c>
      <c r="U56" s="127">
        <v>0</v>
      </c>
      <c r="V56" s="127">
        <v>0</v>
      </c>
      <c r="W56" s="127">
        <v>0</v>
      </c>
      <c r="X56" s="127">
        <v>0</v>
      </c>
      <c r="Y56" s="127">
        <v>0</v>
      </c>
      <c r="Z56" s="127">
        <v>0</v>
      </c>
      <c r="AA56" s="127">
        <v>0</v>
      </c>
      <c r="AB56" s="127">
        <v>0</v>
      </c>
      <c r="AC56" s="127">
        <v>0</v>
      </c>
      <c r="AD56" s="127">
        <v>0</v>
      </c>
      <c r="AE56" s="127">
        <v>0</v>
      </c>
      <c r="AF56" s="127">
        <v>0</v>
      </c>
      <c r="AG56" s="127">
        <v>0</v>
      </c>
      <c r="AH56" s="127">
        <v>0</v>
      </c>
      <c r="AI56" s="127">
        <v>0</v>
      </c>
      <c r="AJ56" s="127">
        <v>0</v>
      </c>
      <c r="AK56" s="127">
        <v>0</v>
      </c>
      <c r="AL56" s="127">
        <v>0</v>
      </c>
      <c r="AM56" s="127">
        <v>0</v>
      </c>
      <c r="AN56" s="127">
        <v>0</v>
      </c>
      <c r="AO56" s="127">
        <v>0</v>
      </c>
      <c r="AP56" s="127">
        <v>0</v>
      </c>
      <c r="AQ56" s="127">
        <v>0</v>
      </c>
      <c r="AR56" s="127">
        <v>0</v>
      </c>
      <c r="AS56" s="127">
        <v>0</v>
      </c>
      <c r="AT56" s="127">
        <v>0</v>
      </c>
      <c r="AU56" s="127">
        <v>0</v>
      </c>
      <c r="AV56" s="127">
        <v>0</v>
      </c>
      <c r="AW56" s="127">
        <v>0</v>
      </c>
      <c r="AX56" s="127">
        <v>0</v>
      </c>
      <c r="AY56" s="127">
        <v>0</v>
      </c>
    </row>
    <row r="57" spans="1:51" x14ac:dyDescent="0.2">
      <c r="A57" s="126"/>
      <c r="B57" s="136">
        <v>13</v>
      </c>
      <c r="C57" s="126" t="s">
        <v>293</v>
      </c>
      <c r="D57" s="127"/>
      <c r="E57" s="127"/>
      <c r="F57" s="127"/>
      <c r="G57" s="127">
        <v>0</v>
      </c>
      <c r="H57" s="127">
        <v>0</v>
      </c>
      <c r="I57" s="127">
        <v>0</v>
      </c>
      <c r="J57" s="127">
        <v>0</v>
      </c>
      <c r="K57" s="127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7">
        <v>0</v>
      </c>
      <c r="R57" s="127">
        <v>0</v>
      </c>
      <c r="S57" s="127">
        <v>0</v>
      </c>
      <c r="T57" s="127">
        <v>0</v>
      </c>
      <c r="U57" s="127">
        <v>0</v>
      </c>
      <c r="V57" s="127">
        <v>0</v>
      </c>
      <c r="W57" s="127">
        <v>0</v>
      </c>
      <c r="X57" s="127">
        <v>0</v>
      </c>
      <c r="Y57" s="127">
        <v>0</v>
      </c>
      <c r="Z57" s="127">
        <v>0</v>
      </c>
      <c r="AA57" s="127">
        <v>0</v>
      </c>
      <c r="AB57" s="127">
        <v>0</v>
      </c>
      <c r="AC57" s="127">
        <v>0</v>
      </c>
      <c r="AD57" s="127">
        <v>0</v>
      </c>
      <c r="AE57" s="127">
        <v>0</v>
      </c>
      <c r="AF57" s="127">
        <v>0</v>
      </c>
      <c r="AG57" s="127">
        <v>0</v>
      </c>
      <c r="AH57" s="127">
        <v>0</v>
      </c>
      <c r="AI57" s="127">
        <v>0</v>
      </c>
      <c r="AJ57" s="127">
        <v>0</v>
      </c>
      <c r="AK57" s="127">
        <v>0</v>
      </c>
      <c r="AL57" s="127">
        <v>0</v>
      </c>
      <c r="AM57" s="127">
        <v>0</v>
      </c>
      <c r="AN57" s="127">
        <v>0</v>
      </c>
      <c r="AO57" s="127">
        <v>0</v>
      </c>
      <c r="AP57" s="127">
        <v>0</v>
      </c>
      <c r="AQ57" s="127">
        <v>0</v>
      </c>
      <c r="AR57" s="127">
        <v>0</v>
      </c>
      <c r="AS57" s="127">
        <v>0</v>
      </c>
      <c r="AT57" s="127">
        <v>0</v>
      </c>
      <c r="AU57" s="127">
        <v>0</v>
      </c>
      <c r="AV57" s="127">
        <v>0</v>
      </c>
      <c r="AW57" s="127">
        <v>0</v>
      </c>
      <c r="AX57" s="127">
        <v>0</v>
      </c>
      <c r="AY57" s="127">
        <v>0</v>
      </c>
    </row>
    <row r="58" spans="1:51" x14ac:dyDescent="0.2">
      <c r="A58" s="126"/>
      <c r="B58" s="136">
        <v>14</v>
      </c>
      <c r="C58" s="126" t="s">
        <v>293</v>
      </c>
      <c r="D58" s="127"/>
      <c r="E58" s="127"/>
      <c r="F58" s="127"/>
      <c r="G58" s="127">
        <v>0</v>
      </c>
      <c r="H58" s="127">
        <v>0</v>
      </c>
      <c r="I58" s="127">
        <v>0</v>
      </c>
      <c r="J58" s="127">
        <v>0</v>
      </c>
      <c r="K58" s="127">
        <v>0</v>
      </c>
      <c r="L58" s="127">
        <v>0</v>
      </c>
      <c r="M58" s="127">
        <v>0</v>
      </c>
      <c r="N58" s="127">
        <v>0</v>
      </c>
      <c r="O58" s="127">
        <v>0</v>
      </c>
      <c r="P58" s="127">
        <v>0</v>
      </c>
      <c r="Q58" s="127">
        <v>0</v>
      </c>
      <c r="R58" s="127">
        <v>0</v>
      </c>
      <c r="S58" s="127">
        <v>0</v>
      </c>
      <c r="T58" s="127">
        <v>0</v>
      </c>
      <c r="U58" s="127">
        <v>0</v>
      </c>
      <c r="V58" s="127">
        <v>0</v>
      </c>
      <c r="W58" s="127">
        <v>0</v>
      </c>
      <c r="X58" s="127">
        <v>0</v>
      </c>
      <c r="Y58" s="127">
        <v>0</v>
      </c>
      <c r="Z58" s="127">
        <v>0</v>
      </c>
      <c r="AA58" s="127">
        <v>0</v>
      </c>
      <c r="AB58" s="127">
        <v>0</v>
      </c>
      <c r="AC58" s="127">
        <v>0</v>
      </c>
      <c r="AD58" s="127">
        <v>0</v>
      </c>
      <c r="AE58" s="127">
        <v>0</v>
      </c>
      <c r="AF58" s="127">
        <v>0</v>
      </c>
      <c r="AG58" s="127">
        <v>0</v>
      </c>
      <c r="AH58" s="127">
        <v>0</v>
      </c>
      <c r="AI58" s="127">
        <v>0</v>
      </c>
      <c r="AJ58" s="127">
        <v>0</v>
      </c>
      <c r="AK58" s="127">
        <v>0</v>
      </c>
      <c r="AL58" s="127">
        <v>0</v>
      </c>
      <c r="AM58" s="127">
        <v>0</v>
      </c>
      <c r="AN58" s="127">
        <v>0</v>
      </c>
      <c r="AO58" s="127">
        <v>0</v>
      </c>
      <c r="AP58" s="127">
        <v>0</v>
      </c>
      <c r="AQ58" s="127">
        <v>0</v>
      </c>
      <c r="AR58" s="127">
        <v>0</v>
      </c>
      <c r="AS58" s="127">
        <v>0</v>
      </c>
      <c r="AT58" s="127">
        <v>0</v>
      </c>
      <c r="AU58" s="127">
        <v>0</v>
      </c>
      <c r="AV58" s="127">
        <v>0</v>
      </c>
      <c r="AW58" s="127">
        <v>0</v>
      </c>
      <c r="AX58" s="127">
        <v>0</v>
      </c>
      <c r="AY58" s="127">
        <v>0</v>
      </c>
    </row>
    <row r="59" spans="1:51" x14ac:dyDescent="0.2">
      <c r="A59" s="126"/>
      <c r="B59" s="136">
        <v>15</v>
      </c>
      <c r="C59" s="126" t="s">
        <v>293</v>
      </c>
      <c r="D59" s="127"/>
      <c r="E59" s="127"/>
      <c r="F59" s="127"/>
      <c r="G59" s="127">
        <v>0</v>
      </c>
      <c r="H59" s="127">
        <v>0</v>
      </c>
      <c r="I59" s="127">
        <v>0</v>
      </c>
      <c r="J59" s="127">
        <v>0</v>
      </c>
      <c r="K59" s="127">
        <v>0</v>
      </c>
      <c r="L59" s="127">
        <v>0</v>
      </c>
      <c r="M59" s="127">
        <v>0</v>
      </c>
      <c r="N59" s="127">
        <v>0</v>
      </c>
      <c r="O59" s="127">
        <v>0</v>
      </c>
      <c r="P59" s="127">
        <v>0</v>
      </c>
      <c r="Q59" s="127">
        <v>0</v>
      </c>
      <c r="R59" s="127">
        <v>0</v>
      </c>
      <c r="S59" s="127">
        <v>0</v>
      </c>
      <c r="T59" s="127">
        <v>0</v>
      </c>
      <c r="U59" s="127">
        <v>0</v>
      </c>
      <c r="V59" s="127">
        <v>0</v>
      </c>
      <c r="W59" s="127">
        <v>0</v>
      </c>
      <c r="X59" s="127">
        <v>0</v>
      </c>
      <c r="Y59" s="127">
        <v>0</v>
      </c>
      <c r="Z59" s="127">
        <v>0</v>
      </c>
      <c r="AA59" s="127">
        <v>0</v>
      </c>
      <c r="AB59" s="127">
        <v>0</v>
      </c>
      <c r="AC59" s="127">
        <v>0</v>
      </c>
      <c r="AD59" s="127">
        <v>0</v>
      </c>
      <c r="AE59" s="127">
        <v>0</v>
      </c>
      <c r="AF59" s="127">
        <v>0</v>
      </c>
      <c r="AG59" s="127">
        <v>0</v>
      </c>
      <c r="AH59" s="127">
        <v>0</v>
      </c>
      <c r="AI59" s="127">
        <v>0</v>
      </c>
      <c r="AJ59" s="127">
        <v>0</v>
      </c>
      <c r="AK59" s="127">
        <v>0</v>
      </c>
      <c r="AL59" s="127">
        <v>0</v>
      </c>
      <c r="AM59" s="127">
        <v>0</v>
      </c>
      <c r="AN59" s="127">
        <v>0</v>
      </c>
      <c r="AO59" s="127">
        <v>0</v>
      </c>
      <c r="AP59" s="127">
        <v>0</v>
      </c>
      <c r="AQ59" s="127">
        <v>0</v>
      </c>
      <c r="AR59" s="127">
        <v>0</v>
      </c>
      <c r="AS59" s="127">
        <v>0</v>
      </c>
      <c r="AT59" s="127">
        <v>0</v>
      </c>
      <c r="AU59" s="127">
        <v>0</v>
      </c>
      <c r="AV59" s="127">
        <v>0</v>
      </c>
      <c r="AW59" s="127">
        <v>0</v>
      </c>
      <c r="AX59" s="127">
        <v>0</v>
      </c>
      <c r="AY59" s="127">
        <v>0</v>
      </c>
    </row>
    <row r="60" spans="1:51" x14ac:dyDescent="0.2">
      <c r="A60" s="126"/>
      <c r="B60" s="136">
        <v>16</v>
      </c>
      <c r="C60" s="126" t="s">
        <v>293</v>
      </c>
      <c r="D60" s="127"/>
      <c r="E60" s="127"/>
      <c r="F60" s="127"/>
      <c r="G60" s="127">
        <v>0</v>
      </c>
      <c r="H60" s="127">
        <v>0</v>
      </c>
      <c r="I60" s="127">
        <v>0</v>
      </c>
      <c r="J60" s="127">
        <v>0</v>
      </c>
      <c r="K60" s="127">
        <v>0</v>
      </c>
      <c r="L60" s="127">
        <v>0</v>
      </c>
      <c r="M60" s="127">
        <v>0</v>
      </c>
      <c r="N60" s="127">
        <v>0</v>
      </c>
      <c r="O60" s="127">
        <v>0</v>
      </c>
      <c r="P60" s="127">
        <v>0</v>
      </c>
      <c r="Q60" s="127">
        <v>0</v>
      </c>
      <c r="R60" s="127">
        <v>0</v>
      </c>
      <c r="S60" s="127">
        <v>0</v>
      </c>
      <c r="T60" s="127">
        <v>0</v>
      </c>
      <c r="U60" s="127">
        <v>0</v>
      </c>
      <c r="V60" s="127">
        <v>0</v>
      </c>
      <c r="W60" s="127">
        <v>0</v>
      </c>
      <c r="X60" s="127">
        <v>0</v>
      </c>
      <c r="Y60" s="127">
        <v>0</v>
      </c>
      <c r="Z60" s="127">
        <v>0</v>
      </c>
      <c r="AA60" s="127">
        <v>0</v>
      </c>
      <c r="AB60" s="127">
        <v>0</v>
      </c>
      <c r="AC60" s="127">
        <v>0</v>
      </c>
      <c r="AD60" s="127">
        <v>0</v>
      </c>
      <c r="AE60" s="127">
        <v>0</v>
      </c>
      <c r="AF60" s="127">
        <v>0</v>
      </c>
      <c r="AG60" s="127">
        <v>0</v>
      </c>
      <c r="AH60" s="127">
        <v>0</v>
      </c>
      <c r="AI60" s="127">
        <v>0</v>
      </c>
      <c r="AJ60" s="127">
        <v>0</v>
      </c>
      <c r="AK60" s="127">
        <v>0</v>
      </c>
      <c r="AL60" s="127">
        <v>0</v>
      </c>
      <c r="AM60" s="127">
        <v>0</v>
      </c>
      <c r="AN60" s="127">
        <v>0</v>
      </c>
      <c r="AO60" s="127">
        <v>0</v>
      </c>
      <c r="AP60" s="127">
        <v>0</v>
      </c>
      <c r="AQ60" s="127">
        <v>0</v>
      </c>
      <c r="AR60" s="127">
        <v>0</v>
      </c>
      <c r="AS60" s="127">
        <v>0</v>
      </c>
      <c r="AT60" s="127">
        <v>0</v>
      </c>
      <c r="AU60" s="127">
        <v>0</v>
      </c>
      <c r="AV60" s="127">
        <v>0</v>
      </c>
      <c r="AW60" s="127">
        <v>0</v>
      </c>
      <c r="AX60" s="127">
        <v>0</v>
      </c>
      <c r="AY60" s="127">
        <v>0</v>
      </c>
    </row>
    <row r="61" spans="1:51" x14ac:dyDescent="0.2">
      <c r="A61" s="126"/>
      <c r="B61" s="136">
        <v>17</v>
      </c>
      <c r="C61" s="126" t="s">
        <v>293</v>
      </c>
      <c r="D61" s="127"/>
      <c r="E61" s="127"/>
      <c r="F61" s="127"/>
      <c r="G61" s="127">
        <v>0</v>
      </c>
      <c r="H61" s="127">
        <v>0</v>
      </c>
      <c r="I61" s="127">
        <v>0</v>
      </c>
      <c r="J61" s="127">
        <v>0</v>
      </c>
      <c r="K61" s="127">
        <v>0</v>
      </c>
      <c r="L61" s="127">
        <v>0</v>
      </c>
      <c r="M61" s="127">
        <v>0</v>
      </c>
      <c r="N61" s="127">
        <v>0</v>
      </c>
      <c r="O61" s="127">
        <v>0</v>
      </c>
      <c r="P61" s="127">
        <v>0</v>
      </c>
      <c r="Q61" s="127">
        <v>0</v>
      </c>
      <c r="R61" s="127">
        <v>0</v>
      </c>
      <c r="S61" s="127">
        <v>0</v>
      </c>
      <c r="T61" s="127">
        <v>0</v>
      </c>
      <c r="U61" s="127">
        <v>0</v>
      </c>
      <c r="V61" s="127">
        <v>0</v>
      </c>
      <c r="W61" s="127">
        <v>0</v>
      </c>
      <c r="X61" s="127">
        <v>0</v>
      </c>
      <c r="Y61" s="127">
        <v>0</v>
      </c>
      <c r="Z61" s="127">
        <v>0</v>
      </c>
      <c r="AA61" s="127">
        <v>0</v>
      </c>
      <c r="AB61" s="127">
        <v>0</v>
      </c>
      <c r="AC61" s="127">
        <v>0</v>
      </c>
      <c r="AD61" s="127">
        <v>0</v>
      </c>
      <c r="AE61" s="127">
        <v>0</v>
      </c>
      <c r="AF61" s="127">
        <v>0</v>
      </c>
      <c r="AG61" s="127">
        <v>0</v>
      </c>
      <c r="AH61" s="127">
        <v>0</v>
      </c>
      <c r="AI61" s="127">
        <v>0</v>
      </c>
      <c r="AJ61" s="127">
        <v>0</v>
      </c>
      <c r="AK61" s="127">
        <v>0</v>
      </c>
      <c r="AL61" s="127">
        <v>0</v>
      </c>
      <c r="AM61" s="127">
        <v>0</v>
      </c>
      <c r="AN61" s="127">
        <v>0</v>
      </c>
      <c r="AO61" s="127">
        <v>0</v>
      </c>
      <c r="AP61" s="127">
        <v>0</v>
      </c>
      <c r="AQ61" s="127">
        <v>0</v>
      </c>
      <c r="AR61" s="127">
        <v>0</v>
      </c>
      <c r="AS61" s="127">
        <v>0</v>
      </c>
      <c r="AT61" s="127">
        <v>0</v>
      </c>
      <c r="AU61" s="127">
        <v>0</v>
      </c>
      <c r="AV61" s="127">
        <v>0</v>
      </c>
      <c r="AW61" s="127">
        <v>0</v>
      </c>
      <c r="AX61" s="127">
        <v>0</v>
      </c>
      <c r="AY61" s="127">
        <v>0</v>
      </c>
    </row>
    <row r="62" spans="1:51" x14ac:dyDescent="0.2">
      <c r="A62" s="126"/>
      <c r="B62" s="136">
        <v>18</v>
      </c>
      <c r="C62" s="126" t="s">
        <v>293</v>
      </c>
      <c r="D62" s="127"/>
      <c r="E62" s="127"/>
      <c r="F62" s="127"/>
      <c r="G62" s="127">
        <v>0</v>
      </c>
      <c r="H62" s="127">
        <v>0</v>
      </c>
      <c r="I62" s="127">
        <v>0</v>
      </c>
      <c r="J62" s="127">
        <v>0</v>
      </c>
      <c r="K62" s="127">
        <v>0</v>
      </c>
      <c r="L62" s="127">
        <v>0</v>
      </c>
      <c r="M62" s="127">
        <v>0</v>
      </c>
      <c r="N62" s="127">
        <v>0</v>
      </c>
      <c r="O62" s="127">
        <v>0</v>
      </c>
      <c r="P62" s="127">
        <v>0</v>
      </c>
      <c r="Q62" s="127">
        <v>0</v>
      </c>
      <c r="R62" s="127">
        <v>0</v>
      </c>
      <c r="S62" s="127">
        <v>0</v>
      </c>
      <c r="T62" s="127">
        <v>0</v>
      </c>
      <c r="U62" s="127">
        <v>0</v>
      </c>
      <c r="V62" s="127">
        <v>0</v>
      </c>
      <c r="W62" s="127">
        <v>0</v>
      </c>
      <c r="X62" s="127">
        <v>0</v>
      </c>
      <c r="Y62" s="127">
        <v>0</v>
      </c>
      <c r="Z62" s="127">
        <v>0</v>
      </c>
      <c r="AA62" s="127">
        <v>0</v>
      </c>
      <c r="AB62" s="127">
        <v>0</v>
      </c>
      <c r="AC62" s="127">
        <v>0</v>
      </c>
      <c r="AD62" s="127">
        <v>0</v>
      </c>
      <c r="AE62" s="127">
        <v>0</v>
      </c>
      <c r="AF62" s="127">
        <v>0</v>
      </c>
      <c r="AG62" s="127">
        <v>0</v>
      </c>
      <c r="AH62" s="127">
        <v>0</v>
      </c>
      <c r="AI62" s="127">
        <v>0</v>
      </c>
      <c r="AJ62" s="127">
        <v>0</v>
      </c>
      <c r="AK62" s="127">
        <v>0</v>
      </c>
      <c r="AL62" s="127">
        <v>0</v>
      </c>
      <c r="AM62" s="127">
        <v>0</v>
      </c>
      <c r="AN62" s="127">
        <v>0</v>
      </c>
      <c r="AO62" s="127">
        <v>0</v>
      </c>
      <c r="AP62" s="127">
        <v>0</v>
      </c>
      <c r="AQ62" s="127">
        <v>0</v>
      </c>
      <c r="AR62" s="127">
        <v>0</v>
      </c>
      <c r="AS62" s="127">
        <v>0</v>
      </c>
      <c r="AT62" s="127">
        <v>0</v>
      </c>
      <c r="AU62" s="127">
        <v>0</v>
      </c>
      <c r="AV62" s="127">
        <v>0</v>
      </c>
      <c r="AW62" s="127">
        <v>0</v>
      </c>
      <c r="AX62" s="127">
        <v>0</v>
      </c>
      <c r="AY62" s="127">
        <v>0</v>
      </c>
    </row>
    <row r="63" spans="1:51" x14ac:dyDescent="0.2">
      <c r="A63" s="126"/>
      <c r="B63" s="136">
        <v>19</v>
      </c>
      <c r="C63" s="126" t="s">
        <v>293</v>
      </c>
      <c r="D63" s="127"/>
      <c r="E63" s="127"/>
      <c r="F63" s="127"/>
      <c r="G63" s="127">
        <v>0</v>
      </c>
      <c r="H63" s="127">
        <v>0</v>
      </c>
      <c r="I63" s="127">
        <v>0</v>
      </c>
      <c r="J63" s="127">
        <v>0</v>
      </c>
      <c r="K63" s="127">
        <v>0</v>
      </c>
      <c r="L63" s="127">
        <v>0</v>
      </c>
      <c r="M63" s="127">
        <v>0</v>
      </c>
      <c r="N63" s="127">
        <v>0</v>
      </c>
      <c r="O63" s="127">
        <v>0</v>
      </c>
      <c r="P63" s="127">
        <v>0</v>
      </c>
      <c r="Q63" s="127">
        <v>0</v>
      </c>
      <c r="R63" s="127">
        <v>0</v>
      </c>
      <c r="S63" s="127">
        <v>0</v>
      </c>
      <c r="T63" s="127">
        <v>0</v>
      </c>
      <c r="U63" s="127">
        <v>0</v>
      </c>
      <c r="V63" s="127">
        <v>0</v>
      </c>
      <c r="W63" s="127">
        <v>0</v>
      </c>
      <c r="X63" s="127">
        <v>0</v>
      </c>
      <c r="Y63" s="127">
        <v>0</v>
      </c>
      <c r="Z63" s="127">
        <v>0</v>
      </c>
      <c r="AA63" s="127">
        <v>0</v>
      </c>
      <c r="AB63" s="127">
        <v>0</v>
      </c>
      <c r="AC63" s="127">
        <v>0</v>
      </c>
      <c r="AD63" s="127">
        <v>0</v>
      </c>
      <c r="AE63" s="127">
        <v>0</v>
      </c>
      <c r="AF63" s="127">
        <v>0</v>
      </c>
      <c r="AG63" s="127">
        <v>0</v>
      </c>
      <c r="AH63" s="127">
        <v>0</v>
      </c>
      <c r="AI63" s="127">
        <v>0</v>
      </c>
      <c r="AJ63" s="127">
        <v>0</v>
      </c>
      <c r="AK63" s="127">
        <v>0</v>
      </c>
      <c r="AL63" s="127">
        <v>0</v>
      </c>
      <c r="AM63" s="127">
        <v>0</v>
      </c>
      <c r="AN63" s="127">
        <v>0</v>
      </c>
      <c r="AO63" s="127">
        <v>0</v>
      </c>
      <c r="AP63" s="127">
        <v>0</v>
      </c>
      <c r="AQ63" s="127">
        <v>0</v>
      </c>
      <c r="AR63" s="127">
        <v>0</v>
      </c>
      <c r="AS63" s="127">
        <v>0</v>
      </c>
      <c r="AT63" s="127">
        <v>0</v>
      </c>
      <c r="AU63" s="127">
        <v>0</v>
      </c>
      <c r="AV63" s="127">
        <v>0</v>
      </c>
      <c r="AW63" s="127">
        <v>0</v>
      </c>
      <c r="AX63" s="127">
        <v>0</v>
      </c>
      <c r="AY63" s="127">
        <v>0</v>
      </c>
    </row>
    <row r="64" spans="1:51" x14ac:dyDescent="0.2">
      <c r="A64" s="126"/>
      <c r="B64" s="136">
        <v>20</v>
      </c>
      <c r="C64" s="126" t="s">
        <v>293</v>
      </c>
      <c r="D64" s="127"/>
      <c r="E64" s="127"/>
      <c r="F64" s="127"/>
      <c r="G64" s="127">
        <v>0</v>
      </c>
      <c r="H64" s="127">
        <v>0</v>
      </c>
      <c r="I64" s="127">
        <v>0</v>
      </c>
      <c r="J64" s="127">
        <v>0</v>
      </c>
      <c r="K64" s="127">
        <v>0</v>
      </c>
      <c r="L64" s="127">
        <v>0</v>
      </c>
      <c r="M64" s="127">
        <v>0</v>
      </c>
      <c r="N64" s="127">
        <v>0</v>
      </c>
      <c r="O64" s="127">
        <v>0</v>
      </c>
      <c r="P64" s="127">
        <v>0</v>
      </c>
      <c r="Q64" s="127">
        <v>0</v>
      </c>
      <c r="R64" s="127">
        <v>0</v>
      </c>
      <c r="S64" s="127">
        <v>0</v>
      </c>
      <c r="T64" s="127">
        <v>0</v>
      </c>
      <c r="U64" s="127">
        <v>0</v>
      </c>
      <c r="V64" s="127">
        <v>0</v>
      </c>
      <c r="W64" s="127">
        <v>0</v>
      </c>
      <c r="X64" s="127">
        <v>0</v>
      </c>
      <c r="Y64" s="127">
        <v>0</v>
      </c>
      <c r="Z64" s="127">
        <v>0</v>
      </c>
      <c r="AA64" s="127">
        <v>0</v>
      </c>
      <c r="AB64" s="127">
        <v>0</v>
      </c>
      <c r="AC64" s="127">
        <v>0</v>
      </c>
      <c r="AD64" s="127">
        <v>0</v>
      </c>
      <c r="AE64" s="127">
        <v>0</v>
      </c>
      <c r="AF64" s="127">
        <v>0</v>
      </c>
      <c r="AG64" s="127">
        <v>0</v>
      </c>
      <c r="AH64" s="127">
        <v>0</v>
      </c>
      <c r="AI64" s="127">
        <v>0</v>
      </c>
      <c r="AJ64" s="127">
        <v>0</v>
      </c>
      <c r="AK64" s="127">
        <v>0</v>
      </c>
      <c r="AL64" s="127">
        <v>0</v>
      </c>
      <c r="AM64" s="127">
        <v>0</v>
      </c>
      <c r="AN64" s="127">
        <v>0</v>
      </c>
      <c r="AO64" s="127">
        <v>0</v>
      </c>
      <c r="AP64" s="127">
        <v>0</v>
      </c>
      <c r="AQ64" s="127">
        <v>0</v>
      </c>
      <c r="AR64" s="127">
        <v>0</v>
      </c>
      <c r="AS64" s="127">
        <v>0</v>
      </c>
      <c r="AT64" s="127">
        <v>0</v>
      </c>
      <c r="AU64" s="127">
        <v>0</v>
      </c>
      <c r="AV64" s="127">
        <v>0</v>
      </c>
      <c r="AW64" s="127">
        <v>0</v>
      </c>
      <c r="AX64" s="127">
        <v>0</v>
      </c>
      <c r="AY64" s="127">
        <v>0</v>
      </c>
    </row>
    <row r="65" spans="1:51" x14ac:dyDescent="0.2">
      <c r="A65" s="126"/>
      <c r="B65" s="136">
        <v>21</v>
      </c>
      <c r="C65" s="126" t="s">
        <v>293</v>
      </c>
      <c r="D65" s="127"/>
      <c r="E65" s="127"/>
      <c r="F65" s="127"/>
      <c r="G65" s="127">
        <v>0</v>
      </c>
      <c r="H65" s="127">
        <v>0</v>
      </c>
      <c r="I65" s="127">
        <v>0</v>
      </c>
      <c r="J65" s="127">
        <v>0</v>
      </c>
      <c r="K65" s="127">
        <v>0</v>
      </c>
      <c r="L65" s="127">
        <v>0</v>
      </c>
      <c r="M65" s="127">
        <v>0</v>
      </c>
      <c r="N65" s="127">
        <v>0</v>
      </c>
      <c r="O65" s="127">
        <v>0</v>
      </c>
      <c r="P65" s="127">
        <v>0</v>
      </c>
      <c r="Q65" s="127">
        <v>0</v>
      </c>
      <c r="R65" s="127">
        <v>0</v>
      </c>
      <c r="S65" s="127">
        <v>0</v>
      </c>
      <c r="T65" s="127">
        <v>0</v>
      </c>
      <c r="U65" s="127">
        <v>0</v>
      </c>
      <c r="V65" s="127">
        <v>0</v>
      </c>
      <c r="W65" s="127">
        <v>0</v>
      </c>
      <c r="X65" s="127">
        <v>0</v>
      </c>
      <c r="Y65" s="127">
        <v>0</v>
      </c>
      <c r="Z65" s="127">
        <v>0</v>
      </c>
      <c r="AA65" s="127">
        <v>0</v>
      </c>
      <c r="AB65" s="127">
        <v>0</v>
      </c>
      <c r="AC65" s="127">
        <v>0</v>
      </c>
      <c r="AD65" s="127">
        <v>0</v>
      </c>
      <c r="AE65" s="127">
        <v>0</v>
      </c>
      <c r="AF65" s="127">
        <v>0</v>
      </c>
      <c r="AG65" s="127">
        <v>0</v>
      </c>
      <c r="AH65" s="127">
        <v>0</v>
      </c>
      <c r="AI65" s="127">
        <v>0</v>
      </c>
      <c r="AJ65" s="127">
        <v>0</v>
      </c>
      <c r="AK65" s="127">
        <v>0</v>
      </c>
      <c r="AL65" s="127">
        <v>0</v>
      </c>
      <c r="AM65" s="127">
        <v>0</v>
      </c>
      <c r="AN65" s="127">
        <v>0</v>
      </c>
      <c r="AO65" s="127">
        <v>0</v>
      </c>
      <c r="AP65" s="127">
        <v>0</v>
      </c>
      <c r="AQ65" s="127">
        <v>0</v>
      </c>
      <c r="AR65" s="127">
        <v>0</v>
      </c>
      <c r="AS65" s="127">
        <v>0</v>
      </c>
      <c r="AT65" s="127">
        <v>0</v>
      </c>
      <c r="AU65" s="127">
        <v>0</v>
      </c>
      <c r="AV65" s="127">
        <v>0</v>
      </c>
      <c r="AW65" s="127">
        <v>0</v>
      </c>
      <c r="AX65" s="127">
        <v>0</v>
      </c>
      <c r="AY65" s="127">
        <v>0</v>
      </c>
    </row>
    <row r="66" spans="1:51" x14ac:dyDescent="0.2">
      <c r="A66" s="126"/>
      <c r="B66" s="136">
        <v>22</v>
      </c>
      <c r="C66" s="126" t="s">
        <v>293</v>
      </c>
      <c r="D66" s="127"/>
      <c r="E66" s="127"/>
      <c r="F66" s="127"/>
      <c r="G66" s="127">
        <v>0</v>
      </c>
      <c r="H66" s="127">
        <v>0</v>
      </c>
      <c r="I66" s="127">
        <v>0</v>
      </c>
      <c r="J66" s="127">
        <v>0</v>
      </c>
      <c r="K66" s="127">
        <v>0</v>
      </c>
      <c r="L66" s="127">
        <v>0</v>
      </c>
      <c r="M66" s="127">
        <v>0</v>
      </c>
      <c r="N66" s="127">
        <v>0</v>
      </c>
      <c r="O66" s="127">
        <v>0</v>
      </c>
      <c r="P66" s="127">
        <v>0</v>
      </c>
      <c r="Q66" s="127">
        <v>0</v>
      </c>
      <c r="R66" s="127">
        <v>0</v>
      </c>
      <c r="S66" s="127">
        <v>0</v>
      </c>
      <c r="T66" s="127">
        <v>0</v>
      </c>
      <c r="U66" s="127">
        <v>0</v>
      </c>
      <c r="V66" s="127">
        <v>0</v>
      </c>
      <c r="W66" s="127">
        <v>0</v>
      </c>
      <c r="X66" s="127">
        <v>0</v>
      </c>
      <c r="Y66" s="127">
        <v>0</v>
      </c>
      <c r="Z66" s="127">
        <v>0</v>
      </c>
      <c r="AA66" s="127">
        <v>0</v>
      </c>
      <c r="AB66" s="127">
        <v>0</v>
      </c>
      <c r="AC66" s="127">
        <v>0</v>
      </c>
      <c r="AD66" s="127">
        <v>0</v>
      </c>
      <c r="AE66" s="127">
        <v>0</v>
      </c>
      <c r="AF66" s="127">
        <v>0</v>
      </c>
      <c r="AG66" s="127">
        <v>0</v>
      </c>
      <c r="AH66" s="127">
        <v>0</v>
      </c>
      <c r="AI66" s="127">
        <v>0</v>
      </c>
      <c r="AJ66" s="127">
        <v>0</v>
      </c>
      <c r="AK66" s="127">
        <v>0</v>
      </c>
      <c r="AL66" s="127">
        <v>0</v>
      </c>
      <c r="AM66" s="127">
        <v>0</v>
      </c>
      <c r="AN66" s="127">
        <v>0</v>
      </c>
      <c r="AO66" s="127">
        <v>0</v>
      </c>
      <c r="AP66" s="127">
        <v>0</v>
      </c>
      <c r="AQ66" s="127">
        <v>0</v>
      </c>
      <c r="AR66" s="127">
        <v>0</v>
      </c>
      <c r="AS66" s="127">
        <v>0</v>
      </c>
      <c r="AT66" s="127">
        <v>0</v>
      </c>
      <c r="AU66" s="127">
        <v>0</v>
      </c>
      <c r="AV66" s="127">
        <v>0</v>
      </c>
      <c r="AW66" s="127">
        <v>0</v>
      </c>
      <c r="AX66" s="127">
        <v>0</v>
      </c>
      <c r="AY66" s="127">
        <v>0</v>
      </c>
    </row>
    <row r="67" spans="1:51" x14ac:dyDescent="0.2">
      <c r="A67" s="126"/>
      <c r="B67" s="136">
        <v>23</v>
      </c>
      <c r="C67" s="126" t="s">
        <v>293</v>
      </c>
      <c r="D67" s="127"/>
      <c r="E67" s="127"/>
      <c r="F67" s="127"/>
      <c r="G67" s="127">
        <v>0</v>
      </c>
      <c r="H67" s="127">
        <v>0</v>
      </c>
      <c r="I67" s="127">
        <v>0</v>
      </c>
      <c r="J67" s="127">
        <v>0</v>
      </c>
      <c r="K67" s="127">
        <v>0</v>
      </c>
      <c r="L67" s="127">
        <v>0</v>
      </c>
      <c r="M67" s="127">
        <v>0</v>
      </c>
      <c r="N67" s="127">
        <v>0</v>
      </c>
      <c r="O67" s="127">
        <v>0</v>
      </c>
      <c r="P67" s="127">
        <v>0</v>
      </c>
      <c r="Q67" s="127">
        <v>0</v>
      </c>
      <c r="R67" s="127">
        <v>0</v>
      </c>
      <c r="S67" s="127">
        <v>0</v>
      </c>
      <c r="T67" s="127">
        <v>0</v>
      </c>
      <c r="U67" s="127">
        <v>0</v>
      </c>
      <c r="V67" s="127">
        <v>0</v>
      </c>
      <c r="W67" s="127">
        <v>0</v>
      </c>
      <c r="X67" s="127">
        <v>0</v>
      </c>
      <c r="Y67" s="127">
        <v>0</v>
      </c>
      <c r="Z67" s="127">
        <v>0</v>
      </c>
      <c r="AA67" s="127">
        <v>0</v>
      </c>
      <c r="AB67" s="127">
        <v>0</v>
      </c>
      <c r="AC67" s="127">
        <v>0</v>
      </c>
      <c r="AD67" s="127">
        <v>0</v>
      </c>
      <c r="AE67" s="127">
        <v>0</v>
      </c>
      <c r="AF67" s="127">
        <v>0</v>
      </c>
      <c r="AG67" s="127">
        <v>0</v>
      </c>
      <c r="AH67" s="127">
        <v>0</v>
      </c>
      <c r="AI67" s="127">
        <v>0</v>
      </c>
      <c r="AJ67" s="127">
        <v>0</v>
      </c>
      <c r="AK67" s="127">
        <v>0</v>
      </c>
      <c r="AL67" s="127">
        <v>0</v>
      </c>
      <c r="AM67" s="127">
        <v>0</v>
      </c>
      <c r="AN67" s="127">
        <v>0</v>
      </c>
      <c r="AO67" s="127">
        <v>0</v>
      </c>
      <c r="AP67" s="127">
        <v>0</v>
      </c>
      <c r="AQ67" s="127">
        <v>0</v>
      </c>
      <c r="AR67" s="127">
        <v>0</v>
      </c>
      <c r="AS67" s="127">
        <v>0</v>
      </c>
      <c r="AT67" s="127">
        <v>0</v>
      </c>
      <c r="AU67" s="127">
        <v>0</v>
      </c>
      <c r="AV67" s="127">
        <v>0</v>
      </c>
      <c r="AW67" s="127">
        <v>0</v>
      </c>
      <c r="AX67" s="127">
        <v>0</v>
      </c>
      <c r="AY67" s="127">
        <v>0</v>
      </c>
    </row>
    <row r="68" spans="1:51" x14ac:dyDescent="0.2">
      <c r="A68" s="126"/>
      <c r="B68" s="136">
        <v>24</v>
      </c>
      <c r="C68" s="126" t="s">
        <v>293</v>
      </c>
      <c r="D68" s="127"/>
      <c r="E68" s="127"/>
      <c r="F68" s="127"/>
      <c r="G68" s="127">
        <v>0</v>
      </c>
      <c r="H68" s="127">
        <v>0</v>
      </c>
      <c r="I68" s="127">
        <v>0</v>
      </c>
      <c r="J68" s="127">
        <v>0</v>
      </c>
      <c r="K68" s="127">
        <v>0</v>
      </c>
      <c r="L68" s="127">
        <v>0</v>
      </c>
      <c r="M68" s="127">
        <v>0</v>
      </c>
      <c r="N68" s="127">
        <v>0</v>
      </c>
      <c r="O68" s="127">
        <v>0</v>
      </c>
      <c r="P68" s="127">
        <v>0</v>
      </c>
      <c r="Q68" s="127">
        <v>0</v>
      </c>
      <c r="R68" s="127">
        <v>0</v>
      </c>
      <c r="S68" s="127">
        <v>0</v>
      </c>
      <c r="T68" s="127">
        <v>0</v>
      </c>
      <c r="U68" s="127">
        <v>0</v>
      </c>
      <c r="V68" s="127">
        <v>0</v>
      </c>
      <c r="W68" s="127">
        <v>0</v>
      </c>
      <c r="X68" s="127">
        <v>0</v>
      </c>
      <c r="Y68" s="127">
        <v>0</v>
      </c>
      <c r="Z68" s="127">
        <v>0</v>
      </c>
      <c r="AA68" s="127">
        <v>0</v>
      </c>
      <c r="AB68" s="127">
        <v>0</v>
      </c>
      <c r="AC68" s="127">
        <v>0</v>
      </c>
      <c r="AD68" s="127">
        <v>0</v>
      </c>
      <c r="AE68" s="127">
        <v>0</v>
      </c>
      <c r="AF68" s="127">
        <v>0</v>
      </c>
      <c r="AG68" s="127">
        <v>0</v>
      </c>
      <c r="AH68" s="127">
        <v>0</v>
      </c>
      <c r="AI68" s="127">
        <v>0</v>
      </c>
      <c r="AJ68" s="127">
        <v>0</v>
      </c>
      <c r="AK68" s="127">
        <v>0</v>
      </c>
      <c r="AL68" s="127">
        <v>0</v>
      </c>
      <c r="AM68" s="127">
        <v>0</v>
      </c>
      <c r="AN68" s="127">
        <v>0</v>
      </c>
      <c r="AO68" s="127">
        <v>0</v>
      </c>
      <c r="AP68" s="127">
        <v>0</v>
      </c>
      <c r="AQ68" s="127">
        <v>0</v>
      </c>
      <c r="AR68" s="127">
        <v>0</v>
      </c>
      <c r="AS68" s="127">
        <v>0</v>
      </c>
      <c r="AT68" s="127">
        <v>0</v>
      </c>
      <c r="AU68" s="127">
        <v>0</v>
      </c>
      <c r="AV68" s="127">
        <v>0</v>
      </c>
      <c r="AW68" s="127">
        <v>0</v>
      </c>
      <c r="AX68" s="127">
        <v>0</v>
      </c>
      <c r="AY68" s="127">
        <v>0</v>
      </c>
    </row>
    <row r="69" spans="1:51" x14ac:dyDescent="0.2">
      <c r="A69" s="126"/>
      <c r="B69" s="143">
        <v>25</v>
      </c>
      <c r="C69" s="126" t="s">
        <v>293</v>
      </c>
      <c r="D69" s="127"/>
      <c r="E69" s="127"/>
      <c r="F69" s="127"/>
      <c r="G69" s="127">
        <v>0</v>
      </c>
      <c r="H69" s="127">
        <v>0</v>
      </c>
      <c r="I69" s="127">
        <v>0</v>
      </c>
      <c r="J69" s="127">
        <v>0</v>
      </c>
      <c r="K69" s="127">
        <v>0</v>
      </c>
      <c r="L69" s="127">
        <v>0</v>
      </c>
      <c r="M69" s="127">
        <v>0</v>
      </c>
      <c r="N69" s="127">
        <v>0</v>
      </c>
      <c r="O69" s="127">
        <v>0</v>
      </c>
      <c r="P69" s="127">
        <v>0</v>
      </c>
      <c r="Q69" s="127">
        <v>0</v>
      </c>
      <c r="R69" s="127">
        <v>0</v>
      </c>
      <c r="S69" s="127">
        <v>0</v>
      </c>
      <c r="T69" s="127">
        <v>0</v>
      </c>
      <c r="U69" s="127">
        <v>0</v>
      </c>
      <c r="V69" s="127">
        <v>0</v>
      </c>
      <c r="W69" s="127">
        <v>0</v>
      </c>
      <c r="X69" s="127">
        <v>0</v>
      </c>
      <c r="Y69" s="127">
        <v>0</v>
      </c>
      <c r="Z69" s="127">
        <v>0</v>
      </c>
      <c r="AA69" s="127">
        <v>0</v>
      </c>
      <c r="AB69" s="127">
        <v>0</v>
      </c>
      <c r="AC69" s="127">
        <v>0</v>
      </c>
      <c r="AD69" s="127">
        <v>0</v>
      </c>
      <c r="AE69" s="127">
        <v>0</v>
      </c>
      <c r="AF69" s="127">
        <v>0</v>
      </c>
      <c r="AG69" s="127">
        <v>0</v>
      </c>
      <c r="AH69" s="127">
        <v>0</v>
      </c>
      <c r="AI69" s="127">
        <v>0</v>
      </c>
      <c r="AJ69" s="127">
        <v>0</v>
      </c>
      <c r="AK69" s="127">
        <v>0</v>
      </c>
      <c r="AL69" s="127">
        <v>0</v>
      </c>
      <c r="AM69" s="127">
        <v>0</v>
      </c>
      <c r="AN69" s="127">
        <v>0</v>
      </c>
      <c r="AO69" s="127">
        <v>0</v>
      </c>
      <c r="AP69" s="127">
        <v>0</v>
      </c>
      <c r="AQ69" s="127">
        <v>0</v>
      </c>
      <c r="AR69" s="127">
        <v>0</v>
      </c>
      <c r="AS69" s="127">
        <v>0</v>
      </c>
      <c r="AT69" s="127">
        <v>0</v>
      </c>
      <c r="AU69" s="127">
        <v>0</v>
      </c>
      <c r="AV69" s="127">
        <v>0</v>
      </c>
      <c r="AW69" s="127">
        <v>0</v>
      </c>
      <c r="AX69" s="127">
        <v>0</v>
      </c>
      <c r="AY69" s="127">
        <v>0</v>
      </c>
    </row>
    <row r="70" spans="1:51" x14ac:dyDescent="0.2">
      <c r="A70" s="126"/>
      <c r="B70" s="143">
        <v>26</v>
      </c>
      <c r="C70" s="126" t="s">
        <v>293</v>
      </c>
      <c r="D70" s="127"/>
      <c r="E70" s="127"/>
      <c r="F70" s="127"/>
      <c r="G70" s="127">
        <v>0</v>
      </c>
      <c r="H70" s="127">
        <v>0</v>
      </c>
      <c r="I70" s="127">
        <v>0</v>
      </c>
      <c r="J70" s="127">
        <v>0</v>
      </c>
      <c r="K70" s="127">
        <v>0</v>
      </c>
      <c r="L70" s="127">
        <v>0</v>
      </c>
      <c r="M70" s="127">
        <v>0</v>
      </c>
      <c r="N70" s="127">
        <v>0</v>
      </c>
      <c r="O70" s="127">
        <v>0</v>
      </c>
      <c r="P70" s="127">
        <v>0</v>
      </c>
      <c r="Q70" s="127">
        <v>0</v>
      </c>
      <c r="R70" s="127">
        <v>0</v>
      </c>
      <c r="S70" s="127">
        <v>0</v>
      </c>
      <c r="T70" s="127">
        <v>0</v>
      </c>
      <c r="U70" s="127">
        <v>0</v>
      </c>
      <c r="V70" s="127">
        <v>0</v>
      </c>
      <c r="W70" s="127">
        <v>0</v>
      </c>
      <c r="X70" s="127">
        <v>0</v>
      </c>
      <c r="Y70" s="127">
        <v>0</v>
      </c>
      <c r="Z70" s="127">
        <v>0</v>
      </c>
      <c r="AA70" s="127">
        <v>0</v>
      </c>
      <c r="AB70" s="127">
        <v>0</v>
      </c>
      <c r="AC70" s="127">
        <v>0</v>
      </c>
      <c r="AD70" s="127">
        <v>0</v>
      </c>
      <c r="AE70" s="127">
        <v>0</v>
      </c>
      <c r="AF70" s="127">
        <v>0</v>
      </c>
      <c r="AG70" s="127">
        <v>0</v>
      </c>
      <c r="AH70" s="127">
        <v>0</v>
      </c>
      <c r="AI70" s="127">
        <v>0</v>
      </c>
      <c r="AJ70" s="127">
        <v>0</v>
      </c>
      <c r="AK70" s="127">
        <v>0</v>
      </c>
      <c r="AL70" s="127">
        <v>0</v>
      </c>
      <c r="AM70" s="127">
        <v>0</v>
      </c>
      <c r="AN70" s="127">
        <v>0</v>
      </c>
      <c r="AO70" s="127">
        <v>0</v>
      </c>
      <c r="AP70" s="127">
        <v>0</v>
      </c>
      <c r="AQ70" s="127">
        <v>0</v>
      </c>
      <c r="AR70" s="127">
        <v>0</v>
      </c>
      <c r="AS70" s="127">
        <v>0</v>
      </c>
      <c r="AT70" s="127">
        <v>0</v>
      </c>
      <c r="AU70" s="127">
        <v>0</v>
      </c>
      <c r="AV70" s="127">
        <v>0</v>
      </c>
      <c r="AW70" s="127">
        <v>0</v>
      </c>
      <c r="AX70" s="127">
        <v>0</v>
      </c>
      <c r="AY70" s="127">
        <v>0</v>
      </c>
    </row>
    <row r="71" spans="1:51" x14ac:dyDescent="0.2">
      <c r="A71" s="126"/>
      <c r="B71" s="143">
        <v>27</v>
      </c>
      <c r="C71" s="126" t="s">
        <v>293</v>
      </c>
      <c r="D71" s="127"/>
      <c r="E71" s="127"/>
      <c r="F71" s="127"/>
      <c r="G71" s="127">
        <v>0</v>
      </c>
      <c r="H71" s="127">
        <v>0</v>
      </c>
      <c r="I71" s="127">
        <v>0</v>
      </c>
      <c r="J71" s="127">
        <v>0</v>
      </c>
      <c r="K71" s="127">
        <v>0</v>
      </c>
      <c r="L71" s="127">
        <v>0</v>
      </c>
      <c r="M71" s="127">
        <v>0</v>
      </c>
      <c r="N71" s="127">
        <v>0</v>
      </c>
      <c r="O71" s="127">
        <v>0</v>
      </c>
      <c r="P71" s="127">
        <v>0</v>
      </c>
      <c r="Q71" s="127">
        <v>0</v>
      </c>
      <c r="R71" s="127">
        <v>0</v>
      </c>
      <c r="S71" s="127">
        <v>0</v>
      </c>
      <c r="T71" s="127">
        <v>0</v>
      </c>
      <c r="U71" s="127">
        <v>0</v>
      </c>
      <c r="V71" s="127">
        <v>0</v>
      </c>
      <c r="W71" s="127">
        <v>0</v>
      </c>
      <c r="X71" s="127">
        <v>0</v>
      </c>
      <c r="Y71" s="127">
        <v>0</v>
      </c>
      <c r="Z71" s="127">
        <v>0</v>
      </c>
      <c r="AA71" s="127">
        <v>0</v>
      </c>
      <c r="AB71" s="127">
        <v>0</v>
      </c>
      <c r="AC71" s="127">
        <v>0</v>
      </c>
      <c r="AD71" s="127">
        <v>0</v>
      </c>
      <c r="AE71" s="127">
        <v>0</v>
      </c>
      <c r="AF71" s="127">
        <v>0</v>
      </c>
      <c r="AG71" s="127">
        <v>0</v>
      </c>
      <c r="AH71" s="127">
        <v>0</v>
      </c>
      <c r="AI71" s="127">
        <v>0</v>
      </c>
      <c r="AJ71" s="127">
        <v>0</v>
      </c>
      <c r="AK71" s="127">
        <v>0</v>
      </c>
      <c r="AL71" s="127">
        <v>0</v>
      </c>
      <c r="AM71" s="127">
        <v>0</v>
      </c>
      <c r="AN71" s="127">
        <v>0</v>
      </c>
      <c r="AO71" s="127">
        <v>0</v>
      </c>
      <c r="AP71" s="127">
        <v>0</v>
      </c>
      <c r="AQ71" s="127">
        <v>0</v>
      </c>
      <c r="AR71" s="127">
        <v>0</v>
      </c>
      <c r="AS71" s="127">
        <v>0</v>
      </c>
      <c r="AT71" s="127">
        <v>0</v>
      </c>
      <c r="AU71" s="127">
        <v>0</v>
      </c>
      <c r="AV71" s="127">
        <v>0</v>
      </c>
      <c r="AW71" s="127">
        <v>0</v>
      </c>
      <c r="AX71" s="127">
        <v>0</v>
      </c>
      <c r="AY71" s="127">
        <v>0</v>
      </c>
    </row>
    <row r="72" spans="1:51" x14ac:dyDescent="0.2">
      <c r="A72" s="126"/>
      <c r="B72" s="143">
        <v>28</v>
      </c>
      <c r="C72" s="126" t="s">
        <v>293</v>
      </c>
      <c r="D72" s="127"/>
      <c r="E72" s="127"/>
      <c r="F72" s="127"/>
      <c r="G72" s="127">
        <v>0</v>
      </c>
      <c r="H72" s="127">
        <v>0</v>
      </c>
      <c r="I72" s="127">
        <v>0</v>
      </c>
      <c r="J72" s="127">
        <v>0</v>
      </c>
      <c r="K72" s="127">
        <v>0</v>
      </c>
      <c r="L72" s="127">
        <v>0</v>
      </c>
      <c r="M72" s="127">
        <v>0</v>
      </c>
      <c r="N72" s="127">
        <v>0</v>
      </c>
      <c r="O72" s="127">
        <v>0</v>
      </c>
      <c r="P72" s="127">
        <v>0</v>
      </c>
      <c r="Q72" s="127">
        <v>0</v>
      </c>
      <c r="R72" s="127">
        <v>0</v>
      </c>
      <c r="S72" s="127">
        <v>0</v>
      </c>
      <c r="T72" s="127">
        <v>0</v>
      </c>
      <c r="U72" s="127">
        <v>0</v>
      </c>
      <c r="V72" s="127">
        <v>0</v>
      </c>
      <c r="W72" s="127">
        <v>0</v>
      </c>
      <c r="X72" s="127">
        <v>0</v>
      </c>
      <c r="Y72" s="127">
        <v>0</v>
      </c>
      <c r="Z72" s="127">
        <v>0</v>
      </c>
      <c r="AA72" s="127">
        <v>0</v>
      </c>
      <c r="AB72" s="127">
        <v>0</v>
      </c>
      <c r="AC72" s="127">
        <v>0</v>
      </c>
      <c r="AD72" s="127">
        <v>0</v>
      </c>
      <c r="AE72" s="127">
        <v>0</v>
      </c>
      <c r="AF72" s="127">
        <v>0</v>
      </c>
      <c r="AG72" s="127">
        <v>0</v>
      </c>
      <c r="AH72" s="127">
        <v>0</v>
      </c>
      <c r="AI72" s="127">
        <v>0</v>
      </c>
      <c r="AJ72" s="127">
        <v>0</v>
      </c>
      <c r="AK72" s="127">
        <v>0</v>
      </c>
      <c r="AL72" s="127">
        <v>0</v>
      </c>
      <c r="AM72" s="127">
        <v>0</v>
      </c>
      <c r="AN72" s="127">
        <v>0</v>
      </c>
      <c r="AO72" s="127">
        <v>0</v>
      </c>
      <c r="AP72" s="127">
        <v>0</v>
      </c>
      <c r="AQ72" s="127">
        <v>0</v>
      </c>
      <c r="AR72" s="127">
        <v>0</v>
      </c>
      <c r="AS72" s="127">
        <v>0</v>
      </c>
      <c r="AT72" s="127">
        <v>0</v>
      </c>
      <c r="AU72" s="127">
        <v>0</v>
      </c>
      <c r="AV72" s="127">
        <v>0</v>
      </c>
      <c r="AW72" s="127">
        <v>0</v>
      </c>
      <c r="AX72" s="127">
        <v>0</v>
      </c>
      <c r="AY72" s="127">
        <v>0</v>
      </c>
    </row>
    <row r="73" spans="1:51" x14ac:dyDescent="0.2">
      <c r="A73" s="126"/>
      <c r="B73" s="143">
        <v>29</v>
      </c>
      <c r="C73" s="126" t="s">
        <v>293</v>
      </c>
      <c r="D73" s="127"/>
      <c r="E73" s="127"/>
      <c r="F73" s="127"/>
      <c r="G73" s="127">
        <v>0</v>
      </c>
      <c r="H73" s="127">
        <v>0</v>
      </c>
      <c r="I73" s="127">
        <v>0</v>
      </c>
      <c r="J73" s="127">
        <v>0</v>
      </c>
      <c r="K73" s="127">
        <v>0</v>
      </c>
      <c r="L73" s="127">
        <v>0</v>
      </c>
      <c r="M73" s="127">
        <v>0</v>
      </c>
      <c r="N73" s="127">
        <v>0</v>
      </c>
      <c r="O73" s="127">
        <v>0</v>
      </c>
      <c r="P73" s="127">
        <v>0</v>
      </c>
      <c r="Q73" s="127">
        <v>0</v>
      </c>
      <c r="R73" s="127">
        <v>0</v>
      </c>
      <c r="S73" s="127">
        <v>0</v>
      </c>
      <c r="T73" s="127">
        <v>0</v>
      </c>
      <c r="U73" s="127">
        <v>0</v>
      </c>
      <c r="V73" s="127">
        <v>0</v>
      </c>
      <c r="W73" s="127">
        <v>0</v>
      </c>
      <c r="X73" s="127">
        <v>0</v>
      </c>
      <c r="Y73" s="127">
        <v>0</v>
      </c>
      <c r="Z73" s="127">
        <v>0</v>
      </c>
      <c r="AA73" s="127">
        <v>0</v>
      </c>
      <c r="AB73" s="127">
        <v>0</v>
      </c>
      <c r="AC73" s="127">
        <v>0</v>
      </c>
      <c r="AD73" s="127">
        <v>0</v>
      </c>
      <c r="AE73" s="127">
        <v>0</v>
      </c>
      <c r="AF73" s="127">
        <v>0</v>
      </c>
      <c r="AG73" s="127">
        <v>0</v>
      </c>
      <c r="AH73" s="127">
        <v>0</v>
      </c>
      <c r="AI73" s="127">
        <v>0</v>
      </c>
      <c r="AJ73" s="127">
        <v>0</v>
      </c>
      <c r="AK73" s="127">
        <v>0</v>
      </c>
      <c r="AL73" s="127">
        <v>0</v>
      </c>
      <c r="AM73" s="127">
        <v>0</v>
      </c>
      <c r="AN73" s="127">
        <v>0</v>
      </c>
      <c r="AO73" s="127">
        <v>0</v>
      </c>
      <c r="AP73" s="127">
        <v>0</v>
      </c>
      <c r="AQ73" s="127">
        <v>0</v>
      </c>
      <c r="AR73" s="127">
        <v>0</v>
      </c>
      <c r="AS73" s="127">
        <v>0</v>
      </c>
      <c r="AT73" s="127">
        <v>0</v>
      </c>
      <c r="AU73" s="127">
        <v>0</v>
      </c>
      <c r="AV73" s="127">
        <v>0</v>
      </c>
      <c r="AW73" s="127">
        <v>0</v>
      </c>
      <c r="AX73" s="127">
        <v>0</v>
      </c>
      <c r="AY73" s="127">
        <v>0</v>
      </c>
    </row>
    <row r="74" spans="1:51" x14ac:dyDescent="0.2">
      <c r="A74" s="126"/>
      <c r="B74" s="143">
        <v>30</v>
      </c>
      <c r="C74" s="126" t="s">
        <v>293</v>
      </c>
      <c r="D74" s="127"/>
      <c r="E74" s="127"/>
      <c r="F74" s="127"/>
      <c r="G74" s="127">
        <v>0</v>
      </c>
      <c r="H74" s="127">
        <v>0</v>
      </c>
      <c r="I74" s="127">
        <v>0</v>
      </c>
      <c r="J74" s="127">
        <v>0</v>
      </c>
      <c r="K74" s="127">
        <v>0</v>
      </c>
      <c r="L74" s="127">
        <v>0</v>
      </c>
      <c r="M74" s="127">
        <v>0</v>
      </c>
      <c r="N74" s="127">
        <v>0</v>
      </c>
      <c r="O74" s="127">
        <v>0</v>
      </c>
      <c r="P74" s="127">
        <v>0</v>
      </c>
      <c r="Q74" s="127">
        <v>0</v>
      </c>
      <c r="R74" s="127">
        <v>0</v>
      </c>
      <c r="S74" s="127">
        <v>0</v>
      </c>
      <c r="T74" s="127">
        <v>0</v>
      </c>
      <c r="U74" s="127">
        <v>0</v>
      </c>
      <c r="V74" s="127">
        <v>0</v>
      </c>
      <c r="W74" s="127">
        <v>0</v>
      </c>
      <c r="X74" s="127">
        <v>0</v>
      </c>
      <c r="Y74" s="127">
        <v>0</v>
      </c>
      <c r="Z74" s="127">
        <v>0</v>
      </c>
      <c r="AA74" s="127">
        <v>0</v>
      </c>
      <c r="AB74" s="127">
        <v>0</v>
      </c>
      <c r="AC74" s="127">
        <v>0</v>
      </c>
      <c r="AD74" s="127">
        <v>0</v>
      </c>
      <c r="AE74" s="127">
        <v>0</v>
      </c>
      <c r="AF74" s="127">
        <v>0</v>
      </c>
      <c r="AG74" s="127">
        <v>0</v>
      </c>
      <c r="AH74" s="127">
        <v>0</v>
      </c>
      <c r="AI74" s="127">
        <v>0</v>
      </c>
      <c r="AJ74" s="127">
        <v>0</v>
      </c>
      <c r="AK74" s="127">
        <v>0</v>
      </c>
      <c r="AL74" s="127">
        <v>0</v>
      </c>
      <c r="AM74" s="127">
        <v>0</v>
      </c>
      <c r="AN74" s="127">
        <v>0</v>
      </c>
      <c r="AO74" s="127">
        <v>0</v>
      </c>
      <c r="AP74" s="127">
        <v>0</v>
      </c>
      <c r="AQ74" s="127">
        <v>0</v>
      </c>
      <c r="AR74" s="127">
        <v>0</v>
      </c>
      <c r="AS74" s="127">
        <v>0</v>
      </c>
      <c r="AT74" s="127">
        <v>0</v>
      </c>
      <c r="AU74" s="127">
        <v>0</v>
      </c>
      <c r="AV74" s="127">
        <v>0</v>
      </c>
      <c r="AW74" s="127">
        <v>0</v>
      </c>
      <c r="AX74" s="127">
        <v>0</v>
      </c>
      <c r="AY74" s="127">
        <v>0</v>
      </c>
    </row>
    <row r="75" spans="1:51" x14ac:dyDescent="0.2">
      <c r="A75" s="126"/>
      <c r="B75" s="143">
        <v>31</v>
      </c>
      <c r="C75" s="126" t="s">
        <v>293</v>
      </c>
      <c r="D75" s="127"/>
      <c r="E75" s="127"/>
      <c r="F75" s="127"/>
      <c r="G75" s="127">
        <v>0</v>
      </c>
      <c r="H75" s="127">
        <v>0</v>
      </c>
      <c r="I75" s="127">
        <v>0</v>
      </c>
      <c r="J75" s="127">
        <v>0</v>
      </c>
      <c r="K75" s="127">
        <v>0</v>
      </c>
      <c r="L75" s="127">
        <v>0</v>
      </c>
      <c r="M75" s="127">
        <v>0</v>
      </c>
      <c r="N75" s="127">
        <v>0</v>
      </c>
      <c r="O75" s="127">
        <v>0</v>
      </c>
      <c r="P75" s="127">
        <v>0</v>
      </c>
      <c r="Q75" s="127">
        <v>0</v>
      </c>
      <c r="R75" s="127">
        <v>0</v>
      </c>
      <c r="S75" s="127">
        <v>0</v>
      </c>
      <c r="T75" s="127">
        <v>0</v>
      </c>
      <c r="U75" s="127">
        <v>0</v>
      </c>
      <c r="V75" s="127">
        <v>0</v>
      </c>
      <c r="W75" s="127">
        <v>0</v>
      </c>
      <c r="X75" s="127">
        <v>0</v>
      </c>
      <c r="Y75" s="127">
        <v>0</v>
      </c>
      <c r="Z75" s="127">
        <v>0</v>
      </c>
      <c r="AA75" s="127">
        <v>0</v>
      </c>
      <c r="AB75" s="127">
        <v>0</v>
      </c>
      <c r="AC75" s="127">
        <v>0</v>
      </c>
      <c r="AD75" s="127">
        <v>0</v>
      </c>
      <c r="AE75" s="127">
        <v>0</v>
      </c>
      <c r="AF75" s="127">
        <v>0</v>
      </c>
      <c r="AG75" s="127">
        <v>0</v>
      </c>
      <c r="AH75" s="127">
        <v>0</v>
      </c>
      <c r="AI75" s="127">
        <v>0</v>
      </c>
      <c r="AJ75" s="127">
        <v>0</v>
      </c>
      <c r="AK75" s="127">
        <v>0</v>
      </c>
      <c r="AL75" s="127">
        <v>0</v>
      </c>
      <c r="AM75" s="127">
        <v>0</v>
      </c>
      <c r="AN75" s="127">
        <v>0</v>
      </c>
      <c r="AO75" s="127">
        <v>0</v>
      </c>
      <c r="AP75" s="127">
        <v>0</v>
      </c>
      <c r="AQ75" s="127">
        <v>0</v>
      </c>
      <c r="AR75" s="127">
        <v>0</v>
      </c>
      <c r="AS75" s="127">
        <v>0</v>
      </c>
      <c r="AT75" s="127">
        <v>0</v>
      </c>
      <c r="AU75" s="127">
        <v>0</v>
      </c>
      <c r="AV75" s="127">
        <v>0</v>
      </c>
      <c r="AW75" s="127">
        <v>0</v>
      </c>
      <c r="AX75" s="127">
        <v>0</v>
      </c>
      <c r="AY75" s="127">
        <v>0</v>
      </c>
    </row>
    <row r="76" spans="1:51" x14ac:dyDescent="0.2">
      <c r="A76" s="126"/>
      <c r="B76" s="143">
        <v>32</v>
      </c>
      <c r="C76" s="126" t="s">
        <v>293</v>
      </c>
      <c r="D76" s="127"/>
      <c r="E76" s="127"/>
      <c r="F76" s="127"/>
      <c r="G76" s="127">
        <v>0</v>
      </c>
      <c r="H76" s="127">
        <v>0</v>
      </c>
      <c r="I76" s="127">
        <v>0</v>
      </c>
      <c r="J76" s="127">
        <v>0</v>
      </c>
      <c r="K76" s="127">
        <v>0</v>
      </c>
      <c r="L76" s="127">
        <v>0</v>
      </c>
      <c r="M76" s="127">
        <v>0</v>
      </c>
      <c r="N76" s="127">
        <v>0</v>
      </c>
      <c r="O76" s="127">
        <v>0</v>
      </c>
      <c r="P76" s="127">
        <v>0</v>
      </c>
      <c r="Q76" s="127">
        <v>0</v>
      </c>
      <c r="R76" s="127">
        <v>0</v>
      </c>
      <c r="S76" s="127">
        <v>0</v>
      </c>
      <c r="T76" s="127">
        <v>0</v>
      </c>
      <c r="U76" s="127">
        <v>0</v>
      </c>
      <c r="V76" s="127">
        <v>0</v>
      </c>
      <c r="W76" s="127">
        <v>0</v>
      </c>
      <c r="X76" s="127">
        <v>0</v>
      </c>
      <c r="Y76" s="127">
        <v>0</v>
      </c>
      <c r="Z76" s="127">
        <v>0</v>
      </c>
      <c r="AA76" s="127">
        <v>0</v>
      </c>
      <c r="AB76" s="127">
        <v>0</v>
      </c>
      <c r="AC76" s="127">
        <v>0</v>
      </c>
      <c r="AD76" s="127">
        <v>0</v>
      </c>
      <c r="AE76" s="127">
        <v>0</v>
      </c>
      <c r="AF76" s="127">
        <v>0</v>
      </c>
      <c r="AG76" s="127">
        <v>0</v>
      </c>
      <c r="AH76" s="127">
        <v>0</v>
      </c>
      <c r="AI76" s="127">
        <v>0</v>
      </c>
      <c r="AJ76" s="127">
        <v>0</v>
      </c>
      <c r="AK76" s="127">
        <v>0</v>
      </c>
      <c r="AL76" s="127">
        <v>0</v>
      </c>
      <c r="AM76" s="127">
        <v>0</v>
      </c>
      <c r="AN76" s="127">
        <v>0</v>
      </c>
      <c r="AO76" s="127">
        <v>0</v>
      </c>
      <c r="AP76" s="127">
        <v>0</v>
      </c>
      <c r="AQ76" s="127">
        <v>0</v>
      </c>
      <c r="AR76" s="127">
        <v>0</v>
      </c>
      <c r="AS76" s="127">
        <v>0</v>
      </c>
      <c r="AT76" s="127">
        <v>0</v>
      </c>
      <c r="AU76" s="127">
        <v>0</v>
      </c>
      <c r="AV76" s="127">
        <v>0</v>
      </c>
      <c r="AW76" s="127">
        <v>0</v>
      </c>
      <c r="AX76" s="127">
        <v>0</v>
      </c>
      <c r="AY76" s="127">
        <v>0</v>
      </c>
    </row>
    <row r="77" spans="1:51" x14ac:dyDescent="0.2">
      <c r="A77" s="126"/>
      <c r="B77" s="143">
        <v>33</v>
      </c>
      <c r="C77" s="126" t="s">
        <v>293</v>
      </c>
      <c r="D77" s="127"/>
      <c r="E77" s="127"/>
      <c r="F77" s="127"/>
      <c r="G77" s="127">
        <v>0</v>
      </c>
      <c r="H77" s="127">
        <v>0</v>
      </c>
      <c r="I77" s="127">
        <v>0</v>
      </c>
      <c r="J77" s="127">
        <v>0</v>
      </c>
      <c r="K77" s="127">
        <v>0</v>
      </c>
      <c r="L77" s="127">
        <v>0</v>
      </c>
      <c r="M77" s="127">
        <v>0</v>
      </c>
      <c r="N77" s="127">
        <v>0</v>
      </c>
      <c r="O77" s="127">
        <v>0</v>
      </c>
      <c r="P77" s="127">
        <v>0</v>
      </c>
      <c r="Q77" s="127">
        <v>0</v>
      </c>
      <c r="R77" s="127">
        <v>0</v>
      </c>
      <c r="S77" s="127">
        <v>0</v>
      </c>
      <c r="T77" s="127">
        <v>0</v>
      </c>
      <c r="U77" s="127">
        <v>0</v>
      </c>
      <c r="V77" s="127">
        <v>0</v>
      </c>
      <c r="W77" s="127">
        <v>0</v>
      </c>
      <c r="X77" s="127">
        <v>0</v>
      </c>
      <c r="Y77" s="127">
        <v>0</v>
      </c>
      <c r="Z77" s="127">
        <v>0</v>
      </c>
      <c r="AA77" s="127">
        <v>0</v>
      </c>
      <c r="AB77" s="127">
        <v>0</v>
      </c>
      <c r="AC77" s="127">
        <v>0</v>
      </c>
      <c r="AD77" s="127">
        <v>0</v>
      </c>
      <c r="AE77" s="127">
        <v>0</v>
      </c>
      <c r="AF77" s="127">
        <v>0</v>
      </c>
      <c r="AG77" s="127">
        <v>0</v>
      </c>
      <c r="AH77" s="127">
        <v>0</v>
      </c>
      <c r="AI77" s="127">
        <v>0</v>
      </c>
      <c r="AJ77" s="127">
        <v>0</v>
      </c>
      <c r="AK77" s="127">
        <v>0</v>
      </c>
      <c r="AL77" s="127">
        <v>0</v>
      </c>
      <c r="AM77" s="127">
        <v>0</v>
      </c>
      <c r="AN77" s="127">
        <v>0</v>
      </c>
      <c r="AO77" s="127">
        <v>0</v>
      </c>
      <c r="AP77" s="127">
        <v>0</v>
      </c>
      <c r="AQ77" s="127">
        <v>0</v>
      </c>
      <c r="AR77" s="127">
        <v>0</v>
      </c>
      <c r="AS77" s="127">
        <v>0</v>
      </c>
      <c r="AT77" s="127">
        <v>0</v>
      </c>
      <c r="AU77" s="127">
        <v>0</v>
      </c>
      <c r="AV77" s="127">
        <v>0</v>
      </c>
      <c r="AW77" s="127">
        <v>0</v>
      </c>
      <c r="AX77" s="127">
        <v>0</v>
      </c>
      <c r="AY77" s="127">
        <v>0</v>
      </c>
    </row>
    <row r="78" spans="1:51" x14ac:dyDescent="0.2">
      <c r="A78" s="126"/>
      <c r="B78" s="143">
        <v>34</v>
      </c>
      <c r="C78" s="126" t="s">
        <v>293</v>
      </c>
      <c r="D78" s="127"/>
      <c r="E78" s="127"/>
      <c r="F78" s="127"/>
      <c r="G78" s="127">
        <v>0</v>
      </c>
      <c r="H78" s="127">
        <v>0</v>
      </c>
      <c r="I78" s="127">
        <v>0</v>
      </c>
      <c r="J78" s="127">
        <v>0</v>
      </c>
      <c r="K78" s="127">
        <v>0</v>
      </c>
      <c r="L78" s="127">
        <v>0</v>
      </c>
      <c r="M78" s="127">
        <v>0</v>
      </c>
      <c r="N78" s="127">
        <v>0</v>
      </c>
      <c r="O78" s="127">
        <v>0</v>
      </c>
      <c r="P78" s="127">
        <v>0</v>
      </c>
      <c r="Q78" s="127">
        <v>0</v>
      </c>
      <c r="R78" s="127">
        <v>0</v>
      </c>
      <c r="S78" s="127">
        <v>0</v>
      </c>
      <c r="T78" s="127">
        <v>0</v>
      </c>
      <c r="U78" s="127">
        <v>0</v>
      </c>
      <c r="V78" s="127">
        <v>0</v>
      </c>
      <c r="W78" s="127">
        <v>0</v>
      </c>
      <c r="X78" s="127">
        <v>0</v>
      </c>
      <c r="Y78" s="127">
        <v>0</v>
      </c>
      <c r="Z78" s="127">
        <v>0</v>
      </c>
      <c r="AA78" s="127">
        <v>0</v>
      </c>
      <c r="AB78" s="127">
        <v>0</v>
      </c>
      <c r="AC78" s="127">
        <v>0</v>
      </c>
      <c r="AD78" s="127">
        <v>0</v>
      </c>
      <c r="AE78" s="127">
        <v>0</v>
      </c>
      <c r="AF78" s="127">
        <v>0</v>
      </c>
      <c r="AG78" s="127">
        <v>0</v>
      </c>
      <c r="AH78" s="127">
        <v>0</v>
      </c>
      <c r="AI78" s="127">
        <v>0</v>
      </c>
      <c r="AJ78" s="127">
        <v>0</v>
      </c>
      <c r="AK78" s="127">
        <v>0</v>
      </c>
      <c r="AL78" s="127">
        <v>0</v>
      </c>
      <c r="AM78" s="127">
        <v>0</v>
      </c>
      <c r="AN78" s="127">
        <v>0</v>
      </c>
      <c r="AO78" s="127">
        <v>0</v>
      </c>
      <c r="AP78" s="127">
        <v>0</v>
      </c>
      <c r="AQ78" s="127">
        <v>0</v>
      </c>
      <c r="AR78" s="127">
        <v>0</v>
      </c>
      <c r="AS78" s="127">
        <v>0</v>
      </c>
      <c r="AT78" s="127">
        <v>0</v>
      </c>
      <c r="AU78" s="127">
        <v>0</v>
      </c>
      <c r="AV78" s="127">
        <v>0</v>
      </c>
      <c r="AW78" s="127">
        <v>0</v>
      </c>
      <c r="AX78" s="127">
        <v>0</v>
      </c>
      <c r="AY78" s="127">
        <v>0</v>
      </c>
    </row>
    <row r="79" spans="1:51" x14ac:dyDescent="0.2">
      <c r="A79" s="126"/>
      <c r="B79" s="143">
        <v>35</v>
      </c>
      <c r="C79" s="126" t="s">
        <v>293</v>
      </c>
      <c r="D79" s="127"/>
      <c r="E79" s="127"/>
      <c r="F79" s="127"/>
      <c r="G79" s="127">
        <v>0</v>
      </c>
      <c r="H79" s="127">
        <v>0</v>
      </c>
      <c r="I79" s="127">
        <v>0</v>
      </c>
      <c r="J79" s="127">
        <v>0</v>
      </c>
      <c r="K79" s="127">
        <v>0</v>
      </c>
      <c r="L79" s="127">
        <v>0</v>
      </c>
      <c r="M79" s="127">
        <v>0</v>
      </c>
      <c r="N79" s="127">
        <v>0</v>
      </c>
      <c r="O79" s="127">
        <v>0</v>
      </c>
      <c r="P79" s="127">
        <v>0</v>
      </c>
      <c r="Q79" s="127">
        <v>0</v>
      </c>
      <c r="R79" s="127">
        <v>0</v>
      </c>
      <c r="S79" s="127">
        <v>0</v>
      </c>
      <c r="T79" s="127">
        <v>0</v>
      </c>
      <c r="U79" s="127">
        <v>0</v>
      </c>
      <c r="V79" s="127">
        <v>0</v>
      </c>
      <c r="W79" s="127">
        <v>0</v>
      </c>
      <c r="X79" s="127">
        <v>0</v>
      </c>
      <c r="Y79" s="127">
        <v>0</v>
      </c>
      <c r="Z79" s="127">
        <v>0</v>
      </c>
      <c r="AA79" s="127">
        <v>0</v>
      </c>
      <c r="AB79" s="127">
        <v>0</v>
      </c>
      <c r="AC79" s="127">
        <v>0</v>
      </c>
      <c r="AD79" s="127">
        <v>0</v>
      </c>
      <c r="AE79" s="127">
        <v>0</v>
      </c>
      <c r="AF79" s="127">
        <v>0</v>
      </c>
      <c r="AG79" s="127">
        <v>0</v>
      </c>
      <c r="AH79" s="127">
        <v>0</v>
      </c>
      <c r="AI79" s="127">
        <v>0</v>
      </c>
      <c r="AJ79" s="127">
        <v>0</v>
      </c>
      <c r="AK79" s="127">
        <v>0</v>
      </c>
      <c r="AL79" s="127">
        <v>0</v>
      </c>
      <c r="AM79" s="127">
        <v>0</v>
      </c>
      <c r="AN79" s="127">
        <v>0</v>
      </c>
      <c r="AO79" s="127">
        <v>0</v>
      </c>
      <c r="AP79" s="127">
        <v>0</v>
      </c>
      <c r="AQ79" s="127">
        <v>0</v>
      </c>
      <c r="AR79" s="127">
        <v>0</v>
      </c>
      <c r="AS79" s="127">
        <v>0</v>
      </c>
      <c r="AT79" s="127">
        <v>0</v>
      </c>
      <c r="AU79" s="127">
        <v>0</v>
      </c>
      <c r="AV79" s="127">
        <v>0</v>
      </c>
      <c r="AW79" s="127">
        <v>0</v>
      </c>
      <c r="AX79" s="127">
        <v>0</v>
      </c>
      <c r="AY79" s="127">
        <v>0</v>
      </c>
    </row>
    <row r="80" spans="1:51" x14ac:dyDescent="0.2">
      <c r="A80" s="126"/>
      <c r="B80" s="143">
        <v>36</v>
      </c>
      <c r="C80" s="126" t="s">
        <v>293</v>
      </c>
      <c r="D80" s="127"/>
      <c r="E80" s="127"/>
      <c r="F80" s="127"/>
      <c r="G80" s="127">
        <v>0</v>
      </c>
      <c r="H80" s="127">
        <v>0</v>
      </c>
      <c r="I80" s="127">
        <v>0</v>
      </c>
      <c r="J80" s="127">
        <v>0</v>
      </c>
      <c r="K80" s="127">
        <v>0</v>
      </c>
      <c r="L80" s="127">
        <v>0</v>
      </c>
      <c r="M80" s="127">
        <v>0</v>
      </c>
      <c r="N80" s="127">
        <v>0</v>
      </c>
      <c r="O80" s="127">
        <v>0</v>
      </c>
      <c r="P80" s="127">
        <v>0</v>
      </c>
      <c r="Q80" s="127">
        <v>0</v>
      </c>
      <c r="R80" s="127">
        <v>0</v>
      </c>
      <c r="S80" s="127">
        <v>0</v>
      </c>
      <c r="T80" s="127">
        <v>0</v>
      </c>
      <c r="U80" s="127">
        <v>0</v>
      </c>
      <c r="V80" s="127">
        <v>0</v>
      </c>
      <c r="W80" s="127">
        <v>0</v>
      </c>
      <c r="X80" s="127">
        <v>0</v>
      </c>
      <c r="Y80" s="127">
        <v>0</v>
      </c>
      <c r="Z80" s="127">
        <v>0</v>
      </c>
      <c r="AA80" s="127">
        <v>0</v>
      </c>
      <c r="AB80" s="127">
        <v>0</v>
      </c>
      <c r="AC80" s="127">
        <v>0</v>
      </c>
      <c r="AD80" s="127">
        <v>0</v>
      </c>
      <c r="AE80" s="127">
        <v>0</v>
      </c>
      <c r="AF80" s="127">
        <v>0</v>
      </c>
      <c r="AG80" s="127">
        <v>0</v>
      </c>
      <c r="AH80" s="127">
        <v>0</v>
      </c>
      <c r="AI80" s="127">
        <v>0</v>
      </c>
      <c r="AJ80" s="127">
        <v>0</v>
      </c>
      <c r="AK80" s="127">
        <v>0</v>
      </c>
      <c r="AL80" s="127">
        <v>0</v>
      </c>
      <c r="AM80" s="127">
        <v>0</v>
      </c>
      <c r="AN80" s="127">
        <v>0</v>
      </c>
      <c r="AO80" s="127">
        <v>0</v>
      </c>
      <c r="AP80" s="127">
        <v>0</v>
      </c>
      <c r="AQ80" s="127">
        <v>0</v>
      </c>
      <c r="AR80" s="127">
        <v>0</v>
      </c>
      <c r="AS80" s="127">
        <v>0</v>
      </c>
      <c r="AT80" s="127">
        <v>0</v>
      </c>
      <c r="AU80" s="127">
        <v>0</v>
      </c>
      <c r="AV80" s="127">
        <v>0</v>
      </c>
      <c r="AW80" s="127">
        <v>0</v>
      </c>
      <c r="AX80" s="127">
        <v>0</v>
      </c>
      <c r="AY80" s="127">
        <v>0</v>
      </c>
    </row>
    <row r="81" spans="1:52" x14ac:dyDescent="0.2">
      <c r="A81" s="126"/>
      <c r="B81" s="146">
        <v>37</v>
      </c>
      <c r="C81" s="126" t="s">
        <v>293</v>
      </c>
      <c r="D81" s="127"/>
      <c r="E81" s="127"/>
      <c r="F81" s="127">
        <v>0</v>
      </c>
      <c r="G81" s="127">
        <v>0</v>
      </c>
      <c r="H81" s="127">
        <v>0</v>
      </c>
      <c r="I81" s="127">
        <v>0</v>
      </c>
      <c r="J81" s="127">
        <v>0</v>
      </c>
      <c r="K81" s="127">
        <v>0</v>
      </c>
      <c r="L81" s="127">
        <v>0</v>
      </c>
      <c r="M81" s="127">
        <v>0</v>
      </c>
      <c r="N81" s="127">
        <v>0</v>
      </c>
      <c r="O81" s="127">
        <v>0</v>
      </c>
      <c r="P81" s="127">
        <v>0</v>
      </c>
      <c r="Q81" s="127">
        <v>0</v>
      </c>
      <c r="R81" s="127">
        <v>0</v>
      </c>
      <c r="S81" s="127">
        <v>0</v>
      </c>
      <c r="T81" s="127">
        <v>0</v>
      </c>
      <c r="U81" s="127">
        <v>0</v>
      </c>
      <c r="V81" s="127">
        <v>0</v>
      </c>
      <c r="W81" s="127">
        <v>0</v>
      </c>
      <c r="X81" s="127">
        <v>0</v>
      </c>
      <c r="Y81" s="127">
        <v>0</v>
      </c>
      <c r="Z81" s="127">
        <v>0</v>
      </c>
      <c r="AA81" s="127">
        <v>0</v>
      </c>
      <c r="AB81" s="127">
        <v>0</v>
      </c>
      <c r="AC81" s="127">
        <v>0</v>
      </c>
      <c r="AD81" s="127">
        <v>0</v>
      </c>
      <c r="AE81" s="127">
        <v>0</v>
      </c>
      <c r="AF81" s="127">
        <v>0</v>
      </c>
      <c r="AG81" s="127">
        <v>0</v>
      </c>
      <c r="AH81" s="127">
        <v>0</v>
      </c>
      <c r="AI81" s="127">
        <v>0</v>
      </c>
      <c r="AJ81" s="127">
        <v>0</v>
      </c>
      <c r="AK81" s="127">
        <v>0</v>
      </c>
      <c r="AL81" s="127">
        <v>0</v>
      </c>
      <c r="AM81" s="127">
        <v>0</v>
      </c>
      <c r="AN81" s="127">
        <v>0</v>
      </c>
      <c r="AO81" s="127">
        <v>0</v>
      </c>
      <c r="AP81" s="127">
        <v>0</v>
      </c>
      <c r="AQ81" s="127">
        <v>0</v>
      </c>
      <c r="AR81" s="127">
        <v>0</v>
      </c>
      <c r="AS81" s="127">
        <v>0</v>
      </c>
      <c r="AT81" s="127">
        <v>0</v>
      </c>
      <c r="AU81" s="127">
        <v>0</v>
      </c>
      <c r="AV81" s="127">
        <v>0</v>
      </c>
      <c r="AW81" s="127">
        <v>0</v>
      </c>
      <c r="AX81" s="127">
        <v>0</v>
      </c>
      <c r="AY81" s="127">
        <v>0</v>
      </c>
    </row>
    <row r="82" spans="1:52" x14ac:dyDescent="0.2">
      <c r="A82" s="126"/>
      <c r="B82" s="146">
        <v>38</v>
      </c>
      <c r="C82" s="126" t="s">
        <v>293</v>
      </c>
      <c r="D82" s="127"/>
      <c r="E82" s="127"/>
      <c r="F82" s="127">
        <v>0</v>
      </c>
      <c r="G82" s="127">
        <v>0</v>
      </c>
      <c r="H82" s="127">
        <v>0</v>
      </c>
      <c r="I82" s="127">
        <v>0</v>
      </c>
      <c r="J82" s="127">
        <v>0</v>
      </c>
      <c r="K82" s="127">
        <v>0</v>
      </c>
      <c r="L82" s="127">
        <v>0</v>
      </c>
      <c r="M82" s="127">
        <v>0</v>
      </c>
      <c r="N82" s="127">
        <v>0</v>
      </c>
      <c r="O82" s="127">
        <v>0</v>
      </c>
      <c r="P82" s="127">
        <v>0</v>
      </c>
      <c r="Q82" s="127">
        <v>0</v>
      </c>
      <c r="R82" s="127">
        <v>0</v>
      </c>
      <c r="S82" s="127">
        <v>0</v>
      </c>
      <c r="T82" s="127">
        <v>0</v>
      </c>
      <c r="U82" s="127">
        <v>0</v>
      </c>
      <c r="V82" s="127">
        <v>0</v>
      </c>
      <c r="W82" s="127">
        <v>0</v>
      </c>
      <c r="X82" s="127">
        <v>0</v>
      </c>
      <c r="Y82" s="127">
        <v>0</v>
      </c>
      <c r="Z82" s="127">
        <v>0</v>
      </c>
      <c r="AA82" s="127">
        <v>0</v>
      </c>
      <c r="AB82" s="127">
        <v>0</v>
      </c>
      <c r="AC82" s="127">
        <v>0</v>
      </c>
      <c r="AD82" s="127">
        <v>0</v>
      </c>
      <c r="AE82" s="127">
        <v>0</v>
      </c>
      <c r="AF82" s="127">
        <v>0</v>
      </c>
      <c r="AG82" s="127">
        <v>0</v>
      </c>
      <c r="AH82" s="127">
        <v>0</v>
      </c>
      <c r="AI82" s="127">
        <v>0</v>
      </c>
      <c r="AJ82" s="127">
        <v>0</v>
      </c>
      <c r="AK82" s="127">
        <v>0</v>
      </c>
      <c r="AL82" s="127">
        <v>0</v>
      </c>
      <c r="AM82" s="127">
        <v>0</v>
      </c>
      <c r="AN82" s="127">
        <v>0</v>
      </c>
      <c r="AO82" s="127">
        <v>0</v>
      </c>
      <c r="AP82" s="127">
        <v>0</v>
      </c>
      <c r="AQ82" s="127">
        <v>0</v>
      </c>
      <c r="AR82" s="127">
        <v>0</v>
      </c>
      <c r="AS82" s="127">
        <v>0</v>
      </c>
      <c r="AT82" s="127">
        <v>0</v>
      </c>
      <c r="AU82" s="127">
        <v>0</v>
      </c>
      <c r="AV82" s="127">
        <v>0</v>
      </c>
      <c r="AW82" s="127">
        <v>0</v>
      </c>
      <c r="AX82" s="127">
        <v>0</v>
      </c>
      <c r="AY82" s="127">
        <v>0</v>
      </c>
    </row>
    <row r="83" spans="1:52" x14ac:dyDescent="0.2">
      <c r="A83" s="126"/>
      <c r="B83" s="146">
        <v>39</v>
      </c>
      <c r="C83" s="126" t="s">
        <v>293</v>
      </c>
      <c r="D83" s="127"/>
      <c r="E83" s="127"/>
      <c r="F83" s="127">
        <v>0</v>
      </c>
      <c r="G83" s="127">
        <v>0</v>
      </c>
      <c r="H83" s="127">
        <v>0</v>
      </c>
      <c r="I83" s="127">
        <v>0</v>
      </c>
      <c r="J83" s="127">
        <v>0</v>
      </c>
      <c r="K83" s="127">
        <v>0</v>
      </c>
      <c r="L83" s="127">
        <v>0</v>
      </c>
      <c r="M83" s="127">
        <v>0</v>
      </c>
      <c r="N83" s="127">
        <v>0</v>
      </c>
      <c r="O83" s="127">
        <v>0</v>
      </c>
      <c r="P83" s="127">
        <v>0</v>
      </c>
      <c r="Q83" s="127">
        <v>0</v>
      </c>
      <c r="R83" s="127">
        <v>0</v>
      </c>
      <c r="S83" s="127">
        <v>0</v>
      </c>
      <c r="T83" s="127">
        <v>0</v>
      </c>
      <c r="U83" s="127">
        <v>0</v>
      </c>
      <c r="V83" s="127">
        <v>0</v>
      </c>
      <c r="W83" s="127">
        <v>0</v>
      </c>
      <c r="X83" s="127">
        <v>0</v>
      </c>
      <c r="Y83" s="127">
        <v>0</v>
      </c>
      <c r="Z83" s="127">
        <v>0</v>
      </c>
      <c r="AA83" s="127">
        <v>0</v>
      </c>
      <c r="AB83" s="127">
        <v>0</v>
      </c>
      <c r="AC83" s="127">
        <v>0</v>
      </c>
      <c r="AD83" s="127">
        <v>0</v>
      </c>
      <c r="AE83" s="127">
        <v>0</v>
      </c>
      <c r="AF83" s="127">
        <v>0</v>
      </c>
      <c r="AG83" s="127">
        <v>0</v>
      </c>
      <c r="AH83" s="127">
        <v>0</v>
      </c>
      <c r="AI83" s="127">
        <v>0</v>
      </c>
      <c r="AJ83" s="127">
        <v>0</v>
      </c>
      <c r="AK83" s="127">
        <v>0</v>
      </c>
      <c r="AL83" s="127">
        <v>0</v>
      </c>
      <c r="AM83" s="127">
        <v>0</v>
      </c>
      <c r="AN83" s="127">
        <v>0</v>
      </c>
      <c r="AO83" s="127">
        <v>0</v>
      </c>
      <c r="AP83" s="127">
        <v>0</v>
      </c>
      <c r="AQ83" s="127">
        <v>0</v>
      </c>
      <c r="AR83" s="127">
        <v>0</v>
      </c>
      <c r="AS83" s="127">
        <v>0</v>
      </c>
      <c r="AT83" s="127">
        <v>0</v>
      </c>
      <c r="AU83" s="127">
        <v>0</v>
      </c>
      <c r="AV83" s="127">
        <v>0</v>
      </c>
      <c r="AW83" s="127">
        <v>0</v>
      </c>
      <c r="AX83" s="127">
        <v>0</v>
      </c>
      <c r="AY83" s="127">
        <v>0</v>
      </c>
    </row>
    <row r="84" spans="1:52" x14ac:dyDescent="0.2">
      <c r="A84" s="126"/>
      <c r="B84" s="146">
        <v>40</v>
      </c>
      <c r="C84" s="126" t="s">
        <v>293</v>
      </c>
      <c r="D84" s="127"/>
      <c r="E84" s="127"/>
      <c r="F84" s="127">
        <v>0</v>
      </c>
      <c r="G84" s="127">
        <v>0</v>
      </c>
      <c r="H84" s="127">
        <v>0</v>
      </c>
      <c r="I84" s="127">
        <v>0</v>
      </c>
      <c r="J84" s="127">
        <v>0</v>
      </c>
      <c r="K84" s="127">
        <v>0</v>
      </c>
      <c r="L84" s="127">
        <v>0</v>
      </c>
      <c r="M84" s="127">
        <v>0</v>
      </c>
      <c r="N84" s="127">
        <v>0</v>
      </c>
      <c r="O84" s="127">
        <v>0</v>
      </c>
      <c r="P84" s="127">
        <v>0</v>
      </c>
      <c r="Q84" s="127">
        <v>0</v>
      </c>
      <c r="R84" s="127">
        <v>0</v>
      </c>
      <c r="S84" s="127">
        <v>0</v>
      </c>
      <c r="T84" s="127">
        <v>0</v>
      </c>
      <c r="U84" s="127">
        <v>0</v>
      </c>
      <c r="V84" s="127">
        <v>0</v>
      </c>
      <c r="W84" s="127">
        <v>0</v>
      </c>
      <c r="X84" s="127">
        <v>0</v>
      </c>
      <c r="Y84" s="127">
        <v>0</v>
      </c>
      <c r="Z84" s="127">
        <v>0</v>
      </c>
      <c r="AA84" s="127">
        <v>0</v>
      </c>
      <c r="AB84" s="127">
        <v>0</v>
      </c>
      <c r="AC84" s="127">
        <v>0</v>
      </c>
      <c r="AD84" s="127">
        <v>0</v>
      </c>
      <c r="AE84" s="127">
        <v>0</v>
      </c>
      <c r="AF84" s="127">
        <v>0</v>
      </c>
      <c r="AG84" s="127">
        <v>0</v>
      </c>
      <c r="AH84" s="127">
        <v>0</v>
      </c>
      <c r="AI84" s="127">
        <v>0</v>
      </c>
      <c r="AJ84" s="127">
        <v>0</v>
      </c>
      <c r="AK84" s="127">
        <v>0</v>
      </c>
      <c r="AL84" s="127">
        <v>0</v>
      </c>
      <c r="AM84" s="127">
        <v>0</v>
      </c>
      <c r="AN84" s="127">
        <v>0</v>
      </c>
      <c r="AO84" s="127">
        <v>0</v>
      </c>
      <c r="AP84" s="127">
        <v>0</v>
      </c>
      <c r="AQ84" s="127">
        <v>0</v>
      </c>
      <c r="AR84" s="127">
        <v>0</v>
      </c>
      <c r="AS84" s="127">
        <v>0</v>
      </c>
      <c r="AT84" s="127">
        <v>0</v>
      </c>
      <c r="AU84" s="127">
        <v>0</v>
      </c>
      <c r="AV84" s="127">
        <v>0</v>
      </c>
      <c r="AW84" s="127">
        <v>0</v>
      </c>
      <c r="AX84" s="127">
        <v>0</v>
      </c>
      <c r="AY84" s="127">
        <v>0</v>
      </c>
    </row>
    <row r="85" spans="1:52" x14ac:dyDescent="0.2">
      <c r="A85" s="126"/>
      <c r="B85" s="146">
        <v>41</v>
      </c>
      <c r="C85" s="126" t="s">
        <v>293</v>
      </c>
      <c r="D85" s="127"/>
      <c r="E85" s="127"/>
      <c r="F85" s="127">
        <v>0</v>
      </c>
      <c r="G85" s="127">
        <v>0</v>
      </c>
      <c r="H85" s="127">
        <v>0</v>
      </c>
      <c r="I85" s="127">
        <v>0</v>
      </c>
      <c r="J85" s="127">
        <v>0</v>
      </c>
      <c r="K85" s="127">
        <v>0</v>
      </c>
      <c r="L85" s="127">
        <v>0</v>
      </c>
      <c r="M85" s="127">
        <v>0</v>
      </c>
      <c r="N85" s="127">
        <v>0</v>
      </c>
      <c r="O85" s="127">
        <v>0</v>
      </c>
      <c r="P85" s="127">
        <v>0</v>
      </c>
      <c r="Q85" s="127">
        <v>0</v>
      </c>
      <c r="R85" s="127">
        <v>0</v>
      </c>
      <c r="S85" s="127">
        <v>0</v>
      </c>
      <c r="T85" s="127">
        <v>0</v>
      </c>
      <c r="U85" s="127">
        <v>0</v>
      </c>
      <c r="V85" s="127">
        <v>0</v>
      </c>
      <c r="W85" s="127">
        <v>0</v>
      </c>
      <c r="X85" s="127">
        <v>0</v>
      </c>
      <c r="Y85" s="127">
        <v>0</v>
      </c>
      <c r="Z85" s="127">
        <v>0</v>
      </c>
      <c r="AA85" s="127">
        <v>0</v>
      </c>
      <c r="AB85" s="127">
        <v>0</v>
      </c>
      <c r="AC85" s="127">
        <v>0</v>
      </c>
      <c r="AD85" s="127">
        <v>0</v>
      </c>
      <c r="AE85" s="127">
        <v>0</v>
      </c>
      <c r="AF85" s="127">
        <v>0</v>
      </c>
      <c r="AG85" s="127">
        <v>0</v>
      </c>
      <c r="AH85" s="127">
        <v>0</v>
      </c>
      <c r="AI85" s="127">
        <v>0</v>
      </c>
      <c r="AJ85" s="127">
        <v>0</v>
      </c>
      <c r="AK85" s="127">
        <v>0</v>
      </c>
      <c r="AL85" s="127">
        <v>0</v>
      </c>
      <c r="AM85" s="127">
        <v>0</v>
      </c>
      <c r="AN85" s="127">
        <v>0</v>
      </c>
      <c r="AO85" s="127">
        <v>0</v>
      </c>
      <c r="AP85" s="127">
        <v>0</v>
      </c>
      <c r="AQ85" s="127">
        <v>0</v>
      </c>
      <c r="AR85" s="127">
        <v>0</v>
      </c>
      <c r="AS85" s="127">
        <v>0</v>
      </c>
      <c r="AT85" s="127">
        <v>0</v>
      </c>
      <c r="AU85" s="127">
        <v>0</v>
      </c>
      <c r="AV85" s="127">
        <v>0</v>
      </c>
      <c r="AW85" s="127">
        <v>0</v>
      </c>
      <c r="AX85" s="127">
        <v>0</v>
      </c>
      <c r="AY85" s="127">
        <v>0</v>
      </c>
    </row>
    <row r="86" spans="1:52" x14ac:dyDescent="0.2">
      <c r="A86" s="126"/>
      <c r="B86" s="146">
        <v>42</v>
      </c>
      <c r="C86" s="126" t="s">
        <v>293</v>
      </c>
      <c r="D86" s="127"/>
      <c r="E86" s="127"/>
      <c r="F86" s="127">
        <v>0</v>
      </c>
      <c r="G86" s="127">
        <v>0</v>
      </c>
      <c r="H86" s="127">
        <v>0</v>
      </c>
      <c r="I86" s="127">
        <v>0</v>
      </c>
      <c r="J86" s="127">
        <v>0</v>
      </c>
      <c r="K86" s="127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  <c r="Q86" s="127">
        <v>0</v>
      </c>
      <c r="R86" s="127">
        <v>0</v>
      </c>
      <c r="S86" s="127">
        <v>0</v>
      </c>
      <c r="T86" s="127">
        <v>0</v>
      </c>
      <c r="U86" s="127">
        <v>0</v>
      </c>
      <c r="V86" s="127">
        <v>0</v>
      </c>
      <c r="W86" s="127">
        <v>0</v>
      </c>
      <c r="X86" s="127">
        <v>0</v>
      </c>
      <c r="Y86" s="127">
        <v>0</v>
      </c>
      <c r="Z86" s="127">
        <v>0</v>
      </c>
      <c r="AA86" s="127">
        <v>0</v>
      </c>
      <c r="AB86" s="127">
        <v>0</v>
      </c>
      <c r="AC86" s="127">
        <v>0</v>
      </c>
      <c r="AD86" s="127">
        <v>0</v>
      </c>
      <c r="AE86" s="127">
        <v>0</v>
      </c>
      <c r="AF86" s="127">
        <v>0</v>
      </c>
      <c r="AG86" s="127">
        <v>0</v>
      </c>
      <c r="AH86" s="127">
        <v>0</v>
      </c>
      <c r="AI86" s="127">
        <v>0</v>
      </c>
      <c r="AJ86" s="127">
        <v>0</v>
      </c>
      <c r="AK86" s="127">
        <v>0</v>
      </c>
      <c r="AL86" s="127">
        <v>0</v>
      </c>
      <c r="AM86" s="127">
        <v>0</v>
      </c>
      <c r="AN86" s="127">
        <v>0</v>
      </c>
      <c r="AO86" s="127">
        <v>0</v>
      </c>
      <c r="AP86" s="127">
        <v>0</v>
      </c>
      <c r="AQ86" s="127">
        <v>0</v>
      </c>
      <c r="AR86" s="127">
        <v>0</v>
      </c>
      <c r="AS86" s="127">
        <v>0</v>
      </c>
      <c r="AT86" s="127">
        <v>0</v>
      </c>
      <c r="AU86" s="127">
        <v>0</v>
      </c>
      <c r="AV86" s="127">
        <v>0</v>
      </c>
      <c r="AW86" s="127">
        <v>0</v>
      </c>
      <c r="AX86" s="127">
        <v>0</v>
      </c>
      <c r="AY86" s="127">
        <v>0</v>
      </c>
    </row>
    <row r="87" spans="1:52" x14ac:dyDescent="0.2">
      <c r="A87" s="126"/>
      <c r="B87" s="146">
        <v>43</v>
      </c>
      <c r="C87" s="126" t="s">
        <v>293</v>
      </c>
      <c r="D87" s="127"/>
      <c r="E87" s="127"/>
      <c r="F87" s="127">
        <v>0</v>
      </c>
      <c r="G87" s="127">
        <v>0</v>
      </c>
      <c r="H87" s="127">
        <v>0</v>
      </c>
      <c r="I87" s="127">
        <v>0</v>
      </c>
      <c r="J87" s="127">
        <v>0</v>
      </c>
      <c r="K87" s="127">
        <v>0</v>
      </c>
      <c r="L87" s="127">
        <v>0</v>
      </c>
      <c r="M87" s="127">
        <v>0</v>
      </c>
      <c r="N87" s="127">
        <v>0</v>
      </c>
      <c r="O87" s="127">
        <v>0</v>
      </c>
      <c r="P87" s="127">
        <v>0</v>
      </c>
      <c r="Q87" s="127">
        <v>0</v>
      </c>
      <c r="R87" s="127">
        <v>0</v>
      </c>
      <c r="S87" s="127">
        <v>0</v>
      </c>
      <c r="T87" s="127">
        <v>0</v>
      </c>
      <c r="U87" s="127">
        <v>0</v>
      </c>
      <c r="V87" s="127">
        <v>0</v>
      </c>
      <c r="W87" s="127">
        <v>0</v>
      </c>
      <c r="X87" s="127">
        <v>0</v>
      </c>
      <c r="Y87" s="127">
        <v>0</v>
      </c>
      <c r="Z87" s="127">
        <v>0</v>
      </c>
      <c r="AA87" s="127">
        <v>0</v>
      </c>
      <c r="AB87" s="127">
        <v>0</v>
      </c>
      <c r="AC87" s="127">
        <v>0</v>
      </c>
      <c r="AD87" s="127">
        <v>0</v>
      </c>
      <c r="AE87" s="127">
        <v>0</v>
      </c>
      <c r="AF87" s="127">
        <v>0</v>
      </c>
      <c r="AG87" s="127">
        <v>0</v>
      </c>
      <c r="AH87" s="127">
        <v>0</v>
      </c>
      <c r="AI87" s="127">
        <v>0</v>
      </c>
      <c r="AJ87" s="127">
        <v>0</v>
      </c>
      <c r="AK87" s="127">
        <v>0</v>
      </c>
      <c r="AL87" s="127">
        <v>0</v>
      </c>
      <c r="AM87" s="127">
        <v>0</v>
      </c>
      <c r="AN87" s="127">
        <v>0</v>
      </c>
      <c r="AO87" s="127">
        <v>0</v>
      </c>
      <c r="AP87" s="127">
        <v>0</v>
      </c>
      <c r="AQ87" s="127">
        <v>0</v>
      </c>
      <c r="AR87" s="127">
        <v>0</v>
      </c>
      <c r="AS87" s="127">
        <v>0</v>
      </c>
      <c r="AT87" s="127">
        <v>0</v>
      </c>
      <c r="AU87" s="127">
        <v>0</v>
      </c>
      <c r="AV87" s="127">
        <v>0</v>
      </c>
      <c r="AW87" s="127">
        <v>0</v>
      </c>
      <c r="AX87" s="127">
        <v>0</v>
      </c>
      <c r="AY87" s="127">
        <v>0</v>
      </c>
    </row>
    <row r="88" spans="1:52" x14ac:dyDescent="0.2">
      <c r="A88" s="126"/>
      <c r="B88" s="146">
        <v>44</v>
      </c>
      <c r="C88" s="126" t="s">
        <v>293</v>
      </c>
      <c r="D88" s="127"/>
      <c r="E88" s="127">
        <v>0</v>
      </c>
      <c r="F88" s="127">
        <v>0</v>
      </c>
      <c r="G88" s="127">
        <v>0</v>
      </c>
      <c r="H88" s="127">
        <v>0</v>
      </c>
      <c r="I88" s="127">
        <v>0</v>
      </c>
      <c r="J88" s="127">
        <v>0</v>
      </c>
      <c r="K88" s="127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7">
        <v>0</v>
      </c>
      <c r="R88" s="127">
        <v>0</v>
      </c>
      <c r="S88" s="127">
        <v>0</v>
      </c>
      <c r="T88" s="127">
        <v>0</v>
      </c>
      <c r="U88" s="127">
        <v>0</v>
      </c>
      <c r="V88" s="127">
        <v>0</v>
      </c>
      <c r="W88" s="127">
        <v>0</v>
      </c>
      <c r="X88" s="127">
        <v>0</v>
      </c>
      <c r="Y88" s="127">
        <v>0</v>
      </c>
      <c r="Z88" s="127">
        <v>0</v>
      </c>
      <c r="AA88" s="127">
        <v>0</v>
      </c>
      <c r="AB88" s="127">
        <v>0</v>
      </c>
      <c r="AC88" s="127">
        <v>0</v>
      </c>
      <c r="AD88" s="127">
        <v>0</v>
      </c>
      <c r="AE88" s="127">
        <v>0</v>
      </c>
      <c r="AF88" s="127">
        <v>0</v>
      </c>
      <c r="AG88" s="127">
        <v>0</v>
      </c>
      <c r="AH88" s="127">
        <v>0</v>
      </c>
      <c r="AI88" s="127">
        <v>0</v>
      </c>
      <c r="AJ88" s="127">
        <v>0</v>
      </c>
      <c r="AK88" s="127">
        <v>0</v>
      </c>
      <c r="AL88" s="127">
        <v>0</v>
      </c>
      <c r="AM88" s="127">
        <v>0</v>
      </c>
      <c r="AN88" s="127">
        <v>0</v>
      </c>
      <c r="AO88" s="127">
        <v>0</v>
      </c>
      <c r="AP88" s="127">
        <v>0</v>
      </c>
      <c r="AQ88" s="127">
        <v>0</v>
      </c>
      <c r="AR88" s="127">
        <v>0</v>
      </c>
      <c r="AS88" s="127">
        <v>0</v>
      </c>
      <c r="AT88" s="127">
        <v>0</v>
      </c>
      <c r="AU88" s="127">
        <v>0</v>
      </c>
      <c r="AV88" s="127">
        <v>0</v>
      </c>
      <c r="AW88" s="127">
        <v>0</v>
      </c>
      <c r="AX88" s="127">
        <v>0</v>
      </c>
      <c r="AY88" s="127">
        <v>0</v>
      </c>
    </row>
    <row r="89" spans="1:52" x14ac:dyDescent="0.2">
      <c r="A89" s="126"/>
      <c r="B89" s="146">
        <v>45</v>
      </c>
      <c r="C89" s="126" t="s">
        <v>293</v>
      </c>
      <c r="D89" s="127"/>
      <c r="E89" s="127">
        <v>0</v>
      </c>
      <c r="F89" s="127">
        <v>0</v>
      </c>
      <c r="G89" s="127">
        <v>0</v>
      </c>
      <c r="H89" s="127">
        <v>0</v>
      </c>
      <c r="I89" s="127">
        <v>0</v>
      </c>
      <c r="J89" s="127">
        <v>0</v>
      </c>
      <c r="K89" s="127">
        <v>0</v>
      </c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7">
        <v>0</v>
      </c>
      <c r="R89" s="127">
        <v>0</v>
      </c>
      <c r="S89" s="127">
        <v>0</v>
      </c>
      <c r="T89" s="127">
        <v>0</v>
      </c>
      <c r="U89" s="127">
        <v>0</v>
      </c>
      <c r="V89" s="127">
        <v>0</v>
      </c>
      <c r="W89" s="127">
        <v>0</v>
      </c>
      <c r="X89" s="127">
        <v>0</v>
      </c>
      <c r="Y89" s="127">
        <v>0</v>
      </c>
      <c r="Z89" s="127">
        <v>0</v>
      </c>
      <c r="AA89" s="127">
        <v>0</v>
      </c>
      <c r="AB89" s="127">
        <v>0</v>
      </c>
      <c r="AC89" s="127">
        <v>0</v>
      </c>
      <c r="AD89" s="127">
        <v>0</v>
      </c>
      <c r="AE89" s="127">
        <v>0</v>
      </c>
      <c r="AF89" s="127">
        <v>0</v>
      </c>
      <c r="AG89" s="127">
        <v>0</v>
      </c>
      <c r="AH89" s="127">
        <v>0</v>
      </c>
      <c r="AI89" s="127">
        <v>0</v>
      </c>
      <c r="AJ89" s="127">
        <v>0</v>
      </c>
      <c r="AK89" s="127">
        <v>0</v>
      </c>
      <c r="AL89" s="127">
        <v>0</v>
      </c>
      <c r="AM89" s="127">
        <v>0</v>
      </c>
      <c r="AN89" s="127">
        <v>0</v>
      </c>
      <c r="AO89" s="127">
        <v>0</v>
      </c>
      <c r="AP89" s="127">
        <v>0</v>
      </c>
      <c r="AQ89" s="127">
        <v>0</v>
      </c>
      <c r="AR89" s="127">
        <v>0</v>
      </c>
      <c r="AS89" s="127">
        <v>0</v>
      </c>
      <c r="AT89" s="127">
        <v>0</v>
      </c>
      <c r="AU89" s="127">
        <v>0</v>
      </c>
      <c r="AV89" s="127">
        <v>0</v>
      </c>
      <c r="AW89" s="127">
        <v>0</v>
      </c>
      <c r="AX89" s="127">
        <v>0</v>
      </c>
      <c r="AY89" s="127">
        <v>0</v>
      </c>
    </row>
    <row r="90" spans="1:52" x14ac:dyDescent="0.2">
      <c r="A90" s="126"/>
      <c r="B90" s="146">
        <v>46</v>
      </c>
      <c r="C90" s="126" t="s">
        <v>293</v>
      </c>
      <c r="D90" s="127"/>
      <c r="E90" s="127">
        <v>0</v>
      </c>
      <c r="F90" s="127">
        <v>0</v>
      </c>
      <c r="G90" s="127">
        <v>0</v>
      </c>
      <c r="H90" s="127">
        <v>0</v>
      </c>
      <c r="I90" s="127">
        <v>0</v>
      </c>
      <c r="J90" s="127">
        <v>0</v>
      </c>
      <c r="K90" s="127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7">
        <v>0</v>
      </c>
      <c r="R90" s="127">
        <v>0</v>
      </c>
      <c r="S90" s="127">
        <v>0</v>
      </c>
      <c r="T90" s="127">
        <v>0</v>
      </c>
      <c r="U90" s="127">
        <v>0</v>
      </c>
      <c r="V90" s="127">
        <v>0</v>
      </c>
      <c r="W90" s="127">
        <v>0</v>
      </c>
      <c r="X90" s="127">
        <v>0</v>
      </c>
      <c r="Y90" s="127">
        <v>0</v>
      </c>
      <c r="Z90" s="127">
        <v>0</v>
      </c>
      <c r="AA90" s="127">
        <v>0</v>
      </c>
      <c r="AB90" s="127">
        <v>0</v>
      </c>
      <c r="AC90" s="127">
        <v>0</v>
      </c>
      <c r="AD90" s="127">
        <v>0</v>
      </c>
      <c r="AE90" s="127">
        <v>0</v>
      </c>
      <c r="AF90" s="127">
        <v>0</v>
      </c>
      <c r="AG90" s="127">
        <v>0</v>
      </c>
      <c r="AH90" s="127">
        <v>0</v>
      </c>
      <c r="AI90" s="127">
        <v>0</v>
      </c>
      <c r="AJ90" s="127">
        <v>0</v>
      </c>
      <c r="AK90" s="127">
        <v>0</v>
      </c>
      <c r="AL90" s="127">
        <v>0</v>
      </c>
      <c r="AM90" s="127">
        <v>0</v>
      </c>
      <c r="AN90" s="127">
        <v>0</v>
      </c>
      <c r="AO90" s="127">
        <v>0</v>
      </c>
      <c r="AP90" s="127">
        <v>0</v>
      </c>
      <c r="AQ90" s="127">
        <v>0</v>
      </c>
      <c r="AR90" s="127">
        <v>0</v>
      </c>
      <c r="AS90" s="127">
        <v>0</v>
      </c>
      <c r="AT90" s="127">
        <v>0</v>
      </c>
      <c r="AU90" s="127">
        <v>0</v>
      </c>
      <c r="AV90" s="127">
        <v>0</v>
      </c>
      <c r="AW90" s="127">
        <v>0</v>
      </c>
      <c r="AX90" s="127">
        <v>0</v>
      </c>
      <c r="AY90" s="127">
        <v>0</v>
      </c>
    </row>
    <row r="91" spans="1:52" x14ac:dyDescent="0.2">
      <c r="A91" s="126"/>
      <c r="B91" s="146">
        <v>47</v>
      </c>
      <c r="C91" s="126" t="s">
        <v>293</v>
      </c>
      <c r="D91" s="127"/>
      <c r="E91" s="127">
        <v>0</v>
      </c>
      <c r="F91" s="127">
        <v>0</v>
      </c>
      <c r="G91" s="127">
        <v>0</v>
      </c>
      <c r="H91" s="127">
        <v>0</v>
      </c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  <c r="Q91" s="127">
        <v>0</v>
      </c>
      <c r="R91" s="127">
        <v>0</v>
      </c>
      <c r="S91" s="127">
        <v>0</v>
      </c>
      <c r="T91" s="127">
        <v>0</v>
      </c>
      <c r="U91" s="127">
        <v>0</v>
      </c>
      <c r="V91" s="127">
        <v>0</v>
      </c>
      <c r="W91" s="127">
        <v>0</v>
      </c>
      <c r="X91" s="127">
        <v>0</v>
      </c>
      <c r="Y91" s="127">
        <v>0</v>
      </c>
      <c r="Z91" s="127">
        <v>0</v>
      </c>
      <c r="AA91" s="127">
        <v>0</v>
      </c>
      <c r="AB91" s="127">
        <v>0</v>
      </c>
      <c r="AC91" s="127">
        <v>0</v>
      </c>
      <c r="AD91" s="127">
        <v>0</v>
      </c>
      <c r="AE91" s="127">
        <v>0</v>
      </c>
      <c r="AF91" s="127">
        <v>0</v>
      </c>
      <c r="AG91" s="127">
        <v>0</v>
      </c>
      <c r="AH91" s="127">
        <v>0</v>
      </c>
      <c r="AI91" s="127">
        <v>0</v>
      </c>
      <c r="AJ91" s="127">
        <v>0</v>
      </c>
      <c r="AK91" s="127">
        <v>0</v>
      </c>
      <c r="AL91" s="127">
        <v>0</v>
      </c>
      <c r="AM91" s="127">
        <v>0</v>
      </c>
      <c r="AN91" s="127">
        <v>0</v>
      </c>
      <c r="AO91" s="127">
        <v>0</v>
      </c>
      <c r="AP91" s="127">
        <v>0</v>
      </c>
      <c r="AQ91" s="127">
        <v>0</v>
      </c>
      <c r="AR91" s="127">
        <v>0</v>
      </c>
      <c r="AS91" s="127">
        <v>0</v>
      </c>
      <c r="AT91" s="127">
        <v>0</v>
      </c>
      <c r="AU91" s="127">
        <v>0</v>
      </c>
      <c r="AV91" s="127">
        <v>0</v>
      </c>
      <c r="AW91" s="127">
        <v>0</v>
      </c>
      <c r="AX91" s="127">
        <v>0</v>
      </c>
      <c r="AY91" s="127">
        <v>0</v>
      </c>
    </row>
    <row r="92" spans="1:52" x14ac:dyDescent="0.2">
      <c r="A92" s="144"/>
      <c r="B92" s="145">
        <v>48</v>
      </c>
      <c r="C92" s="144" t="s">
        <v>293</v>
      </c>
      <c r="D92" s="141">
        <v>0</v>
      </c>
      <c r="E92" s="141">
        <v>0</v>
      </c>
      <c r="F92" s="141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141">
        <v>0</v>
      </c>
      <c r="M92" s="141">
        <v>0</v>
      </c>
      <c r="N92" s="141">
        <v>0</v>
      </c>
      <c r="O92" s="141">
        <v>0</v>
      </c>
      <c r="P92" s="141">
        <v>0</v>
      </c>
      <c r="Q92" s="141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141">
        <v>0</v>
      </c>
      <c r="X92" s="141">
        <v>0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141">
        <v>0</v>
      </c>
      <c r="AI92" s="141">
        <v>0</v>
      </c>
      <c r="AJ92" s="141">
        <v>0</v>
      </c>
      <c r="AK92" s="141">
        <v>0</v>
      </c>
      <c r="AL92" s="141">
        <v>0</v>
      </c>
      <c r="AM92" s="141">
        <v>0</v>
      </c>
      <c r="AN92" s="141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141">
        <v>0</v>
      </c>
      <c r="AU92" s="141">
        <v>0</v>
      </c>
      <c r="AV92" s="141">
        <v>0</v>
      </c>
      <c r="AW92" s="141">
        <v>0</v>
      </c>
      <c r="AX92" s="141">
        <v>0</v>
      </c>
      <c r="AY92" s="141">
        <v>0</v>
      </c>
      <c r="AZ92" s="124">
        <f>SUM(D21:AY92)</f>
        <v>980570.189498247</v>
      </c>
    </row>
    <row r="94" spans="1:52" x14ac:dyDescent="0.2">
      <c r="A94" s="1" t="s">
        <v>295</v>
      </c>
      <c r="B94" s="123"/>
      <c r="C94" s="123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</row>
    <row r="95" spans="1:52" x14ac:dyDescent="0.2">
      <c r="A95" s="142" t="s">
        <v>125</v>
      </c>
      <c r="B95" s="139">
        <v>1</v>
      </c>
      <c r="C95" s="140">
        <v>4608.9648029835898</v>
      </c>
      <c r="D95" s="127">
        <v>3450.0212674468758</v>
      </c>
      <c r="E95" s="127">
        <v>0</v>
      </c>
      <c r="F95" s="127">
        <v>0</v>
      </c>
      <c r="G95" s="127">
        <v>0</v>
      </c>
      <c r="H95" s="127">
        <v>0</v>
      </c>
      <c r="I95" s="127">
        <v>0</v>
      </c>
      <c r="J95" s="127">
        <v>0</v>
      </c>
      <c r="K95" s="127">
        <v>0</v>
      </c>
      <c r="L95" s="127">
        <v>0</v>
      </c>
      <c r="M95" s="127">
        <v>0</v>
      </c>
      <c r="N95" s="127">
        <v>0</v>
      </c>
      <c r="O95" s="127">
        <v>0</v>
      </c>
      <c r="P95" s="127">
        <v>0</v>
      </c>
      <c r="Q95" s="127">
        <v>0</v>
      </c>
      <c r="R95" s="127">
        <v>0</v>
      </c>
      <c r="S95" s="127">
        <v>0</v>
      </c>
      <c r="T95" s="127">
        <v>0</v>
      </c>
      <c r="U95" s="127">
        <v>0</v>
      </c>
      <c r="V95" s="127">
        <v>0</v>
      </c>
      <c r="W95" s="127">
        <v>0</v>
      </c>
      <c r="X95" s="127">
        <v>0</v>
      </c>
      <c r="Y95" s="127">
        <v>0</v>
      </c>
      <c r="Z95" s="127">
        <v>0</v>
      </c>
      <c r="AA95" s="127">
        <v>0</v>
      </c>
      <c r="AB95" s="127">
        <v>0</v>
      </c>
      <c r="AC95" s="127">
        <v>0</v>
      </c>
      <c r="AD95" s="127">
        <v>0</v>
      </c>
      <c r="AE95" s="127">
        <v>0</v>
      </c>
      <c r="AF95" s="127">
        <v>0</v>
      </c>
      <c r="AG95" s="127">
        <v>0</v>
      </c>
      <c r="AH95" s="127">
        <v>0</v>
      </c>
      <c r="AI95" s="127">
        <v>0</v>
      </c>
      <c r="AJ95" s="127">
        <v>0</v>
      </c>
      <c r="AK95" s="127">
        <v>0</v>
      </c>
      <c r="AL95" s="127">
        <v>0</v>
      </c>
      <c r="AM95" s="127">
        <v>0</v>
      </c>
      <c r="AN95" s="127">
        <v>0</v>
      </c>
      <c r="AO95" s="127">
        <v>0</v>
      </c>
      <c r="AP95" s="127">
        <v>0</v>
      </c>
      <c r="AQ95" s="127">
        <v>0</v>
      </c>
      <c r="AR95" s="127">
        <v>0</v>
      </c>
      <c r="AS95" s="127">
        <v>0</v>
      </c>
      <c r="AT95" s="127">
        <v>0</v>
      </c>
      <c r="AU95" s="127">
        <v>0</v>
      </c>
      <c r="AV95" s="127">
        <v>0</v>
      </c>
      <c r="AW95" s="127">
        <v>0</v>
      </c>
      <c r="AX95" s="127">
        <v>0</v>
      </c>
      <c r="AY95" s="127">
        <v>0</v>
      </c>
    </row>
    <row r="96" spans="1:52" x14ac:dyDescent="0.2">
      <c r="A96" s="126"/>
      <c r="B96" s="136">
        <v>2</v>
      </c>
      <c r="C96" s="127">
        <v>4608.9648029835898</v>
      </c>
      <c r="D96" s="127">
        <v>4608.9648029835898</v>
      </c>
      <c r="E96" s="127">
        <v>0</v>
      </c>
      <c r="F96" s="127">
        <v>0</v>
      </c>
      <c r="G96" s="127">
        <v>0</v>
      </c>
      <c r="H96" s="127">
        <v>0</v>
      </c>
      <c r="I96" s="127">
        <v>0</v>
      </c>
      <c r="J96" s="127">
        <v>0</v>
      </c>
      <c r="K96" s="127">
        <v>0</v>
      </c>
      <c r="L96" s="127">
        <v>0</v>
      </c>
      <c r="M96" s="127">
        <v>0</v>
      </c>
      <c r="N96" s="127">
        <v>0</v>
      </c>
      <c r="O96" s="127">
        <v>0</v>
      </c>
      <c r="P96" s="127">
        <v>0</v>
      </c>
      <c r="Q96" s="127">
        <v>0</v>
      </c>
      <c r="R96" s="127">
        <v>0</v>
      </c>
      <c r="S96" s="127">
        <v>0</v>
      </c>
      <c r="T96" s="127">
        <v>0</v>
      </c>
      <c r="U96" s="127">
        <v>0</v>
      </c>
      <c r="V96" s="127">
        <v>0</v>
      </c>
      <c r="W96" s="127">
        <v>0</v>
      </c>
      <c r="X96" s="127">
        <v>0</v>
      </c>
      <c r="Y96" s="127">
        <v>0</v>
      </c>
      <c r="Z96" s="127">
        <v>0</v>
      </c>
      <c r="AA96" s="127">
        <v>0</v>
      </c>
      <c r="AB96" s="127">
        <v>0</v>
      </c>
      <c r="AC96" s="127">
        <v>0</v>
      </c>
      <c r="AD96" s="127">
        <v>0</v>
      </c>
      <c r="AE96" s="127">
        <v>0</v>
      </c>
      <c r="AF96" s="127">
        <v>0</v>
      </c>
      <c r="AG96" s="127">
        <v>0</v>
      </c>
      <c r="AH96" s="127">
        <v>0</v>
      </c>
      <c r="AI96" s="127">
        <v>0</v>
      </c>
      <c r="AJ96" s="127">
        <v>0</v>
      </c>
      <c r="AK96" s="127">
        <v>0</v>
      </c>
      <c r="AL96" s="127">
        <v>0</v>
      </c>
      <c r="AM96" s="127">
        <v>0</v>
      </c>
      <c r="AN96" s="127">
        <v>0</v>
      </c>
      <c r="AO96" s="127">
        <v>0</v>
      </c>
      <c r="AP96" s="127">
        <v>0</v>
      </c>
      <c r="AQ96" s="127">
        <v>0</v>
      </c>
      <c r="AR96" s="127">
        <v>0</v>
      </c>
      <c r="AS96" s="127">
        <v>0</v>
      </c>
      <c r="AT96" s="127">
        <v>0</v>
      </c>
      <c r="AU96" s="127">
        <v>0</v>
      </c>
      <c r="AV96" s="127">
        <v>0</v>
      </c>
      <c r="AW96" s="127">
        <v>0</v>
      </c>
      <c r="AX96" s="127">
        <v>0</v>
      </c>
      <c r="AY96" s="127">
        <v>0</v>
      </c>
    </row>
    <row r="97" spans="1:52" x14ac:dyDescent="0.2">
      <c r="A97" s="126"/>
      <c r="B97" s="143">
        <v>3</v>
      </c>
      <c r="C97" s="127">
        <v>4608.9648029835898</v>
      </c>
      <c r="D97" s="127">
        <v>4608.9648029835898</v>
      </c>
      <c r="E97" s="127">
        <v>0</v>
      </c>
      <c r="F97" s="127">
        <v>0</v>
      </c>
      <c r="G97" s="127">
        <v>0</v>
      </c>
      <c r="H97" s="127">
        <v>0</v>
      </c>
      <c r="I97" s="127">
        <v>0</v>
      </c>
      <c r="J97" s="127">
        <v>0</v>
      </c>
      <c r="K97" s="127">
        <v>0</v>
      </c>
      <c r="L97" s="127">
        <v>0</v>
      </c>
      <c r="M97" s="127">
        <v>0</v>
      </c>
      <c r="N97" s="127">
        <v>0</v>
      </c>
      <c r="O97" s="127">
        <v>0</v>
      </c>
      <c r="P97" s="127">
        <v>0</v>
      </c>
      <c r="Q97" s="127">
        <v>0</v>
      </c>
      <c r="R97" s="127">
        <v>0</v>
      </c>
      <c r="S97" s="127">
        <v>0</v>
      </c>
      <c r="T97" s="127">
        <v>0</v>
      </c>
      <c r="U97" s="127">
        <v>0</v>
      </c>
      <c r="V97" s="127">
        <v>0</v>
      </c>
      <c r="W97" s="127">
        <v>0</v>
      </c>
      <c r="X97" s="127">
        <v>0</v>
      </c>
      <c r="Y97" s="127">
        <v>0</v>
      </c>
      <c r="Z97" s="127">
        <v>0</v>
      </c>
      <c r="AA97" s="127">
        <v>0</v>
      </c>
      <c r="AB97" s="127">
        <v>0</v>
      </c>
      <c r="AC97" s="127">
        <v>0</v>
      </c>
      <c r="AD97" s="127">
        <v>0</v>
      </c>
      <c r="AE97" s="127">
        <v>0</v>
      </c>
      <c r="AF97" s="127">
        <v>0</v>
      </c>
      <c r="AG97" s="127">
        <v>0</v>
      </c>
      <c r="AH97" s="127">
        <v>0</v>
      </c>
      <c r="AI97" s="127">
        <v>0</v>
      </c>
      <c r="AJ97" s="127">
        <v>0</v>
      </c>
      <c r="AK97" s="127">
        <v>0</v>
      </c>
      <c r="AL97" s="127">
        <v>0</v>
      </c>
      <c r="AM97" s="127">
        <v>0</v>
      </c>
      <c r="AN97" s="127">
        <v>0</v>
      </c>
      <c r="AO97" s="127">
        <v>0</v>
      </c>
      <c r="AP97" s="127">
        <v>0</v>
      </c>
      <c r="AQ97" s="127">
        <v>0</v>
      </c>
      <c r="AR97" s="127">
        <v>0</v>
      </c>
      <c r="AS97" s="127">
        <v>0</v>
      </c>
      <c r="AT97" s="127">
        <v>0</v>
      </c>
      <c r="AU97" s="127">
        <v>0</v>
      </c>
      <c r="AV97" s="127">
        <v>0</v>
      </c>
      <c r="AW97" s="127">
        <v>0</v>
      </c>
      <c r="AX97" s="127">
        <v>0</v>
      </c>
      <c r="AY97" s="127">
        <v>0</v>
      </c>
    </row>
    <row r="98" spans="1:52" x14ac:dyDescent="0.2">
      <c r="A98" s="126"/>
      <c r="B98" s="146">
        <v>4</v>
      </c>
      <c r="C98" s="123">
        <v>4608.9648029835898</v>
      </c>
      <c r="D98" s="127">
        <v>1835.9194039818194</v>
      </c>
      <c r="E98" s="127">
        <v>0</v>
      </c>
      <c r="F98" s="127">
        <v>0</v>
      </c>
      <c r="G98" s="127">
        <v>0</v>
      </c>
      <c r="H98" s="127">
        <v>0</v>
      </c>
      <c r="I98" s="127">
        <v>0</v>
      </c>
      <c r="J98" s="127">
        <v>0</v>
      </c>
      <c r="K98" s="127">
        <v>0</v>
      </c>
      <c r="L98" s="127">
        <v>0</v>
      </c>
      <c r="M98" s="127">
        <v>0</v>
      </c>
      <c r="N98" s="127">
        <v>0</v>
      </c>
      <c r="O98" s="127">
        <v>0</v>
      </c>
      <c r="P98" s="127">
        <v>0</v>
      </c>
      <c r="Q98" s="127">
        <v>0</v>
      </c>
      <c r="R98" s="127">
        <v>0</v>
      </c>
      <c r="S98" s="127">
        <v>0</v>
      </c>
      <c r="T98" s="127">
        <v>0</v>
      </c>
      <c r="U98" s="127">
        <v>0</v>
      </c>
      <c r="V98" s="127">
        <v>0</v>
      </c>
      <c r="W98" s="127">
        <v>0</v>
      </c>
      <c r="X98" s="127">
        <v>0</v>
      </c>
      <c r="Y98" s="127">
        <v>0</v>
      </c>
      <c r="Z98" s="127">
        <v>0</v>
      </c>
      <c r="AA98" s="127">
        <v>0</v>
      </c>
      <c r="AB98" s="127">
        <v>0</v>
      </c>
      <c r="AC98" s="127">
        <v>0</v>
      </c>
      <c r="AD98" s="127">
        <v>0</v>
      </c>
      <c r="AE98" s="127">
        <v>0</v>
      </c>
      <c r="AF98" s="127">
        <v>0</v>
      </c>
      <c r="AG98" s="127">
        <v>0</v>
      </c>
      <c r="AH98" s="127">
        <v>0</v>
      </c>
      <c r="AI98" s="127">
        <v>0</v>
      </c>
      <c r="AJ98" s="127">
        <v>0</v>
      </c>
      <c r="AK98" s="127">
        <v>0</v>
      </c>
      <c r="AL98" s="127">
        <v>0</v>
      </c>
      <c r="AM98" s="127">
        <v>0</v>
      </c>
      <c r="AN98" s="127">
        <v>0</v>
      </c>
      <c r="AO98" s="127">
        <v>0</v>
      </c>
      <c r="AP98" s="127">
        <v>0</v>
      </c>
      <c r="AQ98" s="127">
        <v>0</v>
      </c>
      <c r="AR98" s="127">
        <v>0</v>
      </c>
      <c r="AS98" s="127">
        <v>0</v>
      </c>
      <c r="AT98" s="127">
        <v>0</v>
      </c>
      <c r="AU98" s="127">
        <v>0</v>
      </c>
      <c r="AV98" s="127">
        <v>0</v>
      </c>
      <c r="AW98" s="127">
        <v>0</v>
      </c>
      <c r="AX98" s="127">
        <v>0</v>
      </c>
      <c r="AY98" s="127">
        <v>0</v>
      </c>
    </row>
    <row r="99" spans="1:52" x14ac:dyDescent="0.2">
      <c r="A99" s="144"/>
      <c r="B99" s="148" t="s">
        <v>296</v>
      </c>
      <c r="C99" s="141">
        <v>3850.9648029835898</v>
      </c>
      <c r="D99" s="141">
        <v>3975.9648029835898</v>
      </c>
      <c r="E99" s="141">
        <v>720.91940398181941</v>
      </c>
      <c r="F99" s="141">
        <v>0</v>
      </c>
      <c r="G99" s="141">
        <v>0</v>
      </c>
      <c r="H99" s="141">
        <v>0</v>
      </c>
      <c r="I99" s="141">
        <v>0</v>
      </c>
      <c r="J99" s="141">
        <v>0</v>
      </c>
      <c r="K99" s="141">
        <v>0</v>
      </c>
      <c r="L99" s="141">
        <v>0</v>
      </c>
      <c r="M99" s="141">
        <v>0</v>
      </c>
      <c r="N99" s="141">
        <v>0</v>
      </c>
      <c r="O99" s="141">
        <v>0</v>
      </c>
      <c r="P99" s="141">
        <v>0</v>
      </c>
      <c r="Q99" s="141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141">
        <v>0</v>
      </c>
      <c r="X99" s="141">
        <v>0</v>
      </c>
      <c r="Y99" s="141">
        <v>0</v>
      </c>
      <c r="Z99" s="141">
        <v>0</v>
      </c>
      <c r="AA99" s="141">
        <v>0</v>
      </c>
      <c r="AB99" s="141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>
        <v>0</v>
      </c>
      <c r="AX99" s="141">
        <v>0</v>
      </c>
      <c r="AY99" s="141">
        <v>0</v>
      </c>
      <c r="AZ99" s="124">
        <f>SUM($D99:$AY99)</f>
        <v>4696.8842069654092</v>
      </c>
    </row>
    <row r="100" spans="1:52" x14ac:dyDescent="0.2">
      <c r="A100" s="147" t="s">
        <v>133</v>
      </c>
      <c r="B100" s="135">
        <v>1</v>
      </c>
      <c r="C100" s="123">
        <v>2184.4239135490361</v>
      </c>
      <c r="D100" s="123">
        <v>852.90234624572781</v>
      </c>
      <c r="E100" s="123">
        <v>541.95973787492278</v>
      </c>
      <c r="F100" s="123">
        <v>0</v>
      </c>
      <c r="G100" s="123">
        <v>0</v>
      </c>
      <c r="H100" s="123">
        <v>0</v>
      </c>
      <c r="I100" s="123">
        <v>0</v>
      </c>
      <c r="J100" s="123">
        <v>0</v>
      </c>
      <c r="K100" s="123">
        <v>0</v>
      </c>
      <c r="L100" s="123">
        <v>0</v>
      </c>
      <c r="M100" s="123">
        <v>0</v>
      </c>
      <c r="N100" s="123">
        <v>0</v>
      </c>
      <c r="O100" s="123">
        <v>0</v>
      </c>
      <c r="P100" s="123">
        <v>0</v>
      </c>
      <c r="Q100" s="123">
        <v>0</v>
      </c>
      <c r="R100" s="123">
        <v>0</v>
      </c>
      <c r="S100" s="123">
        <v>0</v>
      </c>
      <c r="T100" s="123">
        <v>0</v>
      </c>
      <c r="U100" s="123">
        <v>0</v>
      </c>
      <c r="V100" s="123">
        <v>0</v>
      </c>
      <c r="W100" s="123">
        <v>0</v>
      </c>
      <c r="X100" s="123">
        <v>0</v>
      </c>
      <c r="Y100" s="123">
        <v>0</v>
      </c>
      <c r="Z100" s="123">
        <v>0</v>
      </c>
      <c r="AA100" s="123">
        <v>0</v>
      </c>
      <c r="AB100" s="123">
        <v>0</v>
      </c>
      <c r="AC100" s="123">
        <v>0</v>
      </c>
      <c r="AD100" s="123">
        <v>0</v>
      </c>
      <c r="AE100" s="123">
        <v>0</v>
      </c>
      <c r="AF100" s="123">
        <v>0</v>
      </c>
      <c r="AG100" s="123">
        <v>0</v>
      </c>
      <c r="AH100" s="123">
        <v>0</v>
      </c>
      <c r="AI100" s="123">
        <v>0</v>
      </c>
      <c r="AJ100" s="123">
        <v>0</v>
      </c>
      <c r="AK100" s="123">
        <v>0</v>
      </c>
      <c r="AL100" s="123">
        <v>0</v>
      </c>
      <c r="AM100" s="123">
        <v>0</v>
      </c>
      <c r="AN100" s="123">
        <v>0</v>
      </c>
      <c r="AO100" s="123">
        <v>0</v>
      </c>
      <c r="AP100" s="123">
        <v>0</v>
      </c>
      <c r="AQ100" s="123">
        <v>0</v>
      </c>
      <c r="AR100" s="123">
        <v>0</v>
      </c>
      <c r="AS100" s="123">
        <v>0</v>
      </c>
      <c r="AT100" s="123">
        <v>0</v>
      </c>
      <c r="AU100" s="123">
        <v>0</v>
      </c>
      <c r="AV100" s="123">
        <v>0</v>
      </c>
      <c r="AW100" s="123">
        <v>0</v>
      </c>
      <c r="AX100" s="123">
        <v>0</v>
      </c>
      <c r="AY100" s="123">
        <v>0</v>
      </c>
    </row>
    <row r="101" spans="1:52" x14ac:dyDescent="0.2">
      <c r="A101" s="126"/>
      <c r="B101" s="135">
        <v>2</v>
      </c>
      <c r="C101" s="123">
        <v>2184.4239135490361</v>
      </c>
      <c r="D101" s="123">
        <v>2184.4239135490361</v>
      </c>
      <c r="E101" s="123">
        <v>852.90234624572781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0</v>
      </c>
      <c r="L101" s="123">
        <v>0</v>
      </c>
      <c r="M101" s="123">
        <v>0</v>
      </c>
      <c r="N101" s="123">
        <v>0</v>
      </c>
      <c r="O101" s="123">
        <v>0</v>
      </c>
      <c r="P101" s="123">
        <v>0</v>
      </c>
      <c r="Q101" s="123">
        <v>0</v>
      </c>
      <c r="R101" s="123">
        <v>0</v>
      </c>
      <c r="S101" s="123">
        <v>0</v>
      </c>
      <c r="T101" s="123">
        <v>0</v>
      </c>
      <c r="U101" s="123">
        <v>0</v>
      </c>
      <c r="V101" s="123">
        <v>0</v>
      </c>
      <c r="W101" s="123">
        <v>0</v>
      </c>
      <c r="X101" s="123">
        <v>0</v>
      </c>
      <c r="Y101" s="123">
        <v>0</v>
      </c>
      <c r="Z101" s="123">
        <v>0</v>
      </c>
      <c r="AA101" s="123">
        <v>0</v>
      </c>
      <c r="AB101" s="123">
        <v>0</v>
      </c>
      <c r="AC101" s="123">
        <v>0</v>
      </c>
      <c r="AD101" s="123">
        <v>0</v>
      </c>
      <c r="AE101" s="123">
        <v>0</v>
      </c>
      <c r="AF101" s="123">
        <v>0</v>
      </c>
      <c r="AG101" s="123">
        <v>0</v>
      </c>
      <c r="AH101" s="123">
        <v>0</v>
      </c>
      <c r="AI101" s="123">
        <v>0</v>
      </c>
      <c r="AJ101" s="123">
        <v>0</v>
      </c>
      <c r="AK101" s="123">
        <v>0</v>
      </c>
      <c r="AL101" s="123">
        <v>0</v>
      </c>
      <c r="AM101" s="123">
        <v>0</v>
      </c>
      <c r="AN101" s="123">
        <v>0</v>
      </c>
      <c r="AO101" s="123">
        <v>0</v>
      </c>
      <c r="AP101" s="123">
        <v>0</v>
      </c>
      <c r="AQ101" s="123">
        <v>0</v>
      </c>
      <c r="AR101" s="123">
        <v>0</v>
      </c>
      <c r="AS101" s="123">
        <v>0</v>
      </c>
      <c r="AT101" s="123">
        <v>0</v>
      </c>
      <c r="AU101" s="123">
        <v>0</v>
      </c>
      <c r="AV101" s="123">
        <v>0</v>
      </c>
      <c r="AW101" s="123">
        <v>0</v>
      </c>
      <c r="AX101" s="123">
        <v>0</v>
      </c>
      <c r="AY101" s="123">
        <v>0</v>
      </c>
    </row>
    <row r="102" spans="1:52" x14ac:dyDescent="0.2">
      <c r="A102" s="126"/>
      <c r="B102" s="136">
        <v>3</v>
      </c>
      <c r="C102" s="123">
        <v>2184.4239135490361</v>
      </c>
      <c r="D102" s="123">
        <v>2184.4239135490361</v>
      </c>
      <c r="E102" s="123">
        <v>2184.4239135490361</v>
      </c>
      <c r="F102" s="123">
        <v>0</v>
      </c>
      <c r="G102" s="123">
        <v>0</v>
      </c>
      <c r="H102" s="123">
        <v>0</v>
      </c>
      <c r="I102" s="123">
        <v>0</v>
      </c>
      <c r="J102" s="123">
        <v>0</v>
      </c>
      <c r="K102" s="123">
        <v>0</v>
      </c>
      <c r="L102" s="123">
        <v>0</v>
      </c>
      <c r="M102" s="123">
        <v>0</v>
      </c>
      <c r="N102" s="123">
        <v>0</v>
      </c>
      <c r="O102" s="123">
        <v>0</v>
      </c>
      <c r="P102" s="123">
        <v>0</v>
      </c>
      <c r="Q102" s="123">
        <v>0</v>
      </c>
      <c r="R102" s="123">
        <v>0</v>
      </c>
      <c r="S102" s="123">
        <v>0</v>
      </c>
      <c r="T102" s="123">
        <v>0</v>
      </c>
      <c r="U102" s="123">
        <v>0</v>
      </c>
      <c r="V102" s="123">
        <v>0</v>
      </c>
      <c r="W102" s="123">
        <v>0</v>
      </c>
      <c r="X102" s="123">
        <v>0</v>
      </c>
      <c r="Y102" s="123">
        <v>0</v>
      </c>
      <c r="Z102" s="123">
        <v>0</v>
      </c>
      <c r="AA102" s="123">
        <v>0</v>
      </c>
      <c r="AB102" s="123">
        <v>0</v>
      </c>
      <c r="AC102" s="123">
        <v>0</v>
      </c>
      <c r="AD102" s="123">
        <v>0</v>
      </c>
      <c r="AE102" s="123">
        <v>0</v>
      </c>
      <c r="AF102" s="123">
        <v>0</v>
      </c>
      <c r="AG102" s="123">
        <v>0</v>
      </c>
      <c r="AH102" s="123">
        <v>0</v>
      </c>
      <c r="AI102" s="123">
        <v>0</v>
      </c>
      <c r="AJ102" s="123">
        <v>0</v>
      </c>
      <c r="AK102" s="123">
        <v>0</v>
      </c>
      <c r="AL102" s="123">
        <v>0</v>
      </c>
      <c r="AM102" s="123">
        <v>0</v>
      </c>
      <c r="AN102" s="123">
        <v>0</v>
      </c>
      <c r="AO102" s="123">
        <v>0</v>
      </c>
      <c r="AP102" s="123">
        <v>0</v>
      </c>
      <c r="AQ102" s="123">
        <v>0</v>
      </c>
      <c r="AR102" s="123">
        <v>0</v>
      </c>
      <c r="AS102" s="123">
        <v>0</v>
      </c>
      <c r="AT102" s="123">
        <v>0</v>
      </c>
      <c r="AU102" s="123">
        <v>0</v>
      </c>
      <c r="AV102" s="123">
        <v>0</v>
      </c>
      <c r="AW102" s="123">
        <v>0</v>
      </c>
      <c r="AX102" s="123">
        <v>0</v>
      </c>
      <c r="AY102" s="123">
        <v>0</v>
      </c>
    </row>
    <row r="103" spans="1:52" x14ac:dyDescent="0.2">
      <c r="A103" s="126"/>
      <c r="B103" s="136">
        <v>4</v>
      </c>
      <c r="C103" s="123">
        <v>2184.4239135490361</v>
      </c>
      <c r="D103" s="123">
        <v>2184.4239135490361</v>
      </c>
      <c r="E103" s="123">
        <v>481.87900233031905</v>
      </c>
      <c r="F103" s="123">
        <v>0</v>
      </c>
      <c r="G103" s="123">
        <v>0</v>
      </c>
      <c r="H103" s="123">
        <v>0</v>
      </c>
      <c r="I103" s="123">
        <v>0</v>
      </c>
      <c r="J103" s="123">
        <v>0</v>
      </c>
      <c r="K103" s="123">
        <v>0</v>
      </c>
      <c r="L103" s="123">
        <v>0</v>
      </c>
      <c r="M103" s="123">
        <v>0</v>
      </c>
      <c r="N103" s="123">
        <v>0</v>
      </c>
      <c r="O103" s="123">
        <v>0</v>
      </c>
      <c r="P103" s="123">
        <v>0</v>
      </c>
      <c r="Q103" s="123">
        <v>0</v>
      </c>
      <c r="R103" s="123">
        <v>0</v>
      </c>
      <c r="S103" s="123">
        <v>0</v>
      </c>
      <c r="T103" s="123">
        <v>0</v>
      </c>
      <c r="U103" s="123">
        <v>0</v>
      </c>
      <c r="V103" s="123">
        <v>0</v>
      </c>
      <c r="W103" s="123">
        <v>0</v>
      </c>
      <c r="X103" s="123">
        <v>0</v>
      </c>
      <c r="Y103" s="123">
        <v>0</v>
      </c>
      <c r="Z103" s="123">
        <v>0</v>
      </c>
      <c r="AA103" s="123">
        <v>0</v>
      </c>
      <c r="AB103" s="123">
        <v>0</v>
      </c>
      <c r="AC103" s="123">
        <v>0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0</v>
      </c>
      <c r="AL103" s="123">
        <v>0</v>
      </c>
      <c r="AM103" s="123">
        <v>0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</row>
    <row r="104" spans="1:52" x14ac:dyDescent="0.2">
      <c r="A104" s="126"/>
      <c r="B104" s="143">
        <v>5</v>
      </c>
      <c r="C104" s="123">
        <v>2055.1142221622604</v>
      </c>
      <c r="D104" s="123">
        <v>1207.5381357112965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0</v>
      </c>
      <c r="AX104" s="123">
        <v>0</v>
      </c>
      <c r="AY104" s="123">
        <v>0</v>
      </c>
    </row>
    <row r="105" spans="1:52" x14ac:dyDescent="0.2">
      <c r="A105" s="126"/>
      <c r="B105" s="143">
        <v>6</v>
      </c>
      <c r="C105" s="123">
        <v>0</v>
      </c>
      <c r="D105" s="123">
        <v>0</v>
      </c>
      <c r="E105" s="123">
        <v>0</v>
      </c>
      <c r="F105" s="123">
        <v>0</v>
      </c>
      <c r="G105" s="123">
        <v>0</v>
      </c>
      <c r="H105" s="123">
        <v>0</v>
      </c>
      <c r="I105" s="123">
        <v>0</v>
      </c>
      <c r="J105" s="123">
        <v>0</v>
      </c>
      <c r="K105" s="123">
        <v>0</v>
      </c>
      <c r="L105" s="123">
        <v>0</v>
      </c>
      <c r="M105" s="123">
        <v>0</v>
      </c>
      <c r="N105" s="123">
        <v>0</v>
      </c>
      <c r="O105" s="123">
        <v>0</v>
      </c>
      <c r="P105" s="123">
        <v>0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3">
        <v>0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</row>
    <row r="106" spans="1:52" x14ac:dyDescent="0.2">
      <c r="A106" s="126"/>
      <c r="B106" s="146">
        <v>7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0</v>
      </c>
      <c r="AX106" s="123">
        <v>0</v>
      </c>
      <c r="AY106" s="123">
        <v>0</v>
      </c>
    </row>
    <row r="107" spans="1:52" x14ac:dyDescent="0.2">
      <c r="A107" s="126"/>
      <c r="B107" s="146">
        <v>8</v>
      </c>
      <c r="C107" s="123">
        <v>0</v>
      </c>
      <c r="D107" s="123">
        <v>0</v>
      </c>
      <c r="E107" s="123">
        <v>0</v>
      </c>
      <c r="F107" s="123">
        <v>0</v>
      </c>
      <c r="G107" s="123">
        <v>0</v>
      </c>
      <c r="H107" s="123">
        <v>0</v>
      </c>
      <c r="I107" s="123">
        <v>0</v>
      </c>
      <c r="J107" s="123">
        <v>0</v>
      </c>
      <c r="K107" s="123">
        <v>0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0</v>
      </c>
      <c r="X107" s="123">
        <v>0</v>
      </c>
      <c r="Y107" s="123">
        <v>0</v>
      </c>
      <c r="Z107" s="123">
        <v>0</v>
      </c>
      <c r="AA107" s="123">
        <v>0</v>
      </c>
      <c r="AB107" s="123">
        <v>0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</row>
    <row r="108" spans="1:52" x14ac:dyDescent="0.2">
      <c r="A108" s="144"/>
      <c r="B108" s="148" t="s">
        <v>296</v>
      </c>
      <c r="C108" s="130">
        <v>0</v>
      </c>
      <c r="D108" s="141">
        <v>0</v>
      </c>
      <c r="E108" s="141">
        <v>0</v>
      </c>
      <c r="F108" s="141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141">
        <v>0</v>
      </c>
      <c r="M108" s="141">
        <v>0</v>
      </c>
      <c r="N108" s="141">
        <v>0</v>
      </c>
      <c r="O108" s="141">
        <v>0</v>
      </c>
      <c r="P108" s="141">
        <v>0</v>
      </c>
      <c r="Q108" s="141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141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24">
        <f>SUM($D108:$AY108)</f>
        <v>0</v>
      </c>
    </row>
    <row r="109" spans="1:52" x14ac:dyDescent="0.2">
      <c r="A109" s="147" t="s">
        <v>134</v>
      </c>
      <c r="B109" s="135">
        <v>1</v>
      </c>
      <c r="C109" s="123">
        <v>0</v>
      </c>
      <c r="D109" s="123">
        <v>0</v>
      </c>
      <c r="E109" s="123">
        <v>6223.9211976886645</v>
      </c>
      <c r="F109" s="123">
        <v>1452.6288573253369</v>
      </c>
      <c r="G109" s="123">
        <v>0</v>
      </c>
      <c r="H109" s="123">
        <v>0</v>
      </c>
      <c r="I109" s="123">
        <v>0</v>
      </c>
      <c r="J109" s="123">
        <v>0</v>
      </c>
      <c r="K109" s="123">
        <v>0</v>
      </c>
      <c r="L109" s="123">
        <v>0</v>
      </c>
      <c r="M109" s="123">
        <v>0</v>
      </c>
      <c r="N109" s="123">
        <v>0</v>
      </c>
      <c r="O109" s="123">
        <v>0</v>
      </c>
      <c r="P109" s="123">
        <v>0</v>
      </c>
      <c r="Q109" s="123">
        <v>0</v>
      </c>
      <c r="R109" s="123">
        <v>0</v>
      </c>
      <c r="S109" s="123">
        <v>0</v>
      </c>
      <c r="T109" s="123">
        <v>0</v>
      </c>
      <c r="U109" s="123">
        <v>0</v>
      </c>
      <c r="V109" s="123">
        <v>0</v>
      </c>
      <c r="W109" s="123">
        <v>0</v>
      </c>
      <c r="X109" s="123">
        <v>0</v>
      </c>
      <c r="Y109" s="123">
        <v>0</v>
      </c>
      <c r="Z109" s="123">
        <v>0</v>
      </c>
      <c r="AA109" s="123">
        <v>0</v>
      </c>
      <c r="AB109" s="123">
        <v>0</v>
      </c>
      <c r="AC109" s="123">
        <v>0</v>
      </c>
      <c r="AD109" s="123">
        <v>0</v>
      </c>
      <c r="AE109" s="123">
        <v>0</v>
      </c>
      <c r="AF109" s="123">
        <v>0</v>
      </c>
      <c r="AG109" s="123">
        <v>0</v>
      </c>
      <c r="AH109" s="123">
        <v>0</v>
      </c>
      <c r="AI109" s="123">
        <v>0</v>
      </c>
      <c r="AJ109" s="123">
        <v>0</v>
      </c>
      <c r="AK109" s="123">
        <v>0</v>
      </c>
      <c r="AL109" s="123">
        <v>0</v>
      </c>
      <c r="AM109" s="123">
        <v>0</v>
      </c>
      <c r="AN109" s="123">
        <v>0</v>
      </c>
      <c r="AO109" s="123">
        <v>0</v>
      </c>
      <c r="AP109" s="123">
        <v>0</v>
      </c>
      <c r="AQ109" s="123">
        <v>0</v>
      </c>
      <c r="AR109" s="123">
        <v>0</v>
      </c>
      <c r="AS109" s="123">
        <v>0</v>
      </c>
      <c r="AT109" s="123">
        <v>0</v>
      </c>
      <c r="AU109" s="123">
        <v>0</v>
      </c>
      <c r="AV109" s="123">
        <v>0</v>
      </c>
      <c r="AW109" s="123">
        <v>0</v>
      </c>
      <c r="AX109" s="123">
        <v>0</v>
      </c>
      <c r="AY109" s="123">
        <v>0</v>
      </c>
    </row>
    <row r="110" spans="1:52" x14ac:dyDescent="0.2">
      <c r="A110" s="126"/>
      <c r="B110" s="135">
        <v>2</v>
      </c>
      <c r="C110" s="123">
        <v>0</v>
      </c>
      <c r="D110" s="123">
        <v>0</v>
      </c>
      <c r="E110" s="123">
        <v>0</v>
      </c>
      <c r="F110" s="123">
        <v>0</v>
      </c>
      <c r="G110" s="123">
        <v>0</v>
      </c>
      <c r="H110" s="123">
        <v>0</v>
      </c>
      <c r="I110" s="123">
        <v>0</v>
      </c>
      <c r="J110" s="123">
        <v>0</v>
      </c>
      <c r="K110" s="123">
        <v>0</v>
      </c>
      <c r="L110" s="123">
        <v>0</v>
      </c>
      <c r="M110" s="123">
        <v>0</v>
      </c>
      <c r="N110" s="123">
        <v>0</v>
      </c>
      <c r="O110" s="123">
        <v>0</v>
      </c>
      <c r="P110" s="123">
        <v>0</v>
      </c>
      <c r="Q110" s="123">
        <v>0</v>
      </c>
      <c r="R110" s="123">
        <v>0</v>
      </c>
      <c r="S110" s="123">
        <v>0</v>
      </c>
      <c r="T110" s="123">
        <v>0</v>
      </c>
      <c r="U110" s="123">
        <v>0</v>
      </c>
      <c r="V110" s="123">
        <v>0</v>
      </c>
      <c r="W110" s="123">
        <v>0</v>
      </c>
      <c r="X110" s="123">
        <v>0</v>
      </c>
      <c r="Y110" s="123">
        <v>0</v>
      </c>
      <c r="Z110" s="123">
        <v>0</v>
      </c>
      <c r="AA110" s="123">
        <v>0</v>
      </c>
      <c r="AB110" s="123">
        <v>0</v>
      </c>
      <c r="AC110" s="123">
        <v>0</v>
      </c>
      <c r="AD110" s="123">
        <v>0</v>
      </c>
      <c r="AE110" s="123">
        <v>0</v>
      </c>
      <c r="AF110" s="123">
        <v>0</v>
      </c>
      <c r="AG110" s="123">
        <v>0</v>
      </c>
      <c r="AH110" s="123">
        <v>0</v>
      </c>
      <c r="AI110" s="123">
        <v>0</v>
      </c>
      <c r="AJ110" s="123">
        <v>0</v>
      </c>
      <c r="AK110" s="123">
        <v>0</v>
      </c>
      <c r="AL110" s="123">
        <v>0</v>
      </c>
      <c r="AM110" s="123">
        <v>0</v>
      </c>
      <c r="AN110" s="123">
        <v>0</v>
      </c>
      <c r="AO110" s="123">
        <v>0</v>
      </c>
      <c r="AP110" s="123">
        <v>0</v>
      </c>
      <c r="AQ110" s="123">
        <v>0</v>
      </c>
      <c r="AR110" s="123">
        <v>0</v>
      </c>
      <c r="AS110" s="123">
        <v>0</v>
      </c>
      <c r="AT110" s="123">
        <v>0</v>
      </c>
      <c r="AU110" s="123">
        <v>0</v>
      </c>
      <c r="AV110" s="123">
        <v>0</v>
      </c>
      <c r="AW110" s="123">
        <v>0</v>
      </c>
      <c r="AX110" s="123">
        <v>0</v>
      </c>
      <c r="AY110" s="123">
        <v>0</v>
      </c>
    </row>
    <row r="111" spans="1:52" x14ac:dyDescent="0.2">
      <c r="A111" s="126"/>
      <c r="B111" s="135">
        <v>3</v>
      </c>
      <c r="C111" s="123">
        <v>0</v>
      </c>
      <c r="D111" s="123">
        <v>0</v>
      </c>
      <c r="E111" s="123">
        <v>0</v>
      </c>
      <c r="F111" s="123">
        <v>0</v>
      </c>
      <c r="G111" s="123">
        <v>0</v>
      </c>
      <c r="H111" s="123">
        <v>0</v>
      </c>
      <c r="I111" s="123">
        <v>0</v>
      </c>
      <c r="J111" s="123">
        <v>0</v>
      </c>
      <c r="K111" s="123">
        <v>0</v>
      </c>
      <c r="L111" s="123">
        <v>0</v>
      </c>
      <c r="M111" s="123">
        <v>0</v>
      </c>
      <c r="N111" s="123">
        <v>0</v>
      </c>
      <c r="O111" s="123">
        <v>0</v>
      </c>
      <c r="P111" s="123">
        <v>0</v>
      </c>
      <c r="Q111" s="123">
        <v>0</v>
      </c>
      <c r="R111" s="123">
        <v>0</v>
      </c>
      <c r="S111" s="123">
        <v>0</v>
      </c>
      <c r="T111" s="123">
        <v>0</v>
      </c>
      <c r="U111" s="123">
        <v>0</v>
      </c>
      <c r="V111" s="123">
        <v>0</v>
      </c>
      <c r="W111" s="123">
        <v>0</v>
      </c>
      <c r="X111" s="123">
        <v>0</v>
      </c>
      <c r="Y111" s="123">
        <v>0</v>
      </c>
      <c r="Z111" s="123">
        <v>0</v>
      </c>
      <c r="AA111" s="123">
        <v>0</v>
      </c>
      <c r="AB111" s="123">
        <v>0</v>
      </c>
      <c r="AC111" s="123">
        <v>0</v>
      </c>
      <c r="AD111" s="123">
        <v>0</v>
      </c>
      <c r="AE111" s="123">
        <v>0</v>
      </c>
      <c r="AF111" s="123">
        <v>0</v>
      </c>
      <c r="AG111" s="123">
        <v>0</v>
      </c>
      <c r="AH111" s="123">
        <v>0</v>
      </c>
      <c r="AI111" s="123">
        <v>0</v>
      </c>
      <c r="AJ111" s="123">
        <v>0</v>
      </c>
      <c r="AK111" s="123">
        <v>0</v>
      </c>
      <c r="AL111" s="123">
        <v>0</v>
      </c>
      <c r="AM111" s="123">
        <v>0</v>
      </c>
      <c r="AN111" s="123">
        <v>0</v>
      </c>
      <c r="AO111" s="123">
        <v>0</v>
      </c>
      <c r="AP111" s="123">
        <v>0</v>
      </c>
      <c r="AQ111" s="123">
        <v>0</v>
      </c>
      <c r="AR111" s="123">
        <v>0</v>
      </c>
      <c r="AS111" s="123">
        <v>0</v>
      </c>
      <c r="AT111" s="123">
        <v>0</v>
      </c>
      <c r="AU111" s="123">
        <v>0</v>
      </c>
      <c r="AV111" s="123">
        <v>0</v>
      </c>
      <c r="AW111" s="123">
        <v>0</v>
      </c>
      <c r="AX111" s="123">
        <v>0</v>
      </c>
      <c r="AY111" s="123">
        <v>0</v>
      </c>
    </row>
    <row r="112" spans="1:52" x14ac:dyDescent="0.2">
      <c r="A112" s="126"/>
      <c r="B112" s="136">
        <v>4</v>
      </c>
      <c r="C112" s="123">
        <v>0</v>
      </c>
      <c r="D112" s="123">
        <v>0</v>
      </c>
      <c r="E112" s="123">
        <v>0</v>
      </c>
      <c r="F112" s="123">
        <v>0</v>
      </c>
      <c r="G112" s="123">
        <v>0</v>
      </c>
      <c r="H112" s="123">
        <v>0</v>
      </c>
      <c r="I112" s="123">
        <v>0</v>
      </c>
      <c r="J112" s="123">
        <v>0</v>
      </c>
      <c r="K112" s="123">
        <v>0</v>
      </c>
      <c r="L112" s="123">
        <v>0</v>
      </c>
      <c r="M112" s="123">
        <v>0</v>
      </c>
      <c r="N112" s="123">
        <v>0</v>
      </c>
      <c r="O112" s="123">
        <v>0</v>
      </c>
      <c r="P112" s="123">
        <v>0</v>
      </c>
      <c r="Q112" s="123">
        <v>0</v>
      </c>
      <c r="R112" s="123">
        <v>0</v>
      </c>
      <c r="S112" s="123">
        <v>0</v>
      </c>
      <c r="T112" s="123">
        <v>0</v>
      </c>
      <c r="U112" s="123">
        <v>0</v>
      </c>
      <c r="V112" s="123">
        <v>0</v>
      </c>
      <c r="W112" s="123">
        <v>0</v>
      </c>
      <c r="X112" s="123">
        <v>0</v>
      </c>
      <c r="Y112" s="123">
        <v>0</v>
      </c>
      <c r="Z112" s="123">
        <v>0</v>
      </c>
      <c r="AA112" s="123">
        <v>0</v>
      </c>
      <c r="AB112" s="123">
        <v>0</v>
      </c>
      <c r="AC112" s="123">
        <v>0</v>
      </c>
      <c r="AD112" s="123">
        <v>0</v>
      </c>
      <c r="AE112" s="123">
        <v>0</v>
      </c>
      <c r="AF112" s="123">
        <v>0</v>
      </c>
      <c r="AG112" s="123">
        <v>0</v>
      </c>
      <c r="AH112" s="123">
        <v>0</v>
      </c>
      <c r="AI112" s="123">
        <v>0</v>
      </c>
      <c r="AJ112" s="123">
        <v>0</v>
      </c>
      <c r="AK112" s="123">
        <v>0</v>
      </c>
      <c r="AL112" s="123">
        <v>0</v>
      </c>
      <c r="AM112" s="123">
        <v>0</v>
      </c>
      <c r="AN112" s="123">
        <v>0</v>
      </c>
      <c r="AO112" s="123">
        <v>0</v>
      </c>
      <c r="AP112" s="123">
        <v>0</v>
      </c>
      <c r="AQ112" s="123">
        <v>0</v>
      </c>
      <c r="AR112" s="123">
        <v>0</v>
      </c>
      <c r="AS112" s="123">
        <v>0</v>
      </c>
      <c r="AT112" s="123">
        <v>0</v>
      </c>
      <c r="AU112" s="123">
        <v>0</v>
      </c>
      <c r="AV112" s="123">
        <v>0</v>
      </c>
      <c r="AW112" s="123">
        <v>0</v>
      </c>
      <c r="AX112" s="123">
        <v>0</v>
      </c>
      <c r="AY112" s="123">
        <v>0</v>
      </c>
    </row>
    <row r="113" spans="1:52" x14ac:dyDescent="0.2">
      <c r="A113" s="126"/>
      <c r="B113" s="136">
        <v>5</v>
      </c>
      <c r="C113" s="123">
        <v>0</v>
      </c>
      <c r="D113" s="123">
        <v>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0</v>
      </c>
      <c r="M113" s="123">
        <v>0</v>
      </c>
      <c r="N113" s="123">
        <v>0</v>
      </c>
      <c r="O113" s="123">
        <v>0</v>
      </c>
      <c r="P113" s="123">
        <v>0</v>
      </c>
      <c r="Q113" s="123">
        <v>0</v>
      </c>
      <c r="R113" s="123">
        <v>0</v>
      </c>
      <c r="S113" s="123">
        <v>0</v>
      </c>
      <c r="T113" s="123">
        <v>0</v>
      </c>
      <c r="U113" s="123">
        <v>0</v>
      </c>
      <c r="V113" s="123">
        <v>0</v>
      </c>
      <c r="W113" s="123">
        <v>0</v>
      </c>
      <c r="X113" s="123">
        <v>0</v>
      </c>
      <c r="Y113" s="123">
        <v>0</v>
      </c>
      <c r="Z113" s="123">
        <v>0</v>
      </c>
      <c r="AA113" s="123">
        <v>0</v>
      </c>
      <c r="AB113" s="123">
        <v>0</v>
      </c>
      <c r="AC113" s="123">
        <v>0</v>
      </c>
      <c r="AD113" s="123">
        <v>0</v>
      </c>
      <c r="AE113" s="123">
        <v>0</v>
      </c>
      <c r="AF113" s="123">
        <v>0</v>
      </c>
      <c r="AG113" s="123">
        <v>0</v>
      </c>
      <c r="AH113" s="123">
        <v>0</v>
      </c>
      <c r="AI113" s="123">
        <v>0</v>
      </c>
      <c r="AJ113" s="123">
        <v>0</v>
      </c>
      <c r="AK113" s="123">
        <v>0</v>
      </c>
      <c r="AL113" s="123">
        <v>0</v>
      </c>
      <c r="AM113" s="123">
        <v>0</v>
      </c>
      <c r="AN113" s="123">
        <v>0</v>
      </c>
      <c r="AO113" s="123">
        <v>0</v>
      </c>
      <c r="AP113" s="123">
        <v>0</v>
      </c>
      <c r="AQ113" s="123">
        <v>0</v>
      </c>
      <c r="AR113" s="123">
        <v>0</v>
      </c>
      <c r="AS113" s="123">
        <v>0</v>
      </c>
      <c r="AT113" s="123">
        <v>0</v>
      </c>
      <c r="AU113" s="123">
        <v>0</v>
      </c>
      <c r="AV113" s="123">
        <v>0</v>
      </c>
      <c r="AW113" s="123">
        <v>0</v>
      </c>
      <c r="AX113" s="123">
        <v>0</v>
      </c>
      <c r="AY113" s="123">
        <v>0</v>
      </c>
    </row>
    <row r="114" spans="1:52" x14ac:dyDescent="0.2">
      <c r="A114" s="126"/>
      <c r="B114" s="136">
        <v>6</v>
      </c>
      <c r="C114" s="123">
        <v>0</v>
      </c>
      <c r="D114" s="123">
        <v>0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123">
        <v>0</v>
      </c>
      <c r="O114" s="123">
        <v>0</v>
      </c>
      <c r="P114" s="123">
        <v>0</v>
      </c>
      <c r="Q114" s="123">
        <v>0</v>
      </c>
      <c r="R114" s="123">
        <v>0</v>
      </c>
      <c r="S114" s="123">
        <v>0</v>
      </c>
      <c r="T114" s="123">
        <v>0</v>
      </c>
      <c r="U114" s="123">
        <v>0</v>
      </c>
      <c r="V114" s="123">
        <v>0</v>
      </c>
      <c r="W114" s="123">
        <v>0</v>
      </c>
      <c r="X114" s="123">
        <v>0</v>
      </c>
      <c r="Y114" s="123">
        <v>0</v>
      </c>
      <c r="Z114" s="123">
        <v>0</v>
      </c>
      <c r="AA114" s="123">
        <v>0</v>
      </c>
      <c r="AB114" s="123">
        <v>0</v>
      </c>
      <c r="AC114" s="123">
        <v>0</v>
      </c>
      <c r="AD114" s="123">
        <v>0</v>
      </c>
      <c r="AE114" s="123">
        <v>0</v>
      </c>
      <c r="AF114" s="123">
        <v>0</v>
      </c>
      <c r="AG114" s="123">
        <v>0</v>
      </c>
      <c r="AH114" s="123">
        <v>0</v>
      </c>
      <c r="AI114" s="123">
        <v>0</v>
      </c>
      <c r="AJ114" s="123">
        <v>0</v>
      </c>
      <c r="AK114" s="123">
        <v>0</v>
      </c>
      <c r="AL114" s="123">
        <v>0</v>
      </c>
      <c r="AM114" s="123">
        <v>0</v>
      </c>
      <c r="AN114" s="123">
        <v>0</v>
      </c>
      <c r="AO114" s="123">
        <v>0</v>
      </c>
      <c r="AP114" s="123">
        <v>0</v>
      </c>
      <c r="AQ114" s="123">
        <v>0</v>
      </c>
      <c r="AR114" s="123">
        <v>0</v>
      </c>
      <c r="AS114" s="123">
        <v>0</v>
      </c>
      <c r="AT114" s="123">
        <v>0</v>
      </c>
      <c r="AU114" s="123">
        <v>0</v>
      </c>
      <c r="AV114" s="123">
        <v>0</v>
      </c>
      <c r="AW114" s="123">
        <v>0</v>
      </c>
      <c r="AX114" s="123">
        <v>0</v>
      </c>
      <c r="AY114" s="123">
        <v>0</v>
      </c>
    </row>
    <row r="115" spans="1:52" x14ac:dyDescent="0.2">
      <c r="A115" s="126"/>
      <c r="B115" s="143">
        <v>7</v>
      </c>
      <c r="C115" s="123">
        <v>0</v>
      </c>
      <c r="D115" s="123">
        <v>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123">
        <v>0</v>
      </c>
      <c r="O115" s="123">
        <v>0</v>
      </c>
      <c r="P115" s="123">
        <v>0</v>
      </c>
      <c r="Q115" s="123">
        <v>0</v>
      </c>
      <c r="R115" s="123">
        <v>0</v>
      </c>
      <c r="S115" s="123">
        <v>0</v>
      </c>
      <c r="T115" s="123">
        <v>0</v>
      </c>
      <c r="U115" s="123">
        <v>0</v>
      </c>
      <c r="V115" s="123">
        <v>0</v>
      </c>
      <c r="W115" s="123">
        <v>0</v>
      </c>
      <c r="X115" s="123">
        <v>0</v>
      </c>
      <c r="Y115" s="123">
        <v>0</v>
      </c>
      <c r="Z115" s="123">
        <v>0</v>
      </c>
      <c r="AA115" s="123">
        <v>0</v>
      </c>
      <c r="AB115" s="123">
        <v>0</v>
      </c>
      <c r="AC115" s="123">
        <v>0</v>
      </c>
      <c r="AD115" s="123">
        <v>0</v>
      </c>
      <c r="AE115" s="123">
        <v>0</v>
      </c>
      <c r="AF115" s="123">
        <v>0</v>
      </c>
      <c r="AG115" s="123">
        <v>0</v>
      </c>
      <c r="AH115" s="123">
        <v>0</v>
      </c>
      <c r="AI115" s="123">
        <v>0</v>
      </c>
      <c r="AJ115" s="123">
        <v>0</v>
      </c>
      <c r="AK115" s="123">
        <v>0</v>
      </c>
      <c r="AL115" s="123">
        <v>0</v>
      </c>
      <c r="AM115" s="123">
        <v>0</v>
      </c>
      <c r="AN115" s="123">
        <v>0</v>
      </c>
      <c r="AO115" s="123">
        <v>0</v>
      </c>
      <c r="AP115" s="123">
        <v>0</v>
      </c>
      <c r="AQ115" s="123">
        <v>0</v>
      </c>
      <c r="AR115" s="123">
        <v>0</v>
      </c>
      <c r="AS115" s="123">
        <v>0</v>
      </c>
      <c r="AT115" s="123">
        <v>0</v>
      </c>
      <c r="AU115" s="123">
        <v>0</v>
      </c>
      <c r="AV115" s="123">
        <v>0</v>
      </c>
      <c r="AW115" s="123">
        <v>0</v>
      </c>
      <c r="AX115" s="123">
        <v>0</v>
      </c>
      <c r="AY115" s="123">
        <v>0</v>
      </c>
    </row>
    <row r="116" spans="1:52" x14ac:dyDescent="0.2">
      <c r="A116" s="126"/>
      <c r="B116" s="143">
        <v>8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3">
        <v>0</v>
      </c>
      <c r="AP116" s="123">
        <v>0</v>
      </c>
      <c r="AQ116" s="123">
        <v>0</v>
      </c>
      <c r="AR116" s="123">
        <v>0</v>
      </c>
      <c r="AS116" s="123">
        <v>0</v>
      </c>
      <c r="AT116" s="123">
        <v>0</v>
      </c>
      <c r="AU116" s="123">
        <v>0</v>
      </c>
      <c r="AV116" s="123">
        <v>0</v>
      </c>
      <c r="AW116" s="123">
        <v>0</v>
      </c>
      <c r="AX116" s="123">
        <v>0</v>
      </c>
      <c r="AY116" s="123">
        <v>0</v>
      </c>
    </row>
    <row r="117" spans="1:52" x14ac:dyDescent="0.2">
      <c r="A117" s="126"/>
      <c r="B117" s="143">
        <v>9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3">
        <v>0</v>
      </c>
      <c r="AP117" s="123">
        <v>0</v>
      </c>
      <c r="AQ117" s="123">
        <v>0</v>
      </c>
      <c r="AR117" s="123">
        <v>0</v>
      </c>
      <c r="AS117" s="123">
        <v>0</v>
      </c>
      <c r="AT117" s="123">
        <v>0</v>
      </c>
      <c r="AU117" s="123">
        <v>0</v>
      </c>
      <c r="AV117" s="123">
        <v>0</v>
      </c>
      <c r="AW117" s="123">
        <v>0</v>
      </c>
      <c r="AX117" s="123">
        <v>0</v>
      </c>
      <c r="AY117" s="123">
        <v>0</v>
      </c>
    </row>
    <row r="118" spans="1:52" x14ac:dyDescent="0.2">
      <c r="A118" s="126"/>
      <c r="B118" s="146">
        <v>10</v>
      </c>
      <c r="C118" s="123">
        <v>0</v>
      </c>
      <c r="D118" s="123">
        <v>0</v>
      </c>
      <c r="E118" s="123">
        <v>0</v>
      </c>
      <c r="F118" s="123">
        <v>0</v>
      </c>
      <c r="G118" s="123">
        <v>0</v>
      </c>
      <c r="H118" s="123">
        <v>0</v>
      </c>
      <c r="I118" s="123">
        <v>0</v>
      </c>
      <c r="J118" s="123">
        <v>0</v>
      </c>
      <c r="K118" s="123">
        <v>0</v>
      </c>
      <c r="L118" s="123">
        <v>0</v>
      </c>
      <c r="M118" s="123">
        <v>0</v>
      </c>
      <c r="N118" s="123">
        <v>0</v>
      </c>
      <c r="O118" s="123">
        <v>0</v>
      </c>
      <c r="P118" s="123">
        <v>0</v>
      </c>
      <c r="Q118" s="123">
        <v>0</v>
      </c>
      <c r="R118" s="123">
        <v>0</v>
      </c>
      <c r="S118" s="123">
        <v>0</v>
      </c>
      <c r="T118" s="123">
        <v>0</v>
      </c>
      <c r="U118" s="123">
        <v>0</v>
      </c>
      <c r="V118" s="123">
        <v>0</v>
      </c>
      <c r="W118" s="123">
        <v>0</v>
      </c>
      <c r="X118" s="123">
        <v>0</v>
      </c>
      <c r="Y118" s="123">
        <v>0</v>
      </c>
      <c r="Z118" s="123">
        <v>0</v>
      </c>
      <c r="AA118" s="123">
        <v>0</v>
      </c>
      <c r="AB118" s="123">
        <v>0</v>
      </c>
      <c r="AC118" s="123">
        <v>0</v>
      </c>
      <c r="AD118" s="123">
        <v>0</v>
      </c>
      <c r="AE118" s="123">
        <v>0</v>
      </c>
      <c r="AF118" s="123">
        <v>0</v>
      </c>
      <c r="AG118" s="123">
        <v>0</v>
      </c>
      <c r="AH118" s="123">
        <v>0</v>
      </c>
      <c r="AI118" s="123">
        <v>0</v>
      </c>
      <c r="AJ118" s="123">
        <v>0</v>
      </c>
      <c r="AK118" s="123">
        <v>0</v>
      </c>
      <c r="AL118" s="123">
        <v>0</v>
      </c>
      <c r="AM118" s="123">
        <v>0</v>
      </c>
      <c r="AN118" s="123">
        <v>0</v>
      </c>
      <c r="AO118" s="123">
        <v>0</v>
      </c>
      <c r="AP118" s="123">
        <v>0</v>
      </c>
      <c r="AQ118" s="123">
        <v>0</v>
      </c>
      <c r="AR118" s="123">
        <v>0</v>
      </c>
      <c r="AS118" s="123">
        <v>0</v>
      </c>
      <c r="AT118" s="123">
        <v>0</v>
      </c>
      <c r="AU118" s="123">
        <v>0</v>
      </c>
      <c r="AV118" s="123">
        <v>0</v>
      </c>
      <c r="AW118" s="123">
        <v>0</v>
      </c>
      <c r="AX118" s="123">
        <v>0</v>
      </c>
      <c r="AY118" s="123">
        <v>0</v>
      </c>
    </row>
    <row r="119" spans="1:52" x14ac:dyDescent="0.2">
      <c r="A119" s="126"/>
      <c r="B119" s="146">
        <v>11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0</v>
      </c>
      <c r="L119" s="123">
        <v>0</v>
      </c>
      <c r="M119" s="123">
        <v>0</v>
      </c>
      <c r="N119" s="123">
        <v>0</v>
      </c>
      <c r="O119" s="123">
        <v>0</v>
      </c>
      <c r="P119" s="123">
        <v>0</v>
      </c>
      <c r="Q119" s="123">
        <v>0</v>
      </c>
      <c r="R119" s="123">
        <v>0</v>
      </c>
      <c r="S119" s="123">
        <v>0</v>
      </c>
      <c r="T119" s="123">
        <v>0</v>
      </c>
      <c r="U119" s="123">
        <v>0</v>
      </c>
      <c r="V119" s="123">
        <v>0</v>
      </c>
      <c r="W119" s="123">
        <v>0</v>
      </c>
      <c r="X119" s="123">
        <v>0</v>
      </c>
      <c r="Y119" s="123">
        <v>0</v>
      </c>
      <c r="Z119" s="123">
        <v>0</v>
      </c>
      <c r="AA119" s="123">
        <v>0</v>
      </c>
      <c r="AB119" s="123">
        <v>0</v>
      </c>
      <c r="AC119" s="123">
        <v>0</v>
      </c>
      <c r="AD119" s="123">
        <v>0</v>
      </c>
      <c r="AE119" s="123">
        <v>0</v>
      </c>
      <c r="AF119" s="123">
        <v>0</v>
      </c>
      <c r="AG119" s="123">
        <v>0</v>
      </c>
      <c r="AH119" s="123">
        <v>0</v>
      </c>
      <c r="AI119" s="123">
        <v>0</v>
      </c>
      <c r="AJ119" s="123">
        <v>0</v>
      </c>
      <c r="AK119" s="123">
        <v>0</v>
      </c>
      <c r="AL119" s="123">
        <v>0</v>
      </c>
      <c r="AM119" s="123">
        <v>0</v>
      </c>
      <c r="AN119" s="123">
        <v>0</v>
      </c>
      <c r="AO119" s="123">
        <v>0</v>
      </c>
      <c r="AP119" s="123">
        <v>0</v>
      </c>
      <c r="AQ119" s="123">
        <v>0</v>
      </c>
      <c r="AR119" s="123">
        <v>0</v>
      </c>
      <c r="AS119" s="123">
        <v>0</v>
      </c>
      <c r="AT119" s="123">
        <v>0</v>
      </c>
      <c r="AU119" s="123">
        <v>0</v>
      </c>
      <c r="AV119" s="123">
        <v>0</v>
      </c>
      <c r="AW119" s="123">
        <v>0</v>
      </c>
      <c r="AX119" s="123">
        <v>0</v>
      </c>
      <c r="AY119" s="123">
        <v>0</v>
      </c>
    </row>
    <row r="120" spans="1:52" x14ac:dyDescent="0.2">
      <c r="A120" s="126"/>
      <c r="B120" s="146">
        <v>12</v>
      </c>
      <c r="C120" s="123">
        <v>0</v>
      </c>
      <c r="D120" s="123">
        <v>0</v>
      </c>
      <c r="E120" s="123">
        <v>0</v>
      </c>
      <c r="F120" s="123">
        <v>0</v>
      </c>
      <c r="G120" s="123">
        <v>0</v>
      </c>
      <c r="H120" s="123">
        <v>0</v>
      </c>
      <c r="I120" s="123">
        <v>0</v>
      </c>
      <c r="J120" s="123">
        <v>0</v>
      </c>
      <c r="K120" s="123">
        <v>0</v>
      </c>
      <c r="L120" s="123">
        <v>0</v>
      </c>
      <c r="M120" s="123">
        <v>0</v>
      </c>
      <c r="N120" s="123">
        <v>0</v>
      </c>
      <c r="O120" s="123">
        <v>0</v>
      </c>
      <c r="P120" s="123">
        <v>0</v>
      </c>
      <c r="Q120" s="123">
        <v>0</v>
      </c>
      <c r="R120" s="123">
        <v>0</v>
      </c>
      <c r="S120" s="123">
        <v>0</v>
      </c>
      <c r="T120" s="123">
        <v>0</v>
      </c>
      <c r="U120" s="123">
        <v>0</v>
      </c>
      <c r="V120" s="123">
        <v>0</v>
      </c>
      <c r="W120" s="123">
        <v>0</v>
      </c>
      <c r="X120" s="123">
        <v>0</v>
      </c>
      <c r="Y120" s="123">
        <v>0</v>
      </c>
      <c r="Z120" s="123">
        <v>0</v>
      </c>
      <c r="AA120" s="123">
        <v>0</v>
      </c>
      <c r="AB120" s="123">
        <v>0</v>
      </c>
      <c r="AC120" s="123">
        <v>0</v>
      </c>
      <c r="AD120" s="123">
        <v>0</v>
      </c>
      <c r="AE120" s="123">
        <v>0</v>
      </c>
      <c r="AF120" s="123">
        <v>0</v>
      </c>
      <c r="AG120" s="123">
        <v>0</v>
      </c>
      <c r="AH120" s="123">
        <v>0</v>
      </c>
      <c r="AI120" s="123">
        <v>0</v>
      </c>
      <c r="AJ120" s="123">
        <v>0</v>
      </c>
      <c r="AK120" s="123">
        <v>0</v>
      </c>
      <c r="AL120" s="123">
        <v>0</v>
      </c>
      <c r="AM120" s="123">
        <v>0</v>
      </c>
      <c r="AN120" s="123">
        <v>0</v>
      </c>
      <c r="AO120" s="123">
        <v>0</v>
      </c>
      <c r="AP120" s="123">
        <v>0</v>
      </c>
      <c r="AQ120" s="123">
        <v>0</v>
      </c>
      <c r="AR120" s="123">
        <v>0</v>
      </c>
      <c r="AS120" s="123">
        <v>0</v>
      </c>
      <c r="AT120" s="123">
        <v>0</v>
      </c>
      <c r="AU120" s="123">
        <v>0</v>
      </c>
      <c r="AV120" s="123">
        <v>0</v>
      </c>
      <c r="AW120" s="123">
        <v>0</v>
      </c>
      <c r="AX120" s="123">
        <v>0</v>
      </c>
      <c r="AY120" s="123">
        <v>0</v>
      </c>
    </row>
    <row r="121" spans="1:52" x14ac:dyDescent="0.2">
      <c r="A121" s="144"/>
      <c r="B121" s="148" t="s">
        <v>296</v>
      </c>
      <c r="C121" s="130">
        <v>0</v>
      </c>
      <c r="D121" s="141">
        <v>0</v>
      </c>
      <c r="E121" s="141">
        <v>0</v>
      </c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>
        <v>0</v>
      </c>
      <c r="M121" s="141">
        <v>0</v>
      </c>
      <c r="N121" s="141">
        <v>0</v>
      </c>
      <c r="O121" s="141">
        <v>0</v>
      </c>
      <c r="P121" s="141">
        <v>0</v>
      </c>
      <c r="Q121" s="141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141">
        <v>0</v>
      </c>
      <c r="X121" s="141">
        <v>0</v>
      </c>
      <c r="Y121" s="141">
        <v>0</v>
      </c>
      <c r="Z121" s="141">
        <v>0</v>
      </c>
      <c r="AA121" s="141">
        <v>0</v>
      </c>
      <c r="AB121" s="141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141">
        <v>0</v>
      </c>
      <c r="AI121" s="141">
        <v>0</v>
      </c>
      <c r="AJ121" s="141">
        <v>0</v>
      </c>
      <c r="AK121" s="141">
        <v>0</v>
      </c>
      <c r="AL121" s="141">
        <v>0</v>
      </c>
      <c r="AM121" s="141">
        <v>0</v>
      </c>
      <c r="AN121" s="141">
        <v>0</v>
      </c>
      <c r="AO121" s="141">
        <v>0</v>
      </c>
      <c r="AP121" s="141">
        <v>0</v>
      </c>
      <c r="AQ121" s="141">
        <v>0</v>
      </c>
      <c r="AR121" s="141">
        <v>0</v>
      </c>
      <c r="AS121" s="141">
        <v>0</v>
      </c>
      <c r="AT121" s="141">
        <v>0</v>
      </c>
      <c r="AU121" s="141">
        <v>0</v>
      </c>
      <c r="AV121" s="141">
        <v>0</v>
      </c>
      <c r="AW121" s="141">
        <v>0</v>
      </c>
      <c r="AX121" s="141">
        <v>0</v>
      </c>
      <c r="AY121" s="141">
        <v>0</v>
      </c>
      <c r="AZ121" s="124">
        <f>SUM($D121:$AY121)</f>
        <v>0</v>
      </c>
    </row>
    <row r="122" spans="1:52" x14ac:dyDescent="0.2">
      <c r="A122" s="147" t="s">
        <v>123</v>
      </c>
      <c r="B122" s="135">
        <v>1</v>
      </c>
      <c r="C122" s="123">
        <v>0</v>
      </c>
      <c r="D122" s="123">
        <v>19882.4175</v>
      </c>
      <c r="E122" s="123">
        <v>19882.4175</v>
      </c>
      <c r="F122" s="123">
        <v>19882.4175</v>
      </c>
      <c r="G122" s="123">
        <v>19882.4175</v>
      </c>
      <c r="H122" s="123">
        <v>17673.259999999998</v>
      </c>
      <c r="I122" s="123">
        <v>17673.259999999998</v>
      </c>
      <c r="J122" s="123">
        <v>17673.259999999998</v>
      </c>
      <c r="K122" s="123">
        <v>17673.259999999998</v>
      </c>
      <c r="L122" s="123">
        <v>17673.259999999998</v>
      </c>
      <c r="M122" s="123">
        <v>17673.259999999998</v>
      </c>
      <c r="N122" s="123">
        <v>17673.259999999998</v>
      </c>
      <c r="O122" s="123">
        <v>17673.259999999998</v>
      </c>
      <c r="P122" s="123">
        <v>19882.4175</v>
      </c>
      <c r="Q122" s="123">
        <v>19882.4175</v>
      </c>
      <c r="R122" s="123">
        <v>19882.4175</v>
      </c>
      <c r="S122" s="123">
        <v>19882.4175</v>
      </c>
      <c r="T122" s="123">
        <v>17673.259999999998</v>
      </c>
      <c r="U122" s="123">
        <v>17673.259999999998</v>
      </c>
      <c r="V122" s="123">
        <v>17673.259999999998</v>
      </c>
      <c r="W122" s="123">
        <v>17673.259999999998</v>
      </c>
      <c r="X122" s="123">
        <v>17673.259999999998</v>
      </c>
      <c r="Y122" s="123">
        <v>17673.259999999998</v>
      </c>
      <c r="Z122" s="123">
        <v>17673.259999999998</v>
      </c>
      <c r="AA122" s="123">
        <v>17673.259999999998</v>
      </c>
      <c r="AB122" s="123">
        <v>19882.4175</v>
      </c>
      <c r="AC122" s="123">
        <v>19882.4175</v>
      </c>
      <c r="AD122" s="123">
        <v>19882.4175</v>
      </c>
      <c r="AE122" s="123">
        <v>19882.4175</v>
      </c>
      <c r="AF122" s="123">
        <v>17673.259999999998</v>
      </c>
      <c r="AG122" s="123">
        <v>17673.259999999998</v>
      </c>
      <c r="AH122" s="123">
        <v>17673.259999999998</v>
      </c>
      <c r="AI122" s="123">
        <v>17673.259999999998</v>
      </c>
      <c r="AJ122" s="123">
        <v>17673.259999999998</v>
      </c>
      <c r="AK122" s="123">
        <v>17673.259999999998</v>
      </c>
      <c r="AL122" s="123">
        <v>17673.259999999998</v>
      </c>
      <c r="AM122" s="123">
        <v>17673.259999999998</v>
      </c>
      <c r="AN122" s="123">
        <v>19882.4175</v>
      </c>
      <c r="AO122" s="123">
        <v>19882.4175</v>
      </c>
      <c r="AP122" s="123">
        <v>19882.4175</v>
      </c>
      <c r="AQ122" s="123">
        <v>19882.4175</v>
      </c>
      <c r="AR122" s="123">
        <v>17673.259999999998</v>
      </c>
      <c r="AS122" s="123">
        <v>17673.259999999998</v>
      </c>
      <c r="AT122" s="123">
        <v>17673.259999999998</v>
      </c>
      <c r="AU122" s="123">
        <v>17673.259999999998</v>
      </c>
      <c r="AV122" s="123">
        <v>17673.259999999998</v>
      </c>
      <c r="AW122" s="123">
        <v>17673.259999999998</v>
      </c>
      <c r="AX122" s="123">
        <v>17673.259999999998</v>
      </c>
      <c r="AY122" s="123">
        <v>17673.259999999998</v>
      </c>
    </row>
    <row r="123" spans="1:52" x14ac:dyDescent="0.2">
      <c r="A123" s="126"/>
      <c r="B123" s="135">
        <v>2</v>
      </c>
      <c r="C123" s="123">
        <v>0</v>
      </c>
      <c r="D123" s="123">
        <v>0</v>
      </c>
      <c r="E123" s="123">
        <v>12832.496302311336</v>
      </c>
      <c r="F123" s="123">
        <v>13658.496302311336</v>
      </c>
      <c r="G123" s="123">
        <v>13658.496302311336</v>
      </c>
      <c r="H123" s="123">
        <v>13658.496302311336</v>
      </c>
      <c r="I123" s="123">
        <v>12140.885602054521</v>
      </c>
      <c r="J123" s="123">
        <v>12140.885602054521</v>
      </c>
      <c r="K123" s="123">
        <v>12140.885602054521</v>
      </c>
      <c r="L123" s="123">
        <v>12140.885602054521</v>
      </c>
      <c r="M123" s="123">
        <v>12140.885602054521</v>
      </c>
      <c r="N123" s="123">
        <v>12140.885602054521</v>
      </c>
      <c r="O123" s="123">
        <v>12140.885602054521</v>
      </c>
      <c r="P123" s="123">
        <v>12140.885602054521</v>
      </c>
      <c r="Q123" s="123">
        <v>13658.496302311336</v>
      </c>
      <c r="R123" s="123">
        <v>13658.496302311336</v>
      </c>
      <c r="S123" s="123">
        <v>13658.496302311336</v>
      </c>
      <c r="T123" s="123">
        <v>13658.496302311336</v>
      </c>
      <c r="U123" s="123">
        <v>12140.885602054521</v>
      </c>
      <c r="V123" s="123">
        <v>12140.885602054521</v>
      </c>
      <c r="W123" s="123">
        <v>12140.885602054521</v>
      </c>
      <c r="X123" s="123">
        <v>12140.885602054521</v>
      </c>
      <c r="Y123" s="123">
        <v>12140.885602054521</v>
      </c>
      <c r="Z123" s="123">
        <v>12140.885602054521</v>
      </c>
      <c r="AA123" s="123">
        <v>12140.885602054521</v>
      </c>
      <c r="AB123" s="123">
        <v>12140.885602054521</v>
      </c>
      <c r="AC123" s="123">
        <v>13658.496302311336</v>
      </c>
      <c r="AD123" s="123">
        <v>13658.496302311336</v>
      </c>
      <c r="AE123" s="123">
        <v>13658.496302311336</v>
      </c>
      <c r="AF123" s="123">
        <v>13658.496302311336</v>
      </c>
      <c r="AG123" s="123">
        <v>12140.885602054521</v>
      </c>
      <c r="AH123" s="123">
        <v>12140.885602054521</v>
      </c>
      <c r="AI123" s="123">
        <v>12140.885602054521</v>
      </c>
      <c r="AJ123" s="123">
        <v>12140.885602054521</v>
      </c>
      <c r="AK123" s="123">
        <v>12140.885602054521</v>
      </c>
      <c r="AL123" s="123">
        <v>12140.885602054521</v>
      </c>
      <c r="AM123" s="123">
        <v>12140.885602054521</v>
      </c>
      <c r="AN123" s="123">
        <v>12140.885602054521</v>
      </c>
      <c r="AO123" s="123">
        <v>13658.496302311336</v>
      </c>
      <c r="AP123" s="123">
        <v>13658.496302311336</v>
      </c>
      <c r="AQ123" s="123">
        <v>13658.496302311336</v>
      </c>
      <c r="AR123" s="123">
        <v>13658.496302311336</v>
      </c>
      <c r="AS123" s="123">
        <v>12140.885602054521</v>
      </c>
      <c r="AT123" s="123">
        <v>12140.885602054521</v>
      </c>
      <c r="AU123" s="123">
        <v>12140.885602054521</v>
      </c>
      <c r="AV123" s="123">
        <v>12140.885602054521</v>
      </c>
      <c r="AW123" s="123">
        <v>12140.885602054521</v>
      </c>
      <c r="AX123" s="123">
        <v>12140.885602054521</v>
      </c>
      <c r="AY123" s="123">
        <v>12140.885602054521</v>
      </c>
    </row>
    <row r="124" spans="1:52" x14ac:dyDescent="0.2">
      <c r="A124" s="126"/>
      <c r="B124" s="135">
        <v>3</v>
      </c>
      <c r="C124" s="123">
        <v>0</v>
      </c>
      <c r="D124" s="123">
        <v>0</v>
      </c>
      <c r="E124" s="123">
        <v>0</v>
      </c>
      <c r="F124" s="123">
        <v>8006.4573403633276</v>
      </c>
      <c r="G124" s="123">
        <v>9382.8892407199692</v>
      </c>
      <c r="H124" s="123">
        <v>9382.8892407199692</v>
      </c>
      <c r="I124" s="123">
        <v>9382.8892407199692</v>
      </c>
      <c r="J124" s="123">
        <v>8340.3459917510845</v>
      </c>
      <c r="K124" s="123">
        <v>8340.3459917510845</v>
      </c>
      <c r="L124" s="123">
        <v>8340.3459917510845</v>
      </c>
      <c r="M124" s="123">
        <v>8340.3459917510845</v>
      </c>
      <c r="N124" s="123">
        <v>8340.3459917510845</v>
      </c>
      <c r="O124" s="123">
        <v>8340.3459917510845</v>
      </c>
      <c r="P124" s="123">
        <v>8340.3459917510845</v>
      </c>
      <c r="Q124" s="123">
        <v>8340.3459917510845</v>
      </c>
      <c r="R124" s="123">
        <v>9382.8892407199692</v>
      </c>
      <c r="S124" s="123">
        <v>9382.8892407199692</v>
      </c>
      <c r="T124" s="123">
        <v>9382.8892407199692</v>
      </c>
      <c r="U124" s="123">
        <v>9382.8892407199692</v>
      </c>
      <c r="V124" s="123">
        <v>8340.3459917510845</v>
      </c>
      <c r="W124" s="123">
        <v>8340.3459917510845</v>
      </c>
      <c r="X124" s="123">
        <v>8340.3459917510845</v>
      </c>
      <c r="Y124" s="123">
        <v>8340.3459917510845</v>
      </c>
      <c r="Z124" s="123">
        <v>8340.3459917510845</v>
      </c>
      <c r="AA124" s="123">
        <v>8340.3459917510845</v>
      </c>
      <c r="AB124" s="123">
        <v>8340.3459917510845</v>
      </c>
      <c r="AC124" s="123">
        <v>8340.3459917510845</v>
      </c>
      <c r="AD124" s="123">
        <v>9382.8892407199692</v>
      </c>
      <c r="AE124" s="123">
        <v>9382.8892407199692</v>
      </c>
      <c r="AF124" s="123">
        <v>9382.8892407199692</v>
      </c>
      <c r="AG124" s="123">
        <v>9382.8892407199692</v>
      </c>
      <c r="AH124" s="123">
        <v>8340.3459917510845</v>
      </c>
      <c r="AI124" s="123">
        <v>8340.3459917510845</v>
      </c>
      <c r="AJ124" s="123">
        <v>8340.3459917510845</v>
      </c>
      <c r="AK124" s="123">
        <v>8340.3459917510845</v>
      </c>
      <c r="AL124" s="123">
        <v>8340.3459917510845</v>
      </c>
      <c r="AM124" s="123">
        <v>8340.3459917510845</v>
      </c>
      <c r="AN124" s="123">
        <v>8340.3459917510845</v>
      </c>
      <c r="AO124" s="123">
        <v>8340.3459917510845</v>
      </c>
      <c r="AP124" s="123">
        <v>9382.8892407199692</v>
      </c>
      <c r="AQ124" s="123">
        <v>9382.8892407199692</v>
      </c>
      <c r="AR124" s="123">
        <v>9382.8892407199692</v>
      </c>
      <c r="AS124" s="123">
        <v>9382.8892407199692</v>
      </c>
      <c r="AT124" s="123">
        <v>8340.3459917510845</v>
      </c>
      <c r="AU124" s="123">
        <v>8340.3459917510845</v>
      </c>
      <c r="AV124" s="123">
        <v>8340.3459917510845</v>
      </c>
      <c r="AW124" s="123">
        <v>8340.3459917510845</v>
      </c>
      <c r="AX124" s="123">
        <v>8340.3459917510845</v>
      </c>
      <c r="AY124" s="123">
        <v>8340.3459917510845</v>
      </c>
    </row>
    <row r="125" spans="1:52" x14ac:dyDescent="0.2">
      <c r="A125" s="126"/>
      <c r="B125" s="135">
        <v>4</v>
      </c>
      <c r="C125" s="123">
        <v>0</v>
      </c>
      <c r="D125" s="123">
        <v>0</v>
      </c>
      <c r="E125" s="123">
        <v>0</v>
      </c>
      <c r="F125" s="123">
        <v>0</v>
      </c>
      <c r="G125" s="123">
        <v>76.19695696870167</v>
      </c>
      <c r="H125" s="123">
        <v>2285.3544569687019</v>
      </c>
      <c r="I125" s="123">
        <v>3802.9651572255098</v>
      </c>
      <c r="J125" s="123">
        <v>4845.5084061943908</v>
      </c>
      <c r="K125" s="123">
        <v>4845.5084061943871</v>
      </c>
      <c r="L125" s="123">
        <v>4845.5084061943908</v>
      </c>
      <c r="M125" s="123">
        <v>4845.5084061943871</v>
      </c>
      <c r="N125" s="123">
        <v>4845.508406194389</v>
      </c>
      <c r="O125" s="123">
        <v>4845.5084061943926</v>
      </c>
      <c r="P125" s="123">
        <v>2636.3509061943914</v>
      </c>
      <c r="Q125" s="123">
        <v>1118.7402059375827</v>
      </c>
      <c r="R125" s="123">
        <v>76.196956968694394</v>
      </c>
      <c r="S125" s="123">
        <v>76.196956968697123</v>
      </c>
      <c r="T125" s="123">
        <v>2285.3544569687056</v>
      </c>
      <c r="U125" s="123">
        <v>3802.9651572255088</v>
      </c>
      <c r="V125" s="123">
        <v>4845.5084061943899</v>
      </c>
      <c r="W125" s="123">
        <v>4845.5084061943871</v>
      </c>
      <c r="X125" s="123">
        <v>4845.5084061943908</v>
      </c>
      <c r="Y125" s="123">
        <v>4845.5084061943871</v>
      </c>
      <c r="Z125" s="123">
        <v>4845.5084061943908</v>
      </c>
      <c r="AA125" s="123">
        <v>4845.5084061943871</v>
      </c>
      <c r="AB125" s="123">
        <v>2636.350906194386</v>
      </c>
      <c r="AC125" s="123">
        <v>1118.7402059375845</v>
      </c>
      <c r="AD125" s="123">
        <v>76.196956968698942</v>
      </c>
      <c r="AE125" s="123">
        <v>76.196956968691666</v>
      </c>
      <c r="AF125" s="123">
        <v>2285.3544569687001</v>
      </c>
      <c r="AG125" s="123">
        <v>3802.9651572255088</v>
      </c>
      <c r="AH125" s="123">
        <v>4845.5084061943899</v>
      </c>
      <c r="AI125" s="123">
        <v>4845.5084061943871</v>
      </c>
      <c r="AJ125" s="123">
        <v>4845.5084061943908</v>
      </c>
      <c r="AK125" s="123">
        <v>4845.5084061943871</v>
      </c>
      <c r="AL125" s="123">
        <v>4845.5084061943908</v>
      </c>
      <c r="AM125" s="123">
        <v>4845.5084061943871</v>
      </c>
      <c r="AN125" s="123">
        <v>2636.350906194386</v>
      </c>
      <c r="AO125" s="123">
        <v>1118.7402059375845</v>
      </c>
      <c r="AP125" s="123">
        <v>76.19695696870258</v>
      </c>
      <c r="AQ125" s="123">
        <v>76.196956968700761</v>
      </c>
      <c r="AR125" s="123">
        <v>2285.354456968701</v>
      </c>
      <c r="AS125" s="123">
        <v>3802.965157225502</v>
      </c>
      <c r="AT125" s="123">
        <v>4845.5084061943908</v>
      </c>
      <c r="AU125" s="123">
        <v>4845.5084061943871</v>
      </c>
      <c r="AV125" s="123">
        <v>4845.5084061943908</v>
      </c>
      <c r="AW125" s="123">
        <v>4845.5084061943853</v>
      </c>
      <c r="AX125" s="123">
        <v>4845.5084061943926</v>
      </c>
      <c r="AY125" s="123">
        <v>4845.5084061943853</v>
      </c>
    </row>
    <row r="126" spans="1:52" x14ac:dyDescent="0.2">
      <c r="A126" s="126"/>
      <c r="B126" s="135">
        <v>5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3">
        <v>0</v>
      </c>
      <c r="AP126" s="123">
        <v>0</v>
      </c>
      <c r="AQ126" s="123">
        <v>0</v>
      </c>
      <c r="AR126" s="123">
        <v>0</v>
      </c>
      <c r="AS126" s="123">
        <v>0</v>
      </c>
      <c r="AT126" s="123">
        <v>0</v>
      </c>
      <c r="AU126" s="123">
        <v>0</v>
      </c>
      <c r="AV126" s="123">
        <v>0</v>
      </c>
      <c r="AW126" s="123">
        <v>0</v>
      </c>
      <c r="AX126" s="123">
        <v>0</v>
      </c>
      <c r="AY126" s="123">
        <v>0</v>
      </c>
    </row>
    <row r="127" spans="1:52" x14ac:dyDescent="0.2">
      <c r="A127" s="126"/>
      <c r="B127" s="135">
        <v>6</v>
      </c>
      <c r="C127" s="123">
        <v>0</v>
      </c>
      <c r="D127" s="123">
        <v>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123">
        <v>0</v>
      </c>
      <c r="O127" s="123">
        <v>0</v>
      </c>
      <c r="P127" s="123">
        <v>0</v>
      </c>
      <c r="Q127" s="123">
        <v>0</v>
      </c>
      <c r="R127" s="123">
        <v>0</v>
      </c>
      <c r="S127" s="123">
        <v>0</v>
      </c>
      <c r="T127" s="123">
        <v>0</v>
      </c>
      <c r="U127" s="123">
        <v>0</v>
      </c>
      <c r="V127" s="123">
        <v>0</v>
      </c>
      <c r="W127" s="123">
        <v>0</v>
      </c>
      <c r="X127" s="123">
        <v>0</v>
      </c>
      <c r="Y127" s="123">
        <v>0</v>
      </c>
      <c r="Z127" s="123">
        <v>0</v>
      </c>
      <c r="AA127" s="123">
        <v>0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0</v>
      </c>
      <c r="AQ127" s="123">
        <v>0</v>
      </c>
      <c r="AR127" s="123">
        <v>0</v>
      </c>
      <c r="AS127" s="123">
        <v>0</v>
      </c>
      <c r="AT127" s="123">
        <v>0</v>
      </c>
      <c r="AU127" s="123">
        <v>0</v>
      </c>
      <c r="AV127" s="123">
        <v>0</v>
      </c>
      <c r="AW127" s="123">
        <v>0</v>
      </c>
      <c r="AX127" s="123">
        <v>0</v>
      </c>
      <c r="AY127" s="123">
        <v>0</v>
      </c>
    </row>
    <row r="128" spans="1:52" x14ac:dyDescent="0.2">
      <c r="A128" s="126"/>
      <c r="B128" s="135">
        <v>7</v>
      </c>
      <c r="C128" s="123">
        <v>0</v>
      </c>
      <c r="D128" s="123">
        <v>0</v>
      </c>
      <c r="E128" s="123">
        <v>0</v>
      </c>
      <c r="F128" s="123">
        <v>0</v>
      </c>
      <c r="G128" s="123">
        <v>0</v>
      </c>
      <c r="H128" s="123">
        <v>0</v>
      </c>
      <c r="I128" s="123">
        <v>0</v>
      </c>
      <c r="J128" s="123">
        <v>0</v>
      </c>
      <c r="K128" s="123">
        <v>0</v>
      </c>
      <c r="L128" s="123">
        <v>0</v>
      </c>
      <c r="M128" s="123">
        <v>0</v>
      </c>
      <c r="N128" s="123">
        <v>0</v>
      </c>
      <c r="O128" s="123">
        <v>0</v>
      </c>
      <c r="P128" s="123">
        <v>0</v>
      </c>
      <c r="Q128" s="123">
        <v>0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0</v>
      </c>
      <c r="AW128" s="123">
        <v>0</v>
      </c>
      <c r="AX128" s="123">
        <v>0</v>
      </c>
      <c r="AY128" s="123">
        <v>0</v>
      </c>
    </row>
    <row r="129" spans="1:51" x14ac:dyDescent="0.2">
      <c r="A129" s="126"/>
      <c r="B129" s="135">
        <v>8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</row>
    <row r="130" spans="1:51" x14ac:dyDescent="0.2">
      <c r="A130" s="126"/>
      <c r="B130" s="135">
        <v>9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</row>
    <row r="131" spans="1:51" x14ac:dyDescent="0.2">
      <c r="A131" s="126"/>
      <c r="B131" s="135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</row>
    <row r="132" spans="1:51" x14ac:dyDescent="0.2">
      <c r="A132" s="126"/>
      <c r="B132" s="135">
        <v>11</v>
      </c>
      <c r="C132" s="123">
        <v>0</v>
      </c>
      <c r="D132" s="123">
        <v>0</v>
      </c>
      <c r="E132" s="123">
        <v>0</v>
      </c>
      <c r="F132" s="123">
        <v>0</v>
      </c>
      <c r="G132" s="123">
        <v>0</v>
      </c>
      <c r="H132" s="123">
        <v>0</v>
      </c>
      <c r="I132" s="123">
        <v>0</v>
      </c>
      <c r="J132" s="123">
        <v>0</v>
      </c>
      <c r="K132" s="123">
        <v>0</v>
      </c>
      <c r="L132" s="123">
        <v>0</v>
      </c>
      <c r="M132" s="123">
        <v>0</v>
      </c>
      <c r="N132" s="123">
        <v>0</v>
      </c>
      <c r="O132" s="123">
        <v>0</v>
      </c>
      <c r="P132" s="123">
        <v>0</v>
      </c>
      <c r="Q132" s="123">
        <v>0</v>
      </c>
      <c r="R132" s="123">
        <v>0</v>
      </c>
      <c r="S132" s="123">
        <v>0</v>
      </c>
      <c r="T132" s="123">
        <v>0</v>
      </c>
      <c r="U132" s="123">
        <v>0</v>
      </c>
      <c r="V132" s="123">
        <v>0</v>
      </c>
      <c r="W132" s="123">
        <v>0</v>
      </c>
      <c r="X132" s="123">
        <v>0</v>
      </c>
      <c r="Y132" s="123">
        <v>0</v>
      </c>
      <c r="Z132" s="123">
        <v>0</v>
      </c>
      <c r="AA132" s="123">
        <v>0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</v>
      </c>
      <c r="AW132" s="123">
        <v>0</v>
      </c>
      <c r="AX132" s="123">
        <v>0</v>
      </c>
      <c r="AY132" s="123">
        <v>0</v>
      </c>
    </row>
    <row r="133" spans="1:51" x14ac:dyDescent="0.2">
      <c r="A133" s="126"/>
      <c r="B133" s="135">
        <v>12</v>
      </c>
      <c r="C133" s="123">
        <v>0</v>
      </c>
      <c r="D133" s="123">
        <v>0</v>
      </c>
      <c r="E133" s="123">
        <v>0</v>
      </c>
      <c r="F133" s="123">
        <v>0</v>
      </c>
      <c r="G133" s="123">
        <v>0</v>
      </c>
      <c r="H133" s="123">
        <v>0</v>
      </c>
      <c r="I133" s="123">
        <v>0</v>
      </c>
      <c r="J133" s="123">
        <v>0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0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0</v>
      </c>
      <c r="Z133" s="123">
        <v>0</v>
      </c>
      <c r="AA133" s="123">
        <v>0</v>
      </c>
      <c r="AB133" s="123">
        <v>0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0</v>
      </c>
      <c r="AX133" s="123">
        <v>0</v>
      </c>
      <c r="AY133" s="123">
        <v>0</v>
      </c>
    </row>
    <row r="134" spans="1:51" x14ac:dyDescent="0.2">
      <c r="A134" s="126"/>
      <c r="B134" s="136">
        <v>13</v>
      </c>
      <c r="C134" s="123">
        <v>0</v>
      </c>
      <c r="D134" s="123">
        <v>0</v>
      </c>
      <c r="E134" s="123">
        <v>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0</v>
      </c>
      <c r="L134" s="123">
        <v>0</v>
      </c>
      <c r="M134" s="123">
        <v>0</v>
      </c>
      <c r="N134" s="123">
        <v>0</v>
      </c>
      <c r="O134" s="123">
        <v>0</v>
      </c>
      <c r="P134" s="123">
        <v>0</v>
      </c>
      <c r="Q134" s="123">
        <v>0</v>
      </c>
      <c r="R134" s="123">
        <v>0</v>
      </c>
      <c r="S134" s="123">
        <v>0</v>
      </c>
      <c r="T134" s="123">
        <v>0</v>
      </c>
      <c r="U134" s="123">
        <v>0</v>
      </c>
      <c r="V134" s="123">
        <v>0</v>
      </c>
      <c r="W134" s="123">
        <v>0</v>
      </c>
      <c r="X134" s="123">
        <v>0</v>
      </c>
      <c r="Y134" s="123">
        <v>0</v>
      </c>
      <c r="Z134" s="123">
        <v>0</v>
      </c>
      <c r="AA134" s="123">
        <v>0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</row>
    <row r="135" spans="1:51" x14ac:dyDescent="0.2">
      <c r="A135" s="126"/>
      <c r="B135" s="136">
        <v>14</v>
      </c>
      <c r="C135" s="123">
        <v>0</v>
      </c>
      <c r="D135" s="123">
        <v>0</v>
      </c>
      <c r="E135" s="123">
        <v>0</v>
      </c>
      <c r="F135" s="123">
        <v>0</v>
      </c>
      <c r="G135" s="123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0</v>
      </c>
      <c r="U135" s="123">
        <v>0</v>
      </c>
      <c r="V135" s="123">
        <v>0</v>
      </c>
      <c r="W135" s="123">
        <v>0</v>
      </c>
      <c r="X135" s="123">
        <v>0</v>
      </c>
      <c r="Y135" s="123">
        <v>0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</row>
    <row r="136" spans="1:51" x14ac:dyDescent="0.2">
      <c r="A136" s="126"/>
      <c r="B136" s="136">
        <v>15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</row>
    <row r="137" spans="1:51" x14ac:dyDescent="0.2">
      <c r="A137" s="126"/>
      <c r="B137" s="136">
        <v>16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</row>
    <row r="138" spans="1:51" x14ac:dyDescent="0.2">
      <c r="A138" s="126"/>
      <c r="B138" s="136">
        <v>17</v>
      </c>
      <c r="C138" s="123">
        <v>0</v>
      </c>
      <c r="D138" s="123">
        <v>0</v>
      </c>
      <c r="E138" s="123">
        <v>0</v>
      </c>
      <c r="F138" s="123">
        <v>0</v>
      </c>
      <c r="G138" s="123">
        <v>0</v>
      </c>
      <c r="H138" s="123">
        <v>0</v>
      </c>
      <c r="I138" s="123">
        <v>0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</v>
      </c>
      <c r="Q138" s="123">
        <v>0</v>
      </c>
      <c r="R138" s="123">
        <v>0</v>
      </c>
      <c r="S138" s="123">
        <v>0</v>
      </c>
      <c r="T138" s="123">
        <v>0</v>
      </c>
      <c r="U138" s="123">
        <v>0</v>
      </c>
      <c r="V138" s="123">
        <v>0</v>
      </c>
      <c r="W138" s="123">
        <v>0</v>
      </c>
      <c r="X138" s="123">
        <v>0</v>
      </c>
      <c r="Y138" s="123">
        <v>0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</row>
    <row r="139" spans="1:51" x14ac:dyDescent="0.2">
      <c r="A139" s="126"/>
      <c r="B139" s="136">
        <v>18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</v>
      </c>
      <c r="AX139" s="123">
        <v>0</v>
      </c>
      <c r="AY139" s="123">
        <v>0</v>
      </c>
    </row>
    <row r="140" spans="1:51" x14ac:dyDescent="0.2">
      <c r="A140" s="126"/>
      <c r="B140" s="136">
        <v>19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</row>
    <row r="141" spans="1:51" x14ac:dyDescent="0.2">
      <c r="A141" s="126"/>
      <c r="B141" s="136">
        <v>20</v>
      </c>
      <c r="C141" s="123">
        <v>0</v>
      </c>
      <c r="D141" s="123">
        <v>0</v>
      </c>
      <c r="E141" s="123">
        <v>0</v>
      </c>
      <c r="F141" s="123">
        <v>0</v>
      </c>
      <c r="G141" s="123">
        <v>0</v>
      </c>
      <c r="H141" s="123">
        <v>0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</v>
      </c>
      <c r="T141" s="123">
        <v>0</v>
      </c>
      <c r="U141" s="123">
        <v>0</v>
      </c>
      <c r="V141" s="123">
        <v>0</v>
      </c>
      <c r="W141" s="123">
        <v>0</v>
      </c>
      <c r="X141" s="123">
        <v>0</v>
      </c>
      <c r="Y141" s="123">
        <v>0</v>
      </c>
      <c r="Z141" s="123">
        <v>0</v>
      </c>
      <c r="AA141" s="123">
        <v>0</v>
      </c>
      <c r="AB141" s="123">
        <v>0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</v>
      </c>
      <c r="AX141" s="123">
        <v>0</v>
      </c>
      <c r="AY141" s="123">
        <v>0</v>
      </c>
    </row>
    <row r="142" spans="1:51" x14ac:dyDescent="0.2">
      <c r="A142" s="126"/>
      <c r="B142" s="136">
        <v>21</v>
      </c>
      <c r="C142" s="123">
        <v>0</v>
      </c>
      <c r="D142" s="123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123">
        <v>0</v>
      </c>
      <c r="M142" s="123">
        <v>0</v>
      </c>
      <c r="N142" s="123">
        <v>0</v>
      </c>
      <c r="O142" s="123">
        <v>0</v>
      </c>
      <c r="P142" s="123">
        <v>0</v>
      </c>
      <c r="Q142" s="123">
        <v>0</v>
      </c>
      <c r="R142" s="123">
        <v>0</v>
      </c>
      <c r="S142" s="123">
        <v>0</v>
      </c>
      <c r="T142" s="123">
        <v>0</v>
      </c>
      <c r="U142" s="123">
        <v>0</v>
      </c>
      <c r="V142" s="123">
        <v>0</v>
      </c>
      <c r="W142" s="123">
        <v>0</v>
      </c>
      <c r="X142" s="123">
        <v>0</v>
      </c>
      <c r="Y142" s="123">
        <v>0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</row>
    <row r="143" spans="1:51" x14ac:dyDescent="0.2">
      <c r="A143" s="126"/>
      <c r="B143" s="136">
        <v>22</v>
      </c>
      <c r="C143" s="123">
        <v>0</v>
      </c>
      <c r="D143" s="123">
        <v>0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123">
        <v>0</v>
      </c>
      <c r="M143" s="123">
        <v>0</v>
      </c>
      <c r="N143" s="123">
        <v>0</v>
      </c>
      <c r="O143" s="123">
        <v>0</v>
      </c>
      <c r="P143" s="123">
        <v>0</v>
      </c>
      <c r="Q143" s="123">
        <v>0</v>
      </c>
      <c r="R143" s="123">
        <v>0</v>
      </c>
      <c r="S143" s="123">
        <v>0</v>
      </c>
      <c r="T143" s="123">
        <v>0</v>
      </c>
      <c r="U143" s="123">
        <v>0</v>
      </c>
      <c r="V143" s="123">
        <v>0</v>
      </c>
      <c r="W143" s="123">
        <v>0</v>
      </c>
      <c r="X143" s="123">
        <v>0</v>
      </c>
      <c r="Y143" s="123">
        <v>0</v>
      </c>
      <c r="Z143" s="123">
        <v>0</v>
      </c>
      <c r="AA143" s="123">
        <v>0</v>
      </c>
      <c r="AB143" s="123">
        <v>0</v>
      </c>
      <c r="AC143" s="123">
        <v>0</v>
      </c>
      <c r="AD143" s="123">
        <v>0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</row>
    <row r="144" spans="1:51" x14ac:dyDescent="0.2">
      <c r="A144" s="126"/>
      <c r="B144" s="136">
        <v>23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3">
        <v>0</v>
      </c>
      <c r="AP144" s="123">
        <v>0</v>
      </c>
      <c r="AQ144" s="123">
        <v>0</v>
      </c>
      <c r="AR144" s="123">
        <v>0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</row>
    <row r="145" spans="1:51" x14ac:dyDescent="0.2">
      <c r="A145" s="126"/>
      <c r="B145" s="136">
        <v>24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</row>
    <row r="146" spans="1:51" x14ac:dyDescent="0.2">
      <c r="A146" s="126"/>
      <c r="B146" s="143">
        <v>25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0</v>
      </c>
      <c r="R146" s="123">
        <v>0</v>
      </c>
      <c r="S146" s="123">
        <v>0</v>
      </c>
      <c r="T146" s="123">
        <v>0</v>
      </c>
      <c r="U146" s="123">
        <v>0</v>
      </c>
      <c r="V146" s="123">
        <v>0</v>
      </c>
      <c r="W146" s="123">
        <v>0</v>
      </c>
      <c r="X146" s="123">
        <v>0</v>
      </c>
      <c r="Y146" s="123">
        <v>0</v>
      </c>
      <c r="Z146" s="123">
        <v>0</v>
      </c>
      <c r="AA146" s="123">
        <v>0</v>
      </c>
      <c r="AB146" s="123">
        <v>0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0</v>
      </c>
      <c r="AP146" s="123">
        <v>0</v>
      </c>
      <c r="AQ146" s="123">
        <v>0</v>
      </c>
      <c r="AR146" s="123">
        <v>0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</row>
    <row r="147" spans="1:51" x14ac:dyDescent="0.2">
      <c r="A147" s="126"/>
      <c r="B147" s="143">
        <v>26</v>
      </c>
      <c r="C147" s="123">
        <v>0</v>
      </c>
      <c r="D147" s="123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123">
        <v>0</v>
      </c>
      <c r="M147" s="123">
        <v>0</v>
      </c>
      <c r="N147" s="123">
        <v>0</v>
      </c>
      <c r="O147" s="123">
        <v>0</v>
      </c>
      <c r="P147" s="123">
        <v>0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0</v>
      </c>
      <c r="X147" s="123">
        <v>0</v>
      </c>
      <c r="Y147" s="123">
        <v>0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</row>
    <row r="148" spans="1:51" x14ac:dyDescent="0.2">
      <c r="A148" s="126"/>
      <c r="B148" s="143">
        <v>27</v>
      </c>
      <c r="C148" s="123">
        <v>0</v>
      </c>
      <c r="D148" s="123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</v>
      </c>
      <c r="O148" s="123">
        <v>0</v>
      </c>
      <c r="P148" s="123">
        <v>0</v>
      </c>
      <c r="Q148" s="123">
        <v>0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</v>
      </c>
      <c r="AX148" s="123">
        <v>0</v>
      </c>
      <c r="AY148" s="123">
        <v>0</v>
      </c>
    </row>
    <row r="149" spans="1:51" x14ac:dyDescent="0.2">
      <c r="A149" s="126"/>
      <c r="B149" s="143">
        <v>28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0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</row>
    <row r="150" spans="1:51" x14ac:dyDescent="0.2">
      <c r="A150" s="126"/>
      <c r="B150" s="143">
        <v>29</v>
      </c>
      <c r="C150" s="123">
        <v>0</v>
      </c>
      <c r="D150" s="123">
        <v>0</v>
      </c>
      <c r="E150" s="123">
        <v>0</v>
      </c>
      <c r="F150" s="123">
        <v>0</v>
      </c>
      <c r="G150" s="123">
        <v>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</row>
    <row r="151" spans="1:51" x14ac:dyDescent="0.2">
      <c r="A151" s="126"/>
      <c r="B151" s="143">
        <v>30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</row>
    <row r="152" spans="1:51" x14ac:dyDescent="0.2">
      <c r="A152" s="126"/>
      <c r="B152" s="143">
        <v>31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</v>
      </c>
      <c r="AX152" s="123">
        <v>0</v>
      </c>
      <c r="AY152" s="123">
        <v>0</v>
      </c>
    </row>
    <row r="153" spans="1:51" x14ac:dyDescent="0.2">
      <c r="A153" s="126"/>
      <c r="B153" s="143">
        <v>32</v>
      </c>
      <c r="C153" s="123">
        <v>0</v>
      </c>
      <c r="D153" s="123">
        <v>0</v>
      </c>
      <c r="E153" s="123">
        <v>0</v>
      </c>
      <c r="F153" s="123">
        <v>0</v>
      </c>
      <c r="G153" s="123">
        <v>0</v>
      </c>
      <c r="H153" s="123">
        <v>0</v>
      </c>
      <c r="I153" s="123">
        <v>0</v>
      </c>
      <c r="J153" s="123">
        <v>0</v>
      </c>
      <c r="K153" s="123">
        <v>0</v>
      </c>
      <c r="L153" s="123">
        <v>0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</v>
      </c>
      <c r="T153" s="123">
        <v>0</v>
      </c>
      <c r="U153" s="123">
        <v>0</v>
      </c>
      <c r="V153" s="123">
        <v>0</v>
      </c>
      <c r="W153" s="123">
        <v>0</v>
      </c>
      <c r="X153" s="123">
        <v>0</v>
      </c>
      <c r="Y153" s="123">
        <v>0</v>
      </c>
      <c r="Z153" s="123">
        <v>0</v>
      </c>
      <c r="AA153" s="123">
        <v>0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</v>
      </c>
      <c r="AX153" s="123">
        <v>0</v>
      </c>
      <c r="AY153" s="123">
        <v>0</v>
      </c>
    </row>
    <row r="154" spans="1:51" x14ac:dyDescent="0.2">
      <c r="A154" s="126"/>
      <c r="B154" s="143">
        <v>33</v>
      </c>
      <c r="C154" s="123">
        <v>0</v>
      </c>
      <c r="D154" s="123">
        <v>0</v>
      </c>
      <c r="E154" s="123">
        <v>0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0</v>
      </c>
      <c r="L154" s="123">
        <v>0</v>
      </c>
      <c r="M154" s="123">
        <v>0</v>
      </c>
      <c r="N154" s="123">
        <v>0</v>
      </c>
      <c r="O154" s="123">
        <v>0</v>
      </c>
      <c r="P154" s="123">
        <v>0</v>
      </c>
      <c r="Q154" s="123">
        <v>0</v>
      </c>
      <c r="R154" s="123">
        <v>0</v>
      </c>
      <c r="S154" s="123">
        <v>0</v>
      </c>
      <c r="T154" s="123">
        <v>0</v>
      </c>
      <c r="U154" s="123">
        <v>0</v>
      </c>
      <c r="V154" s="123">
        <v>0</v>
      </c>
      <c r="W154" s="123">
        <v>0</v>
      </c>
      <c r="X154" s="123">
        <v>0</v>
      </c>
      <c r="Y154" s="123">
        <v>0</v>
      </c>
      <c r="Z154" s="123">
        <v>0</v>
      </c>
      <c r="AA154" s="123">
        <v>0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</v>
      </c>
      <c r="AX154" s="123">
        <v>0</v>
      </c>
      <c r="AY154" s="123">
        <v>0</v>
      </c>
    </row>
    <row r="155" spans="1:51" x14ac:dyDescent="0.2">
      <c r="A155" s="126"/>
      <c r="B155" s="143">
        <v>34</v>
      </c>
      <c r="C155" s="123">
        <v>0</v>
      </c>
      <c r="D155" s="123">
        <v>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0</v>
      </c>
      <c r="U155" s="123">
        <v>0</v>
      </c>
      <c r="V155" s="123">
        <v>0</v>
      </c>
      <c r="W155" s="123">
        <v>0</v>
      </c>
      <c r="X155" s="123">
        <v>0</v>
      </c>
      <c r="Y155" s="123">
        <v>0</v>
      </c>
      <c r="Z155" s="123">
        <v>0</v>
      </c>
      <c r="AA155" s="123">
        <v>0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</row>
    <row r="156" spans="1:51" x14ac:dyDescent="0.2">
      <c r="A156" s="126"/>
      <c r="B156" s="143">
        <v>35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</row>
    <row r="157" spans="1:51" x14ac:dyDescent="0.2">
      <c r="A157" s="126"/>
      <c r="B157" s="143">
        <v>36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</v>
      </c>
      <c r="AP157" s="123">
        <v>0</v>
      </c>
      <c r="AQ157" s="123">
        <v>0</v>
      </c>
      <c r="AR157" s="123">
        <v>0</v>
      </c>
      <c r="AS157" s="123">
        <v>0</v>
      </c>
      <c r="AT157" s="123">
        <v>0</v>
      </c>
      <c r="AU157" s="123">
        <v>0</v>
      </c>
      <c r="AV157" s="123">
        <v>0</v>
      </c>
      <c r="AW157" s="123">
        <v>0</v>
      </c>
      <c r="AX157" s="123">
        <v>0</v>
      </c>
      <c r="AY157" s="123">
        <v>0</v>
      </c>
    </row>
    <row r="158" spans="1:51" x14ac:dyDescent="0.2">
      <c r="A158" s="126"/>
      <c r="B158" s="146">
        <v>37</v>
      </c>
      <c r="C158" s="123">
        <v>0</v>
      </c>
      <c r="D158" s="123">
        <v>0</v>
      </c>
      <c r="E158" s="123">
        <v>0</v>
      </c>
      <c r="F158" s="123">
        <v>0</v>
      </c>
      <c r="G158" s="123">
        <v>0</v>
      </c>
      <c r="H158" s="123">
        <v>0</v>
      </c>
      <c r="I158" s="123">
        <v>0</v>
      </c>
      <c r="J158" s="123">
        <v>0</v>
      </c>
      <c r="K158" s="123">
        <v>0</v>
      </c>
      <c r="L158" s="123">
        <v>0</v>
      </c>
      <c r="M158" s="123">
        <v>0</v>
      </c>
      <c r="N158" s="123">
        <v>0</v>
      </c>
      <c r="O158" s="123">
        <v>0</v>
      </c>
      <c r="P158" s="123">
        <v>0</v>
      </c>
      <c r="Q158" s="123">
        <v>0</v>
      </c>
      <c r="R158" s="123">
        <v>0</v>
      </c>
      <c r="S158" s="123">
        <v>0</v>
      </c>
      <c r="T158" s="123">
        <v>0</v>
      </c>
      <c r="U158" s="123">
        <v>0</v>
      </c>
      <c r="V158" s="123">
        <v>0</v>
      </c>
      <c r="W158" s="123">
        <v>0</v>
      </c>
      <c r="X158" s="123">
        <v>0</v>
      </c>
      <c r="Y158" s="123">
        <v>0</v>
      </c>
      <c r="Z158" s="123">
        <v>0</v>
      </c>
      <c r="AA158" s="123">
        <v>0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</v>
      </c>
      <c r="AX158" s="123">
        <v>0</v>
      </c>
      <c r="AY158" s="123">
        <v>0</v>
      </c>
    </row>
    <row r="159" spans="1:51" x14ac:dyDescent="0.2">
      <c r="A159" s="126"/>
      <c r="B159" s="146">
        <v>38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0</v>
      </c>
      <c r="W159" s="123">
        <v>0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</row>
    <row r="160" spans="1:51" x14ac:dyDescent="0.2">
      <c r="A160" s="126"/>
      <c r="B160" s="146">
        <v>39</v>
      </c>
      <c r="C160" s="123">
        <v>0</v>
      </c>
      <c r="D160" s="123">
        <v>0</v>
      </c>
      <c r="E160" s="123">
        <v>0</v>
      </c>
      <c r="F160" s="123">
        <v>0</v>
      </c>
      <c r="G160" s="123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0</v>
      </c>
      <c r="X160" s="123">
        <v>0</v>
      </c>
      <c r="Y160" s="123">
        <v>0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</row>
    <row r="161" spans="1:52" x14ac:dyDescent="0.2">
      <c r="A161" s="126"/>
      <c r="B161" s="146">
        <v>40</v>
      </c>
      <c r="C161" s="123">
        <v>0</v>
      </c>
      <c r="D161" s="123">
        <v>0</v>
      </c>
      <c r="E161" s="123">
        <v>0</v>
      </c>
      <c r="F161" s="123">
        <v>0</v>
      </c>
      <c r="G161" s="123">
        <v>0</v>
      </c>
      <c r="H161" s="123">
        <v>0</v>
      </c>
      <c r="I161" s="123">
        <v>0</v>
      </c>
      <c r="J161" s="123">
        <v>0</v>
      </c>
      <c r="K161" s="123">
        <v>0</v>
      </c>
      <c r="L161" s="123">
        <v>0</v>
      </c>
      <c r="M161" s="123">
        <v>0</v>
      </c>
      <c r="N161" s="123">
        <v>0</v>
      </c>
      <c r="O161" s="123">
        <v>0</v>
      </c>
      <c r="P161" s="123">
        <v>0</v>
      </c>
      <c r="Q161" s="123">
        <v>0</v>
      </c>
      <c r="R161" s="123">
        <v>0</v>
      </c>
      <c r="S161" s="123">
        <v>0</v>
      </c>
      <c r="T161" s="123">
        <v>0</v>
      </c>
      <c r="U161" s="123">
        <v>0</v>
      </c>
      <c r="V161" s="123">
        <v>0</v>
      </c>
      <c r="W161" s="123">
        <v>0</v>
      </c>
      <c r="X161" s="123">
        <v>0</v>
      </c>
      <c r="Y161" s="123">
        <v>0</v>
      </c>
      <c r="Z161" s="123">
        <v>0</v>
      </c>
      <c r="AA161" s="123">
        <v>0</v>
      </c>
      <c r="AB161" s="123">
        <v>0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</v>
      </c>
      <c r="AO161" s="123">
        <v>0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</row>
    <row r="162" spans="1:52" x14ac:dyDescent="0.2">
      <c r="A162" s="126"/>
      <c r="B162" s="146">
        <v>41</v>
      </c>
      <c r="C162" s="123">
        <v>0</v>
      </c>
      <c r="D162" s="123">
        <v>0</v>
      </c>
      <c r="E162" s="123">
        <v>0</v>
      </c>
      <c r="F162" s="123">
        <v>0</v>
      </c>
      <c r="G162" s="123">
        <v>0</v>
      </c>
      <c r="H162" s="123">
        <v>0</v>
      </c>
      <c r="I162" s="123">
        <v>0</v>
      </c>
      <c r="J162" s="123">
        <v>0</v>
      </c>
      <c r="K162" s="123">
        <v>0</v>
      </c>
      <c r="L162" s="123">
        <v>0</v>
      </c>
      <c r="M162" s="123">
        <v>0</v>
      </c>
      <c r="N162" s="123">
        <v>0</v>
      </c>
      <c r="O162" s="123">
        <v>0</v>
      </c>
      <c r="P162" s="123">
        <v>0</v>
      </c>
      <c r="Q162" s="123">
        <v>0</v>
      </c>
      <c r="R162" s="123">
        <v>0</v>
      </c>
      <c r="S162" s="123">
        <v>0</v>
      </c>
      <c r="T162" s="123">
        <v>0</v>
      </c>
      <c r="U162" s="123">
        <v>0</v>
      </c>
      <c r="V162" s="123">
        <v>0</v>
      </c>
      <c r="W162" s="123">
        <v>0</v>
      </c>
      <c r="X162" s="123">
        <v>0</v>
      </c>
      <c r="Y162" s="123">
        <v>0</v>
      </c>
      <c r="Z162" s="123">
        <v>0</v>
      </c>
      <c r="AA162" s="123">
        <v>0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</row>
    <row r="163" spans="1:52" x14ac:dyDescent="0.2">
      <c r="A163" s="126"/>
      <c r="B163" s="146">
        <v>42</v>
      </c>
      <c r="C163" s="123">
        <v>0</v>
      </c>
      <c r="D163" s="123">
        <v>0</v>
      </c>
      <c r="E163" s="123">
        <v>0</v>
      </c>
      <c r="F163" s="123">
        <v>0</v>
      </c>
      <c r="G163" s="123">
        <v>0</v>
      </c>
      <c r="H163" s="123">
        <v>0</v>
      </c>
      <c r="I163" s="123">
        <v>0</v>
      </c>
      <c r="J163" s="123">
        <v>0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0</v>
      </c>
      <c r="U163" s="123">
        <v>0</v>
      </c>
      <c r="V163" s="123">
        <v>0</v>
      </c>
      <c r="W163" s="123">
        <v>0</v>
      </c>
      <c r="X163" s="123">
        <v>0</v>
      </c>
      <c r="Y163" s="123">
        <v>0</v>
      </c>
      <c r="Z163" s="123">
        <v>0</v>
      </c>
      <c r="AA163" s="123">
        <v>0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</row>
    <row r="164" spans="1:52" x14ac:dyDescent="0.2">
      <c r="A164" s="126"/>
      <c r="B164" s="146">
        <v>43</v>
      </c>
      <c r="C164" s="123">
        <v>0</v>
      </c>
      <c r="D164" s="123">
        <v>0</v>
      </c>
      <c r="E164" s="123">
        <v>0</v>
      </c>
      <c r="F164" s="123">
        <v>0</v>
      </c>
      <c r="G164" s="123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</row>
    <row r="165" spans="1:52" x14ac:dyDescent="0.2">
      <c r="A165" s="126"/>
      <c r="B165" s="146">
        <v>44</v>
      </c>
      <c r="C165" s="123">
        <v>0</v>
      </c>
      <c r="D165" s="123">
        <v>0</v>
      </c>
      <c r="E165" s="123">
        <v>0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0</v>
      </c>
      <c r="L165" s="123">
        <v>0</v>
      </c>
      <c r="M165" s="123">
        <v>0</v>
      </c>
      <c r="N165" s="123">
        <v>0</v>
      </c>
      <c r="O165" s="123">
        <v>0</v>
      </c>
      <c r="P165" s="123">
        <v>0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0</v>
      </c>
      <c r="AP165" s="123">
        <v>0</v>
      </c>
      <c r="AQ165" s="123">
        <v>0</v>
      </c>
      <c r="AR165" s="123">
        <v>0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</row>
    <row r="166" spans="1:52" x14ac:dyDescent="0.2">
      <c r="A166" s="126"/>
      <c r="B166" s="146">
        <v>45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0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</v>
      </c>
      <c r="Q166" s="123">
        <v>0</v>
      </c>
      <c r="R166" s="123">
        <v>0</v>
      </c>
      <c r="S166" s="123">
        <v>0</v>
      </c>
      <c r="T166" s="123">
        <v>0</v>
      </c>
      <c r="U166" s="123">
        <v>0</v>
      </c>
      <c r="V166" s="123">
        <v>0</v>
      </c>
      <c r="W166" s="123">
        <v>0</v>
      </c>
      <c r="X166" s="123">
        <v>0</v>
      </c>
      <c r="Y166" s="123">
        <v>0</v>
      </c>
      <c r="Z166" s="123">
        <v>0</v>
      </c>
      <c r="AA166" s="123">
        <v>0</v>
      </c>
      <c r="AB166" s="123">
        <v>0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</row>
    <row r="167" spans="1:52" x14ac:dyDescent="0.2">
      <c r="A167" s="126"/>
      <c r="B167" s="146">
        <v>46</v>
      </c>
      <c r="C167" s="123">
        <v>0</v>
      </c>
      <c r="D167" s="123">
        <v>0</v>
      </c>
      <c r="E167" s="123">
        <v>0</v>
      </c>
      <c r="F167" s="123">
        <v>0</v>
      </c>
      <c r="G167" s="123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</v>
      </c>
      <c r="U167" s="123">
        <v>0</v>
      </c>
      <c r="V167" s="123">
        <v>0</v>
      </c>
      <c r="W167" s="123">
        <v>0</v>
      </c>
      <c r="X167" s="123">
        <v>0</v>
      </c>
      <c r="Y167" s="123">
        <v>0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</v>
      </c>
      <c r="AX167" s="123">
        <v>0</v>
      </c>
      <c r="AY167" s="123">
        <v>0</v>
      </c>
    </row>
    <row r="168" spans="1:52" x14ac:dyDescent="0.2">
      <c r="A168" s="126"/>
      <c r="B168" s="146">
        <v>47</v>
      </c>
      <c r="C168" s="123">
        <v>0</v>
      </c>
      <c r="D168" s="123">
        <v>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123">
        <v>0</v>
      </c>
      <c r="O168" s="123">
        <v>0</v>
      </c>
      <c r="P168" s="123">
        <v>0</v>
      </c>
      <c r="Q168" s="123">
        <v>0</v>
      </c>
      <c r="R168" s="123">
        <v>0</v>
      </c>
      <c r="S168" s="123">
        <v>0</v>
      </c>
      <c r="T168" s="123">
        <v>0</v>
      </c>
      <c r="U168" s="123">
        <v>0</v>
      </c>
      <c r="V168" s="123">
        <v>0</v>
      </c>
      <c r="W168" s="123">
        <v>0</v>
      </c>
      <c r="X168" s="123">
        <v>0</v>
      </c>
      <c r="Y168" s="123">
        <v>0</v>
      </c>
      <c r="Z168" s="123">
        <v>0</v>
      </c>
      <c r="AA168" s="123">
        <v>0</v>
      </c>
      <c r="AB168" s="123">
        <v>0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</v>
      </c>
      <c r="AU168" s="123">
        <v>0</v>
      </c>
      <c r="AV168" s="123">
        <v>0</v>
      </c>
      <c r="AW168" s="123">
        <v>0</v>
      </c>
      <c r="AX168" s="123">
        <v>0</v>
      </c>
      <c r="AY168" s="123">
        <v>0</v>
      </c>
    </row>
    <row r="169" spans="1:52" x14ac:dyDescent="0.2">
      <c r="A169" s="126"/>
      <c r="B169" s="146">
        <v>48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</row>
    <row r="170" spans="1:52" x14ac:dyDescent="0.2">
      <c r="A170" s="144"/>
      <c r="B170" s="148" t="s">
        <v>296</v>
      </c>
      <c r="C170" s="130">
        <v>0</v>
      </c>
      <c r="D170" s="141">
        <v>0</v>
      </c>
      <c r="E170" s="141">
        <v>0</v>
      </c>
      <c r="F170" s="141">
        <v>0</v>
      </c>
      <c r="G170" s="141">
        <v>0</v>
      </c>
      <c r="H170" s="141">
        <v>0</v>
      </c>
      <c r="I170" s="141">
        <v>0</v>
      </c>
      <c r="J170" s="141">
        <v>0</v>
      </c>
      <c r="K170" s="141">
        <v>0</v>
      </c>
      <c r="L170" s="141">
        <v>0</v>
      </c>
      <c r="M170" s="141">
        <v>0</v>
      </c>
      <c r="N170" s="141">
        <v>0</v>
      </c>
      <c r="O170" s="141">
        <v>0</v>
      </c>
      <c r="P170" s="141">
        <v>0</v>
      </c>
      <c r="Q170" s="141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141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141">
        <v>0</v>
      </c>
      <c r="AI170" s="141">
        <v>0</v>
      </c>
      <c r="AJ170" s="141">
        <v>0</v>
      </c>
      <c r="AK170" s="141">
        <v>0</v>
      </c>
      <c r="AL170" s="141">
        <v>0</v>
      </c>
      <c r="AM170" s="141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141">
        <v>0</v>
      </c>
      <c r="AT170" s="141">
        <v>0</v>
      </c>
      <c r="AU170" s="141">
        <v>0</v>
      </c>
      <c r="AV170" s="141">
        <v>0</v>
      </c>
      <c r="AW170" s="141">
        <v>0</v>
      </c>
      <c r="AX170" s="141">
        <v>0</v>
      </c>
      <c r="AY170" s="141">
        <v>0</v>
      </c>
      <c r="AZ170" s="124">
        <f>SUM($D170:$AY170)</f>
        <v>0</v>
      </c>
    </row>
    <row r="172" spans="1:52" x14ac:dyDescent="0.2">
      <c r="A172" s="1" t="s">
        <v>124</v>
      </c>
      <c r="B172" s="149" t="s">
        <v>297</v>
      </c>
      <c r="C172" s="150">
        <v>0.43062944370491801</v>
      </c>
      <c r="D172" s="150">
        <v>0.31303644024619565</v>
      </c>
      <c r="E172" s="150">
        <v>0.31303644024619565</v>
      </c>
      <c r="F172" s="150">
        <v>0.31303644024619565</v>
      </c>
      <c r="G172" s="150">
        <v>0.31303644024619565</v>
      </c>
      <c r="H172" s="150">
        <v>0.31303644024619565</v>
      </c>
      <c r="I172" s="150">
        <v>0.31303644024619565</v>
      </c>
      <c r="J172" s="150">
        <v>0.31303644024619565</v>
      </c>
      <c r="K172" s="150">
        <v>0.31303644024619565</v>
      </c>
      <c r="L172" s="150">
        <v>0.31303644024619565</v>
      </c>
      <c r="M172" s="150">
        <v>0.31303644024619565</v>
      </c>
      <c r="N172" s="150">
        <v>0.31303644024619565</v>
      </c>
      <c r="O172" s="150">
        <v>0.31303644024619565</v>
      </c>
      <c r="P172" s="150">
        <v>0.31303644024619565</v>
      </c>
      <c r="Q172" s="150">
        <v>0.31303644024619565</v>
      </c>
      <c r="R172" s="150">
        <v>0.31303644024619565</v>
      </c>
      <c r="S172" s="150">
        <v>0.31303644024619565</v>
      </c>
      <c r="T172" s="150">
        <v>0.31303644024619565</v>
      </c>
      <c r="U172" s="150">
        <v>0.31303644024619565</v>
      </c>
      <c r="V172" s="150">
        <v>0.31303644024619565</v>
      </c>
      <c r="W172" s="150">
        <v>0.31303644024619565</v>
      </c>
      <c r="X172" s="150">
        <v>0.31303644024619565</v>
      </c>
      <c r="Y172" s="150">
        <v>0.31303644024619565</v>
      </c>
      <c r="Z172" s="150">
        <v>0.31303644024619565</v>
      </c>
      <c r="AA172" s="150">
        <v>0.31303644024619565</v>
      </c>
      <c r="AB172" s="150">
        <v>0.31303644024619565</v>
      </c>
      <c r="AC172" s="150">
        <v>0.31303644024619565</v>
      </c>
      <c r="AD172" s="150">
        <v>0.31303644024619565</v>
      </c>
      <c r="AE172" s="150">
        <v>0.31303644024619565</v>
      </c>
      <c r="AF172" s="150">
        <v>0.31303644024619565</v>
      </c>
      <c r="AG172" s="150">
        <v>0.31303644024619565</v>
      </c>
      <c r="AH172" s="150">
        <v>0.31303644024619565</v>
      </c>
      <c r="AI172" s="150">
        <v>0.31303644024619565</v>
      </c>
      <c r="AJ172" s="150">
        <v>0.31303644024619565</v>
      </c>
      <c r="AK172" s="150">
        <v>0.31303644024619565</v>
      </c>
      <c r="AL172" s="150">
        <v>0.31303644024619565</v>
      </c>
      <c r="AM172" s="150">
        <v>0.31303644024619565</v>
      </c>
      <c r="AN172" s="150">
        <v>0.31303644024619565</v>
      </c>
      <c r="AO172" s="150">
        <v>0.31303644024619565</v>
      </c>
      <c r="AP172" s="150">
        <v>0.31303644024619565</v>
      </c>
      <c r="AQ172" s="150">
        <v>0.31303644024619565</v>
      </c>
      <c r="AR172" s="150">
        <v>0.31303644024619565</v>
      </c>
      <c r="AS172" s="150">
        <v>0.31303644024619565</v>
      </c>
      <c r="AT172" s="150">
        <v>0.31303644024619565</v>
      </c>
      <c r="AU172" s="150">
        <v>0.31303644024619565</v>
      </c>
      <c r="AV172" s="150">
        <v>0.31303644024619565</v>
      </c>
      <c r="AW172" s="150">
        <v>0.31303644024619565</v>
      </c>
      <c r="AX172" s="150">
        <v>0.31303644024619565</v>
      </c>
      <c r="AY172" s="150">
        <v>0.31303644024619565</v>
      </c>
    </row>
    <row r="174" spans="1:52" x14ac:dyDescent="0.2">
      <c r="A174" s="1" t="s">
        <v>272</v>
      </c>
    </row>
    <row r="175" spans="1:52" x14ac:dyDescent="0.2">
      <c r="A175" s="151" t="s">
        <v>125</v>
      </c>
      <c r="B175" s="151" t="s">
        <v>298</v>
      </c>
      <c r="C175" s="140" t="s">
        <v>293</v>
      </c>
      <c r="D175" s="140">
        <f t="shared" ref="D175:AY175" si="1">SUM(D95:D98)</f>
        <v>14503.870277395874</v>
      </c>
      <c r="E175" s="140">
        <f t="shared" si="1"/>
        <v>0</v>
      </c>
      <c r="F175" s="140">
        <f t="shared" si="1"/>
        <v>0</v>
      </c>
      <c r="G175" s="140">
        <f t="shared" si="1"/>
        <v>0</v>
      </c>
      <c r="H175" s="140">
        <f t="shared" si="1"/>
        <v>0</v>
      </c>
      <c r="I175" s="140">
        <f t="shared" si="1"/>
        <v>0</v>
      </c>
      <c r="J175" s="140">
        <f t="shared" si="1"/>
        <v>0</v>
      </c>
      <c r="K175" s="140">
        <f t="shared" si="1"/>
        <v>0</v>
      </c>
      <c r="L175" s="140">
        <f t="shared" si="1"/>
        <v>0</v>
      </c>
      <c r="M175" s="140">
        <f t="shared" si="1"/>
        <v>0</v>
      </c>
      <c r="N175" s="140">
        <f t="shared" si="1"/>
        <v>0</v>
      </c>
      <c r="O175" s="140">
        <f t="shared" si="1"/>
        <v>0</v>
      </c>
      <c r="P175" s="140">
        <f t="shared" si="1"/>
        <v>0</v>
      </c>
      <c r="Q175" s="140">
        <f t="shared" si="1"/>
        <v>0</v>
      </c>
      <c r="R175" s="140">
        <f t="shared" si="1"/>
        <v>0</v>
      </c>
      <c r="S175" s="140">
        <f t="shared" si="1"/>
        <v>0</v>
      </c>
      <c r="T175" s="140">
        <f t="shared" si="1"/>
        <v>0</v>
      </c>
      <c r="U175" s="140">
        <f t="shared" si="1"/>
        <v>0</v>
      </c>
      <c r="V175" s="140">
        <f t="shared" si="1"/>
        <v>0</v>
      </c>
      <c r="W175" s="140">
        <f t="shared" si="1"/>
        <v>0</v>
      </c>
      <c r="X175" s="140">
        <f t="shared" si="1"/>
        <v>0</v>
      </c>
      <c r="Y175" s="140">
        <f t="shared" si="1"/>
        <v>0</v>
      </c>
      <c r="Z175" s="140">
        <f t="shared" si="1"/>
        <v>0</v>
      </c>
      <c r="AA175" s="140">
        <f t="shared" si="1"/>
        <v>0</v>
      </c>
      <c r="AB175" s="140">
        <f t="shared" si="1"/>
        <v>0</v>
      </c>
      <c r="AC175" s="140">
        <f t="shared" si="1"/>
        <v>0</v>
      </c>
      <c r="AD175" s="140">
        <f t="shared" si="1"/>
        <v>0</v>
      </c>
      <c r="AE175" s="140">
        <f t="shared" si="1"/>
        <v>0</v>
      </c>
      <c r="AF175" s="140">
        <f t="shared" si="1"/>
        <v>0</v>
      </c>
      <c r="AG175" s="140">
        <f t="shared" si="1"/>
        <v>0</v>
      </c>
      <c r="AH175" s="140">
        <f t="shared" si="1"/>
        <v>0</v>
      </c>
      <c r="AI175" s="140">
        <f t="shared" si="1"/>
        <v>0</v>
      </c>
      <c r="AJ175" s="140">
        <f t="shared" si="1"/>
        <v>0</v>
      </c>
      <c r="AK175" s="140">
        <f t="shared" si="1"/>
        <v>0</v>
      </c>
      <c r="AL175" s="140">
        <f t="shared" si="1"/>
        <v>0</v>
      </c>
      <c r="AM175" s="140">
        <f t="shared" si="1"/>
        <v>0</v>
      </c>
      <c r="AN175" s="140">
        <f t="shared" si="1"/>
        <v>0</v>
      </c>
      <c r="AO175" s="140">
        <f t="shared" si="1"/>
        <v>0</v>
      </c>
      <c r="AP175" s="140">
        <f t="shared" si="1"/>
        <v>0</v>
      </c>
      <c r="AQ175" s="140">
        <f t="shared" si="1"/>
        <v>0</v>
      </c>
      <c r="AR175" s="140">
        <f t="shared" si="1"/>
        <v>0</v>
      </c>
      <c r="AS175" s="140">
        <f t="shared" si="1"/>
        <v>0</v>
      </c>
      <c r="AT175" s="140">
        <f t="shared" si="1"/>
        <v>0</v>
      </c>
      <c r="AU175" s="140">
        <f t="shared" si="1"/>
        <v>0</v>
      </c>
      <c r="AV175" s="140">
        <f t="shared" si="1"/>
        <v>0</v>
      </c>
      <c r="AW175" s="140">
        <f t="shared" si="1"/>
        <v>0</v>
      </c>
      <c r="AX175" s="140">
        <f t="shared" si="1"/>
        <v>0</v>
      </c>
      <c r="AY175" s="140">
        <f t="shared" si="1"/>
        <v>0</v>
      </c>
    </row>
    <row r="176" spans="1:52" x14ac:dyDescent="0.2">
      <c r="A176" s="141"/>
      <c r="B176" s="152" t="s">
        <v>299</v>
      </c>
      <c r="C176" s="141" t="s">
        <v>293</v>
      </c>
      <c r="D176" s="141">
        <v>1115</v>
      </c>
      <c r="E176" s="141">
        <v>0</v>
      </c>
      <c r="F176" s="141">
        <v>0</v>
      </c>
      <c r="G176" s="141">
        <v>0</v>
      </c>
      <c r="H176" s="141">
        <v>0</v>
      </c>
      <c r="I176" s="141">
        <v>0</v>
      </c>
      <c r="J176" s="141">
        <v>0</v>
      </c>
      <c r="K176" s="141">
        <v>0</v>
      </c>
      <c r="L176" s="141">
        <v>0</v>
      </c>
      <c r="M176" s="141">
        <v>0</v>
      </c>
      <c r="N176" s="141">
        <v>0</v>
      </c>
      <c r="O176" s="141">
        <v>0</v>
      </c>
      <c r="P176" s="141">
        <v>0</v>
      </c>
      <c r="Q176" s="141">
        <v>0</v>
      </c>
      <c r="R176" s="141">
        <v>0</v>
      </c>
      <c r="S176" s="141">
        <v>0</v>
      </c>
      <c r="T176" s="141">
        <v>0</v>
      </c>
      <c r="U176" s="141">
        <v>0</v>
      </c>
      <c r="V176" s="141">
        <v>0</v>
      </c>
      <c r="W176" s="141">
        <v>0</v>
      </c>
      <c r="X176" s="141">
        <v>0</v>
      </c>
      <c r="Y176" s="141">
        <v>0</v>
      </c>
      <c r="Z176" s="141">
        <v>0</v>
      </c>
      <c r="AA176" s="141">
        <v>0</v>
      </c>
      <c r="AB176" s="141">
        <v>0</v>
      </c>
      <c r="AC176" s="141">
        <v>0</v>
      </c>
      <c r="AD176" s="141">
        <v>0</v>
      </c>
      <c r="AE176" s="141">
        <v>0</v>
      </c>
      <c r="AF176" s="141">
        <v>0</v>
      </c>
      <c r="AG176" s="141">
        <v>0</v>
      </c>
      <c r="AH176" s="141">
        <v>0</v>
      </c>
      <c r="AI176" s="141">
        <v>0</v>
      </c>
      <c r="AJ176" s="141">
        <v>0</v>
      </c>
      <c r="AK176" s="141">
        <v>0</v>
      </c>
      <c r="AL176" s="141">
        <v>0</v>
      </c>
      <c r="AM176" s="141">
        <v>0</v>
      </c>
      <c r="AN176" s="141">
        <v>0</v>
      </c>
      <c r="AO176" s="141">
        <v>0</v>
      </c>
      <c r="AP176" s="141">
        <v>0</v>
      </c>
      <c r="AQ176" s="141">
        <v>0</v>
      </c>
      <c r="AR176" s="141">
        <v>0</v>
      </c>
      <c r="AS176" s="141">
        <v>0</v>
      </c>
      <c r="AT176" s="141">
        <v>0</v>
      </c>
      <c r="AU176" s="141">
        <v>0</v>
      </c>
      <c r="AV176" s="141">
        <v>0</v>
      </c>
      <c r="AW176" s="141">
        <v>0</v>
      </c>
      <c r="AX176" s="141">
        <v>0</v>
      </c>
      <c r="AY176" s="141">
        <v>0</v>
      </c>
    </row>
    <row r="177" spans="1:51" x14ac:dyDescent="0.2">
      <c r="A177" s="151" t="s">
        <v>133</v>
      </c>
      <c r="B177" s="151" t="s">
        <v>298</v>
      </c>
      <c r="C177" s="140" t="s">
        <v>293</v>
      </c>
      <c r="D177" s="140">
        <f t="shared" ref="D177:AY177" si="2">SUM(D100:D107)</f>
        <v>8613.712222604132</v>
      </c>
      <c r="E177" s="140">
        <f t="shared" si="2"/>
        <v>4061.1650000000059</v>
      </c>
      <c r="F177" s="140">
        <f t="shared" si="2"/>
        <v>0</v>
      </c>
      <c r="G177" s="140">
        <f t="shared" si="2"/>
        <v>0</v>
      </c>
      <c r="H177" s="140">
        <f t="shared" si="2"/>
        <v>0</v>
      </c>
      <c r="I177" s="140">
        <f t="shared" si="2"/>
        <v>0</v>
      </c>
      <c r="J177" s="140">
        <f t="shared" si="2"/>
        <v>0</v>
      </c>
      <c r="K177" s="140">
        <f t="shared" si="2"/>
        <v>0</v>
      </c>
      <c r="L177" s="140">
        <f t="shared" si="2"/>
        <v>0</v>
      </c>
      <c r="M177" s="140">
        <f t="shared" si="2"/>
        <v>0</v>
      </c>
      <c r="N177" s="140">
        <f t="shared" si="2"/>
        <v>0</v>
      </c>
      <c r="O177" s="140">
        <f t="shared" si="2"/>
        <v>0</v>
      </c>
      <c r="P177" s="140">
        <f t="shared" si="2"/>
        <v>0</v>
      </c>
      <c r="Q177" s="140">
        <f t="shared" si="2"/>
        <v>0</v>
      </c>
      <c r="R177" s="140">
        <f t="shared" si="2"/>
        <v>0</v>
      </c>
      <c r="S177" s="140">
        <f t="shared" si="2"/>
        <v>0</v>
      </c>
      <c r="T177" s="140">
        <f t="shared" si="2"/>
        <v>0</v>
      </c>
      <c r="U177" s="140">
        <f t="shared" si="2"/>
        <v>0</v>
      </c>
      <c r="V177" s="140">
        <f t="shared" si="2"/>
        <v>0</v>
      </c>
      <c r="W177" s="140">
        <f t="shared" si="2"/>
        <v>0</v>
      </c>
      <c r="X177" s="140">
        <f t="shared" si="2"/>
        <v>0</v>
      </c>
      <c r="Y177" s="140">
        <f t="shared" si="2"/>
        <v>0</v>
      </c>
      <c r="Z177" s="140">
        <f t="shared" si="2"/>
        <v>0</v>
      </c>
      <c r="AA177" s="140">
        <f t="shared" si="2"/>
        <v>0</v>
      </c>
      <c r="AB177" s="140">
        <f t="shared" si="2"/>
        <v>0</v>
      </c>
      <c r="AC177" s="140">
        <f t="shared" si="2"/>
        <v>0</v>
      </c>
      <c r="AD177" s="140">
        <f t="shared" si="2"/>
        <v>0</v>
      </c>
      <c r="AE177" s="140">
        <f t="shared" si="2"/>
        <v>0</v>
      </c>
      <c r="AF177" s="140">
        <f t="shared" si="2"/>
        <v>0</v>
      </c>
      <c r="AG177" s="140">
        <f t="shared" si="2"/>
        <v>0</v>
      </c>
      <c r="AH177" s="140">
        <f t="shared" si="2"/>
        <v>0</v>
      </c>
      <c r="AI177" s="140">
        <f t="shared" si="2"/>
        <v>0</v>
      </c>
      <c r="AJ177" s="140">
        <f t="shared" si="2"/>
        <v>0</v>
      </c>
      <c r="AK177" s="140">
        <f t="shared" si="2"/>
        <v>0</v>
      </c>
      <c r="AL177" s="140">
        <f t="shared" si="2"/>
        <v>0</v>
      </c>
      <c r="AM177" s="140">
        <f t="shared" si="2"/>
        <v>0</v>
      </c>
      <c r="AN177" s="140">
        <f t="shared" si="2"/>
        <v>0</v>
      </c>
      <c r="AO177" s="140">
        <f t="shared" si="2"/>
        <v>0</v>
      </c>
      <c r="AP177" s="140">
        <f t="shared" si="2"/>
        <v>0</v>
      </c>
      <c r="AQ177" s="140">
        <f t="shared" si="2"/>
        <v>0</v>
      </c>
      <c r="AR177" s="140">
        <f t="shared" si="2"/>
        <v>0</v>
      </c>
      <c r="AS177" s="140">
        <f t="shared" si="2"/>
        <v>0</v>
      </c>
      <c r="AT177" s="140">
        <f t="shared" si="2"/>
        <v>0</v>
      </c>
      <c r="AU177" s="140">
        <f t="shared" si="2"/>
        <v>0</v>
      </c>
      <c r="AV177" s="140">
        <f t="shared" si="2"/>
        <v>0</v>
      </c>
      <c r="AW177" s="140">
        <f t="shared" si="2"/>
        <v>0</v>
      </c>
      <c r="AX177" s="140">
        <f t="shared" si="2"/>
        <v>0</v>
      </c>
      <c r="AY177" s="140">
        <f t="shared" si="2"/>
        <v>0</v>
      </c>
    </row>
    <row r="178" spans="1:51" x14ac:dyDescent="0.2">
      <c r="A178" s="141"/>
      <c r="B178" s="152" t="s">
        <v>299</v>
      </c>
      <c r="C178" s="141" t="s">
        <v>293</v>
      </c>
      <c r="D178" s="141">
        <v>3196</v>
      </c>
      <c r="E178" s="141">
        <v>3183</v>
      </c>
      <c r="F178" s="141">
        <v>0</v>
      </c>
      <c r="G178" s="141">
        <v>0</v>
      </c>
      <c r="H178" s="141">
        <v>0</v>
      </c>
      <c r="I178" s="141">
        <v>0</v>
      </c>
      <c r="J178" s="141">
        <v>0</v>
      </c>
      <c r="K178" s="141">
        <v>0</v>
      </c>
      <c r="L178" s="141">
        <v>0</v>
      </c>
      <c r="M178" s="141">
        <v>0</v>
      </c>
      <c r="N178" s="141">
        <v>0</v>
      </c>
      <c r="O178" s="141">
        <v>0</v>
      </c>
      <c r="P178" s="141">
        <v>0</v>
      </c>
      <c r="Q178" s="141">
        <v>0</v>
      </c>
      <c r="R178" s="141">
        <v>0</v>
      </c>
      <c r="S178" s="141">
        <v>0</v>
      </c>
      <c r="T178" s="141">
        <v>0</v>
      </c>
      <c r="U178" s="141">
        <v>0</v>
      </c>
      <c r="V178" s="141">
        <v>0</v>
      </c>
      <c r="W178" s="141">
        <v>0</v>
      </c>
      <c r="X178" s="141">
        <v>0</v>
      </c>
      <c r="Y178" s="141">
        <v>0</v>
      </c>
      <c r="Z178" s="141">
        <v>0</v>
      </c>
      <c r="AA178" s="141">
        <v>0</v>
      </c>
      <c r="AB178" s="141">
        <v>0</v>
      </c>
      <c r="AC178" s="141">
        <v>0</v>
      </c>
      <c r="AD178" s="141">
        <v>0</v>
      </c>
      <c r="AE178" s="141">
        <v>0</v>
      </c>
      <c r="AF178" s="141">
        <v>0</v>
      </c>
      <c r="AG178" s="141">
        <v>0</v>
      </c>
      <c r="AH178" s="141">
        <v>0</v>
      </c>
      <c r="AI178" s="141">
        <v>0</v>
      </c>
      <c r="AJ178" s="141">
        <v>0</v>
      </c>
      <c r="AK178" s="141">
        <v>0</v>
      </c>
      <c r="AL178" s="141">
        <v>0</v>
      </c>
      <c r="AM178" s="141">
        <v>0</v>
      </c>
      <c r="AN178" s="141">
        <v>0</v>
      </c>
      <c r="AO178" s="141">
        <v>0</v>
      </c>
      <c r="AP178" s="141">
        <v>0</v>
      </c>
      <c r="AQ178" s="141">
        <v>0</v>
      </c>
      <c r="AR178" s="141">
        <v>0</v>
      </c>
      <c r="AS178" s="141">
        <v>0</v>
      </c>
      <c r="AT178" s="141">
        <v>0</v>
      </c>
      <c r="AU178" s="141">
        <v>0</v>
      </c>
      <c r="AV178" s="141">
        <v>0</v>
      </c>
      <c r="AW178" s="141">
        <v>0</v>
      </c>
      <c r="AX178" s="141">
        <v>0</v>
      </c>
      <c r="AY178" s="141">
        <v>0</v>
      </c>
    </row>
    <row r="179" spans="1:51" x14ac:dyDescent="0.2">
      <c r="A179" s="151" t="s">
        <v>134</v>
      </c>
      <c r="B179" s="151" t="s">
        <v>298</v>
      </c>
      <c r="C179" s="140" t="s">
        <v>293</v>
      </c>
      <c r="D179" s="140">
        <f t="shared" ref="D179:AY179" si="3">SUM(D109:D120)</f>
        <v>0</v>
      </c>
      <c r="E179" s="140">
        <f t="shared" si="3"/>
        <v>6223.9211976886645</v>
      </c>
      <c r="F179" s="140">
        <f t="shared" si="3"/>
        <v>1452.6288573253369</v>
      </c>
      <c r="G179" s="140">
        <f t="shared" si="3"/>
        <v>0</v>
      </c>
      <c r="H179" s="140">
        <f t="shared" si="3"/>
        <v>0</v>
      </c>
      <c r="I179" s="140">
        <f t="shared" si="3"/>
        <v>0</v>
      </c>
      <c r="J179" s="140">
        <f t="shared" si="3"/>
        <v>0</v>
      </c>
      <c r="K179" s="140">
        <f t="shared" si="3"/>
        <v>0</v>
      </c>
      <c r="L179" s="140">
        <f t="shared" si="3"/>
        <v>0</v>
      </c>
      <c r="M179" s="140">
        <f t="shared" si="3"/>
        <v>0</v>
      </c>
      <c r="N179" s="140">
        <f t="shared" si="3"/>
        <v>0</v>
      </c>
      <c r="O179" s="140">
        <f t="shared" si="3"/>
        <v>0</v>
      </c>
      <c r="P179" s="140">
        <f t="shared" si="3"/>
        <v>0</v>
      </c>
      <c r="Q179" s="140">
        <f t="shared" si="3"/>
        <v>0</v>
      </c>
      <c r="R179" s="140">
        <f t="shared" si="3"/>
        <v>0</v>
      </c>
      <c r="S179" s="140">
        <f t="shared" si="3"/>
        <v>0</v>
      </c>
      <c r="T179" s="140">
        <f t="shared" si="3"/>
        <v>0</v>
      </c>
      <c r="U179" s="140">
        <f t="shared" si="3"/>
        <v>0</v>
      </c>
      <c r="V179" s="140">
        <f t="shared" si="3"/>
        <v>0</v>
      </c>
      <c r="W179" s="140">
        <f t="shared" si="3"/>
        <v>0</v>
      </c>
      <c r="X179" s="140">
        <f t="shared" si="3"/>
        <v>0</v>
      </c>
      <c r="Y179" s="140">
        <f t="shared" si="3"/>
        <v>0</v>
      </c>
      <c r="Z179" s="140">
        <f t="shared" si="3"/>
        <v>0</v>
      </c>
      <c r="AA179" s="140">
        <f t="shared" si="3"/>
        <v>0</v>
      </c>
      <c r="AB179" s="140">
        <f t="shared" si="3"/>
        <v>0</v>
      </c>
      <c r="AC179" s="140">
        <f t="shared" si="3"/>
        <v>0</v>
      </c>
      <c r="AD179" s="140">
        <f t="shared" si="3"/>
        <v>0</v>
      </c>
      <c r="AE179" s="140">
        <f t="shared" si="3"/>
        <v>0</v>
      </c>
      <c r="AF179" s="140">
        <f t="shared" si="3"/>
        <v>0</v>
      </c>
      <c r="AG179" s="140">
        <f t="shared" si="3"/>
        <v>0</v>
      </c>
      <c r="AH179" s="140">
        <f t="shared" si="3"/>
        <v>0</v>
      </c>
      <c r="AI179" s="140">
        <f t="shared" si="3"/>
        <v>0</v>
      </c>
      <c r="AJ179" s="140">
        <f t="shared" si="3"/>
        <v>0</v>
      </c>
      <c r="AK179" s="140">
        <f t="shared" si="3"/>
        <v>0</v>
      </c>
      <c r="AL179" s="140">
        <f t="shared" si="3"/>
        <v>0</v>
      </c>
      <c r="AM179" s="140">
        <f t="shared" si="3"/>
        <v>0</v>
      </c>
      <c r="AN179" s="140">
        <f t="shared" si="3"/>
        <v>0</v>
      </c>
      <c r="AO179" s="140">
        <f t="shared" si="3"/>
        <v>0</v>
      </c>
      <c r="AP179" s="140">
        <f t="shared" si="3"/>
        <v>0</v>
      </c>
      <c r="AQ179" s="140">
        <f t="shared" si="3"/>
        <v>0</v>
      </c>
      <c r="AR179" s="140">
        <f t="shared" si="3"/>
        <v>0</v>
      </c>
      <c r="AS179" s="140">
        <f t="shared" si="3"/>
        <v>0</v>
      </c>
      <c r="AT179" s="140">
        <f t="shared" si="3"/>
        <v>0</v>
      </c>
      <c r="AU179" s="140">
        <f t="shared" si="3"/>
        <v>0</v>
      </c>
      <c r="AV179" s="140">
        <f t="shared" si="3"/>
        <v>0</v>
      </c>
      <c r="AW179" s="140">
        <f t="shared" si="3"/>
        <v>0</v>
      </c>
      <c r="AX179" s="140">
        <f t="shared" si="3"/>
        <v>0</v>
      </c>
      <c r="AY179" s="140">
        <f t="shared" si="3"/>
        <v>0</v>
      </c>
    </row>
    <row r="180" spans="1:51" x14ac:dyDescent="0.2">
      <c r="A180" s="141"/>
      <c r="B180" s="152" t="s">
        <v>299</v>
      </c>
      <c r="C180" s="141" t="s">
        <v>293</v>
      </c>
      <c r="D180" s="141">
        <v>0</v>
      </c>
      <c r="E180" s="141">
        <v>1837</v>
      </c>
      <c r="F180" s="141">
        <v>1452.6288573253369</v>
      </c>
      <c r="G180" s="141">
        <v>0</v>
      </c>
      <c r="H180" s="141">
        <v>0</v>
      </c>
      <c r="I180" s="141">
        <v>0</v>
      </c>
      <c r="J180" s="141">
        <v>0</v>
      </c>
      <c r="K180" s="141">
        <v>0</v>
      </c>
      <c r="L180" s="141">
        <v>0</v>
      </c>
      <c r="M180" s="141">
        <v>0</v>
      </c>
      <c r="N180" s="141">
        <v>0</v>
      </c>
      <c r="O180" s="141">
        <v>0</v>
      </c>
      <c r="P180" s="141">
        <v>0</v>
      </c>
      <c r="Q180" s="141">
        <v>0</v>
      </c>
      <c r="R180" s="141">
        <v>0</v>
      </c>
      <c r="S180" s="141">
        <v>0</v>
      </c>
      <c r="T180" s="141">
        <v>0</v>
      </c>
      <c r="U180" s="141">
        <v>0</v>
      </c>
      <c r="V180" s="141">
        <v>0</v>
      </c>
      <c r="W180" s="141">
        <v>0</v>
      </c>
      <c r="X180" s="141">
        <v>0</v>
      </c>
      <c r="Y180" s="141">
        <v>0</v>
      </c>
      <c r="Z180" s="141">
        <v>0</v>
      </c>
      <c r="AA180" s="141">
        <v>0</v>
      </c>
      <c r="AB180" s="141">
        <v>0</v>
      </c>
      <c r="AC180" s="141">
        <v>0</v>
      </c>
      <c r="AD180" s="141">
        <v>0</v>
      </c>
      <c r="AE180" s="141">
        <v>0</v>
      </c>
      <c r="AF180" s="141">
        <v>0</v>
      </c>
      <c r="AG180" s="141">
        <v>0</v>
      </c>
      <c r="AH180" s="141">
        <v>0</v>
      </c>
      <c r="AI180" s="141">
        <v>0</v>
      </c>
      <c r="AJ180" s="141">
        <v>0</v>
      </c>
      <c r="AK180" s="141">
        <v>0</v>
      </c>
      <c r="AL180" s="141">
        <v>0</v>
      </c>
      <c r="AM180" s="141">
        <v>0</v>
      </c>
      <c r="AN180" s="141">
        <v>0</v>
      </c>
      <c r="AO180" s="141">
        <v>0</v>
      </c>
      <c r="AP180" s="141">
        <v>0</v>
      </c>
      <c r="AQ180" s="141">
        <v>0</v>
      </c>
      <c r="AR180" s="141">
        <v>0</v>
      </c>
      <c r="AS180" s="141">
        <v>0</v>
      </c>
      <c r="AT180" s="141">
        <v>0</v>
      </c>
      <c r="AU180" s="141">
        <v>0</v>
      </c>
      <c r="AV180" s="141">
        <v>0</v>
      </c>
      <c r="AW180" s="141">
        <v>0</v>
      </c>
      <c r="AX180" s="141">
        <v>0</v>
      </c>
      <c r="AY180" s="141">
        <v>0</v>
      </c>
    </row>
    <row r="181" spans="1:51" x14ac:dyDescent="0.2">
      <c r="A181" s="151" t="s">
        <v>123</v>
      </c>
      <c r="B181" s="151" t="s">
        <v>298</v>
      </c>
      <c r="C181" s="140" t="s">
        <v>293</v>
      </c>
      <c r="D181" s="140">
        <f t="shared" ref="D181:AY181" si="4">(1-D172)*SUM(D122:D169)</f>
        <v>13658.496302311336</v>
      </c>
      <c r="E181" s="140">
        <f t="shared" si="4"/>
        <v>22473.953642674664</v>
      </c>
      <c r="F181" s="140">
        <f t="shared" si="4"/>
        <v>28541.529978584273</v>
      </c>
      <c r="G181" s="140">
        <f t="shared" si="4"/>
        <v>29539.43306941359</v>
      </c>
      <c r="H181" s="140">
        <f t="shared" si="4"/>
        <v>29539.43306941359</v>
      </c>
      <c r="I181" s="140">
        <f t="shared" si="4"/>
        <v>29539.43306941359</v>
      </c>
      <c r="J181" s="140">
        <f t="shared" si="4"/>
        <v>29539.43306941359</v>
      </c>
      <c r="K181" s="140">
        <f t="shared" si="4"/>
        <v>29539.433069413586</v>
      </c>
      <c r="L181" s="140">
        <f t="shared" si="4"/>
        <v>29539.43306941359</v>
      </c>
      <c r="M181" s="140">
        <f t="shared" si="4"/>
        <v>29539.433069413586</v>
      </c>
      <c r="N181" s="140">
        <f t="shared" si="4"/>
        <v>29539.43306941359</v>
      </c>
      <c r="O181" s="140">
        <f t="shared" si="4"/>
        <v>29539.43306941359</v>
      </c>
      <c r="P181" s="140">
        <f t="shared" si="4"/>
        <v>29539.43306941359</v>
      </c>
      <c r="Q181" s="140">
        <f t="shared" si="4"/>
        <v>29539.43306941359</v>
      </c>
      <c r="R181" s="140">
        <f t="shared" si="4"/>
        <v>29539.433069413586</v>
      </c>
      <c r="S181" s="140">
        <f t="shared" si="4"/>
        <v>29539.43306941359</v>
      </c>
      <c r="T181" s="140">
        <f t="shared" si="4"/>
        <v>29539.433069413593</v>
      </c>
      <c r="U181" s="140">
        <f t="shared" si="4"/>
        <v>29539.43306941359</v>
      </c>
      <c r="V181" s="140">
        <f t="shared" si="4"/>
        <v>29539.43306941359</v>
      </c>
      <c r="W181" s="140">
        <f t="shared" si="4"/>
        <v>29539.433069413586</v>
      </c>
      <c r="X181" s="140">
        <f t="shared" si="4"/>
        <v>29539.43306941359</v>
      </c>
      <c r="Y181" s="140">
        <f t="shared" si="4"/>
        <v>29539.433069413586</v>
      </c>
      <c r="Z181" s="140">
        <f t="shared" si="4"/>
        <v>29539.43306941359</v>
      </c>
      <c r="AA181" s="140">
        <f t="shared" si="4"/>
        <v>29539.433069413586</v>
      </c>
      <c r="AB181" s="140">
        <f t="shared" si="4"/>
        <v>29539.433069413586</v>
      </c>
      <c r="AC181" s="140">
        <f t="shared" si="4"/>
        <v>29539.43306941359</v>
      </c>
      <c r="AD181" s="140">
        <f t="shared" si="4"/>
        <v>29539.43306941359</v>
      </c>
      <c r="AE181" s="140">
        <f t="shared" si="4"/>
        <v>29539.433069413586</v>
      </c>
      <c r="AF181" s="140">
        <f t="shared" si="4"/>
        <v>29539.43306941359</v>
      </c>
      <c r="AG181" s="140">
        <f t="shared" si="4"/>
        <v>29539.43306941359</v>
      </c>
      <c r="AH181" s="140">
        <f t="shared" si="4"/>
        <v>29539.43306941359</v>
      </c>
      <c r="AI181" s="140">
        <f t="shared" si="4"/>
        <v>29539.433069413586</v>
      </c>
      <c r="AJ181" s="140">
        <f t="shared" si="4"/>
        <v>29539.43306941359</v>
      </c>
      <c r="AK181" s="140">
        <f t="shared" si="4"/>
        <v>29539.433069413586</v>
      </c>
      <c r="AL181" s="140">
        <f t="shared" si="4"/>
        <v>29539.43306941359</v>
      </c>
      <c r="AM181" s="140">
        <f t="shared" si="4"/>
        <v>29539.433069413586</v>
      </c>
      <c r="AN181" s="140">
        <f t="shared" si="4"/>
        <v>29539.433069413586</v>
      </c>
      <c r="AO181" s="140">
        <f t="shared" si="4"/>
        <v>29539.43306941359</v>
      </c>
      <c r="AP181" s="140">
        <f t="shared" si="4"/>
        <v>29539.43306941359</v>
      </c>
      <c r="AQ181" s="140">
        <f t="shared" si="4"/>
        <v>29539.43306941359</v>
      </c>
      <c r="AR181" s="140">
        <f t="shared" si="4"/>
        <v>29539.43306941359</v>
      </c>
      <c r="AS181" s="140">
        <f t="shared" si="4"/>
        <v>29539.433069413586</v>
      </c>
      <c r="AT181" s="140">
        <f t="shared" si="4"/>
        <v>29539.43306941359</v>
      </c>
      <c r="AU181" s="140">
        <f t="shared" si="4"/>
        <v>29539.433069413586</v>
      </c>
      <c r="AV181" s="140">
        <f t="shared" si="4"/>
        <v>29539.43306941359</v>
      </c>
      <c r="AW181" s="140">
        <f t="shared" si="4"/>
        <v>29539.433069413586</v>
      </c>
      <c r="AX181" s="140">
        <f t="shared" si="4"/>
        <v>29539.43306941359</v>
      </c>
      <c r="AY181" s="140">
        <f t="shared" si="4"/>
        <v>29539.433069413586</v>
      </c>
    </row>
    <row r="182" spans="1:51" x14ac:dyDescent="0.2">
      <c r="A182" s="141"/>
      <c r="B182" s="152" t="s">
        <v>299</v>
      </c>
      <c r="C182" s="141" t="s">
        <v>293</v>
      </c>
      <c r="D182" s="141">
        <v>826</v>
      </c>
      <c r="E182" s="141">
        <v>809</v>
      </c>
      <c r="F182" s="141">
        <v>785</v>
      </c>
      <c r="G182" s="141">
        <v>881</v>
      </c>
      <c r="H182" s="141">
        <v>477</v>
      </c>
      <c r="I182" s="141">
        <v>609</v>
      </c>
      <c r="J182" s="141">
        <v>589</v>
      </c>
      <c r="K182" s="141">
        <v>500</v>
      </c>
      <c r="L182" s="141">
        <v>1057</v>
      </c>
      <c r="M182" s="141">
        <v>1318</v>
      </c>
      <c r="N182" s="141">
        <v>1334</v>
      </c>
      <c r="O182" s="141">
        <v>963</v>
      </c>
      <c r="P182" s="141">
        <v>1722</v>
      </c>
      <c r="Q182" s="141">
        <v>1978</v>
      </c>
      <c r="R182" s="141">
        <v>1865</v>
      </c>
      <c r="S182" s="141">
        <v>2060</v>
      </c>
      <c r="T182" s="141">
        <v>1035</v>
      </c>
      <c r="U182" s="141">
        <v>1011</v>
      </c>
      <c r="V182" s="141">
        <v>693</v>
      </c>
      <c r="W182" s="141">
        <v>720</v>
      </c>
      <c r="X182" s="141">
        <v>391</v>
      </c>
      <c r="Y182" s="141">
        <v>411</v>
      </c>
      <c r="Z182" s="141">
        <v>477</v>
      </c>
      <c r="AA182" s="141">
        <v>400</v>
      </c>
      <c r="AB182" s="141">
        <v>2394</v>
      </c>
      <c r="AC182" s="141">
        <v>2046</v>
      </c>
      <c r="AD182" s="141">
        <v>2756</v>
      </c>
      <c r="AE182" s="141">
        <v>2092</v>
      </c>
      <c r="AF182" s="141">
        <v>1230</v>
      </c>
      <c r="AG182" s="141">
        <v>1159</v>
      </c>
      <c r="AH182" s="141">
        <v>1059</v>
      </c>
      <c r="AI182" s="141">
        <v>1209</v>
      </c>
      <c r="AJ182" s="141">
        <v>937</v>
      </c>
      <c r="AK182" s="141">
        <v>928</v>
      </c>
      <c r="AL182" s="141">
        <v>928</v>
      </c>
      <c r="AM182" s="141">
        <v>1017</v>
      </c>
      <c r="AN182" s="141">
        <v>655</v>
      </c>
      <c r="AO182" s="141">
        <v>675</v>
      </c>
      <c r="AP182" s="141">
        <v>713</v>
      </c>
      <c r="AQ182" s="141">
        <v>780</v>
      </c>
      <c r="AR182" s="141">
        <v>967</v>
      </c>
      <c r="AS182" s="141">
        <v>804</v>
      </c>
      <c r="AT182" s="141">
        <v>944</v>
      </c>
      <c r="AU182" s="141">
        <v>924</v>
      </c>
      <c r="AV182" s="141">
        <v>1300</v>
      </c>
      <c r="AW182" s="141">
        <v>1261</v>
      </c>
      <c r="AX182" s="141">
        <v>1238</v>
      </c>
      <c r="AY182" s="141">
        <v>1830</v>
      </c>
    </row>
    <row r="184" spans="1:51" x14ac:dyDescent="0.2">
      <c r="A184" s="1" t="s">
        <v>300</v>
      </c>
    </row>
    <row r="185" spans="1:51" x14ac:dyDescent="0.2">
      <c r="A185" s="142" t="s">
        <v>125</v>
      </c>
      <c r="B185" s="139">
        <v>1</v>
      </c>
      <c r="C185" s="140">
        <v>0</v>
      </c>
      <c r="D185" s="140">
        <v>0</v>
      </c>
      <c r="E185" s="140">
        <v>0</v>
      </c>
      <c r="F185" s="140">
        <v>0</v>
      </c>
      <c r="G185" s="140">
        <v>0</v>
      </c>
      <c r="H185" s="140">
        <v>0</v>
      </c>
      <c r="I185" s="140">
        <v>0</v>
      </c>
      <c r="J185" s="140">
        <v>0</v>
      </c>
      <c r="K185" s="140">
        <v>0</v>
      </c>
      <c r="L185" s="140">
        <v>0</v>
      </c>
      <c r="M185" s="140">
        <v>0</v>
      </c>
      <c r="N185" s="140">
        <v>0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0</v>
      </c>
      <c r="W185" s="140">
        <v>0</v>
      </c>
      <c r="X185" s="140">
        <v>0</v>
      </c>
      <c r="Y185" s="140">
        <v>0</v>
      </c>
      <c r="Z185" s="140">
        <v>0</v>
      </c>
      <c r="AA185" s="140">
        <v>0</v>
      </c>
      <c r="AB185" s="140">
        <v>0</v>
      </c>
      <c r="AC185" s="140">
        <v>0</v>
      </c>
      <c r="AD185" s="140">
        <v>0</v>
      </c>
      <c r="AE185" s="140">
        <v>0</v>
      </c>
      <c r="AF185" s="140">
        <v>0</v>
      </c>
      <c r="AG185" s="140">
        <v>0</v>
      </c>
      <c r="AH185" s="140">
        <v>0</v>
      </c>
      <c r="AI185" s="140">
        <v>0</v>
      </c>
      <c r="AJ185" s="140">
        <v>0</v>
      </c>
      <c r="AK185" s="140">
        <v>0</v>
      </c>
      <c r="AL185" s="140">
        <v>0</v>
      </c>
      <c r="AM185" s="140">
        <v>0</v>
      </c>
      <c r="AN185" s="140">
        <v>0</v>
      </c>
      <c r="AO185" s="140">
        <v>0</v>
      </c>
      <c r="AP185" s="140">
        <v>0</v>
      </c>
      <c r="AQ185" s="140">
        <v>0</v>
      </c>
      <c r="AR185" s="140">
        <v>0</v>
      </c>
      <c r="AS185" s="140">
        <v>0</v>
      </c>
      <c r="AT185" s="140">
        <v>0</v>
      </c>
      <c r="AU185" s="140">
        <v>0</v>
      </c>
      <c r="AV185" s="140">
        <v>0</v>
      </c>
      <c r="AW185" s="140">
        <v>0</v>
      </c>
      <c r="AX185" s="140">
        <v>0</v>
      </c>
      <c r="AY185" s="140">
        <v>0</v>
      </c>
    </row>
    <row r="186" spans="1:51" x14ac:dyDescent="0.2">
      <c r="A186" s="126"/>
      <c r="B186" s="136">
        <v>2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0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</row>
    <row r="187" spans="1:51" x14ac:dyDescent="0.2">
      <c r="A187" s="126"/>
      <c r="B187" s="143">
        <v>3</v>
      </c>
      <c r="C187" s="123">
        <v>0</v>
      </c>
      <c r="D187" s="123">
        <v>0</v>
      </c>
      <c r="E187" s="123">
        <v>0</v>
      </c>
      <c r="F187" s="123">
        <v>0</v>
      </c>
      <c r="G187" s="123">
        <v>0</v>
      </c>
      <c r="H187" s="123">
        <v>0</v>
      </c>
      <c r="I187" s="123">
        <v>0</v>
      </c>
      <c r="J187" s="123">
        <v>0</v>
      </c>
      <c r="K187" s="123">
        <v>0</v>
      </c>
      <c r="L187" s="123">
        <v>0</v>
      </c>
      <c r="M187" s="123">
        <v>0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</v>
      </c>
      <c r="U187" s="123">
        <v>0</v>
      </c>
      <c r="V187" s="123">
        <v>0</v>
      </c>
      <c r="W187" s="123">
        <v>0</v>
      </c>
      <c r="X187" s="123">
        <v>0</v>
      </c>
      <c r="Y187" s="123">
        <v>0</v>
      </c>
      <c r="Z187" s="123">
        <v>0</v>
      </c>
      <c r="AA187" s="123">
        <v>0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</row>
    <row r="188" spans="1:51" x14ac:dyDescent="0.2">
      <c r="A188" s="144"/>
      <c r="B188" s="145">
        <v>4</v>
      </c>
      <c r="C188" s="123">
        <v>633</v>
      </c>
      <c r="D188" s="123">
        <v>1115</v>
      </c>
      <c r="E188" s="123">
        <v>0</v>
      </c>
      <c r="F188" s="123">
        <v>0</v>
      </c>
      <c r="G188" s="123">
        <v>0</v>
      </c>
      <c r="H188" s="123">
        <v>0</v>
      </c>
      <c r="I188" s="123">
        <v>0</v>
      </c>
      <c r="J188" s="123">
        <v>0</v>
      </c>
      <c r="K188" s="123">
        <v>0</v>
      </c>
      <c r="L188" s="123">
        <v>0</v>
      </c>
      <c r="M188" s="123">
        <v>0</v>
      </c>
      <c r="N188" s="123">
        <v>0</v>
      </c>
      <c r="O188" s="123">
        <v>0</v>
      </c>
      <c r="P188" s="123">
        <v>0</v>
      </c>
      <c r="Q188" s="123">
        <v>0</v>
      </c>
      <c r="R188" s="123">
        <v>0</v>
      </c>
      <c r="S188" s="123">
        <v>0</v>
      </c>
      <c r="T188" s="123">
        <v>0</v>
      </c>
      <c r="U188" s="123">
        <v>0</v>
      </c>
      <c r="V188" s="123">
        <v>0</v>
      </c>
      <c r="W188" s="123">
        <v>0</v>
      </c>
      <c r="X188" s="123">
        <v>0</v>
      </c>
      <c r="Y188" s="123">
        <v>0</v>
      </c>
      <c r="Z188" s="123">
        <v>0</v>
      </c>
      <c r="AA188" s="123">
        <v>0</v>
      </c>
      <c r="AB188" s="123">
        <v>0</v>
      </c>
      <c r="AC188" s="123">
        <v>0</v>
      </c>
      <c r="AD188" s="123">
        <v>0</v>
      </c>
      <c r="AE188" s="123">
        <v>0</v>
      </c>
      <c r="AF188" s="123">
        <v>0</v>
      </c>
      <c r="AG188" s="123">
        <v>0</v>
      </c>
      <c r="AH188" s="123">
        <v>0</v>
      </c>
      <c r="AI188" s="123">
        <v>0</v>
      </c>
      <c r="AJ188" s="123">
        <v>0</v>
      </c>
      <c r="AK188" s="123">
        <v>0</v>
      </c>
      <c r="AL188" s="123">
        <v>0</v>
      </c>
      <c r="AM188" s="123">
        <v>0</v>
      </c>
      <c r="AN188" s="123">
        <v>0</v>
      </c>
      <c r="AO188" s="123">
        <v>0</v>
      </c>
      <c r="AP188" s="123">
        <v>0</v>
      </c>
      <c r="AQ188" s="123">
        <v>0</v>
      </c>
      <c r="AR188" s="123">
        <v>0</v>
      </c>
      <c r="AS188" s="123">
        <v>0</v>
      </c>
      <c r="AT188" s="123">
        <v>0</v>
      </c>
      <c r="AU188" s="123">
        <v>0</v>
      </c>
      <c r="AV188" s="123">
        <v>0</v>
      </c>
      <c r="AW188" s="123">
        <v>0</v>
      </c>
      <c r="AX188" s="123">
        <v>0</v>
      </c>
      <c r="AY188" s="123">
        <v>0</v>
      </c>
    </row>
    <row r="189" spans="1:51" x14ac:dyDescent="0.2">
      <c r="A189" s="142" t="s">
        <v>133</v>
      </c>
      <c r="B189" s="139">
        <v>1</v>
      </c>
      <c r="C189" s="140">
        <v>0</v>
      </c>
      <c r="D189" s="140">
        <v>0</v>
      </c>
      <c r="E189" s="140">
        <v>0</v>
      </c>
      <c r="F189" s="140">
        <v>0</v>
      </c>
      <c r="G189" s="140">
        <v>0</v>
      </c>
      <c r="H189" s="140">
        <v>0</v>
      </c>
      <c r="I189" s="140">
        <v>0</v>
      </c>
      <c r="J189" s="140">
        <v>0</v>
      </c>
      <c r="K189" s="140">
        <v>0</v>
      </c>
      <c r="L189" s="140">
        <v>0</v>
      </c>
      <c r="M189" s="140">
        <v>0</v>
      </c>
      <c r="N189" s="140">
        <v>0</v>
      </c>
      <c r="O189" s="140">
        <v>0</v>
      </c>
      <c r="P189" s="140">
        <v>0</v>
      </c>
      <c r="Q189" s="140">
        <v>0</v>
      </c>
      <c r="R189" s="140">
        <v>0</v>
      </c>
      <c r="S189" s="140">
        <v>0</v>
      </c>
      <c r="T189" s="140">
        <v>0</v>
      </c>
      <c r="U189" s="140">
        <v>0</v>
      </c>
      <c r="V189" s="140">
        <v>0</v>
      </c>
      <c r="W189" s="140">
        <v>0</v>
      </c>
      <c r="X189" s="140">
        <v>0</v>
      </c>
      <c r="Y189" s="140">
        <v>0</v>
      </c>
      <c r="Z189" s="140">
        <v>0</v>
      </c>
      <c r="AA189" s="140">
        <v>0</v>
      </c>
      <c r="AB189" s="140">
        <v>0</v>
      </c>
      <c r="AC189" s="140">
        <v>0</v>
      </c>
      <c r="AD189" s="140">
        <v>0</v>
      </c>
      <c r="AE189" s="140">
        <v>0</v>
      </c>
      <c r="AF189" s="140">
        <v>0</v>
      </c>
      <c r="AG189" s="140">
        <v>0</v>
      </c>
      <c r="AH189" s="140">
        <v>0</v>
      </c>
      <c r="AI189" s="140">
        <v>0</v>
      </c>
      <c r="AJ189" s="140">
        <v>0</v>
      </c>
      <c r="AK189" s="140">
        <v>0</v>
      </c>
      <c r="AL189" s="140">
        <v>0</v>
      </c>
      <c r="AM189" s="140">
        <v>0</v>
      </c>
      <c r="AN189" s="140">
        <v>0</v>
      </c>
      <c r="AO189" s="140">
        <v>0</v>
      </c>
      <c r="AP189" s="140">
        <v>0</v>
      </c>
      <c r="AQ189" s="140">
        <v>0</v>
      </c>
      <c r="AR189" s="140">
        <v>0</v>
      </c>
      <c r="AS189" s="140">
        <v>0</v>
      </c>
      <c r="AT189" s="140">
        <v>0</v>
      </c>
      <c r="AU189" s="140">
        <v>0</v>
      </c>
      <c r="AV189" s="140">
        <v>0</v>
      </c>
      <c r="AW189" s="140">
        <v>0</v>
      </c>
      <c r="AX189" s="140">
        <v>0</v>
      </c>
      <c r="AY189" s="140">
        <v>0</v>
      </c>
    </row>
    <row r="190" spans="1:51" x14ac:dyDescent="0.2">
      <c r="A190" s="126"/>
      <c r="B190" s="135">
        <v>2</v>
      </c>
      <c r="C190" s="123">
        <v>0</v>
      </c>
      <c r="D190" s="123">
        <v>0</v>
      </c>
      <c r="E190" s="123">
        <v>516.69708412064483</v>
      </c>
      <c r="F190" s="123">
        <v>0</v>
      </c>
      <c r="G190" s="123">
        <v>0</v>
      </c>
      <c r="H190" s="123">
        <v>0</v>
      </c>
      <c r="I190" s="123">
        <v>0</v>
      </c>
      <c r="J190" s="123">
        <v>0</v>
      </c>
      <c r="K190" s="123">
        <v>0</v>
      </c>
      <c r="L190" s="123">
        <v>0</v>
      </c>
      <c r="M190" s="123">
        <v>0</v>
      </c>
      <c r="N190" s="123">
        <v>0</v>
      </c>
      <c r="O190" s="123">
        <v>0</v>
      </c>
      <c r="P190" s="123">
        <v>0</v>
      </c>
      <c r="Q190" s="123">
        <v>0</v>
      </c>
      <c r="R190" s="123">
        <v>0</v>
      </c>
      <c r="S190" s="123">
        <v>0</v>
      </c>
      <c r="T190" s="123">
        <v>0</v>
      </c>
      <c r="U190" s="123">
        <v>0</v>
      </c>
      <c r="V190" s="123">
        <v>0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0</v>
      </c>
      <c r="AE190" s="123">
        <v>0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0</v>
      </c>
      <c r="AN190" s="123">
        <v>0</v>
      </c>
      <c r="AO190" s="123">
        <v>0</v>
      </c>
      <c r="AP190" s="123">
        <v>0</v>
      </c>
      <c r="AQ190" s="123">
        <v>0</v>
      </c>
      <c r="AR190" s="123">
        <v>0</v>
      </c>
      <c r="AS190" s="123">
        <v>0</v>
      </c>
      <c r="AT190" s="123">
        <v>0</v>
      </c>
      <c r="AU190" s="123">
        <v>0</v>
      </c>
      <c r="AV190" s="123">
        <v>0</v>
      </c>
      <c r="AW190" s="123">
        <v>0</v>
      </c>
      <c r="AX190" s="123">
        <v>0</v>
      </c>
      <c r="AY190" s="123">
        <v>0</v>
      </c>
    </row>
    <row r="191" spans="1:51" x14ac:dyDescent="0.2">
      <c r="A191" s="126"/>
      <c r="B191" s="136">
        <v>3</v>
      </c>
      <c r="C191" s="123">
        <v>0</v>
      </c>
      <c r="D191" s="123">
        <v>0</v>
      </c>
      <c r="E191" s="123">
        <v>2184.4239135490361</v>
      </c>
      <c r="F191" s="123">
        <v>0</v>
      </c>
      <c r="G191" s="123">
        <v>0</v>
      </c>
      <c r="H191" s="123">
        <v>0</v>
      </c>
      <c r="I191" s="123">
        <v>0</v>
      </c>
      <c r="J191" s="123">
        <v>0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0</v>
      </c>
      <c r="W191" s="123">
        <v>0</v>
      </c>
      <c r="X191" s="123">
        <v>0</v>
      </c>
      <c r="Y191" s="123">
        <v>0</v>
      </c>
      <c r="Z191" s="123">
        <v>0</v>
      </c>
      <c r="AA191" s="123">
        <v>0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0</v>
      </c>
      <c r="AN191" s="123">
        <v>0</v>
      </c>
      <c r="AO191" s="123">
        <v>0</v>
      </c>
      <c r="AP191" s="123">
        <v>0</v>
      </c>
      <c r="AQ191" s="123">
        <v>0</v>
      </c>
      <c r="AR191" s="123">
        <v>0</v>
      </c>
      <c r="AS191" s="123">
        <v>0</v>
      </c>
      <c r="AT191" s="123">
        <v>0</v>
      </c>
      <c r="AU191" s="123">
        <v>0</v>
      </c>
      <c r="AV191" s="123">
        <v>0</v>
      </c>
      <c r="AW191" s="123">
        <v>0</v>
      </c>
      <c r="AX191" s="123">
        <v>0</v>
      </c>
      <c r="AY191" s="123">
        <v>0</v>
      </c>
    </row>
    <row r="192" spans="1:51" x14ac:dyDescent="0.2">
      <c r="A192" s="126"/>
      <c r="B192" s="136">
        <v>4</v>
      </c>
      <c r="C192" s="123">
        <v>976.88577783773962</v>
      </c>
      <c r="D192" s="123">
        <v>1988.4618642887035</v>
      </c>
      <c r="E192" s="123">
        <v>481.87900233031905</v>
      </c>
      <c r="F192" s="123">
        <v>0</v>
      </c>
      <c r="G192" s="123">
        <v>0</v>
      </c>
      <c r="H192" s="123">
        <v>0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</row>
    <row r="193" spans="1:51" x14ac:dyDescent="0.2">
      <c r="A193" s="126"/>
      <c r="B193" s="143">
        <v>5</v>
      </c>
      <c r="C193" s="123">
        <v>2055.1142221622604</v>
      </c>
      <c r="D193" s="123">
        <v>1207.5381357112965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0</v>
      </c>
      <c r="K193" s="123">
        <v>0</v>
      </c>
      <c r="L193" s="123">
        <v>0</v>
      </c>
      <c r="M193" s="123">
        <v>0</v>
      </c>
      <c r="N193" s="123">
        <v>0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</v>
      </c>
      <c r="W193" s="123">
        <v>0</v>
      </c>
      <c r="X193" s="123">
        <v>0</v>
      </c>
      <c r="Y193" s="123">
        <v>0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</row>
    <row r="194" spans="1:51" x14ac:dyDescent="0.2">
      <c r="A194" s="126"/>
      <c r="B194" s="143">
        <v>6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</v>
      </c>
      <c r="AV194" s="123">
        <v>0</v>
      </c>
      <c r="AW194" s="123">
        <v>0</v>
      </c>
      <c r="AX194" s="123">
        <v>0</v>
      </c>
      <c r="AY194" s="123">
        <v>0</v>
      </c>
    </row>
    <row r="195" spans="1:51" x14ac:dyDescent="0.2">
      <c r="A195" s="126"/>
      <c r="B195" s="146">
        <v>7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</v>
      </c>
      <c r="U195" s="123">
        <v>0</v>
      </c>
      <c r="V195" s="123">
        <v>0</v>
      </c>
      <c r="W195" s="123">
        <v>0</v>
      </c>
      <c r="X195" s="123">
        <v>0</v>
      </c>
      <c r="Y195" s="123">
        <v>0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</v>
      </c>
      <c r="AX195" s="123">
        <v>0</v>
      </c>
      <c r="AY195" s="123">
        <v>0</v>
      </c>
    </row>
    <row r="196" spans="1:51" x14ac:dyDescent="0.2">
      <c r="A196" s="144"/>
      <c r="B196" s="145">
        <v>8</v>
      </c>
      <c r="C196" s="130">
        <v>0</v>
      </c>
      <c r="D196" s="130">
        <v>0</v>
      </c>
      <c r="E196" s="130">
        <v>0</v>
      </c>
      <c r="F196" s="130">
        <v>0</v>
      </c>
      <c r="G196" s="130">
        <v>0</v>
      </c>
      <c r="H196" s="130">
        <v>0</v>
      </c>
      <c r="I196" s="130">
        <v>0</v>
      </c>
      <c r="J196" s="130">
        <v>0</v>
      </c>
      <c r="K196" s="130">
        <v>0</v>
      </c>
      <c r="L196" s="130">
        <v>0</v>
      </c>
      <c r="M196" s="130">
        <v>0</v>
      </c>
      <c r="N196" s="130">
        <v>0</v>
      </c>
      <c r="O196" s="130">
        <v>0</v>
      </c>
      <c r="P196" s="130">
        <v>0</v>
      </c>
      <c r="Q196" s="130">
        <v>0</v>
      </c>
      <c r="R196" s="130">
        <v>0</v>
      </c>
      <c r="S196" s="130">
        <v>0</v>
      </c>
      <c r="T196" s="130">
        <v>0</v>
      </c>
      <c r="U196" s="130">
        <v>0</v>
      </c>
      <c r="V196" s="130">
        <v>0</v>
      </c>
      <c r="W196" s="130">
        <v>0</v>
      </c>
      <c r="X196" s="130">
        <v>0</v>
      </c>
      <c r="Y196" s="130">
        <v>0</v>
      </c>
      <c r="Z196" s="130">
        <v>0</v>
      </c>
      <c r="AA196" s="130">
        <v>0</v>
      </c>
      <c r="AB196" s="130">
        <v>0</v>
      </c>
      <c r="AC196" s="130">
        <v>0</v>
      </c>
      <c r="AD196" s="130">
        <v>0</v>
      </c>
      <c r="AE196" s="130">
        <v>0</v>
      </c>
      <c r="AF196" s="130">
        <v>0</v>
      </c>
      <c r="AG196" s="130">
        <v>0</v>
      </c>
      <c r="AH196" s="130">
        <v>0</v>
      </c>
      <c r="AI196" s="130">
        <v>0</v>
      </c>
      <c r="AJ196" s="130">
        <v>0</v>
      </c>
      <c r="AK196" s="130">
        <v>0</v>
      </c>
      <c r="AL196" s="130">
        <v>0</v>
      </c>
      <c r="AM196" s="130">
        <v>0</v>
      </c>
      <c r="AN196" s="130">
        <v>0</v>
      </c>
      <c r="AO196" s="130">
        <v>0</v>
      </c>
      <c r="AP196" s="130">
        <v>0</v>
      </c>
      <c r="AQ196" s="130">
        <v>0</v>
      </c>
      <c r="AR196" s="130">
        <v>0</v>
      </c>
      <c r="AS196" s="130">
        <v>0</v>
      </c>
      <c r="AT196" s="130">
        <v>0</v>
      </c>
      <c r="AU196" s="130">
        <v>0</v>
      </c>
      <c r="AV196" s="130">
        <v>0</v>
      </c>
      <c r="AW196" s="130">
        <v>0</v>
      </c>
      <c r="AX196" s="130">
        <v>0</v>
      </c>
      <c r="AY196" s="130">
        <v>0</v>
      </c>
    </row>
    <row r="197" spans="1:51" x14ac:dyDescent="0.2">
      <c r="A197" s="147" t="s">
        <v>134</v>
      </c>
      <c r="B197" s="135">
        <v>1</v>
      </c>
      <c r="C197" s="123">
        <v>0</v>
      </c>
      <c r="D197" s="123">
        <v>0</v>
      </c>
      <c r="E197" s="123">
        <v>1837</v>
      </c>
      <c r="F197" s="123">
        <v>1452.6288573253369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</v>
      </c>
      <c r="AW197" s="123">
        <v>0</v>
      </c>
      <c r="AX197" s="123">
        <v>0</v>
      </c>
      <c r="AY197" s="123">
        <v>0</v>
      </c>
    </row>
    <row r="198" spans="1:51" x14ac:dyDescent="0.2">
      <c r="A198" s="126"/>
      <c r="B198" s="135">
        <v>2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</row>
    <row r="199" spans="1:51" x14ac:dyDescent="0.2">
      <c r="A199" s="126"/>
      <c r="B199" s="135">
        <v>3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</row>
    <row r="200" spans="1:51" x14ac:dyDescent="0.2">
      <c r="A200" s="126"/>
      <c r="B200" s="136">
        <v>4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0</v>
      </c>
      <c r="J200" s="123">
        <v>0</v>
      </c>
      <c r="K200" s="123">
        <v>0</v>
      </c>
      <c r="L200" s="123">
        <v>0</v>
      </c>
      <c r="M200" s="123">
        <v>0</v>
      </c>
      <c r="N200" s="123">
        <v>0</v>
      </c>
      <c r="O200" s="123">
        <v>0</v>
      </c>
      <c r="P200" s="123">
        <v>0</v>
      </c>
      <c r="Q200" s="123">
        <v>0</v>
      </c>
      <c r="R200" s="123">
        <v>0</v>
      </c>
      <c r="S200" s="123">
        <v>0</v>
      </c>
      <c r="T200" s="123">
        <v>0</v>
      </c>
      <c r="U200" s="123">
        <v>0</v>
      </c>
      <c r="V200" s="123">
        <v>0</v>
      </c>
      <c r="W200" s="123">
        <v>0</v>
      </c>
      <c r="X200" s="123">
        <v>0</v>
      </c>
      <c r="Y200" s="123">
        <v>0</v>
      </c>
      <c r="Z200" s="123">
        <v>0</v>
      </c>
      <c r="AA200" s="123">
        <v>0</v>
      </c>
      <c r="AB200" s="123">
        <v>0</v>
      </c>
      <c r="AC200" s="123">
        <v>0</v>
      </c>
      <c r="AD200" s="123">
        <v>0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</v>
      </c>
      <c r="AW200" s="123">
        <v>0</v>
      </c>
      <c r="AX200" s="123">
        <v>0</v>
      </c>
      <c r="AY200" s="123">
        <v>0</v>
      </c>
    </row>
    <row r="201" spans="1:51" x14ac:dyDescent="0.2">
      <c r="A201" s="126"/>
      <c r="B201" s="136">
        <v>5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</v>
      </c>
      <c r="AW201" s="123">
        <v>0</v>
      </c>
      <c r="AX201" s="123">
        <v>0</v>
      </c>
      <c r="AY201" s="123">
        <v>0</v>
      </c>
    </row>
    <row r="202" spans="1:51" x14ac:dyDescent="0.2">
      <c r="A202" s="126"/>
      <c r="B202" s="136">
        <v>6</v>
      </c>
      <c r="C202" s="123">
        <v>0</v>
      </c>
      <c r="D202" s="123">
        <v>0</v>
      </c>
      <c r="E202" s="123">
        <v>0</v>
      </c>
      <c r="F202" s="123">
        <v>0</v>
      </c>
      <c r="G202" s="123">
        <v>0</v>
      </c>
      <c r="H202" s="123">
        <v>0</v>
      </c>
      <c r="I202" s="123">
        <v>0</v>
      </c>
      <c r="J202" s="123">
        <v>0</v>
      </c>
      <c r="K202" s="123">
        <v>0</v>
      </c>
      <c r="L202" s="123">
        <v>0</v>
      </c>
      <c r="M202" s="123">
        <v>0</v>
      </c>
      <c r="N202" s="123">
        <v>0</v>
      </c>
      <c r="O202" s="123">
        <v>0</v>
      </c>
      <c r="P202" s="123">
        <v>0</v>
      </c>
      <c r="Q202" s="123">
        <v>0</v>
      </c>
      <c r="R202" s="123">
        <v>0</v>
      </c>
      <c r="S202" s="123">
        <v>0</v>
      </c>
      <c r="T202" s="123">
        <v>0</v>
      </c>
      <c r="U202" s="123">
        <v>0</v>
      </c>
      <c r="V202" s="123">
        <v>0</v>
      </c>
      <c r="W202" s="123">
        <v>0</v>
      </c>
      <c r="X202" s="123">
        <v>0</v>
      </c>
      <c r="Y202" s="123">
        <v>0</v>
      </c>
      <c r="Z202" s="123">
        <v>0</v>
      </c>
      <c r="AA202" s="123">
        <v>0</v>
      </c>
      <c r="AB202" s="123">
        <v>0</v>
      </c>
      <c r="AC202" s="123">
        <v>0</v>
      </c>
      <c r="AD202" s="123">
        <v>0</v>
      </c>
      <c r="AE202" s="123">
        <v>0</v>
      </c>
      <c r="AF202" s="123">
        <v>0</v>
      </c>
      <c r="AG202" s="123">
        <v>0</v>
      </c>
      <c r="AH202" s="123">
        <v>0</v>
      </c>
      <c r="AI202" s="123">
        <v>0</v>
      </c>
      <c r="AJ202" s="123">
        <v>0</v>
      </c>
      <c r="AK202" s="123">
        <v>0</v>
      </c>
      <c r="AL202" s="123">
        <v>0</v>
      </c>
      <c r="AM202" s="123">
        <v>0</v>
      </c>
      <c r="AN202" s="123">
        <v>0</v>
      </c>
      <c r="AO202" s="123">
        <v>0</v>
      </c>
      <c r="AP202" s="123">
        <v>0</v>
      </c>
      <c r="AQ202" s="123">
        <v>0</v>
      </c>
      <c r="AR202" s="123">
        <v>0</v>
      </c>
      <c r="AS202" s="123">
        <v>0</v>
      </c>
      <c r="AT202" s="123">
        <v>0</v>
      </c>
      <c r="AU202" s="123">
        <v>0</v>
      </c>
      <c r="AV202" s="123">
        <v>0</v>
      </c>
      <c r="AW202" s="123">
        <v>0</v>
      </c>
      <c r="AX202" s="123">
        <v>0</v>
      </c>
      <c r="AY202" s="123">
        <v>0</v>
      </c>
    </row>
    <row r="203" spans="1:51" x14ac:dyDescent="0.2">
      <c r="A203" s="126"/>
      <c r="B203" s="143">
        <v>7</v>
      </c>
      <c r="C203" s="123">
        <v>0</v>
      </c>
      <c r="D203" s="123">
        <v>0</v>
      </c>
      <c r="E203" s="123">
        <v>0</v>
      </c>
      <c r="F203" s="123">
        <v>0</v>
      </c>
      <c r="G203" s="123">
        <v>0</v>
      </c>
      <c r="H203" s="123">
        <v>0</v>
      </c>
      <c r="I203" s="123">
        <v>0</v>
      </c>
      <c r="J203" s="123">
        <v>0</v>
      </c>
      <c r="K203" s="123">
        <v>0</v>
      </c>
      <c r="L203" s="123">
        <v>0</v>
      </c>
      <c r="M203" s="123">
        <v>0</v>
      </c>
      <c r="N203" s="123">
        <v>0</v>
      </c>
      <c r="O203" s="123">
        <v>0</v>
      </c>
      <c r="P203" s="123">
        <v>0</v>
      </c>
      <c r="Q203" s="123">
        <v>0</v>
      </c>
      <c r="R203" s="123">
        <v>0</v>
      </c>
      <c r="S203" s="123">
        <v>0</v>
      </c>
      <c r="T203" s="123">
        <v>0</v>
      </c>
      <c r="U203" s="123">
        <v>0</v>
      </c>
      <c r="V203" s="123">
        <v>0</v>
      </c>
      <c r="W203" s="123">
        <v>0</v>
      </c>
      <c r="X203" s="123">
        <v>0</v>
      </c>
      <c r="Y203" s="123">
        <v>0</v>
      </c>
      <c r="Z203" s="123">
        <v>0</v>
      </c>
      <c r="AA203" s="123">
        <v>0</v>
      </c>
      <c r="AB203" s="123">
        <v>0</v>
      </c>
      <c r="AC203" s="123">
        <v>0</v>
      </c>
      <c r="AD203" s="123">
        <v>0</v>
      </c>
      <c r="AE203" s="123">
        <v>0</v>
      </c>
      <c r="AF203" s="123">
        <v>0</v>
      </c>
      <c r="AG203" s="123">
        <v>0</v>
      </c>
      <c r="AH203" s="123">
        <v>0</v>
      </c>
      <c r="AI203" s="123">
        <v>0</v>
      </c>
      <c r="AJ203" s="123">
        <v>0</v>
      </c>
      <c r="AK203" s="123">
        <v>0</v>
      </c>
      <c r="AL203" s="123">
        <v>0</v>
      </c>
      <c r="AM203" s="123">
        <v>0</v>
      </c>
      <c r="AN203" s="123">
        <v>0</v>
      </c>
      <c r="AO203" s="123">
        <v>0</v>
      </c>
      <c r="AP203" s="123">
        <v>0</v>
      </c>
      <c r="AQ203" s="123">
        <v>0</v>
      </c>
      <c r="AR203" s="123">
        <v>0</v>
      </c>
      <c r="AS203" s="123">
        <v>0</v>
      </c>
      <c r="AT203" s="123">
        <v>0</v>
      </c>
      <c r="AU203" s="123">
        <v>0</v>
      </c>
      <c r="AV203" s="123">
        <v>0</v>
      </c>
      <c r="AW203" s="123">
        <v>0</v>
      </c>
      <c r="AX203" s="123">
        <v>0</v>
      </c>
      <c r="AY203" s="123">
        <v>0</v>
      </c>
    </row>
    <row r="204" spans="1:51" x14ac:dyDescent="0.2">
      <c r="A204" s="126"/>
      <c r="B204" s="143">
        <v>8</v>
      </c>
      <c r="C204" s="123">
        <v>0</v>
      </c>
      <c r="D204" s="123">
        <v>0</v>
      </c>
      <c r="E204" s="123">
        <v>0</v>
      </c>
      <c r="F204" s="123">
        <v>0</v>
      </c>
      <c r="G204" s="123">
        <v>0</v>
      </c>
      <c r="H204" s="123">
        <v>0</v>
      </c>
      <c r="I204" s="123">
        <v>0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</row>
    <row r="205" spans="1:51" x14ac:dyDescent="0.2">
      <c r="A205" s="126"/>
      <c r="B205" s="143">
        <v>9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</row>
    <row r="206" spans="1:51" x14ac:dyDescent="0.2">
      <c r="A206" s="126"/>
      <c r="B206" s="146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0</v>
      </c>
      <c r="AX206" s="123">
        <v>0</v>
      </c>
      <c r="AY206" s="123">
        <v>0</v>
      </c>
    </row>
    <row r="207" spans="1:51" x14ac:dyDescent="0.2">
      <c r="A207" s="126"/>
      <c r="B207" s="146">
        <v>11</v>
      </c>
      <c r="C207" s="123">
        <v>0</v>
      </c>
      <c r="D207" s="123">
        <v>0</v>
      </c>
      <c r="E207" s="123">
        <v>0</v>
      </c>
      <c r="F207" s="123">
        <v>0</v>
      </c>
      <c r="G207" s="123">
        <v>0</v>
      </c>
      <c r="H207" s="123">
        <v>0</v>
      </c>
      <c r="I207" s="123">
        <v>0</v>
      </c>
      <c r="J207" s="123">
        <v>0</v>
      </c>
      <c r="K207" s="123">
        <v>0</v>
      </c>
      <c r="L207" s="123">
        <v>0</v>
      </c>
      <c r="M207" s="123">
        <v>0</v>
      </c>
      <c r="N207" s="123">
        <v>0</v>
      </c>
      <c r="O207" s="123">
        <v>0</v>
      </c>
      <c r="P207" s="123">
        <v>0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</v>
      </c>
      <c r="W207" s="123">
        <v>0</v>
      </c>
      <c r="X207" s="123">
        <v>0</v>
      </c>
      <c r="Y207" s="123">
        <v>0</v>
      </c>
      <c r="Z207" s="123">
        <v>0</v>
      </c>
      <c r="AA207" s="123">
        <v>0</v>
      </c>
      <c r="AB207" s="123">
        <v>0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0</v>
      </c>
      <c r="AL207" s="123">
        <v>0</v>
      </c>
      <c r="AM207" s="123">
        <v>0</v>
      </c>
      <c r="AN207" s="123">
        <v>0</v>
      </c>
      <c r="AO207" s="123">
        <v>0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</row>
    <row r="208" spans="1:51" x14ac:dyDescent="0.2">
      <c r="A208" s="126"/>
      <c r="B208" s="146">
        <v>12</v>
      </c>
      <c r="C208" s="123">
        <v>0</v>
      </c>
      <c r="D208" s="123">
        <v>0</v>
      </c>
      <c r="E208" s="123">
        <v>0</v>
      </c>
      <c r="F208" s="123">
        <v>0</v>
      </c>
      <c r="G208" s="123">
        <v>0</v>
      </c>
      <c r="H208" s="123">
        <v>0</v>
      </c>
      <c r="I208" s="123">
        <v>0</v>
      </c>
      <c r="J208" s="123">
        <v>0</v>
      </c>
      <c r="K208" s="123">
        <v>0</v>
      </c>
      <c r="L208" s="123">
        <v>0</v>
      </c>
      <c r="M208" s="123">
        <v>0</v>
      </c>
      <c r="N208" s="123">
        <v>0</v>
      </c>
      <c r="O208" s="123">
        <v>0</v>
      </c>
      <c r="P208" s="123">
        <v>0</v>
      </c>
      <c r="Q208" s="123">
        <v>0</v>
      </c>
      <c r="R208" s="123">
        <v>0</v>
      </c>
      <c r="S208" s="123">
        <v>0</v>
      </c>
      <c r="T208" s="123">
        <v>0</v>
      </c>
      <c r="U208" s="123">
        <v>0</v>
      </c>
      <c r="V208" s="123">
        <v>0</v>
      </c>
      <c r="W208" s="123">
        <v>0</v>
      </c>
      <c r="X208" s="123">
        <v>0</v>
      </c>
      <c r="Y208" s="123">
        <v>0</v>
      </c>
      <c r="Z208" s="123">
        <v>0</v>
      </c>
      <c r="AA208" s="123">
        <v>0</v>
      </c>
      <c r="AB208" s="123">
        <v>0</v>
      </c>
      <c r="AC208" s="123">
        <v>0</v>
      </c>
      <c r="AD208" s="123">
        <v>0</v>
      </c>
      <c r="AE208" s="123">
        <v>0</v>
      </c>
      <c r="AF208" s="123">
        <v>0</v>
      </c>
      <c r="AG208" s="123">
        <v>0</v>
      </c>
      <c r="AH208" s="123">
        <v>0</v>
      </c>
      <c r="AI208" s="123">
        <v>0</v>
      </c>
      <c r="AJ208" s="123">
        <v>0</v>
      </c>
      <c r="AK208" s="123">
        <v>0</v>
      </c>
      <c r="AL208" s="123">
        <v>0</v>
      </c>
      <c r="AM208" s="123">
        <v>0</v>
      </c>
      <c r="AN208" s="123">
        <v>0</v>
      </c>
      <c r="AO208" s="123">
        <v>0</v>
      </c>
      <c r="AP208" s="123">
        <v>0</v>
      </c>
      <c r="AQ208" s="123">
        <v>0</v>
      </c>
      <c r="AR208" s="123">
        <v>0</v>
      </c>
      <c r="AS208" s="123">
        <v>0</v>
      </c>
      <c r="AT208" s="123">
        <v>0</v>
      </c>
      <c r="AU208" s="123">
        <v>0</v>
      </c>
      <c r="AV208" s="123">
        <v>0</v>
      </c>
      <c r="AW208" s="123">
        <v>0</v>
      </c>
      <c r="AX208" s="123">
        <v>0</v>
      </c>
      <c r="AY208" s="123">
        <v>0</v>
      </c>
    </row>
    <row r="209" spans="1:51" x14ac:dyDescent="0.2">
      <c r="A209" s="142" t="s">
        <v>123</v>
      </c>
      <c r="B209" s="139">
        <v>1</v>
      </c>
      <c r="C209" s="140">
        <v>0</v>
      </c>
      <c r="D209" s="140">
        <v>826</v>
      </c>
      <c r="E209" s="140">
        <v>0</v>
      </c>
      <c r="F209" s="140">
        <v>0</v>
      </c>
      <c r="G209" s="140">
        <v>0</v>
      </c>
      <c r="H209" s="140">
        <v>0</v>
      </c>
      <c r="I209" s="140">
        <v>0</v>
      </c>
      <c r="J209" s="140">
        <v>0</v>
      </c>
      <c r="K209" s="140">
        <v>0</v>
      </c>
      <c r="L209" s="140">
        <v>0</v>
      </c>
      <c r="M209" s="140">
        <v>0</v>
      </c>
      <c r="N209" s="140">
        <v>0</v>
      </c>
      <c r="O209" s="140">
        <v>0</v>
      </c>
      <c r="P209" s="140">
        <v>0</v>
      </c>
      <c r="Q209" s="140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140">
        <v>0</v>
      </c>
      <c r="X209" s="140">
        <v>0</v>
      </c>
      <c r="Y209" s="140">
        <v>0</v>
      </c>
      <c r="Z209" s="140">
        <v>0</v>
      </c>
      <c r="AA209" s="140">
        <v>0</v>
      </c>
      <c r="AB209" s="140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140">
        <v>0</v>
      </c>
      <c r="AI209" s="140">
        <v>0</v>
      </c>
      <c r="AJ209" s="140">
        <v>0</v>
      </c>
      <c r="AK209" s="140">
        <v>0</v>
      </c>
      <c r="AL209" s="140">
        <v>0</v>
      </c>
      <c r="AM209" s="140">
        <v>0</v>
      </c>
      <c r="AN209" s="140">
        <v>0</v>
      </c>
      <c r="AO209" s="140">
        <v>0</v>
      </c>
      <c r="AP209" s="140">
        <v>0</v>
      </c>
      <c r="AQ209" s="140">
        <v>0</v>
      </c>
      <c r="AR209" s="140">
        <v>0</v>
      </c>
      <c r="AS209" s="140">
        <v>0</v>
      </c>
      <c r="AT209" s="140">
        <v>0</v>
      </c>
      <c r="AU209" s="140">
        <v>0</v>
      </c>
      <c r="AV209" s="140">
        <v>0</v>
      </c>
      <c r="AW209" s="140">
        <v>0</v>
      </c>
      <c r="AX209" s="140">
        <v>0</v>
      </c>
      <c r="AY209" s="140">
        <v>0</v>
      </c>
    </row>
    <row r="210" spans="1:51" x14ac:dyDescent="0.2">
      <c r="A210" s="126"/>
      <c r="B210" s="135">
        <v>2</v>
      </c>
      <c r="C210" s="123">
        <v>0</v>
      </c>
      <c r="D210" s="127">
        <v>0</v>
      </c>
      <c r="E210" s="127">
        <v>809</v>
      </c>
      <c r="F210" s="127">
        <v>0</v>
      </c>
      <c r="G210" s="127">
        <v>0</v>
      </c>
      <c r="H210" s="127">
        <v>0</v>
      </c>
      <c r="I210" s="127">
        <v>0</v>
      </c>
      <c r="J210" s="127">
        <v>0</v>
      </c>
      <c r="K210" s="127">
        <v>0</v>
      </c>
      <c r="L210" s="127">
        <v>0</v>
      </c>
      <c r="M210" s="127">
        <v>0</v>
      </c>
      <c r="N210" s="127">
        <v>0</v>
      </c>
      <c r="O210" s="127">
        <v>0</v>
      </c>
      <c r="P210" s="127">
        <v>0</v>
      </c>
      <c r="Q210" s="127">
        <v>0</v>
      </c>
      <c r="R210" s="127">
        <v>0</v>
      </c>
      <c r="S210" s="127">
        <v>0</v>
      </c>
      <c r="T210" s="127">
        <v>0</v>
      </c>
      <c r="U210" s="127">
        <v>0</v>
      </c>
      <c r="V210" s="127">
        <v>0</v>
      </c>
      <c r="W210" s="127">
        <v>0</v>
      </c>
      <c r="X210" s="127">
        <v>0</v>
      </c>
      <c r="Y210" s="127">
        <v>0</v>
      </c>
      <c r="Z210" s="127">
        <v>0</v>
      </c>
      <c r="AA210" s="127">
        <v>0</v>
      </c>
      <c r="AB210" s="127">
        <v>0</v>
      </c>
      <c r="AC210" s="127">
        <v>0</v>
      </c>
      <c r="AD210" s="127">
        <v>0</v>
      </c>
      <c r="AE210" s="127">
        <v>0</v>
      </c>
      <c r="AF210" s="127">
        <v>0</v>
      </c>
      <c r="AG210" s="127">
        <v>0</v>
      </c>
      <c r="AH210" s="127">
        <v>0</v>
      </c>
      <c r="AI210" s="127">
        <v>0</v>
      </c>
      <c r="AJ210" s="127">
        <v>0</v>
      </c>
      <c r="AK210" s="127">
        <v>0</v>
      </c>
      <c r="AL210" s="127">
        <v>0</v>
      </c>
      <c r="AM210" s="127">
        <v>0</v>
      </c>
      <c r="AN210" s="127">
        <v>0</v>
      </c>
      <c r="AO210" s="127">
        <v>0</v>
      </c>
      <c r="AP210" s="127">
        <v>0</v>
      </c>
      <c r="AQ210" s="127">
        <v>0</v>
      </c>
      <c r="AR210" s="127">
        <v>0</v>
      </c>
      <c r="AS210" s="127">
        <v>0</v>
      </c>
      <c r="AT210" s="127">
        <v>0</v>
      </c>
      <c r="AU210" s="127">
        <v>0</v>
      </c>
      <c r="AV210" s="127">
        <v>0</v>
      </c>
      <c r="AW210" s="127">
        <v>0</v>
      </c>
      <c r="AX210" s="127">
        <v>0</v>
      </c>
      <c r="AY210" s="127">
        <v>0</v>
      </c>
    </row>
    <row r="211" spans="1:51" x14ac:dyDescent="0.2">
      <c r="A211" s="126"/>
      <c r="B211" s="135">
        <v>3</v>
      </c>
      <c r="C211" s="123">
        <v>0</v>
      </c>
      <c r="D211" s="127">
        <v>0</v>
      </c>
      <c r="E211" s="127">
        <v>0</v>
      </c>
      <c r="F211" s="127">
        <v>785</v>
      </c>
      <c r="G211" s="127">
        <v>828.65546719837323</v>
      </c>
      <c r="H211" s="127">
        <v>0</v>
      </c>
      <c r="I211" s="127">
        <v>0</v>
      </c>
      <c r="J211" s="127">
        <v>0</v>
      </c>
      <c r="K211" s="127">
        <v>0</v>
      </c>
      <c r="L211" s="127">
        <v>0</v>
      </c>
      <c r="M211" s="127">
        <v>0</v>
      </c>
      <c r="N211" s="127">
        <v>0</v>
      </c>
      <c r="O211" s="127">
        <v>0</v>
      </c>
      <c r="P211" s="127">
        <v>0</v>
      </c>
      <c r="Q211" s="127">
        <v>1209.4662456894139</v>
      </c>
      <c r="R211" s="127">
        <v>1812.6554671983783</v>
      </c>
      <c r="S211" s="127">
        <v>2007.6554671983763</v>
      </c>
      <c r="T211" s="127">
        <v>0</v>
      </c>
      <c r="U211" s="127">
        <v>0</v>
      </c>
      <c r="V211" s="127">
        <v>0</v>
      </c>
      <c r="W211" s="127">
        <v>0</v>
      </c>
      <c r="X211" s="127">
        <v>0</v>
      </c>
      <c r="Y211" s="127">
        <v>0</v>
      </c>
      <c r="Z211" s="127">
        <v>0</v>
      </c>
      <c r="AA211" s="127">
        <v>0</v>
      </c>
      <c r="AB211" s="127">
        <v>582.9229967205365</v>
      </c>
      <c r="AC211" s="127">
        <v>1277.4662456894127</v>
      </c>
      <c r="AD211" s="127">
        <v>2703.6554671983749</v>
      </c>
      <c r="AE211" s="127">
        <v>2039.6554671983802</v>
      </c>
      <c r="AF211" s="127">
        <v>0</v>
      </c>
      <c r="AG211" s="127">
        <v>0</v>
      </c>
      <c r="AH211" s="127">
        <v>0</v>
      </c>
      <c r="AI211" s="127">
        <v>0</v>
      </c>
      <c r="AJ211" s="127">
        <v>0</v>
      </c>
      <c r="AK211" s="127">
        <v>0</v>
      </c>
      <c r="AL211" s="127">
        <v>0</v>
      </c>
      <c r="AM211" s="127">
        <v>0</v>
      </c>
      <c r="AN211" s="127">
        <v>0</v>
      </c>
      <c r="AO211" s="127">
        <v>0</v>
      </c>
      <c r="AP211" s="127">
        <v>660.65546719837266</v>
      </c>
      <c r="AQ211" s="127">
        <v>727.65546719837391</v>
      </c>
      <c r="AR211" s="127">
        <v>0</v>
      </c>
      <c r="AS211" s="127">
        <v>0</v>
      </c>
      <c r="AT211" s="127">
        <v>0</v>
      </c>
      <c r="AU211" s="127">
        <v>0</v>
      </c>
      <c r="AV211" s="127">
        <v>0</v>
      </c>
      <c r="AW211" s="127">
        <v>0</v>
      </c>
      <c r="AX211" s="127">
        <v>0</v>
      </c>
      <c r="AY211" s="127">
        <v>0</v>
      </c>
    </row>
    <row r="212" spans="1:51" x14ac:dyDescent="0.2">
      <c r="A212" s="126"/>
      <c r="B212" s="135">
        <v>4</v>
      </c>
      <c r="C212" s="123">
        <v>0</v>
      </c>
      <c r="D212" s="127">
        <v>0</v>
      </c>
      <c r="E212" s="127">
        <v>0</v>
      </c>
      <c r="F212" s="127">
        <v>0</v>
      </c>
      <c r="G212" s="127">
        <v>52.344532801626755</v>
      </c>
      <c r="H212" s="127">
        <v>477</v>
      </c>
      <c r="I212" s="127">
        <v>609</v>
      </c>
      <c r="J212" s="127">
        <v>589</v>
      </c>
      <c r="K212" s="127">
        <v>500</v>
      </c>
      <c r="L212" s="127">
        <v>1057</v>
      </c>
      <c r="M212" s="127">
        <v>1318</v>
      </c>
      <c r="N212" s="127">
        <v>1334</v>
      </c>
      <c r="O212" s="127">
        <v>963</v>
      </c>
      <c r="P212" s="127">
        <v>1722</v>
      </c>
      <c r="Q212" s="127">
        <v>768.533754310586</v>
      </c>
      <c r="R212" s="127">
        <v>52.344532801621753</v>
      </c>
      <c r="S212" s="127">
        <v>52.344532801623629</v>
      </c>
      <c r="T212" s="127">
        <v>1035</v>
      </c>
      <c r="U212" s="127">
        <v>1011</v>
      </c>
      <c r="V212" s="127">
        <v>693</v>
      </c>
      <c r="W212" s="127">
        <v>720</v>
      </c>
      <c r="X212" s="127">
        <v>391</v>
      </c>
      <c r="Y212" s="127">
        <v>411</v>
      </c>
      <c r="Z212" s="127">
        <v>477</v>
      </c>
      <c r="AA212" s="127">
        <v>400</v>
      </c>
      <c r="AB212" s="127">
        <v>1811.0770032794635</v>
      </c>
      <c r="AC212" s="127">
        <v>768.53375431058726</v>
      </c>
      <c r="AD212" s="127">
        <v>52.344532801624879</v>
      </c>
      <c r="AE212" s="127">
        <v>52.344532801619877</v>
      </c>
      <c r="AF212" s="127">
        <v>1230</v>
      </c>
      <c r="AG212" s="127">
        <v>1159</v>
      </c>
      <c r="AH212" s="127">
        <v>1059</v>
      </c>
      <c r="AI212" s="127">
        <v>1209</v>
      </c>
      <c r="AJ212" s="127">
        <v>937</v>
      </c>
      <c r="AK212" s="127">
        <v>928</v>
      </c>
      <c r="AL212" s="127">
        <v>928</v>
      </c>
      <c r="AM212" s="127">
        <v>1017</v>
      </c>
      <c r="AN212" s="127">
        <v>655</v>
      </c>
      <c r="AO212" s="127">
        <v>675</v>
      </c>
      <c r="AP212" s="127">
        <v>52.344532801627381</v>
      </c>
      <c r="AQ212" s="127">
        <v>52.34453280162613</v>
      </c>
      <c r="AR212" s="127">
        <v>967</v>
      </c>
      <c r="AS212" s="127">
        <v>804</v>
      </c>
      <c r="AT212" s="127">
        <v>944</v>
      </c>
      <c r="AU212" s="127">
        <v>924</v>
      </c>
      <c r="AV212" s="127">
        <v>1300</v>
      </c>
      <c r="AW212" s="127">
        <v>1261</v>
      </c>
      <c r="AX212" s="127">
        <v>1238</v>
      </c>
      <c r="AY212" s="127">
        <v>1830</v>
      </c>
    </row>
    <row r="213" spans="1:51" x14ac:dyDescent="0.2">
      <c r="A213" s="126"/>
      <c r="B213" s="135">
        <v>5</v>
      </c>
      <c r="C213" s="123">
        <v>0</v>
      </c>
      <c r="D213" s="127">
        <v>0</v>
      </c>
      <c r="E213" s="127">
        <v>0</v>
      </c>
      <c r="F213" s="127">
        <v>0</v>
      </c>
      <c r="G213" s="127">
        <v>0</v>
      </c>
      <c r="H213" s="127">
        <v>0</v>
      </c>
      <c r="I213" s="127">
        <v>0</v>
      </c>
      <c r="J213" s="127">
        <v>0</v>
      </c>
      <c r="K213" s="127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0</v>
      </c>
      <c r="AD213" s="127">
        <v>0</v>
      </c>
      <c r="AE213" s="127">
        <v>0</v>
      </c>
      <c r="AF213" s="127">
        <v>0</v>
      </c>
      <c r="AG213" s="127">
        <v>0</v>
      </c>
      <c r="AH213" s="127">
        <v>0</v>
      </c>
      <c r="AI213" s="127">
        <v>0</v>
      </c>
      <c r="AJ213" s="127">
        <v>0</v>
      </c>
      <c r="AK213" s="127">
        <v>0</v>
      </c>
      <c r="AL213" s="127">
        <v>0</v>
      </c>
      <c r="AM213" s="127">
        <v>0</v>
      </c>
      <c r="AN213" s="127">
        <v>0</v>
      </c>
      <c r="AO213" s="127">
        <v>0</v>
      </c>
      <c r="AP213" s="127">
        <v>0</v>
      </c>
      <c r="AQ213" s="127">
        <v>0</v>
      </c>
      <c r="AR213" s="127">
        <v>0</v>
      </c>
      <c r="AS213" s="127">
        <v>0</v>
      </c>
      <c r="AT213" s="127">
        <v>0</v>
      </c>
      <c r="AU213" s="127">
        <v>0</v>
      </c>
      <c r="AV213" s="127">
        <v>0</v>
      </c>
      <c r="AW213" s="127">
        <v>0</v>
      </c>
      <c r="AX213" s="127">
        <v>0</v>
      </c>
      <c r="AY213" s="127">
        <v>0</v>
      </c>
    </row>
    <row r="214" spans="1:51" x14ac:dyDescent="0.2">
      <c r="A214" s="126"/>
      <c r="B214" s="135">
        <v>6</v>
      </c>
      <c r="C214" s="123">
        <v>0</v>
      </c>
      <c r="D214" s="127">
        <v>0</v>
      </c>
      <c r="E214" s="127">
        <v>0</v>
      </c>
      <c r="F214" s="127">
        <v>0</v>
      </c>
      <c r="G214" s="127">
        <v>0</v>
      </c>
      <c r="H214" s="127">
        <v>0</v>
      </c>
      <c r="I214" s="127">
        <v>0</v>
      </c>
      <c r="J214" s="127">
        <v>0</v>
      </c>
      <c r="K214" s="127">
        <v>0</v>
      </c>
      <c r="L214" s="127">
        <v>0</v>
      </c>
      <c r="M214" s="127">
        <v>0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0</v>
      </c>
      <c r="AD214" s="127">
        <v>0</v>
      </c>
      <c r="AE214" s="127">
        <v>0</v>
      </c>
      <c r="AF214" s="127">
        <v>0</v>
      </c>
      <c r="AG214" s="127">
        <v>0</v>
      </c>
      <c r="AH214" s="127">
        <v>0</v>
      </c>
      <c r="AI214" s="127">
        <v>0</v>
      </c>
      <c r="AJ214" s="127">
        <v>0</v>
      </c>
      <c r="AK214" s="127">
        <v>0</v>
      </c>
      <c r="AL214" s="127">
        <v>0</v>
      </c>
      <c r="AM214" s="127">
        <v>0</v>
      </c>
      <c r="AN214" s="127">
        <v>0</v>
      </c>
      <c r="AO214" s="127">
        <v>0</v>
      </c>
      <c r="AP214" s="127">
        <v>0</v>
      </c>
      <c r="AQ214" s="127">
        <v>0</v>
      </c>
      <c r="AR214" s="127">
        <v>0</v>
      </c>
      <c r="AS214" s="127">
        <v>0</v>
      </c>
      <c r="AT214" s="127">
        <v>0</v>
      </c>
      <c r="AU214" s="127">
        <v>0</v>
      </c>
      <c r="AV214" s="127">
        <v>0</v>
      </c>
      <c r="AW214" s="127">
        <v>0</v>
      </c>
      <c r="AX214" s="127">
        <v>0</v>
      </c>
      <c r="AY214" s="127">
        <v>0</v>
      </c>
    </row>
    <row r="215" spans="1:51" x14ac:dyDescent="0.2">
      <c r="A215" s="126"/>
      <c r="B215" s="135">
        <v>7</v>
      </c>
      <c r="C215" s="123">
        <v>0</v>
      </c>
      <c r="D215" s="127">
        <v>0</v>
      </c>
      <c r="E215" s="127">
        <v>0</v>
      </c>
      <c r="F215" s="127">
        <v>0</v>
      </c>
      <c r="G215" s="127">
        <v>0</v>
      </c>
      <c r="H215" s="127">
        <v>0</v>
      </c>
      <c r="I215" s="127">
        <v>0</v>
      </c>
      <c r="J215" s="127">
        <v>0</v>
      </c>
      <c r="K215" s="127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0</v>
      </c>
      <c r="AD215" s="127">
        <v>0</v>
      </c>
      <c r="AE215" s="127">
        <v>0</v>
      </c>
      <c r="AF215" s="127">
        <v>0</v>
      </c>
      <c r="AG215" s="127">
        <v>0</v>
      </c>
      <c r="AH215" s="127">
        <v>0</v>
      </c>
      <c r="AI215" s="127">
        <v>0</v>
      </c>
      <c r="AJ215" s="127">
        <v>0</v>
      </c>
      <c r="AK215" s="127">
        <v>0</v>
      </c>
      <c r="AL215" s="127">
        <v>0</v>
      </c>
      <c r="AM215" s="127">
        <v>0</v>
      </c>
      <c r="AN215" s="127">
        <v>0</v>
      </c>
      <c r="AO215" s="127">
        <v>0</v>
      </c>
      <c r="AP215" s="127">
        <v>0</v>
      </c>
      <c r="AQ215" s="127">
        <v>0</v>
      </c>
      <c r="AR215" s="127">
        <v>0</v>
      </c>
      <c r="AS215" s="127">
        <v>0</v>
      </c>
      <c r="AT215" s="127">
        <v>0</v>
      </c>
      <c r="AU215" s="127">
        <v>0</v>
      </c>
      <c r="AV215" s="127">
        <v>0</v>
      </c>
      <c r="AW215" s="127">
        <v>0</v>
      </c>
      <c r="AX215" s="127">
        <v>0</v>
      </c>
      <c r="AY215" s="127">
        <v>0</v>
      </c>
    </row>
    <row r="216" spans="1:51" x14ac:dyDescent="0.2">
      <c r="A216" s="126"/>
      <c r="B216" s="135">
        <v>8</v>
      </c>
      <c r="C216" s="123">
        <v>0</v>
      </c>
      <c r="D216" s="127">
        <v>0</v>
      </c>
      <c r="E216" s="127">
        <v>0</v>
      </c>
      <c r="F216" s="127">
        <v>0</v>
      </c>
      <c r="G216" s="127">
        <v>0</v>
      </c>
      <c r="H216" s="127">
        <v>0</v>
      </c>
      <c r="I216" s="127">
        <v>0</v>
      </c>
      <c r="J216" s="127">
        <v>0</v>
      </c>
      <c r="K216" s="127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0</v>
      </c>
      <c r="AD216" s="127">
        <v>0</v>
      </c>
      <c r="AE216" s="127">
        <v>0</v>
      </c>
      <c r="AF216" s="127">
        <v>0</v>
      </c>
      <c r="AG216" s="127">
        <v>0</v>
      </c>
      <c r="AH216" s="127">
        <v>0</v>
      </c>
      <c r="AI216" s="127">
        <v>0</v>
      </c>
      <c r="AJ216" s="127">
        <v>0</v>
      </c>
      <c r="AK216" s="127">
        <v>0</v>
      </c>
      <c r="AL216" s="127">
        <v>0</v>
      </c>
      <c r="AM216" s="127">
        <v>0</v>
      </c>
      <c r="AN216" s="127">
        <v>0</v>
      </c>
      <c r="AO216" s="127">
        <v>0</v>
      </c>
      <c r="AP216" s="127">
        <v>0</v>
      </c>
      <c r="AQ216" s="127">
        <v>0</v>
      </c>
      <c r="AR216" s="127">
        <v>0</v>
      </c>
      <c r="AS216" s="127">
        <v>0</v>
      </c>
      <c r="AT216" s="127">
        <v>0</v>
      </c>
      <c r="AU216" s="127">
        <v>0</v>
      </c>
      <c r="AV216" s="127">
        <v>0</v>
      </c>
      <c r="AW216" s="127">
        <v>0</v>
      </c>
      <c r="AX216" s="127">
        <v>0</v>
      </c>
      <c r="AY216" s="127">
        <v>0</v>
      </c>
    </row>
    <row r="217" spans="1:51" x14ac:dyDescent="0.2">
      <c r="A217" s="126"/>
      <c r="B217" s="135">
        <v>9</v>
      </c>
      <c r="C217" s="123">
        <v>0</v>
      </c>
      <c r="D217" s="127">
        <v>0</v>
      </c>
      <c r="E217" s="127">
        <v>0</v>
      </c>
      <c r="F217" s="127">
        <v>0</v>
      </c>
      <c r="G217" s="127">
        <v>0</v>
      </c>
      <c r="H217" s="127">
        <v>0</v>
      </c>
      <c r="I217" s="127">
        <v>0</v>
      </c>
      <c r="J217" s="127">
        <v>0</v>
      </c>
      <c r="K217" s="127">
        <v>0</v>
      </c>
      <c r="L217" s="127">
        <v>0</v>
      </c>
      <c r="M217" s="127">
        <v>0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0</v>
      </c>
      <c r="AD217" s="127">
        <v>0</v>
      </c>
      <c r="AE217" s="127">
        <v>0</v>
      </c>
      <c r="AF217" s="127">
        <v>0</v>
      </c>
      <c r="AG217" s="127">
        <v>0</v>
      </c>
      <c r="AH217" s="127">
        <v>0</v>
      </c>
      <c r="AI217" s="127">
        <v>0</v>
      </c>
      <c r="AJ217" s="127">
        <v>0</v>
      </c>
      <c r="AK217" s="127">
        <v>0</v>
      </c>
      <c r="AL217" s="127">
        <v>0</v>
      </c>
      <c r="AM217" s="127">
        <v>0</v>
      </c>
      <c r="AN217" s="127">
        <v>0</v>
      </c>
      <c r="AO217" s="127">
        <v>0</v>
      </c>
      <c r="AP217" s="127">
        <v>0</v>
      </c>
      <c r="AQ217" s="127">
        <v>0</v>
      </c>
      <c r="AR217" s="127">
        <v>0</v>
      </c>
      <c r="AS217" s="127">
        <v>0</v>
      </c>
      <c r="AT217" s="127">
        <v>0</v>
      </c>
      <c r="AU217" s="127">
        <v>0</v>
      </c>
      <c r="AV217" s="127">
        <v>0</v>
      </c>
      <c r="AW217" s="127">
        <v>0</v>
      </c>
      <c r="AX217" s="127">
        <v>0</v>
      </c>
      <c r="AY217" s="127">
        <v>0</v>
      </c>
    </row>
    <row r="218" spans="1:51" x14ac:dyDescent="0.2">
      <c r="A218" s="126"/>
      <c r="B218" s="135">
        <v>10</v>
      </c>
      <c r="C218" s="123">
        <v>0</v>
      </c>
      <c r="D218" s="127">
        <v>0</v>
      </c>
      <c r="E218" s="127">
        <v>0</v>
      </c>
      <c r="F218" s="127">
        <v>0</v>
      </c>
      <c r="G218" s="127">
        <v>0</v>
      </c>
      <c r="H218" s="127">
        <v>0</v>
      </c>
      <c r="I218" s="127">
        <v>0</v>
      </c>
      <c r="J218" s="127">
        <v>0</v>
      </c>
      <c r="K218" s="127">
        <v>0</v>
      </c>
      <c r="L218" s="127">
        <v>0</v>
      </c>
      <c r="M218" s="127">
        <v>0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0</v>
      </c>
      <c r="AD218" s="127">
        <v>0</v>
      </c>
      <c r="AE218" s="127">
        <v>0</v>
      </c>
      <c r="AF218" s="127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7">
        <v>0</v>
      </c>
      <c r="AM218" s="127">
        <v>0</v>
      </c>
      <c r="AN218" s="127">
        <v>0</v>
      </c>
      <c r="AO218" s="127">
        <v>0</v>
      </c>
      <c r="AP218" s="127">
        <v>0</v>
      </c>
      <c r="AQ218" s="127">
        <v>0</v>
      </c>
      <c r="AR218" s="127">
        <v>0</v>
      </c>
      <c r="AS218" s="127">
        <v>0</v>
      </c>
      <c r="AT218" s="127">
        <v>0</v>
      </c>
      <c r="AU218" s="127">
        <v>0</v>
      </c>
      <c r="AV218" s="127">
        <v>0</v>
      </c>
      <c r="AW218" s="127">
        <v>0</v>
      </c>
      <c r="AX218" s="127">
        <v>0</v>
      </c>
      <c r="AY218" s="127">
        <v>0</v>
      </c>
    </row>
    <row r="219" spans="1:51" x14ac:dyDescent="0.2">
      <c r="A219" s="126"/>
      <c r="B219" s="135">
        <v>11</v>
      </c>
      <c r="C219" s="123">
        <v>0</v>
      </c>
      <c r="D219" s="127">
        <v>0</v>
      </c>
      <c r="E219" s="127">
        <v>0</v>
      </c>
      <c r="F219" s="127">
        <v>0</v>
      </c>
      <c r="G219" s="127">
        <v>0</v>
      </c>
      <c r="H219" s="127">
        <v>0</v>
      </c>
      <c r="I219" s="127">
        <v>0</v>
      </c>
      <c r="J219" s="127">
        <v>0</v>
      </c>
      <c r="K219" s="127">
        <v>0</v>
      </c>
      <c r="L219" s="127">
        <v>0</v>
      </c>
      <c r="M219" s="127">
        <v>0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0</v>
      </c>
      <c r="AD219" s="127">
        <v>0</v>
      </c>
      <c r="AE219" s="127">
        <v>0</v>
      </c>
      <c r="AF219" s="127">
        <v>0</v>
      </c>
      <c r="AG219" s="127">
        <v>0</v>
      </c>
      <c r="AH219" s="127">
        <v>0</v>
      </c>
      <c r="AI219" s="127">
        <v>0</v>
      </c>
      <c r="AJ219" s="127">
        <v>0</v>
      </c>
      <c r="AK219" s="127">
        <v>0</v>
      </c>
      <c r="AL219" s="127">
        <v>0</v>
      </c>
      <c r="AM219" s="127">
        <v>0</v>
      </c>
      <c r="AN219" s="127">
        <v>0</v>
      </c>
      <c r="AO219" s="127">
        <v>0</v>
      </c>
      <c r="AP219" s="127">
        <v>0</v>
      </c>
      <c r="AQ219" s="127">
        <v>0</v>
      </c>
      <c r="AR219" s="127">
        <v>0</v>
      </c>
      <c r="AS219" s="127">
        <v>0</v>
      </c>
      <c r="AT219" s="127">
        <v>0</v>
      </c>
      <c r="AU219" s="127">
        <v>0</v>
      </c>
      <c r="AV219" s="127">
        <v>0</v>
      </c>
      <c r="AW219" s="127">
        <v>0</v>
      </c>
      <c r="AX219" s="127">
        <v>0</v>
      </c>
      <c r="AY219" s="127">
        <v>0</v>
      </c>
    </row>
    <row r="220" spans="1:51" x14ac:dyDescent="0.2">
      <c r="A220" s="126"/>
      <c r="B220" s="135">
        <v>12</v>
      </c>
      <c r="C220" s="123">
        <v>0</v>
      </c>
      <c r="D220" s="127">
        <v>0</v>
      </c>
      <c r="E220" s="127">
        <v>0</v>
      </c>
      <c r="F220" s="127">
        <v>0</v>
      </c>
      <c r="G220" s="127">
        <v>0</v>
      </c>
      <c r="H220" s="127">
        <v>0</v>
      </c>
      <c r="I220" s="127">
        <v>0</v>
      </c>
      <c r="J220" s="127">
        <v>0</v>
      </c>
      <c r="K220" s="127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0</v>
      </c>
      <c r="AD220" s="127">
        <v>0</v>
      </c>
      <c r="AE220" s="127">
        <v>0</v>
      </c>
      <c r="AF220" s="127">
        <v>0</v>
      </c>
      <c r="AG220" s="127">
        <v>0</v>
      </c>
      <c r="AH220" s="127">
        <v>0</v>
      </c>
      <c r="AI220" s="127">
        <v>0</v>
      </c>
      <c r="AJ220" s="127">
        <v>0</v>
      </c>
      <c r="AK220" s="127">
        <v>0</v>
      </c>
      <c r="AL220" s="127">
        <v>0</v>
      </c>
      <c r="AM220" s="127">
        <v>0</v>
      </c>
      <c r="AN220" s="127">
        <v>0</v>
      </c>
      <c r="AO220" s="127">
        <v>0</v>
      </c>
      <c r="AP220" s="127">
        <v>0</v>
      </c>
      <c r="AQ220" s="127">
        <v>0</v>
      </c>
      <c r="AR220" s="127">
        <v>0</v>
      </c>
      <c r="AS220" s="127">
        <v>0</v>
      </c>
      <c r="AT220" s="127">
        <v>0</v>
      </c>
      <c r="AU220" s="127">
        <v>0</v>
      </c>
      <c r="AV220" s="127">
        <v>0</v>
      </c>
      <c r="AW220" s="127">
        <v>0</v>
      </c>
      <c r="AX220" s="127">
        <v>0</v>
      </c>
      <c r="AY220" s="127">
        <v>0</v>
      </c>
    </row>
    <row r="221" spans="1:51" x14ac:dyDescent="0.2">
      <c r="A221" s="126"/>
      <c r="B221" s="136">
        <v>13</v>
      </c>
      <c r="C221" s="123">
        <v>0</v>
      </c>
      <c r="D221" s="127">
        <v>0</v>
      </c>
      <c r="E221" s="127">
        <v>0</v>
      </c>
      <c r="F221" s="127">
        <v>0</v>
      </c>
      <c r="G221" s="127">
        <v>0</v>
      </c>
      <c r="H221" s="127">
        <v>0</v>
      </c>
      <c r="I221" s="127">
        <v>0</v>
      </c>
      <c r="J221" s="127">
        <v>0</v>
      </c>
      <c r="K221" s="127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0</v>
      </c>
      <c r="AD221" s="127">
        <v>0</v>
      </c>
      <c r="AE221" s="127">
        <v>0</v>
      </c>
      <c r="AF221" s="127">
        <v>0</v>
      </c>
      <c r="AG221" s="127">
        <v>0</v>
      </c>
      <c r="AH221" s="127">
        <v>0</v>
      </c>
      <c r="AI221" s="127">
        <v>0</v>
      </c>
      <c r="AJ221" s="127">
        <v>0</v>
      </c>
      <c r="AK221" s="127">
        <v>0</v>
      </c>
      <c r="AL221" s="127">
        <v>0</v>
      </c>
      <c r="AM221" s="127">
        <v>0</v>
      </c>
      <c r="AN221" s="127">
        <v>0</v>
      </c>
      <c r="AO221" s="127">
        <v>0</v>
      </c>
      <c r="AP221" s="127">
        <v>0</v>
      </c>
      <c r="AQ221" s="127">
        <v>0</v>
      </c>
      <c r="AR221" s="127">
        <v>0</v>
      </c>
      <c r="AS221" s="127">
        <v>0</v>
      </c>
      <c r="AT221" s="127">
        <v>0</v>
      </c>
      <c r="AU221" s="127">
        <v>0</v>
      </c>
      <c r="AV221" s="127">
        <v>0</v>
      </c>
      <c r="AW221" s="127">
        <v>0</v>
      </c>
      <c r="AX221" s="127">
        <v>0</v>
      </c>
      <c r="AY221" s="127">
        <v>0</v>
      </c>
    </row>
    <row r="222" spans="1:51" x14ac:dyDescent="0.2">
      <c r="A222" s="126"/>
      <c r="B222" s="136">
        <v>14</v>
      </c>
      <c r="C222" s="123">
        <v>0</v>
      </c>
      <c r="D222" s="127">
        <v>0</v>
      </c>
      <c r="E222" s="127">
        <v>0</v>
      </c>
      <c r="F222" s="127">
        <v>0</v>
      </c>
      <c r="G222" s="127">
        <v>0</v>
      </c>
      <c r="H222" s="127">
        <v>0</v>
      </c>
      <c r="I222" s="127">
        <v>0</v>
      </c>
      <c r="J222" s="127">
        <v>0</v>
      </c>
      <c r="K222" s="127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0</v>
      </c>
      <c r="AD222" s="127">
        <v>0</v>
      </c>
      <c r="AE222" s="127">
        <v>0</v>
      </c>
      <c r="AF222" s="127">
        <v>0</v>
      </c>
      <c r="AG222" s="127">
        <v>0</v>
      </c>
      <c r="AH222" s="127">
        <v>0</v>
      </c>
      <c r="AI222" s="127">
        <v>0</v>
      </c>
      <c r="AJ222" s="127">
        <v>0</v>
      </c>
      <c r="AK222" s="127">
        <v>0</v>
      </c>
      <c r="AL222" s="127">
        <v>0</v>
      </c>
      <c r="AM222" s="127">
        <v>0</v>
      </c>
      <c r="AN222" s="127">
        <v>0</v>
      </c>
      <c r="AO222" s="127">
        <v>0</v>
      </c>
      <c r="AP222" s="127">
        <v>0</v>
      </c>
      <c r="AQ222" s="127">
        <v>0</v>
      </c>
      <c r="AR222" s="127">
        <v>0</v>
      </c>
      <c r="AS222" s="127">
        <v>0</v>
      </c>
      <c r="AT222" s="127">
        <v>0</v>
      </c>
      <c r="AU222" s="127">
        <v>0</v>
      </c>
      <c r="AV222" s="127">
        <v>0</v>
      </c>
      <c r="AW222" s="127">
        <v>0</v>
      </c>
      <c r="AX222" s="127">
        <v>0</v>
      </c>
      <c r="AY222" s="127">
        <v>0</v>
      </c>
    </row>
    <row r="223" spans="1:51" x14ac:dyDescent="0.2">
      <c r="A223" s="126"/>
      <c r="B223" s="136">
        <v>15</v>
      </c>
      <c r="C223" s="123">
        <v>0</v>
      </c>
      <c r="D223" s="127">
        <v>0</v>
      </c>
      <c r="E223" s="127">
        <v>0</v>
      </c>
      <c r="F223" s="127">
        <v>0</v>
      </c>
      <c r="G223" s="127">
        <v>0</v>
      </c>
      <c r="H223" s="127">
        <v>0</v>
      </c>
      <c r="I223" s="127">
        <v>0</v>
      </c>
      <c r="J223" s="127">
        <v>0</v>
      </c>
      <c r="K223" s="127">
        <v>0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0</v>
      </c>
      <c r="AD223" s="127">
        <v>0</v>
      </c>
      <c r="AE223" s="127">
        <v>0</v>
      </c>
      <c r="AF223" s="127">
        <v>0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7">
        <v>0</v>
      </c>
      <c r="AM223" s="127">
        <v>0</v>
      </c>
      <c r="AN223" s="127">
        <v>0</v>
      </c>
      <c r="AO223" s="127">
        <v>0</v>
      </c>
      <c r="AP223" s="127">
        <v>0</v>
      </c>
      <c r="AQ223" s="127">
        <v>0</v>
      </c>
      <c r="AR223" s="127">
        <v>0</v>
      </c>
      <c r="AS223" s="127">
        <v>0</v>
      </c>
      <c r="AT223" s="127">
        <v>0</v>
      </c>
      <c r="AU223" s="127">
        <v>0</v>
      </c>
      <c r="AV223" s="127">
        <v>0</v>
      </c>
      <c r="AW223" s="127">
        <v>0</v>
      </c>
      <c r="AX223" s="127">
        <v>0</v>
      </c>
      <c r="AY223" s="127">
        <v>0</v>
      </c>
    </row>
    <row r="224" spans="1:51" x14ac:dyDescent="0.2">
      <c r="A224" s="126"/>
      <c r="B224" s="136">
        <v>16</v>
      </c>
      <c r="C224" s="123">
        <v>0</v>
      </c>
      <c r="D224" s="127">
        <v>0</v>
      </c>
      <c r="E224" s="127">
        <v>0</v>
      </c>
      <c r="F224" s="127">
        <v>0</v>
      </c>
      <c r="G224" s="127">
        <v>0</v>
      </c>
      <c r="H224" s="127">
        <v>0</v>
      </c>
      <c r="I224" s="127">
        <v>0</v>
      </c>
      <c r="J224" s="127">
        <v>0</v>
      </c>
      <c r="K224" s="127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0</v>
      </c>
      <c r="AD224" s="127">
        <v>0</v>
      </c>
      <c r="AE224" s="127">
        <v>0</v>
      </c>
      <c r="AF224" s="127">
        <v>0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7">
        <v>0</v>
      </c>
      <c r="AM224" s="127">
        <v>0</v>
      </c>
      <c r="AN224" s="127">
        <v>0</v>
      </c>
      <c r="AO224" s="127">
        <v>0</v>
      </c>
      <c r="AP224" s="127">
        <v>0</v>
      </c>
      <c r="AQ224" s="127">
        <v>0</v>
      </c>
      <c r="AR224" s="127">
        <v>0</v>
      </c>
      <c r="AS224" s="127">
        <v>0</v>
      </c>
      <c r="AT224" s="127">
        <v>0</v>
      </c>
      <c r="AU224" s="127">
        <v>0</v>
      </c>
      <c r="AV224" s="127">
        <v>0</v>
      </c>
      <c r="AW224" s="127">
        <v>0</v>
      </c>
      <c r="AX224" s="127">
        <v>0</v>
      </c>
      <c r="AY224" s="127">
        <v>0</v>
      </c>
    </row>
    <row r="225" spans="1:51" x14ac:dyDescent="0.2">
      <c r="A225" s="126"/>
      <c r="B225" s="136">
        <v>17</v>
      </c>
      <c r="C225" s="123">
        <v>0</v>
      </c>
      <c r="D225" s="127">
        <v>0</v>
      </c>
      <c r="E225" s="127">
        <v>0</v>
      </c>
      <c r="F225" s="127">
        <v>0</v>
      </c>
      <c r="G225" s="127">
        <v>0</v>
      </c>
      <c r="H225" s="127">
        <v>0</v>
      </c>
      <c r="I225" s="127">
        <v>0</v>
      </c>
      <c r="J225" s="127">
        <v>0</v>
      </c>
      <c r="K225" s="127">
        <v>0</v>
      </c>
      <c r="L225" s="127">
        <v>0</v>
      </c>
      <c r="M225" s="127">
        <v>0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0</v>
      </c>
      <c r="AD225" s="127">
        <v>0</v>
      </c>
      <c r="AE225" s="127">
        <v>0</v>
      </c>
      <c r="AF225" s="127">
        <v>0</v>
      </c>
      <c r="AG225" s="127">
        <v>0</v>
      </c>
      <c r="AH225" s="127">
        <v>0</v>
      </c>
      <c r="AI225" s="127">
        <v>0</v>
      </c>
      <c r="AJ225" s="127">
        <v>0</v>
      </c>
      <c r="AK225" s="127">
        <v>0</v>
      </c>
      <c r="AL225" s="127">
        <v>0</v>
      </c>
      <c r="AM225" s="127">
        <v>0</v>
      </c>
      <c r="AN225" s="127">
        <v>0</v>
      </c>
      <c r="AO225" s="127">
        <v>0</v>
      </c>
      <c r="AP225" s="127">
        <v>0</v>
      </c>
      <c r="AQ225" s="127">
        <v>0</v>
      </c>
      <c r="AR225" s="127">
        <v>0</v>
      </c>
      <c r="AS225" s="127">
        <v>0</v>
      </c>
      <c r="AT225" s="127">
        <v>0</v>
      </c>
      <c r="AU225" s="127">
        <v>0</v>
      </c>
      <c r="AV225" s="127">
        <v>0</v>
      </c>
      <c r="AW225" s="127">
        <v>0</v>
      </c>
      <c r="AX225" s="127">
        <v>0</v>
      </c>
      <c r="AY225" s="127">
        <v>0</v>
      </c>
    </row>
    <row r="226" spans="1:51" x14ac:dyDescent="0.2">
      <c r="A226" s="126"/>
      <c r="B226" s="136">
        <v>18</v>
      </c>
      <c r="C226" s="123">
        <v>0</v>
      </c>
      <c r="D226" s="127">
        <v>0</v>
      </c>
      <c r="E226" s="127">
        <v>0</v>
      </c>
      <c r="F226" s="127">
        <v>0</v>
      </c>
      <c r="G226" s="127">
        <v>0</v>
      </c>
      <c r="H226" s="127">
        <v>0</v>
      </c>
      <c r="I226" s="127">
        <v>0</v>
      </c>
      <c r="J226" s="127">
        <v>0</v>
      </c>
      <c r="K226" s="127">
        <v>0</v>
      </c>
      <c r="L226" s="127">
        <v>0</v>
      </c>
      <c r="M226" s="127">
        <v>0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0</v>
      </c>
      <c r="AD226" s="127">
        <v>0</v>
      </c>
      <c r="AE226" s="127">
        <v>0</v>
      </c>
      <c r="AF226" s="127">
        <v>0</v>
      </c>
      <c r="AG226" s="127">
        <v>0</v>
      </c>
      <c r="AH226" s="127">
        <v>0</v>
      </c>
      <c r="AI226" s="127">
        <v>0</v>
      </c>
      <c r="AJ226" s="127">
        <v>0</v>
      </c>
      <c r="AK226" s="127">
        <v>0</v>
      </c>
      <c r="AL226" s="127">
        <v>0</v>
      </c>
      <c r="AM226" s="127">
        <v>0</v>
      </c>
      <c r="AN226" s="127">
        <v>0</v>
      </c>
      <c r="AO226" s="127">
        <v>0</v>
      </c>
      <c r="AP226" s="127">
        <v>0</v>
      </c>
      <c r="AQ226" s="127">
        <v>0</v>
      </c>
      <c r="AR226" s="127">
        <v>0</v>
      </c>
      <c r="AS226" s="127">
        <v>0</v>
      </c>
      <c r="AT226" s="127">
        <v>0</v>
      </c>
      <c r="AU226" s="127">
        <v>0</v>
      </c>
      <c r="AV226" s="127">
        <v>0</v>
      </c>
      <c r="AW226" s="127">
        <v>0</v>
      </c>
      <c r="AX226" s="127">
        <v>0</v>
      </c>
      <c r="AY226" s="127">
        <v>0</v>
      </c>
    </row>
    <row r="227" spans="1:51" x14ac:dyDescent="0.2">
      <c r="A227" s="126"/>
      <c r="B227" s="136">
        <v>19</v>
      </c>
      <c r="C227" s="123">
        <v>0</v>
      </c>
      <c r="D227" s="127">
        <v>0</v>
      </c>
      <c r="E227" s="127">
        <v>0</v>
      </c>
      <c r="F227" s="127">
        <v>0</v>
      </c>
      <c r="G227" s="127">
        <v>0</v>
      </c>
      <c r="H227" s="127">
        <v>0</v>
      </c>
      <c r="I227" s="127">
        <v>0</v>
      </c>
      <c r="J227" s="127">
        <v>0</v>
      </c>
      <c r="K227" s="127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0</v>
      </c>
      <c r="AD227" s="127">
        <v>0</v>
      </c>
      <c r="AE227" s="127">
        <v>0</v>
      </c>
      <c r="AF227" s="127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7">
        <v>0</v>
      </c>
      <c r="AM227" s="127">
        <v>0</v>
      </c>
      <c r="AN227" s="127">
        <v>0</v>
      </c>
      <c r="AO227" s="127">
        <v>0</v>
      </c>
      <c r="AP227" s="127">
        <v>0</v>
      </c>
      <c r="AQ227" s="127">
        <v>0</v>
      </c>
      <c r="AR227" s="127">
        <v>0</v>
      </c>
      <c r="AS227" s="127">
        <v>0</v>
      </c>
      <c r="AT227" s="127">
        <v>0</v>
      </c>
      <c r="AU227" s="127">
        <v>0</v>
      </c>
      <c r="AV227" s="127">
        <v>0</v>
      </c>
      <c r="AW227" s="127">
        <v>0</v>
      </c>
      <c r="AX227" s="127">
        <v>0</v>
      </c>
      <c r="AY227" s="127">
        <v>0</v>
      </c>
    </row>
    <row r="228" spans="1:51" x14ac:dyDescent="0.2">
      <c r="A228" s="126"/>
      <c r="B228" s="136">
        <v>20</v>
      </c>
      <c r="C228" s="123">
        <v>0</v>
      </c>
      <c r="D228" s="127">
        <v>0</v>
      </c>
      <c r="E228" s="127">
        <v>0</v>
      </c>
      <c r="F228" s="127">
        <v>0</v>
      </c>
      <c r="G228" s="127">
        <v>0</v>
      </c>
      <c r="H228" s="127">
        <v>0</v>
      </c>
      <c r="I228" s="127">
        <v>0</v>
      </c>
      <c r="J228" s="127">
        <v>0</v>
      </c>
      <c r="K228" s="127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0</v>
      </c>
      <c r="AD228" s="127">
        <v>0</v>
      </c>
      <c r="AE228" s="127">
        <v>0</v>
      </c>
      <c r="AF228" s="127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7">
        <v>0</v>
      </c>
      <c r="AM228" s="127">
        <v>0</v>
      </c>
      <c r="AN228" s="127">
        <v>0</v>
      </c>
      <c r="AO228" s="127">
        <v>0</v>
      </c>
      <c r="AP228" s="127">
        <v>0</v>
      </c>
      <c r="AQ228" s="127">
        <v>0</v>
      </c>
      <c r="AR228" s="127">
        <v>0</v>
      </c>
      <c r="AS228" s="127">
        <v>0</v>
      </c>
      <c r="AT228" s="127">
        <v>0</v>
      </c>
      <c r="AU228" s="127">
        <v>0</v>
      </c>
      <c r="AV228" s="127">
        <v>0</v>
      </c>
      <c r="AW228" s="127">
        <v>0</v>
      </c>
      <c r="AX228" s="127">
        <v>0</v>
      </c>
      <c r="AY228" s="127">
        <v>0</v>
      </c>
    </row>
    <row r="229" spans="1:51" x14ac:dyDescent="0.2">
      <c r="A229" s="126"/>
      <c r="B229" s="136">
        <v>21</v>
      </c>
      <c r="C229" s="123">
        <v>0</v>
      </c>
      <c r="D229" s="127">
        <v>0</v>
      </c>
      <c r="E229" s="127">
        <v>0</v>
      </c>
      <c r="F229" s="127">
        <v>0</v>
      </c>
      <c r="G229" s="127">
        <v>0</v>
      </c>
      <c r="H229" s="127">
        <v>0</v>
      </c>
      <c r="I229" s="127">
        <v>0</v>
      </c>
      <c r="J229" s="127">
        <v>0</v>
      </c>
      <c r="K229" s="127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0</v>
      </c>
      <c r="AD229" s="127">
        <v>0</v>
      </c>
      <c r="AE229" s="127">
        <v>0</v>
      </c>
      <c r="AF229" s="127">
        <v>0</v>
      </c>
      <c r="AG229" s="127">
        <v>0</v>
      </c>
      <c r="AH229" s="127">
        <v>0</v>
      </c>
      <c r="AI229" s="127">
        <v>0</v>
      </c>
      <c r="AJ229" s="127">
        <v>0</v>
      </c>
      <c r="AK229" s="127">
        <v>0</v>
      </c>
      <c r="AL229" s="127">
        <v>0</v>
      </c>
      <c r="AM229" s="127">
        <v>0</v>
      </c>
      <c r="AN229" s="127">
        <v>0</v>
      </c>
      <c r="AO229" s="127">
        <v>0</v>
      </c>
      <c r="AP229" s="127">
        <v>0</v>
      </c>
      <c r="AQ229" s="127">
        <v>0</v>
      </c>
      <c r="AR229" s="127">
        <v>0</v>
      </c>
      <c r="AS229" s="127">
        <v>0</v>
      </c>
      <c r="AT229" s="127">
        <v>0</v>
      </c>
      <c r="AU229" s="127">
        <v>0</v>
      </c>
      <c r="AV229" s="127">
        <v>0</v>
      </c>
      <c r="AW229" s="127">
        <v>0</v>
      </c>
      <c r="AX229" s="127">
        <v>0</v>
      </c>
      <c r="AY229" s="127">
        <v>0</v>
      </c>
    </row>
    <row r="230" spans="1:51" x14ac:dyDescent="0.2">
      <c r="A230" s="126"/>
      <c r="B230" s="136">
        <v>22</v>
      </c>
      <c r="C230" s="123">
        <v>0</v>
      </c>
      <c r="D230" s="127">
        <v>0</v>
      </c>
      <c r="E230" s="127">
        <v>0</v>
      </c>
      <c r="F230" s="127">
        <v>0</v>
      </c>
      <c r="G230" s="127">
        <v>0</v>
      </c>
      <c r="H230" s="127">
        <v>0</v>
      </c>
      <c r="I230" s="127">
        <v>0</v>
      </c>
      <c r="J230" s="127">
        <v>0</v>
      </c>
      <c r="K230" s="127">
        <v>0</v>
      </c>
      <c r="L230" s="127">
        <v>0</v>
      </c>
      <c r="M230" s="127">
        <v>0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0</v>
      </c>
      <c r="AD230" s="127">
        <v>0</v>
      </c>
      <c r="AE230" s="127">
        <v>0</v>
      </c>
      <c r="AF230" s="127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7">
        <v>0</v>
      </c>
      <c r="AM230" s="127">
        <v>0</v>
      </c>
      <c r="AN230" s="127">
        <v>0</v>
      </c>
      <c r="AO230" s="127">
        <v>0</v>
      </c>
      <c r="AP230" s="127">
        <v>0</v>
      </c>
      <c r="AQ230" s="127">
        <v>0</v>
      </c>
      <c r="AR230" s="127">
        <v>0</v>
      </c>
      <c r="AS230" s="127">
        <v>0</v>
      </c>
      <c r="AT230" s="127">
        <v>0</v>
      </c>
      <c r="AU230" s="127">
        <v>0</v>
      </c>
      <c r="AV230" s="127">
        <v>0</v>
      </c>
      <c r="AW230" s="127">
        <v>0</v>
      </c>
      <c r="AX230" s="127">
        <v>0</v>
      </c>
      <c r="AY230" s="127">
        <v>0</v>
      </c>
    </row>
    <row r="231" spans="1:51" x14ac:dyDescent="0.2">
      <c r="A231" s="126"/>
      <c r="B231" s="136">
        <v>23</v>
      </c>
      <c r="C231" s="123">
        <v>0</v>
      </c>
      <c r="D231" s="127">
        <v>0</v>
      </c>
      <c r="E231" s="127">
        <v>0</v>
      </c>
      <c r="F231" s="127">
        <v>0</v>
      </c>
      <c r="G231" s="127">
        <v>0</v>
      </c>
      <c r="H231" s="127">
        <v>0</v>
      </c>
      <c r="I231" s="127">
        <v>0</v>
      </c>
      <c r="J231" s="127">
        <v>0</v>
      </c>
      <c r="K231" s="127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0</v>
      </c>
      <c r="AD231" s="127">
        <v>0</v>
      </c>
      <c r="AE231" s="127">
        <v>0</v>
      </c>
      <c r="AF231" s="127">
        <v>0</v>
      </c>
      <c r="AG231" s="127">
        <v>0</v>
      </c>
      <c r="AH231" s="127">
        <v>0</v>
      </c>
      <c r="AI231" s="127">
        <v>0</v>
      </c>
      <c r="AJ231" s="127">
        <v>0</v>
      </c>
      <c r="AK231" s="127">
        <v>0</v>
      </c>
      <c r="AL231" s="127">
        <v>0</v>
      </c>
      <c r="AM231" s="127">
        <v>0</v>
      </c>
      <c r="AN231" s="127">
        <v>0</v>
      </c>
      <c r="AO231" s="127">
        <v>0</v>
      </c>
      <c r="AP231" s="127">
        <v>0</v>
      </c>
      <c r="AQ231" s="127">
        <v>0</v>
      </c>
      <c r="AR231" s="127">
        <v>0</v>
      </c>
      <c r="AS231" s="127">
        <v>0</v>
      </c>
      <c r="AT231" s="127">
        <v>0</v>
      </c>
      <c r="AU231" s="127">
        <v>0</v>
      </c>
      <c r="AV231" s="127">
        <v>0</v>
      </c>
      <c r="AW231" s="127">
        <v>0</v>
      </c>
      <c r="AX231" s="127">
        <v>0</v>
      </c>
      <c r="AY231" s="127">
        <v>0</v>
      </c>
    </row>
    <row r="232" spans="1:51" x14ac:dyDescent="0.2">
      <c r="A232" s="126"/>
      <c r="B232" s="136">
        <v>24</v>
      </c>
      <c r="C232" s="123">
        <v>0</v>
      </c>
      <c r="D232" s="127">
        <v>0</v>
      </c>
      <c r="E232" s="127">
        <v>0</v>
      </c>
      <c r="F232" s="127">
        <v>0</v>
      </c>
      <c r="G232" s="127">
        <v>0</v>
      </c>
      <c r="H232" s="127">
        <v>0</v>
      </c>
      <c r="I232" s="127">
        <v>0</v>
      </c>
      <c r="J232" s="127">
        <v>0</v>
      </c>
      <c r="K232" s="127">
        <v>0</v>
      </c>
      <c r="L232" s="127">
        <v>0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0</v>
      </c>
      <c r="AD232" s="127">
        <v>0</v>
      </c>
      <c r="AE232" s="127">
        <v>0</v>
      </c>
      <c r="AF232" s="127">
        <v>0</v>
      </c>
      <c r="AG232" s="127">
        <v>0</v>
      </c>
      <c r="AH232" s="127">
        <v>0</v>
      </c>
      <c r="AI232" s="127">
        <v>0</v>
      </c>
      <c r="AJ232" s="127">
        <v>0</v>
      </c>
      <c r="AK232" s="127">
        <v>0</v>
      </c>
      <c r="AL232" s="127">
        <v>0</v>
      </c>
      <c r="AM232" s="127">
        <v>0</v>
      </c>
      <c r="AN232" s="127">
        <v>0</v>
      </c>
      <c r="AO232" s="127">
        <v>0</v>
      </c>
      <c r="AP232" s="127">
        <v>0</v>
      </c>
      <c r="AQ232" s="127">
        <v>0</v>
      </c>
      <c r="AR232" s="127">
        <v>0</v>
      </c>
      <c r="AS232" s="127">
        <v>0</v>
      </c>
      <c r="AT232" s="127">
        <v>0</v>
      </c>
      <c r="AU232" s="127">
        <v>0</v>
      </c>
      <c r="AV232" s="127">
        <v>0</v>
      </c>
      <c r="AW232" s="127">
        <v>0</v>
      </c>
      <c r="AX232" s="127">
        <v>0</v>
      </c>
      <c r="AY232" s="127">
        <v>0</v>
      </c>
    </row>
    <row r="233" spans="1:51" x14ac:dyDescent="0.2">
      <c r="A233" s="126"/>
      <c r="B233" s="143">
        <v>25</v>
      </c>
      <c r="C233" s="123">
        <v>0</v>
      </c>
      <c r="D233" s="127">
        <v>0</v>
      </c>
      <c r="E233" s="127">
        <v>0</v>
      </c>
      <c r="F233" s="127">
        <v>0</v>
      </c>
      <c r="G233" s="127">
        <v>0</v>
      </c>
      <c r="H233" s="127">
        <v>0</v>
      </c>
      <c r="I233" s="127">
        <v>0</v>
      </c>
      <c r="J233" s="127">
        <v>0</v>
      </c>
      <c r="K233" s="127">
        <v>0</v>
      </c>
      <c r="L233" s="127">
        <v>0</v>
      </c>
      <c r="M233" s="127">
        <v>0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0</v>
      </c>
      <c r="AD233" s="127">
        <v>0</v>
      </c>
      <c r="AE233" s="127">
        <v>0</v>
      </c>
      <c r="AF233" s="127">
        <v>0</v>
      </c>
      <c r="AG233" s="127">
        <v>0</v>
      </c>
      <c r="AH233" s="127">
        <v>0</v>
      </c>
      <c r="AI233" s="127">
        <v>0</v>
      </c>
      <c r="AJ233" s="127">
        <v>0</v>
      </c>
      <c r="AK233" s="127">
        <v>0</v>
      </c>
      <c r="AL233" s="127">
        <v>0</v>
      </c>
      <c r="AM233" s="127">
        <v>0</v>
      </c>
      <c r="AN233" s="127">
        <v>0</v>
      </c>
      <c r="AO233" s="127">
        <v>0</v>
      </c>
      <c r="AP233" s="127">
        <v>0</v>
      </c>
      <c r="AQ233" s="127">
        <v>0</v>
      </c>
      <c r="AR233" s="127">
        <v>0</v>
      </c>
      <c r="AS233" s="127">
        <v>0</v>
      </c>
      <c r="AT233" s="127">
        <v>0</v>
      </c>
      <c r="AU233" s="127">
        <v>0</v>
      </c>
      <c r="AV233" s="127">
        <v>0</v>
      </c>
      <c r="AW233" s="127">
        <v>0</v>
      </c>
      <c r="AX233" s="127">
        <v>0</v>
      </c>
      <c r="AY233" s="127">
        <v>0</v>
      </c>
    </row>
    <row r="234" spans="1:51" x14ac:dyDescent="0.2">
      <c r="A234" s="126"/>
      <c r="B234" s="143">
        <v>26</v>
      </c>
      <c r="C234" s="123">
        <v>0</v>
      </c>
      <c r="D234" s="127">
        <v>0</v>
      </c>
      <c r="E234" s="127">
        <v>0</v>
      </c>
      <c r="F234" s="127">
        <v>0</v>
      </c>
      <c r="G234" s="127">
        <v>0</v>
      </c>
      <c r="H234" s="127">
        <v>0</v>
      </c>
      <c r="I234" s="127">
        <v>0</v>
      </c>
      <c r="J234" s="127">
        <v>0</v>
      </c>
      <c r="K234" s="127">
        <v>0</v>
      </c>
      <c r="L234" s="127">
        <v>0</v>
      </c>
      <c r="M234" s="127">
        <v>0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0</v>
      </c>
      <c r="AD234" s="127">
        <v>0</v>
      </c>
      <c r="AE234" s="127">
        <v>0</v>
      </c>
      <c r="AF234" s="127">
        <v>0</v>
      </c>
      <c r="AG234" s="127">
        <v>0</v>
      </c>
      <c r="AH234" s="127">
        <v>0</v>
      </c>
      <c r="AI234" s="127">
        <v>0</v>
      </c>
      <c r="AJ234" s="127">
        <v>0</v>
      </c>
      <c r="AK234" s="127">
        <v>0</v>
      </c>
      <c r="AL234" s="127">
        <v>0</v>
      </c>
      <c r="AM234" s="127">
        <v>0</v>
      </c>
      <c r="AN234" s="127">
        <v>0</v>
      </c>
      <c r="AO234" s="127">
        <v>0</v>
      </c>
      <c r="AP234" s="127">
        <v>0</v>
      </c>
      <c r="AQ234" s="127">
        <v>0</v>
      </c>
      <c r="AR234" s="127">
        <v>0</v>
      </c>
      <c r="AS234" s="127">
        <v>0</v>
      </c>
      <c r="AT234" s="127">
        <v>0</v>
      </c>
      <c r="AU234" s="127">
        <v>0</v>
      </c>
      <c r="AV234" s="127">
        <v>0</v>
      </c>
      <c r="AW234" s="127">
        <v>0</v>
      </c>
      <c r="AX234" s="127">
        <v>0</v>
      </c>
      <c r="AY234" s="127">
        <v>0</v>
      </c>
    </row>
    <row r="235" spans="1:51" x14ac:dyDescent="0.2">
      <c r="A235" s="126"/>
      <c r="B235" s="143">
        <v>27</v>
      </c>
      <c r="C235" s="123">
        <v>0</v>
      </c>
      <c r="D235" s="127">
        <v>0</v>
      </c>
      <c r="E235" s="127">
        <v>0</v>
      </c>
      <c r="F235" s="127">
        <v>0</v>
      </c>
      <c r="G235" s="127">
        <v>0</v>
      </c>
      <c r="H235" s="127">
        <v>0</v>
      </c>
      <c r="I235" s="127">
        <v>0</v>
      </c>
      <c r="J235" s="127">
        <v>0</v>
      </c>
      <c r="K235" s="127">
        <v>0</v>
      </c>
      <c r="L235" s="127">
        <v>0</v>
      </c>
      <c r="M235" s="127">
        <v>0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0</v>
      </c>
      <c r="AD235" s="127">
        <v>0</v>
      </c>
      <c r="AE235" s="127">
        <v>0</v>
      </c>
      <c r="AF235" s="127">
        <v>0</v>
      </c>
      <c r="AG235" s="127">
        <v>0</v>
      </c>
      <c r="AH235" s="127">
        <v>0</v>
      </c>
      <c r="AI235" s="127">
        <v>0</v>
      </c>
      <c r="AJ235" s="127">
        <v>0</v>
      </c>
      <c r="AK235" s="127">
        <v>0</v>
      </c>
      <c r="AL235" s="127">
        <v>0</v>
      </c>
      <c r="AM235" s="127">
        <v>0</v>
      </c>
      <c r="AN235" s="127">
        <v>0</v>
      </c>
      <c r="AO235" s="127">
        <v>0</v>
      </c>
      <c r="AP235" s="127">
        <v>0</v>
      </c>
      <c r="AQ235" s="127">
        <v>0</v>
      </c>
      <c r="AR235" s="127">
        <v>0</v>
      </c>
      <c r="AS235" s="127">
        <v>0</v>
      </c>
      <c r="AT235" s="127">
        <v>0</v>
      </c>
      <c r="AU235" s="127">
        <v>0</v>
      </c>
      <c r="AV235" s="127">
        <v>0</v>
      </c>
      <c r="AW235" s="127">
        <v>0</v>
      </c>
      <c r="AX235" s="127">
        <v>0</v>
      </c>
      <c r="AY235" s="127">
        <v>0</v>
      </c>
    </row>
    <row r="236" spans="1:51" x14ac:dyDescent="0.2">
      <c r="A236" s="126"/>
      <c r="B236" s="143">
        <v>28</v>
      </c>
      <c r="C236" s="123">
        <v>0</v>
      </c>
      <c r="D236" s="127">
        <v>0</v>
      </c>
      <c r="E236" s="127">
        <v>0</v>
      </c>
      <c r="F236" s="127">
        <v>0</v>
      </c>
      <c r="G236" s="127">
        <v>0</v>
      </c>
      <c r="H236" s="127">
        <v>0</v>
      </c>
      <c r="I236" s="127">
        <v>0</v>
      </c>
      <c r="J236" s="127">
        <v>0</v>
      </c>
      <c r="K236" s="127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0</v>
      </c>
      <c r="AD236" s="127">
        <v>0</v>
      </c>
      <c r="AE236" s="127">
        <v>0</v>
      </c>
      <c r="AF236" s="127">
        <v>0</v>
      </c>
      <c r="AG236" s="127">
        <v>0</v>
      </c>
      <c r="AH236" s="127">
        <v>0</v>
      </c>
      <c r="AI236" s="127">
        <v>0</v>
      </c>
      <c r="AJ236" s="127">
        <v>0</v>
      </c>
      <c r="AK236" s="127">
        <v>0</v>
      </c>
      <c r="AL236" s="127">
        <v>0</v>
      </c>
      <c r="AM236" s="127">
        <v>0</v>
      </c>
      <c r="AN236" s="127">
        <v>0</v>
      </c>
      <c r="AO236" s="127">
        <v>0</v>
      </c>
      <c r="AP236" s="127">
        <v>0</v>
      </c>
      <c r="AQ236" s="127">
        <v>0</v>
      </c>
      <c r="AR236" s="127">
        <v>0</v>
      </c>
      <c r="AS236" s="127">
        <v>0</v>
      </c>
      <c r="AT236" s="127">
        <v>0</v>
      </c>
      <c r="AU236" s="127">
        <v>0</v>
      </c>
      <c r="AV236" s="127">
        <v>0</v>
      </c>
      <c r="AW236" s="127">
        <v>0</v>
      </c>
      <c r="AX236" s="127">
        <v>0</v>
      </c>
      <c r="AY236" s="127">
        <v>0</v>
      </c>
    </row>
    <row r="237" spans="1:51" x14ac:dyDescent="0.2">
      <c r="A237" s="126"/>
      <c r="B237" s="143">
        <v>29</v>
      </c>
      <c r="C237" s="123">
        <v>0</v>
      </c>
      <c r="D237" s="127">
        <v>0</v>
      </c>
      <c r="E237" s="127">
        <v>0</v>
      </c>
      <c r="F237" s="127">
        <v>0</v>
      </c>
      <c r="G237" s="127">
        <v>0</v>
      </c>
      <c r="H237" s="127">
        <v>0</v>
      </c>
      <c r="I237" s="127">
        <v>0</v>
      </c>
      <c r="J237" s="127">
        <v>0</v>
      </c>
      <c r="K237" s="127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0</v>
      </c>
      <c r="AD237" s="127">
        <v>0</v>
      </c>
      <c r="AE237" s="127">
        <v>0</v>
      </c>
      <c r="AF237" s="127">
        <v>0</v>
      </c>
      <c r="AG237" s="127">
        <v>0</v>
      </c>
      <c r="AH237" s="127">
        <v>0</v>
      </c>
      <c r="AI237" s="127">
        <v>0</v>
      </c>
      <c r="AJ237" s="127">
        <v>0</v>
      </c>
      <c r="AK237" s="127">
        <v>0</v>
      </c>
      <c r="AL237" s="127">
        <v>0</v>
      </c>
      <c r="AM237" s="127">
        <v>0</v>
      </c>
      <c r="AN237" s="127">
        <v>0</v>
      </c>
      <c r="AO237" s="127">
        <v>0</v>
      </c>
      <c r="AP237" s="127">
        <v>0</v>
      </c>
      <c r="AQ237" s="127">
        <v>0</v>
      </c>
      <c r="AR237" s="127">
        <v>0</v>
      </c>
      <c r="AS237" s="127">
        <v>0</v>
      </c>
      <c r="AT237" s="127">
        <v>0</v>
      </c>
      <c r="AU237" s="127">
        <v>0</v>
      </c>
      <c r="AV237" s="127">
        <v>0</v>
      </c>
      <c r="AW237" s="127">
        <v>0</v>
      </c>
      <c r="AX237" s="127">
        <v>0</v>
      </c>
      <c r="AY237" s="127">
        <v>0</v>
      </c>
    </row>
    <row r="238" spans="1:51" x14ac:dyDescent="0.2">
      <c r="A238" s="126"/>
      <c r="B238" s="143">
        <v>30</v>
      </c>
      <c r="C238" s="123">
        <v>0</v>
      </c>
      <c r="D238" s="127">
        <v>0</v>
      </c>
      <c r="E238" s="127">
        <v>0</v>
      </c>
      <c r="F238" s="127">
        <v>0</v>
      </c>
      <c r="G238" s="127">
        <v>0</v>
      </c>
      <c r="H238" s="127">
        <v>0</v>
      </c>
      <c r="I238" s="127">
        <v>0</v>
      </c>
      <c r="J238" s="127">
        <v>0</v>
      </c>
      <c r="K238" s="127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0</v>
      </c>
      <c r="AD238" s="127">
        <v>0</v>
      </c>
      <c r="AE238" s="127">
        <v>0</v>
      </c>
      <c r="AF238" s="127">
        <v>0</v>
      </c>
      <c r="AG238" s="127">
        <v>0</v>
      </c>
      <c r="AH238" s="127">
        <v>0</v>
      </c>
      <c r="AI238" s="127">
        <v>0</v>
      </c>
      <c r="AJ238" s="127">
        <v>0</v>
      </c>
      <c r="AK238" s="127">
        <v>0</v>
      </c>
      <c r="AL238" s="127">
        <v>0</v>
      </c>
      <c r="AM238" s="127">
        <v>0</v>
      </c>
      <c r="AN238" s="127">
        <v>0</v>
      </c>
      <c r="AO238" s="127">
        <v>0</v>
      </c>
      <c r="AP238" s="127">
        <v>0</v>
      </c>
      <c r="AQ238" s="127">
        <v>0</v>
      </c>
      <c r="AR238" s="127">
        <v>0</v>
      </c>
      <c r="AS238" s="127">
        <v>0</v>
      </c>
      <c r="AT238" s="127">
        <v>0</v>
      </c>
      <c r="AU238" s="127">
        <v>0</v>
      </c>
      <c r="AV238" s="127">
        <v>0</v>
      </c>
      <c r="AW238" s="127">
        <v>0</v>
      </c>
      <c r="AX238" s="127">
        <v>0</v>
      </c>
      <c r="AY238" s="127">
        <v>0</v>
      </c>
    </row>
    <row r="239" spans="1:51" x14ac:dyDescent="0.2">
      <c r="A239" s="126"/>
      <c r="B239" s="143">
        <v>31</v>
      </c>
      <c r="C239" s="123">
        <v>0</v>
      </c>
      <c r="D239" s="127">
        <v>0</v>
      </c>
      <c r="E239" s="127">
        <v>0</v>
      </c>
      <c r="F239" s="127">
        <v>0</v>
      </c>
      <c r="G239" s="127">
        <v>0</v>
      </c>
      <c r="H239" s="127">
        <v>0</v>
      </c>
      <c r="I239" s="127">
        <v>0</v>
      </c>
      <c r="J239" s="127">
        <v>0</v>
      </c>
      <c r="K239" s="127">
        <v>0</v>
      </c>
      <c r="L239" s="127">
        <v>0</v>
      </c>
      <c r="M239" s="127">
        <v>0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0</v>
      </c>
      <c r="AD239" s="127">
        <v>0</v>
      </c>
      <c r="AE239" s="127">
        <v>0</v>
      </c>
      <c r="AF239" s="127">
        <v>0</v>
      </c>
      <c r="AG239" s="127">
        <v>0</v>
      </c>
      <c r="AH239" s="127">
        <v>0</v>
      </c>
      <c r="AI239" s="127">
        <v>0</v>
      </c>
      <c r="AJ239" s="127">
        <v>0</v>
      </c>
      <c r="AK239" s="127">
        <v>0</v>
      </c>
      <c r="AL239" s="127">
        <v>0</v>
      </c>
      <c r="AM239" s="127">
        <v>0</v>
      </c>
      <c r="AN239" s="127">
        <v>0</v>
      </c>
      <c r="AO239" s="127">
        <v>0</v>
      </c>
      <c r="AP239" s="127">
        <v>0</v>
      </c>
      <c r="AQ239" s="127">
        <v>0</v>
      </c>
      <c r="AR239" s="127">
        <v>0</v>
      </c>
      <c r="AS239" s="127">
        <v>0</v>
      </c>
      <c r="AT239" s="127">
        <v>0</v>
      </c>
      <c r="AU239" s="127">
        <v>0</v>
      </c>
      <c r="AV239" s="127">
        <v>0</v>
      </c>
      <c r="AW239" s="127">
        <v>0</v>
      </c>
      <c r="AX239" s="127">
        <v>0</v>
      </c>
      <c r="AY239" s="127">
        <v>0</v>
      </c>
    </row>
    <row r="240" spans="1:51" x14ac:dyDescent="0.2">
      <c r="A240" s="126"/>
      <c r="B240" s="143">
        <v>32</v>
      </c>
      <c r="C240" s="123">
        <v>0</v>
      </c>
      <c r="D240" s="127">
        <v>0</v>
      </c>
      <c r="E240" s="127">
        <v>0</v>
      </c>
      <c r="F240" s="127">
        <v>0</v>
      </c>
      <c r="G240" s="127">
        <v>0</v>
      </c>
      <c r="H240" s="127">
        <v>0</v>
      </c>
      <c r="I240" s="127">
        <v>0</v>
      </c>
      <c r="J240" s="127">
        <v>0</v>
      </c>
      <c r="K240" s="127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0</v>
      </c>
      <c r="AD240" s="127">
        <v>0</v>
      </c>
      <c r="AE240" s="127">
        <v>0</v>
      </c>
      <c r="AF240" s="127">
        <v>0</v>
      </c>
      <c r="AG240" s="127">
        <v>0</v>
      </c>
      <c r="AH240" s="127">
        <v>0</v>
      </c>
      <c r="AI240" s="127">
        <v>0</v>
      </c>
      <c r="AJ240" s="127">
        <v>0</v>
      </c>
      <c r="AK240" s="127">
        <v>0</v>
      </c>
      <c r="AL240" s="127">
        <v>0</v>
      </c>
      <c r="AM240" s="127">
        <v>0</v>
      </c>
      <c r="AN240" s="127">
        <v>0</v>
      </c>
      <c r="AO240" s="127">
        <v>0</v>
      </c>
      <c r="AP240" s="127">
        <v>0</v>
      </c>
      <c r="AQ240" s="127">
        <v>0</v>
      </c>
      <c r="AR240" s="127">
        <v>0</v>
      </c>
      <c r="AS240" s="127">
        <v>0</v>
      </c>
      <c r="AT240" s="127">
        <v>0</v>
      </c>
      <c r="AU240" s="127">
        <v>0</v>
      </c>
      <c r="AV240" s="127">
        <v>0</v>
      </c>
      <c r="AW240" s="127">
        <v>0</v>
      </c>
      <c r="AX240" s="127">
        <v>0</v>
      </c>
      <c r="AY240" s="127">
        <v>0</v>
      </c>
    </row>
    <row r="241" spans="1:51" x14ac:dyDescent="0.2">
      <c r="A241" s="126"/>
      <c r="B241" s="143">
        <v>33</v>
      </c>
      <c r="C241" s="123">
        <v>0</v>
      </c>
      <c r="D241" s="127">
        <v>0</v>
      </c>
      <c r="E241" s="127">
        <v>0</v>
      </c>
      <c r="F241" s="127">
        <v>0</v>
      </c>
      <c r="G241" s="127">
        <v>0</v>
      </c>
      <c r="H241" s="127">
        <v>0</v>
      </c>
      <c r="I241" s="127">
        <v>0</v>
      </c>
      <c r="J241" s="127">
        <v>0</v>
      </c>
      <c r="K241" s="127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0</v>
      </c>
      <c r="AD241" s="127">
        <v>0</v>
      </c>
      <c r="AE241" s="127">
        <v>0</v>
      </c>
      <c r="AF241" s="127">
        <v>0</v>
      </c>
      <c r="AG241" s="127">
        <v>0</v>
      </c>
      <c r="AH241" s="127">
        <v>0</v>
      </c>
      <c r="AI241" s="127">
        <v>0</v>
      </c>
      <c r="AJ241" s="127">
        <v>0</v>
      </c>
      <c r="AK241" s="127">
        <v>0</v>
      </c>
      <c r="AL241" s="127">
        <v>0</v>
      </c>
      <c r="AM241" s="127">
        <v>0</v>
      </c>
      <c r="AN241" s="127">
        <v>0</v>
      </c>
      <c r="AO241" s="127">
        <v>0</v>
      </c>
      <c r="AP241" s="127">
        <v>0</v>
      </c>
      <c r="AQ241" s="127">
        <v>0</v>
      </c>
      <c r="AR241" s="127">
        <v>0</v>
      </c>
      <c r="AS241" s="127">
        <v>0</v>
      </c>
      <c r="AT241" s="127">
        <v>0</v>
      </c>
      <c r="AU241" s="127">
        <v>0</v>
      </c>
      <c r="AV241" s="127">
        <v>0</v>
      </c>
      <c r="AW241" s="127">
        <v>0</v>
      </c>
      <c r="AX241" s="127">
        <v>0</v>
      </c>
      <c r="AY241" s="127">
        <v>0</v>
      </c>
    </row>
    <row r="242" spans="1:51" x14ac:dyDescent="0.2">
      <c r="A242" s="126"/>
      <c r="B242" s="143">
        <v>34</v>
      </c>
      <c r="C242" s="123">
        <v>0</v>
      </c>
      <c r="D242" s="127">
        <v>0</v>
      </c>
      <c r="E242" s="127">
        <v>0</v>
      </c>
      <c r="F242" s="127">
        <v>0</v>
      </c>
      <c r="G242" s="127">
        <v>0</v>
      </c>
      <c r="H242" s="127">
        <v>0</v>
      </c>
      <c r="I242" s="127">
        <v>0</v>
      </c>
      <c r="J242" s="127">
        <v>0</v>
      </c>
      <c r="K242" s="127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0</v>
      </c>
      <c r="AD242" s="127">
        <v>0</v>
      </c>
      <c r="AE242" s="127">
        <v>0</v>
      </c>
      <c r="AF242" s="127">
        <v>0</v>
      </c>
      <c r="AG242" s="127">
        <v>0</v>
      </c>
      <c r="AH242" s="127">
        <v>0</v>
      </c>
      <c r="AI242" s="127">
        <v>0</v>
      </c>
      <c r="AJ242" s="127">
        <v>0</v>
      </c>
      <c r="AK242" s="127">
        <v>0</v>
      </c>
      <c r="AL242" s="127">
        <v>0</v>
      </c>
      <c r="AM242" s="127">
        <v>0</v>
      </c>
      <c r="AN242" s="127">
        <v>0</v>
      </c>
      <c r="AO242" s="127">
        <v>0</v>
      </c>
      <c r="AP242" s="127">
        <v>0</v>
      </c>
      <c r="AQ242" s="127">
        <v>0</v>
      </c>
      <c r="AR242" s="127">
        <v>0</v>
      </c>
      <c r="AS242" s="127">
        <v>0</v>
      </c>
      <c r="AT242" s="127">
        <v>0</v>
      </c>
      <c r="AU242" s="127">
        <v>0</v>
      </c>
      <c r="AV242" s="127">
        <v>0</v>
      </c>
      <c r="AW242" s="127">
        <v>0</v>
      </c>
      <c r="AX242" s="127">
        <v>0</v>
      </c>
      <c r="AY242" s="127">
        <v>0</v>
      </c>
    </row>
    <row r="243" spans="1:51" x14ac:dyDescent="0.2">
      <c r="A243" s="126"/>
      <c r="B243" s="143">
        <v>35</v>
      </c>
      <c r="C243" s="123">
        <v>0</v>
      </c>
      <c r="D243" s="127">
        <v>0</v>
      </c>
      <c r="E243" s="127">
        <v>0</v>
      </c>
      <c r="F243" s="127">
        <v>0</v>
      </c>
      <c r="G243" s="127">
        <v>0</v>
      </c>
      <c r="H243" s="127">
        <v>0</v>
      </c>
      <c r="I243" s="127">
        <v>0</v>
      </c>
      <c r="J243" s="127">
        <v>0</v>
      </c>
      <c r="K243" s="127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0</v>
      </c>
      <c r="AD243" s="127">
        <v>0</v>
      </c>
      <c r="AE243" s="127">
        <v>0</v>
      </c>
      <c r="AF243" s="127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7">
        <v>0</v>
      </c>
      <c r="AM243" s="127">
        <v>0</v>
      </c>
      <c r="AN243" s="127">
        <v>0</v>
      </c>
      <c r="AO243" s="127">
        <v>0</v>
      </c>
      <c r="AP243" s="127">
        <v>0</v>
      </c>
      <c r="AQ243" s="127">
        <v>0</v>
      </c>
      <c r="AR243" s="127">
        <v>0</v>
      </c>
      <c r="AS243" s="127">
        <v>0</v>
      </c>
      <c r="AT243" s="127">
        <v>0</v>
      </c>
      <c r="AU243" s="127">
        <v>0</v>
      </c>
      <c r="AV243" s="127">
        <v>0</v>
      </c>
      <c r="AW243" s="127">
        <v>0</v>
      </c>
      <c r="AX243" s="127">
        <v>0</v>
      </c>
      <c r="AY243" s="127">
        <v>0</v>
      </c>
    </row>
    <row r="244" spans="1:51" x14ac:dyDescent="0.2">
      <c r="A244" s="126"/>
      <c r="B244" s="143">
        <v>36</v>
      </c>
      <c r="C244" s="123">
        <v>0</v>
      </c>
      <c r="D244" s="127">
        <v>0</v>
      </c>
      <c r="E244" s="127">
        <v>0</v>
      </c>
      <c r="F244" s="127">
        <v>0</v>
      </c>
      <c r="G244" s="127">
        <v>0</v>
      </c>
      <c r="H244" s="127">
        <v>0</v>
      </c>
      <c r="I244" s="127">
        <v>0</v>
      </c>
      <c r="J244" s="127">
        <v>0</v>
      </c>
      <c r="K244" s="127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0</v>
      </c>
      <c r="AD244" s="127">
        <v>0</v>
      </c>
      <c r="AE244" s="127">
        <v>0</v>
      </c>
      <c r="AF244" s="127">
        <v>0</v>
      </c>
      <c r="AG244" s="127">
        <v>0</v>
      </c>
      <c r="AH244" s="127">
        <v>0</v>
      </c>
      <c r="AI244" s="127">
        <v>0</v>
      </c>
      <c r="AJ244" s="127">
        <v>0</v>
      </c>
      <c r="AK244" s="127">
        <v>0</v>
      </c>
      <c r="AL244" s="127">
        <v>0</v>
      </c>
      <c r="AM244" s="127">
        <v>0</v>
      </c>
      <c r="AN244" s="127">
        <v>0</v>
      </c>
      <c r="AO244" s="127">
        <v>0</v>
      </c>
      <c r="AP244" s="127">
        <v>0</v>
      </c>
      <c r="AQ244" s="127">
        <v>0</v>
      </c>
      <c r="AR244" s="127">
        <v>0</v>
      </c>
      <c r="AS244" s="127">
        <v>0</v>
      </c>
      <c r="AT244" s="127">
        <v>0</v>
      </c>
      <c r="AU244" s="127">
        <v>0</v>
      </c>
      <c r="AV244" s="127">
        <v>0</v>
      </c>
      <c r="AW244" s="127">
        <v>0</v>
      </c>
      <c r="AX244" s="127">
        <v>0</v>
      </c>
      <c r="AY244" s="127">
        <v>0</v>
      </c>
    </row>
    <row r="245" spans="1:51" x14ac:dyDescent="0.2">
      <c r="A245" s="126"/>
      <c r="B245" s="146">
        <v>37</v>
      </c>
      <c r="C245" s="123">
        <v>0</v>
      </c>
      <c r="D245" s="127">
        <v>0</v>
      </c>
      <c r="E245" s="127">
        <v>0</v>
      </c>
      <c r="F245" s="127">
        <v>0</v>
      </c>
      <c r="G245" s="127">
        <v>0</v>
      </c>
      <c r="H245" s="127">
        <v>0</v>
      </c>
      <c r="I245" s="127">
        <v>0</v>
      </c>
      <c r="J245" s="127">
        <v>0</v>
      </c>
      <c r="K245" s="127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0</v>
      </c>
      <c r="AD245" s="127">
        <v>0</v>
      </c>
      <c r="AE245" s="127">
        <v>0</v>
      </c>
      <c r="AF245" s="127">
        <v>0</v>
      </c>
      <c r="AG245" s="127">
        <v>0</v>
      </c>
      <c r="AH245" s="127">
        <v>0</v>
      </c>
      <c r="AI245" s="127">
        <v>0</v>
      </c>
      <c r="AJ245" s="127">
        <v>0</v>
      </c>
      <c r="AK245" s="127">
        <v>0</v>
      </c>
      <c r="AL245" s="127">
        <v>0</v>
      </c>
      <c r="AM245" s="127">
        <v>0</v>
      </c>
      <c r="AN245" s="127">
        <v>0</v>
      </c>
      <c r="AO245" s="127">
        <v>0</v>
      </c>
      <c r="AP245" s="127">
        <v>0</v>
      </c>
      <c r="AQ245" s="127">
        <v>0</v>
      </c>
      <c r="AR245" s="127">
        <v>0</v>
      </c>
      <c r="AS245" s="127">
        <v>0</v>
      </c>
      <c r="AT245" s="127">
        <v>0</v>
      </c>
      <c r="AU245" s="127">
        <v>0</v>
      </c>
      <c r="AV245" s="127">
        <v>0</v>
      </c>
      <c r="AW245" s="127">
        <v>0</v>
      </c>
      <c r="AX245" s="127">
        <v>0</v>
      </c>
      <c r="AY245" s="127">
        <v>0</v>
      </c>
    </row>
    <row r="246" spans="1:51" x14ac:dyDescent="0.2">
      <c r="A246" s="126"/>
      <c r="B246" s="146">
        <v>38</v>
      </c>
      <c r="C246" s="123">
        <v>0</v>
      </c>
      <c r="D246" s="127">
        <v>0</v>
      </c>
      <c r="E246" s="127">
        <v>0</v>
      </c>
      <c r="F246" s="127">
        <v>0</v>
      </c>
      <c r="G246" s="127">
        <v>0</v>
      </c>
      <c r="H246" s="127">
        <v>0</v>
      </c>
      <c r="I246" s="127">
        <v>0</v>
      </c>
      <c r="J246" s="127">
        <v>0</v>
      </c>
      <c r="K246" s="127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0</v>
      </c>
      <c r="AD246" s="127">
        <v>0</v>
      </c>
      <c r="AE246" s="127">
        <v>0</v>
      </c>
      <c r="AF246" s="127">
        <v>0</v>
      </c>
      <c r="AG246" s="127">
        <v>0</v>
      </c>
      <c r="AH246" s="127">
        <v>0</v>
      </c>
      <c r="AI246" s="127">
        <v>0</v>
      </c>
      <c r="AJ246" s="127">
        <v>0</v>
      </c>
      <c r="AK246" s="127">
        <v>0</v>
      </c>
      <c r="AL246" s="127">
        <v>0</v>
      </c>
      <c r="AM246" s="127">
        <v>0</v>
      </c>
      <c r="AN246" s="127">
        <v>0</v>
      </c>
      <c r="AO246" s="127">
        <v>0</v>
      </c>
      <c r="AP246" s="127">
        <v>0</v>
      </c>
      <c r="AQ246" s="127">
        <v>0</v>
      </c>
      <c r="AR246" s="127">
        <v>0</v>
      </c>
      <c r="AS246" s="127">
        <v>0</v>
      </c>
      <c r="AT246" s="127">
        <v>0</v>
      </c>
      <c r="AU246" s="127">
        <v>0</v>
      </c>
      <c r="AV246" s="127">
        <v>0</v>
      </c>
      <c r="AW246" s="127">
        <v>0</v>
      </c>
      <c r="AX246" s="127">
        <v>0</v>
      </c>
      <c r="AY246" s="127">
        <v>0</v>
      </c>
    </row>
    <row r="247" spans="1:51" x14ac:dyDescent="0.2">
      <c r="A247" s="126"/>
      <c r="B247" s="146">
        <v>39</v>
      </c>
      <c r="C247" s="123">
        <v>0</v>
      </c>
      <c r="D247" s="127">
        <v>0</v>
      </c>
      <c r="E247" s="127">
        <v>0</v>
      </c>
      <c r="F247" s="127">
        <v>0</v>
      </c>
      <c r="G247" s="127">
        <v>0</v>
      </c>
      <c r="H247" s="127">
        <v>0</v>
      </c>
      <c r="I247" s="127">
        <v>0</v>
      </c>
      <c r="J247" s="127">
        <v>0</v>
      </c>
      <c r="K247" s="127">
        <v>0</v>
      </c>
      <c r="L247" s="127">
        <v>0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0</v>
      </c>
      <c r="AD247" s="127">
        <v>0</v>
      </c>
      <c r="AE247" s="127">
        <v>0</v>
      </c>
      <c r="AF247" s="127">
        <v>0</v>
      </c>
      <c r="AG247" s="127">
        <v>0</v>
      </c>
      <c r="AH247" s="127">
        <v>0</v>
      </c>
      <c r="AI247" s="127">
        <v>0</v>
      </c>
      <c r="AJ247" s="127">
        <v>0</v>
      </c>
      <c r="AK247" s="127">
        <v>0</v>
      </c>
      <c r="AL247" s="127">
        <v>0</v>
      </c>
      <c r="AM247" s="127">
        <v>0</v>
      </c>
      <c r="AN247" s="127">
        <v>0</v>
      </c>
      <c r="AO247" s="127">
        <v>0</v>
      </c>
      <c r="AP247" s="127">
        <v>0</v>
      </c>
      <c r="AQ247" s="127">
        <v>0</v>
      </c>
      <c r="AR247" s="127">
        <v>0</v>
      </c>
      <c r="AS247" s="127">
        <v>0</v>
      </c>
      <c r="AT247" s="127">
        <v>0</v>
      </c>
      <c r="AU247" s="127">
        <v>0</v>
      </c>
      <c r="AV247" s="127">
        <v>0</v>
      </c>
      <c r="AW247" s="127">
        <v>0</v>
      </c>
      <c r="AX247" s="127">
        <v>0</v>
      </c>
      <c r="AY247" s="127">
        <v>0</v>
      </c>
    </row>
    <row r="248" spans="1:51" x14ac:dyDescent="0.2">
      <c r="A248" s="126"/>
      <c r="B248" s="146">
        <v>40</v>
      </c>
      <c r="C248" s="123">
        <v>0</v>
      </c>
      <c r="D248" s="127">
        <v>0</v>
      </c>
      <c r="E248" s="127">
        <v>0</v>
      </c>
      <c r="F248" s="127">
        <v>0</v>
      </c>
      <c r="G248" s="127">
        <v>0</v>
      </c>
      <c r="H248" s="127">
        <v>0</v>
      </c>
      <c r="I248" s="127">
        <v>0</v>
      </c>
      <c r="J248" s="127">
        <v>0</v>
      </c>
      <c r="K248" s="127">
        <v>0</v>
      </c>
      <c r="L248" s="127">
        <v>0</v>
      </c>
      <c r="M248" s="127">
        <v>0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0</v>
      </c>
      <c r="AD248" s="127">
        <v>0</v>
      </c>
      <c r="AE248" s="127">
        <v>0</v>
      </c>
      <c r="AF248" s="127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7">
        <v>0</v>
      </c>
      <c r="AM248" s="127">
        <v>0</v>
      </c>
      <c r="AN248" s="127">
        <v>0</v>
      </c>
      <c r="AO248" s="127">
        <v>0</v>
      </c>
      <c r="AP248" s="127">
        <v>0</v>
      </c>
      <c r="AQ248" s="127">
        <v>0</v>
      </c>
      <c r="AR248" s="127">
        <v>0</v>
      </c>
      <c r="AS248" s="127">
        <v>0</v>
      </c>
      <c r="AT248" s="127">
        <v>0</v>
      </c>
      <c r="AU248" s="127">
        <v>0</v>
      </c>
      <c r="AV248" s="127">
        <v>0</v>
      </c>
      <c r="AW248" s="127">
        <v>0</v>
      </c>
      <c r="AX248" s="127">
        <v>0</v>
      </c>
      <c r="AY248" s="127">
        <v>0</v>
      </c>
    </row>
    <row r="249" spans="1:51" x14ac:dyDescent="0.2">
      <c r="A249" s="126"/>
      <c r="B249" s="146">
        <v>41</v>
      </c>
      <c r="C249" s="123">
        <v>0</v>
      </c>
      <c r="D249" s="127">
        <v>0</v>
      </c>
      <c r="E249" s="127">
        <v>0</v>
      </c>
      <c r="F249" s="127">
        <v>0</v>
      </c>
      <c r="G249" s="127">
        <v>0</v>
      </c>
      <c r="H249" s="127">
        <v>0</v>
      </c>
      <c r="I249" s="127">
        <v>0</v>
      </c>
      <c r="J249" s="127">
        <v>0</v>
      </c>
      <c r="K249" s="127">
        <v>0</v>
      </c>
      <c r="L249" s="127">
        <v>0</v>
      </c>
      <c r="M249" s="127">
        <v>0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0</v>
      </c>
      <c r="AD249" s="127">
        <v>0</v>
      </c>
      <c r="AE249" s="127">
        <v>0</v>
      </c>
      <c r="AF249" s="127">
        <v>0</v>
      </c>
      <c r="AG249" s="127">
        <v>0</v>
      </c>
      <c r="AH249" s="127">
        <v>0</v>
      </c>
      <c r="AI249" s="127">
        <v>0</v>
      </c>
      <c r="AJ249" s="127">
        <v>0</v>
      </c>
      <c r="AK249" s="127">
        <v>0</v>
      </c>
      <c r="AL249" s="127">
        <v>0</v>
      </c>
      <c r="AM249" s="127">
        <v>0</v>
      </c>
      <c r="AN249" s="127">
        <v>0</v>
      </c>
      <c r="AO249" s="127">
        <v>0</v>
      </c>
      <c r="AP249" s="127">
        <v>0</v>
      </c>
      <c r="AQ249" s="127">
        <v>0</v>
      </c>
      <c r="AR249" s="127">
        <v>0</v>
      </c>
      <c r="AS249" s="127">
        <v>0</v>
      </c>
      <c r="AT249" s="127">
        <v>0</v>
      </c>
      <c r="AU249" s="127">
        <v>0</v>
      </c>
      <c r="AV249" s="127">
        <v>0</v>
      </c>
      <c r="AW249" s="127">
        <v>0</v>
      </c>
      <c r="AX249" s="127">
        <v>0</v>
      </c>
      <c r="AY249" s="127">
        <v>0</v>
      </c>
    </row>
    <row r="250" spans="1:51" x14ac:dyDescent="0.2">
      <c r="A250" s="126"/>
      <c r="B250" s="146">
        <v>42</v>
      </c>
      <c r="C250" s="123">
        <v>0</v>
      </c>
      <c r="D250" s="127">
        <v>0</v>
      </c>
      <c r="E250" s="127">
        <v>0</v>
      </c>
      <c r="F250" s="127">
        <v>0</v>
      </c>
      <c r="G250" s="127">
        <v>0</v>
      </c>
      <c r="H250" s="127">
        <v>0</v>
      </c>
      <c r="I250" s="127">
        <v>0</v>
      </c>
      <c r="J250" s="127">
        <v>0</v>
      </c>
      <c r="K250" s="127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0</v>
      </c>
      <c r="AD250" s="127">
        <v>0</v>
      </c>
      <c r="AE250" s="127">
        <v>0</v>
      </c>
      <c r="AF250" s="127">
        <v>0</v>
      </c>
      <c r="AG250" s="127">
        <v>0</v>
      </c>
      <c r="AH250" s="127">
        <v>0</v>
      </c>
      <c r="AI250" s="127">
        <v>0</v>
      </c>
      <c r="AJ250" s="127">
        <v>0</v>
      </c>
      <c r="AK250" s="127">
        <v>0</v>
      </c>
      <c r="AL250" s="127">
        <v>0</v>
      </c>
      <c r="AM250" s="127">
        <v>0</v>
      </c>
      <c r="AN250" s="127">
        <v>0</v>
      </c>
      <c r="AO250" s="127">
        <v>0</v>
      </c>
      <c r="AP250" s="127">
        <v>0</v>
      </c>
      <c r="AQ250" s="127">
        <v>0</v>
      </c>
      <c r="AR250" s="127">
        <v>0</v>
      </c>
      <c r="AS250" s="127">
        <v>0</v>
      </c>
      <c r="AT250" s="127">
        <v>0</v>
      </c>
      <c r="AU250" s="127">
        <v>0</v>
      </c>
      <c r="AV250" s="127">
        <v>0</v>
      </c>
      <c r="AW250" s="127">
        <v>0</v>
      </c>
      <c r="AX250" s="127">
        <v>0</v>
      </c>
      <c r="AY250" s="127">
        <v>0</v>
      </c>
    </row>
    <row r="251" spans="1:51" x14ac:dyDescent="0.2">
      <c r="A251" s="126"/>
      <c r="B251" s="146">
        <v>43</v>
      </c>
      <c r="C251" s="123">
        <v>0</v>
      </c>
      <c r="D251" s="127">
        <v>0</v>
      </c>
      <c r="E251" s="127">
        <v>0</v>
      </c>
      <c r="F251" s="127">
        <v>0</v>
      </c>
      <c r="G251" s="127">
        <v>0</v>
      </c>
      <c r="H251" s="127">
        <v>0</v>
      </c>
      <c r="I251" s="127">
        <v>0</v>
      </c>
      <c r="J251" s="127">
        <v>0</v>
      </c>
      <c r="K251" s="127">
        <v>0</v>
      </c>
      <c r="L251" s="127">
        <v>0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0</v>
      </c>
      <c r="AD251" s="127">
        <v>0</v>
      </c>
      <c r="AE251" s="127">
        <v>0</v>
      </c>
      <c r="AF251" s="127">
        <v>0</v>
      </c>
      <c r="AG251" s="127">
        <v>0</v>
      </c>
      <c r="AH251" s="127">
        <v>0</v>
      </c>
      <c r="AI251" s="127">
        <v>0</v>
      </c>
      <c r="AJ251" s="127">
        <v>0</v>
      </c>
      <c r="AK251" s="127">
        <v>0</v>
      </c>
      <c r="AL251" s="127">
        <v>0</v>
      </c>
      <c r="AM251" s="127">
        <v>0</v>
      </c>
      <c r="AN251" s="127">
        <v>0</v>
      </c>
      <c r="AO251" s="127">
        <v>0</v>
      </c>
      <c r="AP251" s="127">
        <v>0</v>
      </c>
      <c r="AQ251" s="127">
        <v>0</v>
      </c>
      <c r="AR251" s="127">
        <v>0</v>
      </c>
      <c r="AS251" s="127">
        <v>0</v>
      </c>
      <c r="AT251" s="127">
        <v>0</v>
      </c>
      <c r="AU251" s="127">
        <v>0</v>
      </c>
      <c r="AV251" s="127">
        <v>0</v>
      </c>
      <c r="AW251" s="127">
        <v>0</v>
      </c>
      <c r="AX251" s="127">
        <v>0</v>
      </c>
      <c r="AY251" s="127">
        <v>0</v>
      </c>
    </row>
    <row r="252" spans="1:51" x14ac:dyDescent="0.2">
      <c r="A252" s="126"/>
      <c r="B252" s="146">
        <v>44</v>
      </c>
      <c r="C252" s="123">
        <v>0</v>
      </c>
      <c r="D252" s="127">
        <v>0</v>
      </c>
      <c r="E252" s="127">
        <v>0</v>
      </c>
      <c r="F252" s="127">
        <v>0</v>
      </c>
      <c r="G252" s="127">
        <v>0</v>
      </c>
      <c r="H252" s="127">
        <v>0</v>
      </c>
      <c r="I252" s="127">
        <v>0</v>
      </c>
      <c r="J252" s="127">
        <v>0</v>
      </c>
      <c r="K252" s="127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0</v>
      </c>
      <c r="AD252" s="127">
        <v>0</v>
      </c>
      <c r="AE252" s="127">
        <v>0</v>
      </c>
      <c r="AF252" s="127">
        <v>0</v>
      </c>
      <c r="AG252" s="127">
        <v>0</v>
      </c>
      <c r="AH252" s="127">
        <v>0</v>
      </c>
      <c r="AI252" s="127">
        <v>0</v>
      </c>
      <c r="AJ252" s="127">
        <v>0</v>
      </c>
      <c r="AK252" s="127">
        <v>0</v>
      </c>
      <c r="AL252" s="127">
        <v>0</v>
      </c>
      <c r="AM252" s="127">
        <v>0</v>
      </c>
      <c r="AN252" s="127">
        <v>0</v>
      </c>
      <c r="AO252" s="127">
        <v>0</v>
      </c>
      <c r="AP252" s="127">
        <v>0</v>
      </c>
      <c r="AQ252" s="127">
        <v>0</v>
      </c>
      <c r="AR252" s="127">
        <v>0</v>
      </c>
      <c r="AS252" s="127">
        <v>0</v>
      </c>
      <c r="AT252" s="127">
        <v>0</v>
      </c>
      <c r="AU252" s="127">
        <v>0</v>
      </c>
      <c r="AV252" s="127">
        <v>0</v>
      </c>
      <c r="AW252" s="127">
        <v>0</v>
      </c>
      <c r="AX252" s="127">
        <v>0</v>
      </c>
      <c r="AY252" s="127">
        <v>0</v>
      </c>
    </row>
    <row r="253" spans="1:51" x14ac:dyDescent="0.2">
      <c r="A253" s="126"/>
      <c r="B253" s="146">
        <v>45</v>
      </c>
      <c r="C253" s="123">
        <v>0</v>
      </c>
      <c r="D253" s="127">
        <v>0</v>
      </c>
      <c r="E253" s="127">
        <v>0</v>
      </c>
      <c r="F253" s="127">
        <v>0</v>
      </c>
      <c r="G253" s="127">
        <v>0</v>
      </c>
      <c r="H253" s="127">
        <v>0</v>
      </c>
      <c r="I253" s="127">
        <v>0</v>
      </c>
      <c r="J253" s="127">
        <v>0</v>
      </c>
      <c r="K253" s="127">
        <v>0</v>
      </c>
      <c r="L253" s="127">
        <v>0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0</v>
      </c>
      <c r="AD253" s="127">
        <v>0</v>
      </c>
      <c r="AE253" s="127">
        <v>0</v>
      </c>
      <c r="AF253" s="127">
        <v>0</v>
      </c>
      <c r="AG253" s="127">
        <v>0</v>
      </c>
      <c r="AH253" s="127">
        <v>0</v>
      </c>
      <c r="AI253" s="127">
        <v>0</v>
      </c>
      <c r="AJ253" s="127">
        <v>0</v>
      </c>
      <c r="AK253" s="127">
        <v>0</v>
      </c>
      <c r="AL253" s="127">
        <v>0</v>
      </c>
      <c r="AM253" s="127">
        <v>0</v>
      </c>
      <c r="AN253" s="127">
        <v>0</v>
      </c>
      <c r="AO253" s="127">
        <v>0</v>
      </c>
      <c r="AP253" s="127">
        <v>0</v>
      </c>
      <c r="AQ253" s="127">
        <v>0</v>
      </c>
      <c r="AR253" s="127">
        <v>0</v>
      </c>
      <c r="AS253" s="127">
        <v>0</v>
      </c>
      <c r="AT253" s="127">
        <v>0</v>
      </c>
      <c r="AU253" s="127">
        <v>0</v>
      </c>
      <c r="AV253" s="127">
        <v>0</v>
      </c>
      <c r="AW253" s="127">
        <v>0</v>
      </c>
      <c r="AX253" s="127">
        <v>0</v>
      </c>
      <c r="AY253" s="127">
        <v>0</v>
      </c>
    </row>
    <row r="254" spans="1:51" x14ac:dyDescent="0.2">
      <c r="A254" s="126"/>
      <c r="B254" s="146">
        <v>46</v>
      </c>
      <c r="C254" s="123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0</v>
      </c>
      <c r="AD254" s="127">
        <v>0</v>
      </c>
      <c r="AE254" s="127">
        <v>0</v>
      </c>
      <c r="AF254" s="127">
        <v>0</v>
      </c>
      <c r="AG254" s="127">
        <v>0</v>
      </c>
      <c r="AH254" s="127">
        <v>0</v>
      </c>
      <c r="AI254" s="127">
        <v>0</v>
      </c>
      <c r="AJ254" s="127">
        <v>0</v>
      </c>
      <c r="AK254" s="127">
        <v>0</v>
      </c>
      <c r="AL254" s="127">
        <v>0</v>
      </c>
      <c r="AM254" s="127">
        <v>0</v>
      </c>
      <c r="AN254" s="127">
        <v>0</v>
      </c>
      <c r="AO254" s="127">
        <v>0</v>
      </c>
      <c r="AP254" s="127">
        <v>0</v>
      </c>
      <c r="AQ254" s="127">
        <v>0</v>
      </c>
      <c r="AR254" s="127">
        <v>0</v>
      </c>
      <c r="AS254" s="127">
        <v>0</v>
      </c>
      <c r="AT254" s="127">
        <v>0</v>
      </c>
      <c r="AU254" s="127">
        <v>0</v>
      </c>
      <c r="AV254" s="127">
        <v>0</v>
      </c>
      <c r="AW254" s="127">
        <v>0</v>
      </c>
      <c r="AX254" s="127">
        <v>0</v>
      </c>
      <c r="AY254" s="127">
        <v>0</v>
      </c>
    </row>
    <row r="255" spans="1:51" x14ac:dyDescent="0.2">
      <c r="A255" s="126"/>
      <c r="B255" s="146">
        <v>47</v>
      </c>
      <c r="C255" s="123">
        <v>0</v>
      </c>
      <c r="D255" s="127">
        <v>0</v>
      </c>
      <c r="E255" s="127">
        <v>0</v>
      </c>
      <c r="F255" s="127">
        <v>0</v>
      </c>
      <c r="G255" s="127">
        <v>0</v>
      </c>
      <c r="H255" s="127">
        <v>0</v>
      </c>
      <c r="I255" s="127">
        <v>0</v>
      </c>
      <c r="J255" s="127">
        <v>0</v>
      </c>
      <c r="K255" s="127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0</v>
      </c>
      <c r="AD255" s="127">
        <v>0</v>
      </c>
      <c r="AE255" s="127">
        <v>0</v>
      </c>
      <c r="AF255" s="127">
        <v>0</v>
      </c>
      <c r="AG255" s="127">
        <v>0</v>
      </c>
      <c r="AH255" s="127">
        <v>0</v>
      </c>
      <c r="AI255" s="127">
        <v>0</v>
      </c>
      <c r="AJ255" s="127">
        <v>0</v>
      </c>
      <c r="AK255" s="127">
        <v>0</v>
      </c>
      <c r="AL255" s="127">
        <v>0</v>
      </c>
      <c r="AM255" s="127">
        <v>0</v>
      </c>
      <c r="AN255" s="127">
        <v>0</v>
      </c>
      <c r="AO255" s="127">
        <v>0</v>
      </c>
      <c r="AP255" s="127">
        <v>0</v>
      </c>
      <c r="AQ255" s="127">
        <v>0</v>
      </c>
      <c r="AR255" s="127">
        <v>0</v>
      </c>
      <c r="AS255" s="127">
        <v>0</v>
      </c>
      <c r="AT255" s="127">
        <v>0</v>
      </c>
      <c r="AU255" s="127">
        <v>0</v>
      </c>
      <c r="AV255" s="127">
        <v>0</v>
      </c>
      <c r="AW255" s="127">
        <v>0</v>
      </c>
      <c r="AX255" s="127">
        <v>0</v>
      </c>
      <c r="AY255" s="127">
        <v>0</v>
      </c>
    </row>
    <row r="256" spans="1:51" x14ac:dyDescent="0.2">
      <c r="A256" s="144"/>
      <c r="B256" s="145">
        <v>48</v>
      </c>
      <c r="C256" s="130">
        <v>0</v>
      </c>
      <c r="D256" s="141">
        <v>0</v>
      </c>
      <c r="E256" s="141">
        <v>0</v>
      </c>
      <c r="F256" s="141">
        <v>0</v>
      </c>
      <c r="G256" s="141">
        <v>0</v>
      </c>
      <c r="H256" s="141">
        <v>0</v>
      </c>
      <c r="I256" s="141">
        <v>0</v>
      </c>
      <c r="J256" s="141">
        <v>0</v>
      </c>
      <c r="K256" s="141">
        <v>0</v>
      </c>
      <c r="L256" s="141">
        <v>0</v>
      </c>
      <c r="M256" s="141">
        <v>0</v>
      </c>
      <c r="N256" s="141">
        <v>0</v>
      </c>
      <c r="O256" s="141">
        <v>0</v>
      </c>
      <c r="P256" s="141">
        <v>0</v>
      </c>
      <c r="Q256" s="141">
        <v>0</v>
      </c>
      <c r="R256" s="141">
        <v>0</v>
      </c>
      <c r="S256" s="141">
        <v>0</v>
      </c>
      <c r="T256" s="141">
        <v>0</v>
      </c>
      <c r="U256" s="141">
        <v>0</v>
      </c>
      <c r="V256" s="141">
        <v>0</v>
      </c>
      <c r="W256" s="141">
        <v>0</v>
      </c>
      <c r="X256" s="141">
        <v>0</v>
      </c>
      <c r="Y256" s="141">
        <v>0</v>
      </c>
      <c r="Z256" s="141">
        <v>0</v>
      </c>
      <c r="AA256" s="141">
        <v>0</v>
      </c>
      <c r="AB256" s="141">
        <v>0</v>
      </c>
      <c r="AC256" s="141">
        <v>0</v>
      </c>
      <c r="AD256" s="141">
        <v>0</v>
      </c>
      <c r="AE256" s="141">
        <v>0</v>
      </c>
      <c r="AF256" s="141">
        <v>0</v>
      </c>
      <c r="AG256" s="141">
        <v>0</v>
      </c>
      <c r="AH256" s="141">
        <v>0</v>
      </c>
      <c r="AI256" s="141">
        <v>0</v>
      </c>
      <c r="AJ256" s="141">
        <v>0</v>
      </c>
      <c r="AK256" s="141">
        <v>0</v>
      </c>
      <c r="AL256" s="141">
        <v>0</v>
      </c>
      <c r="AM256" s="141">
        <v>0</v>
      </c>
      <c r="AN256" s="141">
        <v>0</v>
      </c>
      <c r="AO256" s="141">
        <v>0</v>
      </c>
      <c r="AP256" s="141">
        <v>0</v>
      </c>
      <c r="AQ256" s="141">
        <v>0</v>
      </c>
      <c r="AR256" s="141">
        <v>0</v>
      </c>
      <c r="AS256" s="141">
        <v>0</v>
      </c>
      <c r="AT256" s="141">
        <v>0</v>
      </c>
      <c r="AU256" s="141">
        <v>0</v>
      </c>
      <c r="AV256" s="141">
        <v>0</v>
      </c>
      <c r="AW256" s="141">
        <v>0</v>
      </c>
      <c r="AX256" s="141">
        <v>0</v>
      </c>
      <c r="AY256" s="141">
        <v>0</v>
      </c>
    </row>
    <row r="258" spans="1:52" x14ac:dyDescent="0.2">
      <c r="A258" s="1" t="s">
        <v>301</v>
      </c>
    </row>
    <row r="259" spans="1:52" x14ac:dyDescent="0.2">
      <c r="A259" s="153" t="s">
        <v>124</v>
      </c>
      <c r="B259" s="154">
        <v>650</v>
      </c>
      <c r="C259" s="140" t="s">
        <v>293</v>
      </c>
      <c r="D259" s="140">
        <f>E$14*$B$259</f>
        <v>4045548.7784976321</v>
      </c>
      <c r="E259" s="140">
        <f t="shared" ref="E259:AX259" si="5">F$14*$B$259</f>
        <v>6656624.1037638383</v>
      </c>
      <c r="F259" s="140">
        <f t="shared" si="5"/>
        <v>8453796.7566587534</v>
      </c>
      <c r="G259" s="140">
        <f t="shared" si="5"/>
        <v>8749368.5048811678</v>
      </c>
      <c r="H259" s="140">
        <f t="shared" si="5"/>
        <v>8749368.5048811678</v>
      </c>
      <c r="I259" s="140">
        <f t="shared" si="5"/>
        <v>8749368.5048811678</v>
      </c>
      <c r="J259" s="140">
        <f t="shared" si="5"/>
        <v>8749368.5048811678</v>
      </c>
      <c r="K259" s="140">
        <f t="shared" si="5"/>
        <v>8749368.5048811659</v>
      </c>
      <c r="L259" s="140">
        <f t="shared" si="5"/>
        <v>8749368.5048811678</v>
      </c>
      <c r="M259" s="140">
        <f t="shared" si="5"/>
        <v>8749368.5048811659</v>
      </c>
      <c r="N259" s="140">
        <f t="shared" si="5"/>
        <v>8749368.5048811678</v>
      </c>
      <c r="O259" s="140">
        <f t="shared" si="5"/>
        <v>8749368.5048811678</v>
      </c>
      <c r="P259" s="140">
        <f t="shared" si="5"/>
        <v>8749368.5048811678</v>
      </c>
      <c r="Q259" s="140">
        <f t="shared" si="5"/>
        <v>8749368.5048811678</v>
      </c>
      <c r="R259" s="140">
        <f t="shared" si="5"/>
        <v>8749368.5048811659</v>
      </c>
      <c r="S259" s="140">
        <f t="shared" si="5"/>
        <v>8749368.5048811678</v>
      </c>
      <c r="T259" s="140">
        <f t="shared" si="5"/>
        <v>8749368.5048811696</v>
      </c>
      <c r="U259" s="140">
        <f t="shared" si="5"/>
        <v>8749368.5048811678</v>
      </c>
      <c r="V259" s="140">
        <f t="shared" si="5"/>
        <v>8749368.5048811678</v>
      </c>
      <c r="W259" s="140">
        <f t="shared" si="5"/>
        <v>8749368.5048811659</v>
      </c>
      <c r="X259" s="140">
        <f t="shared" si="5"/>
        <v>8749368.5048811678</v>
      </c>
      <c r="Y259" s="140">
        <f t="shared" si="5"/>
        <v>8749368.5048811659</v>
      </c>
      <c r="Z259" s="140">
        <f t="shared" si="5"/>
        <v>8749368.5048811678</v>
      </c>
      <c r="AA259" s="140">
        <f t="shared" si="5"/>
        <v>8749368.5048811659</v>
      </c>
      <c r="AB259" s="140">
        <f t="shared" si="5"/>
        <v>8749368.5048811659</v>
      </c>
      <c r="AC259" s="140">
        <f t="shared" si="5"/>
        <v>8749368.5048811678</v>
      </c>
      <c r="AD259" s="140">
        <f t="shared" si="5"/>
        <v>8749368.5048811678</v>
      </c>
      <c r="AE259" s="140">
        <f t="shared" si="5"/>
        <v>8749368.5048811659</v>
      </c>
      <c r="AF259" s="140">
        <f t="shared" si="5"/>
        <v>8749368.5048811678</v>
      </c>
      <c r="AG259" s="140">
        <f t="shared" si="5"/>
        <v>8749368.5048811678</v>
      </c>
      <c r="AH259" s="140">
        <f t="shared" si="5"/>
        <v>8749368.5048811678</v>
      </c>
      <c r="AI259" s="140">
        <f t="shared" si="5"/>
        <v>8749368.5048811659</v>
      </c>
      <c r="AJ259" s="140">
        <f t="shared" si="5"/>
        <v>8749368.5048811678</v>
      </c>
      <c r="AK259" s="140">
        <f t="shared" si="5"/>
        <v>8749368.5048811659</v>
      </c>
      <c r="AL259" s="140">
        <f t="shared" si="5"/>
        <v>8749368.5048811678</v>
      </c>
      <c r="AM259" s="140">
        <f t="shared" si="5"/>
        <v>8749368.5048811659</v>
      </c>
      <c r="AN259" s="140">
        <f t="shared" si="5"/>
        <v>8749368.5048811659</v>
      </c>
      <c r="AO259" s="140">
        <f t="shared" si="5"/>
        <v>8749368.5048811678</v>
      </c>
      <c r="AP259" s="140">
        <f t="shared" si="5"/>
        <v>8749368.5048811678</v>
      </c>
      <c r="AQ259" s="140">
        <f t="shared" si="5"/>
        <v>8749368.5048811678</v>
      </c>
      <c r="AR259" s="140">
        <f t="shared" si="5"/>
        <v>8749368.5048811678</v>
      </c>
      <c r="AS259" s="140">
        <f t="shared" si="5"/>
        <v>8749368.5048811659</v>
      </c>
      <c r="AT259" s="140">
        <f t="shared" si="5"/>
        <v>8749368.5048811678</v>
      </c>
      <c r="AU259" s="140">
        <f t="shared" si="5"/>
        <v>8749368.5048811659</v>
      </c>
      <c r="AV259" s="140">
        <f t="shared" si="5"/>
        <v>8749368.5048811678</v>
      </c>
      <c r="AW259" s="140">
        <f t="shared" si="5"/>
        <v>8749368.5048811659</v>
      </c>
      <c r="AX259" s="140">
        <f t="shared" si="5"/>
        <v>8749368.5048811678</v>
      </c>
      <c r="AY259" s="140">
        <f>AZ$14*$B$259</f>
        <v>8749368.5048811659</v>
      </c>
      <c r="AZ259" s="155">
        <f>SUM($D259:$AY259)</f>
        <v>412877552.35857248</v>
      </c>
    </row>
    <row r="260" spans="1:52" x14ac:dyDescent="0.2">
      <c r="A260" s="156" t="s">
        <v>302</v>
      </c>
      <c r="B260" s="130">
        <v>60</v>
      </c>
      <c r="C260" s="141" t="s">
        <v>293</v>
      </c>
      <c r="D260" s="141">
        <f>(D$175-D$176+D$177-D$178+D$179-D$180+D$181-D$182)*$B$260</f>
        <v>1898344.7281386806</v>
      </c>
      <c r="E260" s="141">
        <f t="shared" ref="E260:AY260" si="6">(E$175-E$176+E$177-E$178+E$179-E$180+E$181-E$182)*$B$260</f>
        <v>1615802.3904218001</v>
      </c>
      <c r="F260" s="141">
        <f t="shared" si="6"/>
        <v>1665391.7987150564</v>
      </c>
      <c r="G260" s="141">
        <f t="shared" si="6"/>
        <v>1719505.9841648154</v>
      </c>
      <c r="H260" s="141">
        <f t="shared" si="6"/>
        <v>1743745.9841648154</v>
      </c>
      <c r="I260" s="141">
        <f t="shared" si="6"/>
        <v>1735825.9841648154</v>
      </c>
      <c r="J260" s="141">
        <f t="shared" si="6"/>
        <v>1737025.9841648154</v>
      </c>
      <c r="K260" s="141">
        <f t="shared" si="6"/>
        <v>1742365.9841648152</v>
      </c>
      <c r="L260" s="141">
        <f t="shared" si="6"/>
        <v>1708945.9841648154</v>
      </c>
      <c r="M260" s="141">
        <f t="shared" si="6"/>
        <v>1693285.9841648152</v>
      </c>
      <c r="N260" s="141">
        <f t="shared" si="6"/>
        <v>1692325.9841648154</v>
      </c>
      <c r="O260" s="141">
        <f t="shared" si="6"/>
        <v>1714585.9841648154</v>
      </c>
      <c r="P260" s="141">
        <f t="shared" si="6"/>
        <v>1669045.9841648154</v>
      </c>
      <c r="Q260" s="141">
        <f t="shared" si="6"/>
        <v>1653685.9841648154</v>
      </c>
      <c r="R260" s="141">
        <f t="shared" si="6"/>
        <v>1660465.9841648152</v>
      </c>
      <c r="S260" s="141">
        <f t="shared" si="6"/>
        <v>1648765.9841648154</v>
      </c>
      <c r="T260" s="141">
        <f t="shared" si="6"/>
        <v>1710265.9841648156</v>
      </c>
      <c r="U260" s="141">
        <f t="shared" si="6"/>
        <v>1711705.9841648154</v>
      </c>
      <c r="V260" s="141">
        <f t="shared" si="6"/>
        <v>1730785.9841648154</v>
      </c>
      <c r="W260" s="141">
        <f t="shared" si="6"/>
        <v>1729165.9841648152</v>
      </c>
      <c r="X260" s="141">
        <f t="shared" si="6"/>
        <v>1748905.9841648154</v>
      </c>
      <c r="Y260" s="141">
        <f t="shared" si="6"/>
        <v>1747705.9841648152</v>
      </c>
      <c r="Z260" s="141">
        <f t="shared" si="6"/>
        <v>1743745.9841648154</v>
      </c>
      <c r="AA260" s="141">
        <f t="shared" si="6"/>
        <v>1748365.9841648152</v>
      </c>
      <c r="AB260" s="141">
        <f t="shared" si="6"/>
        <v>1628725.9841648152</v>
      </c>
      <c r="AC260" s="141">
        <f t="shared" si="6"/>
        <v>1649605.9841648154</v>
      </c>
      <c r="AD260" s="141">
        <f t="shared" si="6"/>
        <v>1607005.9841648154</v>
      </c>
      <c r="AE260" s="141">
        <f t="shared" si="6"/>
        <v>1646845.9841648152</v>
      </c>
      <c r="AF260" s="141">
        <f t="shared" si="6"/>
        <v>1698565.9841648154</v>
      </c>
      <c r="AG260" s="141">
        <f t="shared" si="6"/>
        <v>1702825.9841648154</v>
      </c>
      <c r="AH260" s="141">
        <f t="shared" si="6"/>
        <v>1708825.9841648154</v>
      </c>
      <c r="AI260" s="141">
        <f t="shared" si="6"/>
        <v>1699825.9841648152</v>
      </c>
      <c r="AJ260" s="141">
        <f t="shared" si="6"/>
        <v>1716145.9841648154</v>
      </c>
      <c r="AK260" s="141">
        <f t="shared" si="6"/>
        <v>1716685.9841648152</v>
      </c>
      <c r="AL260" s="141">
        <f t="shared" si="6"/>
        <v>1716685.9841648154</v>
      </c>
      <c r="AM260" s="141">
        <f t="shared" si="6"/>
        <v>1711345.9841648152</v>
      </c>
      <c r="AN260" s="141">
        <f t="shared" si="6"/>
        <v>1733065.9841648152</v>
      </c>
      <c r="AO260" s="141">
        <f t="shared" si="6"/>
        <v>1731865.9841648154</v>
      </c>
      <c r="AP260" s="141">
        <f t="shared" si="6"/>
        <v>1729585.9841648154</v>
      </c>
      <c r="AQ260" s="141">
        <f t="shared" si="6"/>
        <v>1725565.9841648154</v>
      </c>
      <c r="AR260" s="141">
        <f t="shared" si="6"/>
        <v>1714345.9841648154</v>
      </c>
      <c r="AS260" s="141">
        <f t="shared" si="6"/>
        <v>1724125.9841648152</v>
      </c>
      <c r="AT260" s="141">
        <f t="shared" si="6"/>
        <v>1715725.9841648154</v>
      </c>
      <c r="AU260" s="141">
        <f t="shared" si="6"/>
        <v>1716925.9841648152</v>
      </c>
      <c r="AV260" s="141">
        <f t="shared" si="6"/>
        <v>1694365.9841648154</v>
      </c>
      <c r="AW260" s="141">
        <f t="shared" si="6"/>
        <v>1696705.9841648152</v>
      </c>
      <c r="AX260" s="141">
        <f t="shared" si="6"/>
        <v>1698085.9841648154</v>
      </c>
      <c r="AY260" s="141">
        <f t="shared" si="6"/>
        <v>1662565.9841648152</v>
      </c>
      <c r="AZ260" s="157">
        <f>SUM($D260:$AY260)</f>
        <v>81915788.204692245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283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19</v>
      </c>
      <c r="E6">
        <v>10989.6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8" t="s">
        <v>173</v>
      </c>
      <c r="D7">
        <v>19</v>
      </c>
      <c r="E7">
        <v>14979.6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8" t="s">
        <v>174</v>
      </c>
      <c r="D8">
        <v>19</v>
      </c>
      <c r="E8">
        <v>5882.4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8" t="s">
        <v>175</v>
      </c>
      <c r="D9">
        <v>18</v>
      </c>
      <c r="E9">
        <v>12636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8" t="s">
        <v>176</v>
      </c>
      <c r="D10">
        <v>20</v>
      </c>
      <c r="E10">
        <v>10896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8" t="s">
        <v>177</v>
      </c>
      <c r="D11">
        <v>21</v>
      </c>
      <c r="E11">
        <v>11188.8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8" t="s">
        <v>178</v>
      </c>
      <c r="D12">
        <v>20</v>
      </c>
      <c r="E12">
        <v>11256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8" t="s">
        <v>179</v>
      </c>
      <c r="D13">
        <v>21</v>
      </c>
      <c r="E13">
        <v>1789.2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8" t="s">
        <v>180</v>
      </c>
      <c r="D14">
        <v>21</v>
      </c>
      <c r="E14">
        <v>10256.4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8" t="s">
        <v>181</v>
      </c>
      <c r="D15">
        <v>18</v>
      </c>
      <c r="E15">
        <v>13737.599999999999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8" t="s">
        <v>182</v>
      </c>
      <c r="D16">
        <v>20</v>
      </c>
      <c r="E16">
        <v>6816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8" t="s">
        <v>183</v>
      </c>
      <c r="D17">
        <v>19</v>
      </c>
      <c r="E17">
        <v>8025.5999999999995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8" t="s">
        <v>184</v>
      </c>
      <c r="D18">
        <v>17</v>
      </c>
      <c r="E18">
        <v>11097.599999999999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8" t="s">
        <v>185</v>
      </c>
      <c r="D19">
        <v>20</v>
      </c>
      <c r="E19">
        <v>6600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8" t="s">
        <v>127</v>
      </c>
      <c r="C20" s="118" t="s">
        <v>186</v>
      </c>
      <c r="D20">
        <v>27</v>
      </c>
      <c r="E20">
        <v>7743.6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8" t="s">
        <v>187</v>
      </c>
      <c r="D21">
        <v>30</v>
      </c>
      <c r="E21">
        <v>1872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8" t="s">
        <v>188</v>
      </c>
      <c r="D22">
        <v>27</v>
      </c>
      <c r="E22">
        <v>5054.3999999999996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8" t="s">
        <v>189</v>
      </c>
      <c r="D23">
        <v>27</v>
      </c>
      <c r="E23">
        <v>7938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8" t="s">
        <v>190</v>
      </c>
      <c r="D24">
        <v>29</v>
      </c>
      <c r="E24">
        <v>10648.8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8" t="s">
        <v>191</v>
      </c>
      <c r="D25">
        <v>29</v>
      </c>
      <c r="E25">
        <v>15381.599999999999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8" t="s">
        <v>192</v>
      </c>
      <c r="D26">
        <v>27</v>
      </c>
      <c r="E26">
        <v>13122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8" t="s">
        <v>193</v>
      </c>
      <c r="D27">
        <v>25</v>
      </c>
      <c r="E27">
        <v>10680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8" t="s">
        <v>194</v>
      </c>
      <c r="D28">
        <v>29</v>
      </c>
      <c r="E28">
        <v>21402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8" t="s">
        <v>195</v>
      </c>
      <c r="D29">
        <v>27</v>
      </c>
      <c r="E29">
        <v>9136.7999999999993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8" t="s">
        <v>196</v>
      </c>
      <c r="D30">
        <v>28</v>
      </c>
      <c r="E30">
        <v>3897.5999999999995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8" t="s">
        <v>197</v>
      </c>
      <c r="D31">
        <v>29</v>
      </c>
      <c r="E31">
        <v>9883.2000000000007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8" t="s">
        <v>198</v>
      </c>
      <c r="D32">
        <v>26</v>
      </c>
      <c r="E32">
        <v>21840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8" t="s">
        <v>199</v>
      </c>
      <c r="D33">
        <v>26</v>
      </c>
      <c r="E33">
        <v>12324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8" t="s">
        <v>200</v>
      </c>
      <c r="D34">
        <v>28</v>
      </c>
      <c r="E34">
        <v>15355.199999999999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8" t="s">
        <v>201</v>
      </c>
      <c r="D35">
        <v>28</v>
      </c>
      <c r="E35">
        <v>14078.399999999998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8" t="s">
        <v>202</v>
      </c>
      <c r="D36">
        <v>24</v>
      </c>
      <c r="E36">
        <v>18259.199999999997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8" t="s">
        <v>128</v>
      </c>
      <c r="C37" s="118" t="s">
        <v>203</v>
      </c>
      <c r="D37">
        <v>6</v>
      </c>
      <c r="E37">
        <v>5162.3999999999996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8" t="s">
        <v>204</v>
      </c>
      <c r="D38">
        <v>5</v>
      </c>
      <c r="E38">
        <v>6210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8" t="s">
        <v>205</v>
      </c>
      <c r="D39">
        <v>5</v>
      </c>
      <c r="E39">
        <v>7116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8" t="s">
        <v>206</v>
      </c>
      <c r="D40">
        <v>5</v>
      </c>
      <c r="E40">
        <v>3624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8" t="s">
        <v>207</v>
      </c>
      <c r="D41">
        <v>6</v>
      </c>
      <c r="E41">
        <v>3960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8" t="s">
        <v>208</v>
      </c>
      <c r="D42">
        <v>5</v>
      </c>
      <c r="E42">
        <v>4230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8" t="s">
        <v>209</v>
      </c>
      <c r="D43">
        <v>5</v>
      </c>
      <c r="E43">
        <v>5112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8" t="s">
        <v>210</v>
      </c>
      <c r="D44">
        <v>5</v>
      </c>
      <c r="E44">
        <v>5112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8" t="s">
        <v>211</v>
      </c>
      <c r="D45">
        <v>6</v>
      </c>
      <c r="E45">
        <v>7495.2000000000007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8" t="s">
        <v>212</v>
      </c>
      <c r="D46">
        <v>5</v>
      </c>
      <c r="E46">
        <v>6060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8" t="s">
        <v>213</v>
      </c>
      <c r="D47">
        <v>5</v>
      </c>
      <c r="E47">
        <v>7638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8" t="s">
        <v>214</v>
      </c>
      <c r="D48">
        <v>5</v>
      </c>
      <c r="E48">
        <v>4338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8" t="s">
        <v>129</v>
      </c>
      <c r="C49" s="118" t="s">
        <v>215</v>
      </c>
      <c r="D49">
        <v>16</v>
      </c>
      <c r="E49">
        <v>15763.199999999999</v>
      </c>
      <c r="F49">
        <v>15</v>
      </c>
      <c r="G49">
        <v>14777.999999999998</v>
      </c>
      <c r="H49">
        <v>18</v>
      </c>
      <c r="I49">
        <v>17733.599999999999</v>
      </c>
      <c r="J49">
        <v>19</v>
      </c>
      <c r="K49">
        <v>18718.8</v>
      </c>
      <c r="L49">
        <v>36</v>
      </c>
      <c r="M49">
        <v>35467.199999999997</v>
      </c>
      <c r="N49">
        <v>53</v>
      </c>
      <c r="O49">
        <v>52215.6</v>
      </c>
      <c r="P49">
        <v>35</v>
      </c>
      <c r="Q49">
        <v>34482</v>
      </c>
      <c r="R49">
        <v>43</v>
      </c>
      <c r="S49">
        <v>42363.6</v>
      </c>
      <c r="T49">
        <v>5</v>
      </c>
      <c r="U49">
        <v>4926</v>
      </c>
      <c r="V49">
        <v>4</v>
      </c>
      <c r="W49">
        <v>3940.7999999999997</v>
      </c>
      <c r="X49">
        <v>5</v>
      </c>
      <c r="Y49">
        <v>4926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</row>
    <row r="50" spans="2:99" x14ac:dyDescent="0.2">
      <c r="C50" s="118" t="s">
        <v>216</v>
      </c>
      <c r="D50">
        <v>16</v>
      </c>
      <c r="E50">
        <v>4512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8" t="s">
        <v>217</v>
      </c>
      <c r="D51">
        <v>16</v>
      </c>
      <c r="E51">
        <v>13670.4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8" t="s">
        <v>218</v>
      </c>
      <c r="D52">
        <v>17</v>
      </c>
      <c r="E52">
        <v>9180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8" t="s">
        <v>219</v>
      </c>
      <c r="D53">
        <v>19</v>
      </c>
      <c r="E53">
        <v>7729.2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8" t="s">
        <v>220</v>
      </c>
      <c r="D54">
        <v>19</v>
      </c>
      <c r="E54">
        <v>6361.2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8" t="s">
        <v>221</v>
      </c>
      <c r="D55">
        <v>18</v>
      </c>
      <c r="E55">
        <v>11944.800000000001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8" t="s">
        <v>222</v>
      </c>
      <c r="D56">
        <v>17</v>
      </c>
      <c r="E56">
        <v>19563.599999999999</v>
      </c>
      <c r="F56">
        <v>14</v>
      </c>
      <c r="G56">
        <v>16111.199999999999</v>
      </c>
      <c r="H56">
        <v>17</v>
      </c>
      <c r="I56">
        <v>19563.599999999999</v>
      </c>
      <c r="J56">
        <v>19</v>
      </c>
      <c r="K56">
        <v>21865.200000000001</v>
      </c>
      <c r="L56">
        <v>36</v>
      </c>
      <c r="M56">
        <v>41428.799999999996</v>
      </c>
      <c r="N56">
        <v>54</v>
      </c>
      <c r="O56">
        <v>62143.199999999997</v>
      </c>
      <c r="P56">
        <v>32</v>
      </c>
      <c r="Q56">
        <v>36825.599999999999</v>
      </c>
      <c r="R56">
        <v>41</v>
      </c>
      <c r="S56">
        <v>47182.799999999996</v>
      </c>
      <c r="T56">
        <v>5</v>
      </c>
      <c r="U56">
        <v>5754</v>
      </c>
      <c r="V56">
        <v>4</v>
      </c>
      <c r="W56">
        <v>4603.2</v>
      </c>
      <c r="X56">
        <v>4</v>
      </c>
      <c r="Y56">
        <v>4603.2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</row>
    <row r="57" spans="2:99" x14ac:dyDescent="0.2">
      <c r="C57" s="118" t="s">
        <v>223</v>
      </c>
      <c r="D57">
        <v>16</v>
      </c>
      <c r="E57">
        <v>22579.200000000001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8" t="s">
        <v>224</v>
      </c>
      <c r="D58">
        <v>17</v>
      </c>
      <c r="E58">
        <v>20012.400000000001</v>
      </c>
      <c r="F58">
        <v>15</v>
      </c>
      <c r="G58">
        <v>17658</v>
      </c>
      <c r="H58">
        <v>16</v>
      </c>
      <c r="I58">
        <v>18835.2</v>
      </c>
      <c r="J58">
        <v>19</v>
      </c>
      <c r="K58">
        <v>22366.799999999999</v>
      </c>
      <c r="L58">
        <v>33</v>
      </c>
      <c r="M58">
        <v>38847.599999999999</v>
      </c>
      <c r="N58">
        <v>47</v>
      </c>
      <c r="O58">
        <v>55328.4</v>
      </c>
      <c r="P58">
        <v>36</v>
      </c>
      <c r="Q58">
        <v>42379.200000000004</v>
      </c>
      <c r="R58">
        <v>38</v>
      </c>
      <c r="S58">
        <v>44733.599999999999</v>
      </c>
      <c r="T58">
        <v>5</v>
      </c>
      <c r="U58">
        <v>5886</v>
      </c>
      <c r="V58">
        <v>4</v>
      </c>
      <c r="W58">
        <v>4708.8</v>
      </c>
      <c r="X58">
        <v>4</v>
      </c>
      <c r="Y58">
        <v>4708.8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</row>
    <row r="59" spans="2:99" x14ac:dyDescent="0.2">
      <c r="C59" s="118" t="s">
        <v>225</v>
      </c>
      <c r="D59">
        <v>19</v>
      </c>
      <c r="E59">
        <v>5768.4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8" t="s">
        <v>226</v>
      </c>
      <c r="D60">
        <v>16</v>
      </c>
      <c r="E60">
        <v>10425.6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8" t="s">
        <v>227</v>
      </c>
      <c r="D61">
        <v>15</v>
      </c>
      <c r="E61">
        <v>14273.999999999998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8" t="s">
        <v>228</v>
      </c>
      <c r="D62">
        <v>15</v>
      </c>
      <c r="E62">
        <v>25578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8" t="s">
        <v>229</v>
      </c>
      <c r="D63">
        <v>16</v>
      </c>
      <c r="E63">
        <v>12729.6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8" t="s">
        <v>230</v>
      </c>
      <c r="D64">
        <v>15</v>
      </c>
      <c r="E64">
        <v>15137.999999999996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8" t="s">
        <v>231</v>
      </c>
      <c r="D65">
        <v>16</v>
      </c>
      <c r="E65">
        <v>16416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8" t="s">
        <v>232</v>
      </c>
      <c r="D66">
        <v>17</v>
      </c>
      <c r="E66">
        <v>20236.8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8" t="s">
        <v>233</v>
      </c>
      <c r="D67">
        <v>16</v>
      </c>
      <c r="E67">
        <v>17971.2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8" t="s">
        <v>234</v>
      </c>
      <c r="D68">
        <v>15</v>
      </c>
      <c r="E68">
        <v>15498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8" t="s">
        <v>235</v>
      </c>
      <c r="D69">
        <v>16</v>
      </c>
      <c r="E69">
        <v>12134.4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8" t="s">
        <v>236</v>
      </c>
      <c r="D70">
        <v>17</v>
      </c>
      <c r="E70">
        <v>9098.4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8" t="s">
        <v>130</v>
      </c>
      <c r="C71" s="118" t="s">
        <v>237</v>
      </c>
      <c r="D71">
        <v>3</v>
      </c>
      <c r="E71">
        <v>1692</v>
      </c>
      <c r="F71">
        <v>3</v>
      </c>
      <c r="G71">
        <v>1692</v>
      </c>
      <c r="H71">
        <v>4</v>
      </c>
      <c r="I71">
        <v>2256</v>
      </c>
      <c r="J71">
        <v>3</v>
      </c>
      <c r="K71">
        <v>1692</v>
      </c>
      <c r="L71">
        <v>5</v>
      </c>
      <c r="M71">
        <v>2820</v>
      </c>
      <c r="N71">
        <v>4</v>
      </c>
      <c r="O71">
        <v>2256</v>
      </c>
      <c r="P71">
        <v>4</v>
      </c>
      <c r="Q71">
        <v>2256</v>
      </c>
      <c r="R71">
        <v>7</v>
      </c>
      <c r="S71">
        <v>3948</v>
      </c>
      <c r="T71">
        <v>4</v>
      </c>
      <c r="U71">
        <v>2256</v>
      </c>
      <c r="V71">
        <v>5</v>
      </c>
      <c r="W71">
        <v>2820</v>
      </c>
      <c r="X71">
        <v>4</v>
      </c>
      <c r="Y71">
        <v>2256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</row>
    <row r="72" spans="2:99" x14ac:dyDescent="0.2">
      <c r="C72" s="118" t="s">
        <v>238</v>
      </c>
      <c r="D72">
        <v>2</v>
      </c>
      <c r="E72">
        <v>148.79999999999998</v>
      </c>
      <c r="F72">
        <v>3</v>
      </c>
      <c r="G72">
        <v>223.2</v>
      </c>
      <c r="H72">
        <v>4</v>
      </c>
      <c r="I72">
        <v>297.59999999999997</v>
      </c>
      <c r="J72">
        <v>3</v>
      </c>
      <c r="K72">
        <v>223.2</v>
      </c>
      <c r="L72">
        <v>5</v>
      </c>
      <c r="M72">
        <v>371.99999999999994</v>
      </c>
      <c r="N72">
        <v>5</v>
      </c>
      <c r="O72">
        <v>371.99999999999994</v>
      </c>
      <c r="P72">
        <v>4</v>
      </c>
      <c r="Q72">
        <v>297.59999999999997</v>
      </c>
      <c r="R72">
        <v>7</v>
      </c>
      <c r="S72">
        <v>520.79999999999995</v>
      </c>
      <c r="T72">
        <v>4</v>
      </c>
      <c r="U72">
        <v>297.59999999999997</v>
      </c>
      <c r="V72">
        <v>6</v>
      </c>
      <c r="W72">
        <v>446.4</v>
      </c>
      <c r="X72">
        <v>4</v>
      </c>
      <c r="Y72">
        <v>297.59999999999997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</row>
    <row r="73" spans="2:99" x14ac:dyDescent="0.2">
      <c r="C73" s="118" t="s">
        <v>239</v>
      </c>
      <c r="D73">
        <v>2</v>
      </c>
      <c r="E73">
        <v>1118.3999999999999</v>
      </c>
      <c r="F73">
        <v>2</v>
      </c>
      <c r="G73">
        <v>1118.3999999999999</v>
      </c>
      <c r="H73">
        <v>3</v>
      </c>
      <c r="I73">
        <v>1677.6</v>
      </c>
      <c r="J73">
        <v>2</v>
      </c>
      <c r="K73">
        <v>1118.3999999999999</v>
      </c>
      <c r="L73">
        <v>5</v>
      </c>
      <c r="M73">
        <v>2795.9999999999995</v>
      </c>
      <c r="N73">
        <v>5</v>
      </c>
      <c r="O73">
        <v>2795.9999999999995</v>
      </c>
      <c r="P73">
        <v>4</v>
      </c>
      <c r="Q73">
        <v>2236.7999999999997</v>
      </c>
      <c r="R73">
        <v>7</v>
      </c>
      <c r="S73">
        <v>3914.3999999999996</v>
      </c>
      <c r="T73">
        <v>4</v>
      </c>
      <c r="U73">
        <v>2236.7999999999997</v>
      </c>
      <c r="V73">
        <v>6</v>
      </c>
      <c r="W73">
        <v>3355.2</v>
      </c>
      <c r="X73">
        <v>5</v>
      </c>
      <c r="Y73">
        <v>2795.9999999999995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</row>
    <row r="74" spans="2:99" x14ac:dyDescent="0.2">
      <c r="C74" s="118" t="s">
        <v>240</v>
      </c>
      <c r="D74">
        <v>2</v>
      </c>
      <c r="E74">
        <v>806.4</v>
      </c>
      <c r="F74">
        <v>3</v>
      </c>
      <c r="G74">
        <v>1209.5999999999999</v>
      </c>
      <c r="H74">
        <v>3</v>
      </c>
      <c r="I74">
        <v>1209.5999999999999</v>
      </c>
      <c r="J74">
        <v>2</v>
      </c>
      <c r="K74">
        <v>806.4</v>
      </c>
      <c r="L74">
        <v>5</v>
      </c>
      <c r="M74">
        <v>2016</v>
      </c>
      <c r="N74">
        <v>5</v>
      </c>
      <c r="O74">
        <v>2016</v>
      </c>
      <c r="P74">
        <v>4</v>
      </c>
      <c r="Q74">
        <v>1612.8</v>
      </c>
      <c r="R74">
        <v>7</v>
      </c>
      <c r="S74">
        <v>2822.4</v>
      </c>
      <c r="T74">
        <v>4</v>
      </c>
      <c r="U74">
        <v>1612.8</v>
      </c>
      <c r="V74">
        <v>6</v>
      </c>
      <c r="W74">
        <v>2419.1999999999998</v>
      </c>
      <c r="X74">
        <v>4</v>
      </c>
      <c r="Y74">
        <v>1612.8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</row>
    <row r="75" spans="2:99" x14ac:dyDescent="0.2">
      <c r="C75" s="118" t="s">
        <v>241</v>
      </c>
      <c r="D75">
        <v>3</v>
      </c>
      <c r="E75">
        <v>1929.6</v>
      </c>
      <c r="F75">
        <v>3</v>
      </c>
      <c r="G75">
        <v>1929.6</v>
      </c>
      <c r="H75">
        <v>3</v>
      </c>
      <c r="I75">
        <v>1929.6</v>
      </c>
      <c r="J75">
        <v>2</v>
      </c>
      <c r="K75">
        <v>1286.3999999999999</v>
      </c>
      <c r="L75">
        <v>5</v>
      </c>
      <c r="M75">
        <v>3215.9999999999995</v>
      </c>
      <c r="N75">
        <v>5</v>
      </c>
      <c r="O75">
        <v>3215.9999999999995</v>
      </c>
      <c r="P75">
        <v>4</v>
      </c>
      <c r="Q75">
        <v>2572.7999999999997</v>
      </c>
      <c r="R75">
        <v>7</v>
      </c>
      <c r="S75">
        <v>4502.3999999999996</v>
      </c>
      <c r="T75">
        <v>4</v>
      </c>
      <c r="U75">
        <v>2572.7999999999997</v>
      </c>
      <c r="V75">
        <v>6</v>
      </c>
      <c r="W75">
        <v>3859.2</v>
      </c>
      <c r="X75">
        <v>4</v>
      </c>
      <c r="Y75">
        <v>2572.7999999999997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</row>
    <row r="76" spans="2:99" x14ac:dyDescent="0.2">
      <c r="C76" s="118" t="s">
        <v>242</v>
      </c>
      <c r="D76">
        <v>2</v>
      </c>
      <c r="E76">
        <v>1557.6</v>
      </c>
      <c r="F76">
        <v>3</v>
      </c>
      <c r="G76">
        <v>2336.3999999999996</v>
      </c>
      <c r="H76">
        <v>3</v>
      </c>
      <c r="I76">
        <v>2336.3999999999996</v>
      </c>
      <c r="J76">
        <v>3</v>
      </c>
      <c r="K76">
        <v>2336.3999999999996</v>
      </c>
      <c r="L76">
        <v>5</v>
      </c>
      <c r="M76">
        <v>3894</v>
      </c>
      <c r="N76">
        <v>5</v>
      </c>
      <c r="O76">
        <v>3894</v>
      </c>
      <c r="P76">
        <v>4</v>
      </c>
      <c r="Q76">
        <v>3115.2</v>
      </c>
      <c r="R76">
        <v>7</v>
      </c>
      <c r="S76">
        <v>5451.5999999999995</v>
      </c>
      <c r="T76">
        <v>3</v>
      </c>
      <c r="U76">
        <v>2336.3999999999996</v>
      </c>
      <c r="V76">
        <v>5</v>
      </c>
      <c r="W76">
        <v>3894</v>
      </c>
      <c r="X76">
        <v>4</v>
      </c>
      <c r="Y76">
        <v>3115.2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</row>
    <row r="77" spans="2:99" x14ac:dyDescent="0.2">
      <c r="C77" s="118" t="s">
        <v>243</v>
      </c>
      <c r="D77">
        <v>3</v>
      </c>
      <c r="E77">
        <v>835.19999999999993</v>
      </c>
      <c r="F77">
        <v>3</v>
      </c>
      <c r="G77">
        <v>835.19999999999993</v>
      </c>
      <c r="H77">
        <v>4</v>
      </c>
      <c r="I77">
        <v>1113.5999999999999</v>
      </c>
      <c r="J77">
        <v>3</v>
      </c>
      <c r="K77">
        <v>835.19999999999993</v>
      </c>
      <c r="L77">
        <v>5</v>
      </c>
      <c r="M77">
        <v>1392</v>
      </c>
      <c r="N77">
        <v>5</v>
      </c>
      <c r="O77">
        <v>1392</v>
      </c>
      <c r="P77">
        <v>4</v>
      </c>
      <c r="Q77">
        <v>1113.5999999999999</v>
      </c>
      <c r="R77">
        <v>7</v>
      </c>
      <c r="S77">
        <v>1948.7999999999997</v>
      </c>
      <c r="T77">
        <v>4</v>
      </c>
      <c r="U77">
        <v>1113.5999999999999</v>
      </c>
      <c r="V77">
        <v>6</v>
      </c>
      <c r="W77">
        <v>1670.3999999999999</v>
      </c>
      <c r="X77">
        <v>4</v>
      </c>
      <c r="Y77">
        <v>1113.5999999999999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</row>
    <row r="78" spans="2:99" x14ac:dyDescent="0.2">
      <c r="C78" s="118" t="s">
        <v>244</v>
      </c>
      <c r="D78">
        <v>2</v>
      </c>
      <c r="E78">
        <v>1104</v>
      </c>
      <c r="F78">
        <v>2</v>
      </c>
      <c r="G78">
        <v>1104</v>
      </c>
      <c r="H78">
        <v>3</v>
      </c>
      <c r="I78">
        <v>1656</v>
      </c>
      <c r="J78">
        <v>3</v>
      </c>
      <c r="K78">
        <v>1656</v>
      </c>
      <c r="L78">
        <v>5</v>
      </c>
      <c r="M78">
        <v>2760</v>
      </c>
      <c r="N78">
        <v>5</v>
      </c>
      <c r="O78">
        <v>2760</v>
      </c>
      <c r="P78">
        <v>4</v>
      </c>
      <c r="Q78">
        <v>2208</v>
      </c>
      <c r="R78">
        <v>7</v>
      </c>
      <c r="S78">
        <v>3864</v>
      </c>
      <c r="T78">
        <v>4</v>
      </c>
      <c r="U78">
        <v>2208</v>
      </c>
      <c r="V78">
        <v>5</v>
      </c>
      <c r="W78">
        <v>2760</v>
      </c>
      <c r="X78">
        <v>5</v>
      </c>
      <c r="Y78">
        <v>2760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</row>
    <row r="79" spans="2:99" x14ac:dyDescent="0.2">
      <c r="C79" s="118" t="s">
        <v>245</v>
      </c>
      <c r="D79">
        <v>2</v>
      </c>
      <c r="E79">
        <v>1514.3999999999999</v>
      </c>
      <c r="F79">
        <v>3</v>
      </c>
      <c r="G79">
        <v>2271.6</v>
      </c>
      <c r="H79">
        <v>3</v>
      </c>
      <c r="I79">
        <v>2271.6</v>
      </c>
      <c r="J79">
        <v>3</v>
      </c>
      <c r="K79">
        <v>2271.6</v>
      </c>
      <c r="L79">
        <v>5</v>
      </c>
      <c r="M79">
        <v>3785.9999999999995</v>
      </c>
      <c r="N79">
        <v>5</v>
      </c>
      <c r="O79">
        <v>3785.9999999999995</v>
      </c>
      <c r="P79">
        <v>3</v>
      </c>
      <c r="Q79">
        <v>2271.6</v>
      </c>
      <c r="R79">
        <v>7</v>
      </c>
      <c r="S79">
        <v>5300.4</v>
      </c>
      <c r="T79">
        <v>4</v>
      </c>
      <c r="U79">
        <v>3028.7999999999997</v>
      </c>
      <c r="V79">
        <v>5</v>
      </c>
      <c r="W79">
        <v>3785.9999999999995</v>
      </c>
      <c r="X79">
        <v>4</v>
      </c>
      <c r="Y79">
        <v>3028.7999999999997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</row>
    <row r="80" spans="2:99" x14ac:dyDescent="0.2">
      <c r="C80" s="118" t="s">
        <v>246</v>
      </c>
      <c r="D80">
        <v>3</v>
      </c>
      <c r="E80">
        <v>2415.6</v>
      </c>
      <c r="F80">
        <v>3</v>
      </c>
      <c r="G80">
        <v>2415.6</v>
      </c>
      <c r="H80">
        <v>3</v>
      </c>
      <c r="I80">
        <v>2415.6</v>
      </c>
      <c r="J80">
        <v>3</v>
      </c>
      <c r="K80">
        <v>2415.6</v>
      </c>
      <c r="L80">
        <v>5</v>
      </c>
      <c r="M80">
        <v>4025.9999999999995</v>
      </c>
      <c r="N80">
        <v>5</v>
      </c>
      <c r="O80">
        <v>4025.9999999999995</v>
      </c>
      <c r="P80">
        <v>4</v>
      </c>
      <c r="Q80">
        <v>3220.7999999999997</v>
      </c>
      <c r="R80">
        <v>6</v>
      </c>
      <c r="S80">
        <v>4831.2</v>
      </c>
      <c r="T80">
        <v>4</v>
      </c>
      <c r="U80">
        <v>3220.7999999999997</v>
      </c>
      <c r="V80">
        <v>5</v>
      </c>
      <c r="W80">
        <v>4025.9999999999995</v>
      </c>
      <c r="X80">
        <v>4</v>
      </c>
      <c r="Y80">
        <v>3220.7999999999997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</row>
    <row r="81" spans="2:99" x14ac:dyDescent="0.2">
      <c r="C81" s="118" t="s">
        <v>247</v>
      </c>
      <c r="D81">
        <v>3</v>
      </c>
      <c r="E81">
        <v>2260.8000000000002</v>
      </c>
      <c r="F81">
        <v>2</v>
      </c>
      <c r="G81">
        <v>1507.2</v>
      </c>
      <c r="H81">
        <v>4</v>
      </c>
      <c r="I81">
        <v>3014.4</v>
      </c>
      <c r="J81">
        <v>3</v>
      </c>
      <c r="K81">
        <v>2260.8000000000002</v>
      </c>
      <c r="L81">
        <v>5</v>
      </c>
      <c r="M81">
        <v>3768</v>
      </c>
      <c r="N81">
        <v>4</v>
      </c>
      <c r="O81">
        <v>3014.4</v>
      </c>
      <c r="P81">
        <v>3</v>
      </c>
      <c r="Q81">
        <v>2260.8000000000002</v>
      </c>
      <c r="R81">
        <v>6</v>
      </c>
      <c r="S81">
        <v>4521.6000000000004</v>
      </c>
      <c r="T81">
        <v>4</v>
      </c>
      <c r="U81">
        <v>3014.4</v>
      </c>
      <c r="V81">
        <v>6</v>
      </c>
      <c r="W81">
        <v>4521.6000000000004</v>
      </c>
      <c r="X81">
        <v>4</v>
      </c>
      <c r="Y81">
        <v>3014.4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</row>
    <row r="82" spans="2:99" x14ac:dyDescent="0.2">
      <c r="C82" s="118" t="s">
        <v>248</v>
      </c>
      <c r="D82">
        <v>2</v>
      </c>
      <c r="E82">
        <v>1017.5999999999998</v>
      </c>
      <c r="F82">
        <v>3</v>
      </c>
      <c r="G82">
        <v>1526.3999999999996</v>
      </c>
      <c r="H82">
        <v>3</v>
      </c>
      <c r="I82">
        <v>1526.3999999999996</v>
      </c>
      <c r="J82">
        <v>3</v>
      </c>
      <c r="K82">
        <v>1526.3999999999996</v>
      </c>
      <c r="L82">
        <v>5</v>
      </c>
      <c r="M82">
        <v>2543.9999999999995</v>
      </c>
      <c r="N82">
        <v>5</v>
      </c>
      <c r="O82">
        <v>2543.9999999999995</v>
      </c>
      <c r="P82">
        <v>4</v>
      </c>
      <c r="Q82">
        <v>2035.1999999999996</v>
      </c>
      <c r="R82">
        <v>6</v>
      </c>
      <c r="S82">
        <v>3052.7999999999993</v>
      </c>
      <c r="T82">
        <v>4</v>
      </c>
      <c r="U82">
        <v>2035.1999999999996</v>
      </c>
      <c r="V82">
        <v>6</v>
      </c>
      <c r="W82">
        <v>3052.7999999999993</v>
      </c>
      <c r="X82">
        <v>5</v>
      </c>
      <c r="Y82">
        <v>2543.9999999999995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</row>
    <row r="83" spans="2:99" x14ac:dyDescent="0.2">
      <c r="C83" s="118" t="s">
        <v>249</v>
      </c>
      <c r="D83">
        <v>3</v>
      </c>
      <c r="E83">
        <v>2581.1999999999998</v>
      </c>
      <c r="F83">
        <v>3</v>
      </c>
      <c r="G83">
        <v>2581.1999999999998</v>
      </c>
      <c r="H83">
        <v>3</v>
      </c>
      <c r="I83">
        <v>2581.1999999999998</v>
      </c>
      <c r="J83">
        <v>3</v>
      </c>
      <c r="K83">
        <v>2581.1999999999998</v>
      </c>
      <c r="L83">
        <v>5</v>
      </c>
      <c r="M83">
        <v>4302</v>
      </c>
      <c r="N83">
        <v>4</v>
      </c>
      <c r="O83">
        <v>3441.6</v>
      </c>
      <c r="P83">
        <v>3</v>
      </c>
      <c r="Q83">
        <v>2581.1999999999998</v>
      </c>
      <c r="R83">
        <v>6</v>
      </c>
      <c r="S83">
        <v>5162.3999999999996</v>
      </c>
      <c r="T83">
        <v>4</v>
      </c>
      <c r="U83">
        <v>3441.6</v>
      </c>
      <c r="V83">
        <v>5</v>
      </c>
      <c r="W83">
        <v>4302</v>
      </c>
      <c r="X83">
        <v>4</v>
      </c>
      <c r="Y83">
        <v>3441.6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</row>
    <row r="84" spans="2:99" x14ac:dyDescent="0.2">
      <c r="C84" s="118" t="s">
        <v>250</v>
      </c>
      <c r="D84">
        <v>3</v>
      </c>
      <c r="E84">
        <v>2343.6</v>
      </c>
      <c r="F84">
        <v>2</v>
      </c>
      <c r="G84">
        <v>1562.3999999999999</v>
      </c>
      <c r="H84">
        <v>4</v>
      </c>
      <c r="I84">
        <v>3124.7999999999997</v>
      </c>
      <c r="J84">
        <v>3</v>
      </c>
      <c r="K84">
        <v>2343.6</v>
      </c>
      <c r="L84">
        <v>5</v>
      </c>
      <c r="M84">
        <v>3905.9999999999995</v>
      </c>
      <c r="N84">
        <v>5</v>
      </c>
      <c r="O84">
        <v>3905.9999999999995</v>
      </c>
      <c r="P84">
        <v>3</v>
      </c>
      <c r="Q84">
        <v>2343.6</v>
      </c>
      <c r="R84">
        <v>6</v>
      </c>
      <c r="S84">
        <v>4687.2</v>
      </c>
      <c r="T84">
        <v>4</v>
      </c>
      <c r="U84">
        <v>3124.7999999999997</v>
      </c>
      <c r="V84">
        <v>5</v>
      </c>
      <c r="W84">
        <v>3905.9999999999995</v>
      </c>
      <c r="X84">
        <v>4</v>
      </c>
      <c r="Y84">
        <v>3124.7999999999997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</row>
    <row r="85" spans="2:99" x14ac:dyDescent="0.2">
      <c r="C85" s="118" t="s">
        <v>251</v>
      </c>
      <c r="D85">
        <v>3</v>
      </c>
      <c r="E85">
        <v>450</v>
      </c>
      <c r="F85">
        <v>3</v>
      </c>
      <c r="G85">
        <v>450</v>
      </c>
      <c r="H85">
        <v>4</v>
      </c>
      <c r="I85">
        <v>600</v>
      </c>
      <c r="J85">
        <v>3</v>
      </c>
      <c r="K85">
        <v>450</v>
      </c>
      <c r="L85">
        <v>5</v>
      </c>
      <c r="M85">
        <v>750</v>
      </c>
      <c r="N85">
        <v>5</v>
      </c>
      <c r="O85">
        <v>750</v>
      </c>
      <c r="P85">
        <v>4</v>
      </c>
      <c r="Q85">
        <v>600</v>
      </c>
      <c r="R85">
        <v>7</v>
      </c>
      <c r="S85">
        <v>1050</v>
      </c>
      <c r="T85">
        <v>4</v>
      </c>
      <c r="U85">
        <v>600</v>
      </c>
      <c r="V85">
        <v>6</v>
      </c>
      <c r="W85">
        <v>900</v>
      </c>
      <c r="X85">
        <v>4</v>
      </c>
      <c r="Y85">
        <v>600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</row>
    <row r="86" spans="2:99" x14ac:dyDescent="0.2">
      <c r="C86" s="118" t="s">
        <v>252</v>
      </c>
      <c r="D86">
        <v>2</v>
      </c>
      <c r="E86">
        <v>1080</v>
      </c>
      <c r="F86">
        <v>3</v>
      </c>
      <c r="G86">
        <v>1620</v>
      </c>
      <c r="H86">
        <v>4</v>
      </c>
      <c r="I86">
        <v>2160</v>
      </c>
      <c r="J86">
        <v>3</v>
      </c>
      <c r="K86">
        <v>1620</v>
      </c>
      <c r="L86">
        <v>5</v>
      </c>
      <c r="M86">
        <v>2700</v>
      </c>
      <c r="N86">
        <v>4</v>
      </c>
      <c r="O86">
        <v>2160</v>
      </c>
      <c r="P86">
        <v>4</v>
      </c>
      <c r="Q86">
        <v>2160</v>
      </c>
      <c r="R86">
        <v>6</v>
      </c>
      <c r="S86">
        <v>3240</v>
      </c>
      <c r="T86">
        <v>4</v>
      </c>
      <c r="U86">
        <v>2160</v>
      </c>
      <c r="V86">
        <v>6</v>
      </c>
      <c r="W86">
        <v>3240</v>
      </c>
      <c r="X86">
        <v>4</v>
      </c>
      <c r="Y86">
        <v>2160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</row>
    <row r="87" spans="2:99" x14ac:dyDescent="0.2">
      <c r="B87" s="118" t="s">
        <v>131</v>
      </c>
      <c r="C87" s="118" t="s">
        <v>253</v>
      </c>
      <c r="D87">
        <v>30</v>
      </c>
      <c r="E87">
        <v>58644</v>
      </c>
      <c r="F87">
        <v>19</v>
      </c>
      <c r="G87">
        <v>37141.199999999997</v>
      </c>
      <c r="H87">
        <v>18</v>
      </c>
      <c r="I87">
        <v>35186.400000000001</v>
      </c>
      <c r="J87">
        <v>27</v>
      </c>
      <c r="K87">
        <v>52779.6</v>
      </c>
      <c r="L87">
        <v>7</v>
      </c>
      <c r="M87">
        <v>13683.6</v>
      </c>
      <c r="N87">
        <v>5</v>
      </c>
      <c r="O87">
        <v>9774</v>
      </c>
      <c r="P87">
        <v>9</v>
      </c>
      <c r="Q87">
        <v>17593.2</v>
      </c>
      <c r="R87">
        <v>8</v>
      </c>
      <c r="S87">
        <v>15638.4</v>
      </c>
      <c r="T87">
        <v>13</v>
      </c>
      <c r="U87">
        <v>25412.399999999998</v>
      </c>
      <c r="V87">
        <v>8</v>
      </c>
      <c r="W87">
        <v>15638.4</v>
      </c>
      <c r="X87">
        <v>8</v>
      </c>
      <c r="Y87">
        <v>15638.4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</row>
    <row r="88" spans="2:99" x14ac:dyDescent="0.2">
      <c r="C88" s="118" t="s">
        <v>254</v>
      </c>
      <c r="D88">
        <v>30</v>
      </c>
      <c r="E88">
        <v>56771.999999999993</v>
      </c>
      <c r="F88">
        <v>20</v>
      </c>
      <c r="G88">
        <v>37848</v>
      </c>
      <c r="H88">
        <v>20</v>
      </c>
      <c r="I88">
        <v>37848</v>
      </c>
      <c r="J88">
        <v>25</v>
      </c>
      <c r="K88">
        <v>47310</v>
      </c>
      <c r="L88">
        <v>7</v>
      </c>
      <c r="M88">
        <v>13246.8</v>
      </c>
      <c r="N88">
        <v>5</v>
      </c>
      <c r="O88">
        <v>9462</v>
      </c>
      <c r="P88">
        <v>9</v>
      </c>
      <c r="Q88">
        <v>17031.599999999999</v>
      </c>
      <c r="R88">
        <v>8</v>
      </c>
      <c r="S88">
        <v>15139.199999999999</v>
      </c>
      <c r="T88">
        <v>12</v>
      </c>
      <c r="U88">
        <v>22708.799999999999</v>
      </c>
      <c r="V88">
        <v>9</v>
      </c>
      <c r="W88">
        <v>17031.599999999999</v>
      </c>
      <c r="X88">
        <v>9</v>
      </c>
      <c r="Y88">
        <v>17031.599999999999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</row>
    <row r="89" spans="2:99" x14ac:dyDescent="0.2">
      <c r="C89" s="118" t="s">
        <v>255</v>
      </c>
      <c r="D89">
        <v>30</v>
      </c>
      <c r="E89">
        <v>71928</v>
      </c>
      <c r="F89">
        <v>16</v>
      </c>
      <c r="G89">
        <v>38361.599999999999</v>
      </c>
      <c r="H89">
        <v>20</v>
      </c>
      <c r="I89">
        <v>47952</v>
      </c>
      <c r="J89">
        <v>27</v>
      </c>
      <c r="K89">
        <v>64735.199999999997</v>
      </c>
      <c r="L89">
        <v>6</v>
      </c>
      <c r="M89">
        <v>14385.599999999999</v>
      </c>
      <c r="N89">
        <v>5</v>
      </c>
      <c r="O89">
        <v>11988</v>
      </c>
      <c r="P89">
        <v>8</v>
      </c>
      <c r="Q89">
        <v>19180.8</v>
      </c>
      <c r="R89">
        <v>7</v>
      </c>
      <c r="S89">
        <v>16783.2</v>
      </c>
      <c r="T89">
        <v>11</v>
      </c>
      <c r="U89">
        <v>26373.599999999999</v>
      </c>
      <c r="V89">
        <v>8</v>
      </c>
      <c r="W89">
        <v>19180.8</v>
      </c>
      <c r="X89">
        <v>9</v>
      </c>
      <c r="Y89">
        <v>21578.399999999998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</row>
    <row r="90" spans="2:99" x14ac:dyDescent="0.2">
      <c r="C90" s="118" t="s">
        <v>256</v>
      </c>
      <c r="D90">
        <v>30</v>
      </c>
      <c r="E90">
        <v>65916</v>
      </c>
      <c r="F90">
        <v>18</v>
      </c>
      <c r="G90">
        <v>39549.599999999999</v>
      </c>
      <c r="H90">
        <v>20</v>
      </c>
      <c r="I90">
        <v>43944</v>
      </c>
      <c r="J90">
        <v>24</v>
      </c>
      <c r="K90">
        <v>52732.799999999996</v>
      </c>
      <c r="L90">
        <v>6</v>
      </c>
      <c r="M90">
        <v>13183.199999999999</v>
      </c>
      <c r="N90">
        <v>6</v>
      </c>
      <c r="O90">
        <v>13183.199999999999</v>
      </c>
      <c r="P90">
        <v>9</v>
      </c>
      <c r="Q90">
        <v>19774.8</v>
      </c>
      <c r="R90">
        <v>7</v>
      </c>
      <c r="S90">
        <v>15380.399999999998</v>
      </c>
      <c r="T90">
        <v>12</v>
      </c>
      <c r="U90">
        <v>26366.399999999998</v>
      </c>
      <c r="V90">
        <v>10</v>
      </c>
      <c r="W90">
        <v>21972</v>
      </c>
      <c r="X90">
        <v>8</v>
      </c>
      <c r="Y90">
        <v>17577.599999999999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</row>
    <row r="91" spans="2:99" x14ac:dyDescent="0.2">
      <c r="C91" s="118" t="s">
        <v>257</v>
      </c>
      <c r="D91">
        <v>28</v>
      </c>
      <c r="E91">
        <v>64310.399999999994</v>
      </c>
      <c r="F91">
        <v>18</v>
      </c>
      <c r="G91">
        <v>41342.399999999994</v>
      </c>
      <c r="H91">
        <v>20</v>
      </c>
      <c r="I91">
        <v>45935.999999999993</v>
      </c>
      <c r="J91">
        <v>24</v>
      </c>
      <c r="K91">
        <v>55123.199999999997</v>
      </c>
      <c r="L91">
        <v>7</v>
      </c>
      <c r="M91">
        <v>16077.599999999999</v>
      </c>
      <c r="N91">
        <v>5</v>
      </c>
      <c r="O91">
        <v>11483.999999999998</v>
      </c>
      <c r="P91">
        <v>9</v>
      </c>
      <c r="Q91">
        <v>20671.199999999997</v>
      </c>
      <c r="R91">
        <v>7</v>
      </c>
      <c r="S91">
        <v>16077.599999999999</v>
      </c>
      <c r="T91">
        <v>11</v>
      </c>
      <c r="U91">
        <v>25264.799999999996</v>
      </c>
      <c r="V91">
        <v>9</v>
      </c>
      <c r="W91">
        <v>20671.199999999997</v>
      </c>
      <c r="X91">
        <v>8</v>
      </c>
      <c r="Y91">
        <v>18374.399999999998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</row>
    <row r="92" spans="2:99" x14ac:dyDescent="0.2">
      <c r="C92" s="118" t="s">
        <v>258</v>
      </c>
      <c r="D92">
        <v>32</v>
      </c>
      <c r="E92">
        <v>45465.599999999999</v>
      </c>
      <c r="F92">
        <v>18</v>
      </c>
      <c r="G92">
        <v>25574.399999999998</v>
      </c>
      <c r="H92">
        <v>20</v>
      </c>
      <c r="I92">
        <v>28416</v>
      </c>
      <c r="J92">
        <v>29</v>
      </c>
      <c r="K92">
        <v>41203.199999999997</v>
      </c>
      <c r="L92">
        <v>7</v>
      </c>
      <c r="M92">
        <v>9945.6</v>
      </c>
      <c r="N92">
        <v>6</v>
      </c>
      <c r="O92">
        <v>8524.7999999999993</v>
      </c>
      <c r="P92">
        <v>9</v>
      </c>
      <c r="Q92">
        <v>12787.199999999999</v>
      </c>
      <c r="R92">
        <v>8</v>
      </c>
      <c r="S92">
        <v>11366.4</v>
      </c>
      <c r="T92">
        <v>12</v>
      </c>
      <c r="U92">
        <v>17049.599999999999</v>
      </c>
      <c r="V92">
        <v>9</v>
      </c>
      <c r="W92">
        <v>12787.199999999999</v>
      </c>
      <c r="X92">
        <v>10</v>
      </c>
      <c r="Y92">
        <v>14208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</row>
    <row r="93" spans="2:99" x14ac:dyDescent="0.2">
      <c r="C93" s="118" t="s">
        <v>259</v>
      </c>
      <c r="D93">
        <v>28</v>
      </c>
      <c r="E93">
        <v>49627.199999999997</v>
      </c>
      <c r="F93">
        <v>20</v>
      </c>
      <c r="G93">
        <v>35448</v>
      </c>
      <c r="H93">
        <v>19</v>
      </c>
      <c r="I93">
        <v>33675.599999999999</v>
      </c>
      <c r="J93">
        <v>28</v>
      </c>
      <c r="K93">
        <v>49627.199999999997</v>
      </c>
      <c r="L93">
        <v>6</v>
      </c>
      <c r="M93">
        <v>10634.4</v>
      </c>
      <c r="N93">
        <v>5</v>
      </c>
      <c r="O93">
        <v>8862</v>
      </c>
      <c r="P93">
        <v>9</v>
      </c>
      <c r="Q93">
        <v>15951.599999999999</v>
      </c>
      <c r="R93">
        <v>8</v>
      </c>
      <c r="S93">
        <v>14179.199999999999</v>
      </c>
      <c r="T93">
        <v>13</v>
      </c>
      <c r="U93">
        <v>23041.199999999997</v>
      </c>
      <c r="V93">
        <v>10</v>
      </c>
      <c r="W93">
        <v>17724</v>
      </c>
      <c r="X93">
        <v>9</v>
      </c>
      <c r="Y93">
        <v>15951.599999999999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</row>
    <row r="94" spans="2:99" x14ac:dyDescent="0.2">
      <c r="C94" s="118" t="s">
        <v>260</v>
      </c>
      <c r="D94">
        <v>29</v>
      </c>
      <c r="E94">
        <v>69460.799999999988</v>
      </c>
      <c r="F94">
        <v>16</v>
      </c>
      <c r="G94">
        <v>38323.199999999997</v>
      </c>
      <c r="H94">
        <v>17</v>
      </c>
      <c r="I94">
        <v>40718.399999999994</v>
      </c>
      <c r="J94">
        <v>24</v>
      </c>
      <c r="K94">
        <v>57484.799999999996</v>
      </c>
      <c r="L94">
        <v>7</v>
      </c>
      <c r="M94">
        <v>16766.399999999998</v>
      </c>
      <c r="N94">
        <v>5</v>
      </c>
      <c r="O94">
        <v>11976</v>
      </c>
      <c r="P94">
        <v>9</v>
      </c>
      <c r="Q94">
        <v>21556.799999999999</v>
      </c>
      <c r="R94">
        <v>7</v>
      </c>
      <c r="S94">
        <v>16766.399999999998</v>
      </c>
      <c r="T94">
        <v>11</v>
      </c>
      <c r="U94">
        <v>26347.199999999997</v>
      </c>
      <c r="V94">
        <v>9</v>
      </c>
      <c r="W94">
        <v>21556.799999999999</v>
      </c>
      <c r="X94">
        <v>8</v>
      </c>
      <c r="Y94">
        <v>19161.599999999999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</row>
    <row r="95" spans="2:99" x14ac:dyDescent="0.2">
      <c r="B95" s="118" t="s">
        <v>132</v>
      </c>
      <c r="C95" s="118" t="s">
        <v>261</v>
      </c>
      <c r="D95">
        <v>6</v>
      </c>
      <c r="E95">
        <v>10396.799999999999</v>
      </c>
      <c r="F95">
        <v>7</v>
      </c>
      <c r="G95">
        <v>12129.6</v>
      </c>
      <c r="H95">
        <v>12</v>
      </c>
      <c r="I95">
        <v>20793.599999999999</v>
      </c>
      <c r="J95">
        <v>6</v>
      </c>
      <c r="K95">
        <v>10396.799999999999</v>
      </c>
      <c r="L95">
        <v>42</v>
      </c>
      <c r="M95">
        <v>72777.599999999991</v>
      </c>
      <c r="N95">
        <v>50</v>
      </c>
      <c r="O95">
        <v>86640</v>
      </c>
      <c r="P95">
        <v>33</v>
      </c>
      <c r="Q95">
        <v>57182.400000000001</v>
      </c>
      <c r="R95">
        <v>39</v>
      </c>
      <c r="S95">
        <v>67579.199999999997</v>
      </c>
      <c r="T95">
        <v>16</v>
      </c>
      <c r="U95">
        <v>27724.799999999999</v>
      </c>
      <c r="V95">
        <v>19</v>
      </c>
      <c r="W95">
        <v>32923.199999999997</v>
      </c>
      <c r="X95">
        <v>19</v>
      </c>
      <c r="Y95">
        <v>32923.199999999997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</row>
    <row r="96" spans="2:99" x14ac:dyDescent="0.2">
      <c r="C96" s="118" t="s">
        <v>262</v>
      </c>
      <c r="D96">
        <v>6</v>
      </c>
      <c r="E96">
        <v>4939.2</v>
      </c>
      <c r="F96">
        <v>8</v>
      </c>
      <c r="G96">
        <v>6585.5999999999995</v>
      </c>
      <c r="H96">
        <v>11</v>
      </c>
      <c r="I96">
        <v>9055.1999999999989</v>
      </c>
      <c r="J96">
        <v>6</v>
      </c>
      <c r="K96">
        <v>4939.2</v>
      </c>
      <c r="L96">
        <v>55</v>
      </c>
      <c r="M96">
        <v>45275.999999999993</v>
      </c>
      <c r="N96">
        <v>54</v>
      </c>
      <c r="O96">
        <v>44452.799999999996</v>
      </c>
      <c r="P96">
        <v>39</v>
      </c>
      <c r="Q96">
        <v>32104.799999999996</v>
      </c>
      <c r="R96">
        <v>46</v>
      </c>
      <c r="S96">
        <v>37867.199999999997</v>
      </c>
      <c r="T96">
        <v>19</v>
      </c>
      <c r="U96">
        <v>15640.8</v>
      </c>
      <c r="V96">
        <v>23</v>
      </c>
      <c r="W96">
        <v>18933.599999999999</v>
      </c>
      <c r="X96">
        <v>20</v>
      </c>
      <c r="Y96">
        <v>16464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</row>
    <row r="97" spans="2:99" x14ac:dyDescent="0.2">
      <c r="C97" s="118" t="s">
        <v>263</v>
      </c>
      <c r="D97">
        <v>5</v>
      </c>
      <c r="E97">
        <v>9144</v>
      </c>
      <c r="F97">
        <v>7</v>
      </c>
      <c r="G97">
        <v>12801.6</v>
      </c>
      <c r="H97">
        <v>12</v>
      </c>
      <c r="I97">
        <v>21945.599999999999</v>
      </c>
      <c r="J97">
        <v>7</v>
      </c>
      <c r="K97">
        <v>12801.6</v>
      </c>
      <c r="L97">
        <v>46</v>
      </c>
      <c r="M97">
        <v>84124.800000000003</v>
      </c>
      <c r="N97">
        <v>50</v>
      </c>
      <c r="O97">
        <v>91440</v>
      </c>
      <c r="P97">
        <v>36</v>
      </c>
      <c r="Q97">
        <v>65836.800000000003</v>
      </c>
      <c r="R97">
        <v>39</v>
      </c>
      <c r="S97">
        <v>71323.199999999997</v>
      </c>
      <c r="T97">
        <v>16</v>
      </c>
      <c r="U97">
        <v>29260.799999999999</v>
      </c>
      <c r="V97">
        <v>21</v>
      </c>
      <c r="W97">
        <v>38404.799999999996</v>
      </c>
      <c r="X97">
        <v>20</v>
      </c>
      <c r="Y97">
        <v>36576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</row>
    <row r="98" spans="2:99" x14ac:dyDescent="0.2">
      <c r="C98" s="118" t="s">
        <v>264</v>
      </c>
      <c r="D98">
        <v>6</v>
      </c>
      <c r="E98">
        <v>7581.5999999999995</v>
      </c>
      <c r="F98">
        <v>8</v>
      </c>
      <c r="G98">
        <v>10108.799999999999</v>
      </c>
      <c r="H98">
        <v>12</v>
      </c>
      <c r="I98">
        <v>15163.199999999999</v>
      </c>
      <c r="J98">
        <v>6</v>
      </c>
      <c r="K98">
        <v>7581.5999999999995</v>
      </c>
      <c r="L98">
        <v>47</v>
      </c>
      <c r="M98">
        <v>59389.2</v>
      </c>
      <c r="N98">
        <v>59</v>
      </c>
      <c r="O98">
        <v>74552.399999999994</v>
      </c>
      <c r="P98">
        <v>40</v>
      </c>
      <c r="Q98">
        <v>50544</v>
      </c>
      <c r="R98">
        <v>43</v>
      </c>
      <c r="S98">
        <v>54334.799999999996</v>
      </c>
      <c r="T98">
        <v>19</v>
      </c>
      <c r="U98">
        <v>24008.399999999998</v>
      </c>
      <c r="V98">
        <v>22</v>
      </c>
      <c r="W98">
        <v>27799.199999999997</v>
      </c>
      <c r="X98">
        <v>20</v>
      </c>
      <c r="Y98">
        <v>25272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</row>
    <row r="99" spans="2:99" x14ac:dyDescent="0.2">
      <c r="C99" s="118" t="s">
        <v>265</v>
      </c>
      <c r="D99">
        <v>4</v>
      </c>
      <c r="E99">
        <v>21926.399999999998</v>
      </c>
      <c r="F99">
        <v>5</v>
      </c>
      <c r="G99">
        <v>27407.999999999996</v>
      </c>
      <c r="H99">
        <v>9</v>
      </c>
      <c r="I99">
        <v>49334.399999999994</v>
      </c>
      <c r="J99">
        <v>4</v>
      </c>
      <c r="K99">
        <v>21926.399999999998</v>
      </c>
      <c r="L99">
        <v>26</v>
      </c>
      <c r="M99">
        <v>142521.59999999998</v>
      </c>
      <c r="N99">
        <v>32</v>
      </c>
      <c r="O99">
        <v>175411.19999999998</v>
      </c>
      <c r="P99">
        <v>20</v>
      </c>
      <c r="Q99">
        <v>109631.99999999999</v>
      </c>
      <c r="R99">
        <v>22</v>
      </c>
      <c r="S99">
        <v>120595.19999999998</v>
      </c>
      <c r="T99">
        <v>10</v>
      </c>
      <c r="U99">
        <v>54815.999999999993</v>
      </c>
      <c r="V99">
        <v>15</v>
      </c>
      <c r="W99">
        <v>82223.999999999985</v>
      </c>
      <c r="X99">
        <v>13</v>
      </c>
      <c r="Y99">
        <v>71260.799999999988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</row>
    <row r="100" spans="2:99" x14ac:dyDescent="0.2">
      <c r="C100" s="118" t="s">
        <v>266</v>
      </c>
      <c r="D100">
        <v>5</v>
      </c>
      <c r="E100">
        <v>8111.9999999999991</v>
      </c>
      <c r="F100">
        <v>7</v>
      </c>
      <c r="G100">
        <v>11356.8</v>
      </c>
      <c r="H100">
        <v>11</v>
      </c>
      <c r="I100">
        <v>17846.399999999998</v>
      </c>
      <c r="J100">
        <v>6</v>
      </c>
      <c r="K100">
        <v>9734.4</v>
      </c>
      <c r="L100">
        <v>39</v>
      </c>
      <c r="M100">
        <v>63273.599999999991</v>
      </c>
      <c r="N100">
        <v>49</v>
      </c>
      <c r="O100">
        <v>79497.599999999991</v>
      </c>
      <c r="P100">
        <v>35</v>
      </c>
      <c r="Q100">
        <v>56783.999999999993</v>
      </c>
      <c r="R100">
        <v>44</v>
      </c>
      <c r="S100">
        <v>71385.599999999991</v>
      </c>
      <c r="T100">
        <v>18</v>
      </c>
      <c r="U100">
        <v>29203.199999999997</v>
      </c>
      <c r="V100">
        <v>20</v>
      </c>
      <c r="W100">
        <v>32447.999999999996</v>
      </c>
      <c r="X100">
        <v>21</v>
      </c>
      <c r="Y100">
        <v>34070.399999999994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</row>
    <row r="101" spans="2:99" x14ac:dyDescent="0.2">
      <c r="C101" s="118" t="s">
        <v>267</v>
      </c>
      <c r="D101">
        <v>6</v>
      </c>
      <c r="E101">
        <v>7142.4</v>
      </c>
      <c r="F101">
        <v>8</v>
      </c>
      <c r="G101">
        <v>9523.1999999999989</v>
      </c>
      <c r="H101">
        <v>11</v>
      </c>
      <c r="I101">
        <v>13094.399999999998</v>
      </c>
      <c r="J101">
        <v>7</v>
      </c>
      <c r="K101">
        <v>8332.7999999999993</v>
      </c>
      <c r="L101">
        <v>45</v>
      </c>
      <c r="M101">
        <v>53567.999999999993</v>
      </c>
      <c r="N101">
        <v>51</v>
      </c>
      <c r="O101">
        <v>60710.399999999994</v>
      </c>
      <c r="P101">
        <v>37</v>
      </c>
      <c r="Q101">
        <v>44044.799999999996</v>
      </c>
      <c r="R101">
        <v>47</v>
      </c>
      <c r="S101">
        <v>55948.799999999996</v>
      </c>
      <c r="T101">
        <v>19</v>
      </c>
      <c r="U101">
        <v>22617.599999999999</v>
      </c>
      <c r="V101">
        <v>20</v>
      </c>
      <c r="W101">
        <v>23807.999999999996</v>
      </c>
      <c r="X101">
        <v>19</v>
      </c>
      <c r="Y101">
        <v>22617.599999999999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</row>
    <row r="102" spans="2:99" x14ac:dyDescent="0.2">
      <c r="C102" s="118" t="s">
        <v>268</v>
      </c>
      <c r="D102">
        <v>6</v>
      </c>
      <c r="E102">
        <v>11635.199999999999</v>
      </c>
      <c r="F102">
        <v>7</v>
      </c>
      <c r="G102">
        <v>13574.399999999998</v>
      </c>
      <c r="H102">
        <v>11</v>
      </c>
      <c r="I102">
        <v>21331.199999999997</v>
      </c>
      <c r="J102">
        <v>6</v>
      </c>
      <c r="K102">
        <v>11635.199999999999</v>
      </c>
      <c r="L102">
        <v>45</v>
      </c>
      <c r="M102">
        <v>87263.999999999985</v>
      </c>
      <c r="N102">
        <v>49</v>
      </c>
      <c r="O102">
        <v>95020.799999999988</v>
      </c>
      <c r="P102">
        <v>33</v>
      </c>
      <c r="Q102">
        <v>63993.599999999991</v>
      </c>
      <c r="R102">
        <v>40</v>
      </c>
      <c r="S102">
        <v>77568</v>
      </c>
      <c r="T102">
        <v>16</v>
      </c>
      <c r="U102">
        <v>31027.199999999997</v>
      </c>
      <c r="V102">
        <v>19</v>
      </c>
      <c r="W102">
        <v>36844.799999999996</v>
      </c>
      <c r="X102">
        <v>19</v>
      </c>
      <c r="Y102">
        <v>36844.799999999996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</row>
    <row r="103" spans="2:99" x14ac:dyDescent="0.2">
      <c r="C103" s="118" t="s">
        <v>269</v>
      </c>
      <c r="D103">
        <v>6</v>
      </c>
      <c r="E103">
        <v>12168</v>
      </c>
      <c r="F103">
        <v>7</v>
      </c>
      <c r="G103">
        <v>14196</v>
      </c>
      <c r="H103">
        <v>10</v>
      </c>
      <c r="I103">
        <v>20280</v>
      </c>
      <c r="J103">
        <v>6</v>
      </c>
      <c r="K103">
        <v>12168</v>
      </c>
      <c r="L103">
        <v>38</v>
      </c>
      <c r="M103">
        <v>77064</v>
      </c>
      <c r="N103">
        <v>47</v>
      </c>
      <c r="O103">
        <v>95316</v>
      </c>
      <c r="P103">
        <v>35</v>
      </c>
      <c r="Q103">
        <v>70980</v>
      </c>
      <c r="R103">
        <v>37</v>
      </c>
      <c r="S103">
        <v>75036</v>
      </c>
      <c r="T103">
        <v>16</v>
      </c>
      <c r="U103">
        <v>32448</v>
      </c>
      <c r="V103">
        <v>20</v>
      </c>
      <c r="W103">
        <v>40560</v>
      </c>
      <c r="X103">
        <v>20</v>
      </c>
      <c r="Y103">
        <v>40560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</row>
    <row r="104" spans="2:99" x14ac:dyDescent="0.2">
      <c r="C104" s="118" t="s">
        <v>270</v>
      </c>
      <c r="D104">
        <v>6</v>
      </c>
      <c r="E104">
        <v>12434.400000000001</v>
      </c>
      <c r="F104">
        <v>7</v>
      </c>
      <c r="G104">
        <v>14506.800000000001</v>
      </c>
      <c r="H104">
        <v>11</v>
      </c>
      <c r="I104">
        <v>22796.400000000001</v>
      </c>
      <c r="J104">
        <v>6</v>
      </c>
      <c r="K104">
        <v>12434.400000000001</v>
      </c>
      <c r="L104">
        <v>42</v>
      </c>
      <c r="M104">
        <v>87040.8</v>
      </c>
      <c r="N104">
        <v>43</v>
      </c>
      <c r="O104">
        <v>89113.2</v>
      </c>
      <c r="P104">
        <v>31</v>
      </c>
      <c r="Q104">
        <v>64244.4</v>
      </c>
      <c r="R104">
        <v>36</v>
      </c>
      <c r="S104">
        <v>74606.400000000009</v>
      </c>
      <c r="T104">
        <v>17</v>
      </c>
      <c r="U104">
        <v>35230.800000000003</v>
      </c>
      <c r="V104">
        <v>22</v>
      </c>
      <c r="W104">
        <v>45592.800000000003</v>
      </c>
      <c r="X104">
        <v>17</v>
      </c>
      <c r="Y104">
        <v>35230.800000000003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</row>
    <row r="105" spans="2:99" x14ac:dyDescent="0.2">
      <c r="C105" s="118" t="s">
        <v>271</v>
      </c>
      <c r="D105">
        <v>6</v>
      </c>
      <c r="E105">
        <v>11988</v>
      </c>
      <c r="F105">
        <v>7</v>
      </c>
      <c r="G105">
        <v>13986</v>
      </c>
      <c r="H105">
        <v>10</v>
      </c>
      <c r="I105">
        <v>19980</v>
      </c>
      <c r="J105">
        <v>6</v>
      </c>
      <c r="K105">
        <v>11988</v>
      </c>
      <c r="L105">
        <v>41</v>
      </c>
      <c r="M105">
        <v>81918</v>
      </c>
      <c r="N105">
        <v>49</v>
      </c>
      <c r="O105">
        <v>97902</v>
      </c>
      <c r="P105">
        <v>35</v>
      </c>
      <c r="Q105">
        <v>69930</v>
      </c>
      <c r="R105">
        <v>42</v>
      </c>
      <c r="S105">
        <v>83916</v>
      </c>
      <c r="T105">
        <v>15</v>
      </c>
      <c r="U105">
        <v>29970</v>
      </c>
      <c r="V105">
        <v>21</v>
      </c>
      <c r="W105">
        <v>41958</v>
      </c>
      <c r="X105">
        <v>18</v>
      </c>
      <c r="Y105">
        <v>35964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272</v>
      </c>
      <c r="E109">
        <f>SUM(L$6:L$19)+SUM(N$6:N$19)+SUM(P$6:P$19)+SUM(R$6:R$19)</f>
        <v>0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8" t="s">
        <v>127</v>
      </c>
      <c r="D110">
        <f>SUM(D$20:D$36)+SUM(F$20:F$36)+SUM(H$20:H$36)+SUM(J$20:J$36)</f>
        <v>466</v>
      </c>
      <c r="E110">
        <f>SUM(L$20:L$36)+SUM(N$20:N$36)+SUM(P$20:P$36)+SUM(R$20:R$36)</f>
        <v>0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8" t="s">
        <v>128</v>
      </c>
      <c r="D111">
        <f>SUM(D$37:D$48)+SUM(F$37:F$48)+SUM(H$37:H$48)+SUM(J$37:J$48)</f>
        <v>63</v>
      </c>
      <c r="E111">
        <f>SUM(L$37:L$48)+SUM(N$37:N$48)+SUM(P$37:P$48)+SUM(R$37:R$48)</f>
        <v>0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8" t="s">
        <v>129</v>
      </c>
      <c r="D112">
        <f>SUM(D$49:D$70)+SUM(F$49:F$70)+SUM(H$49:H$70)+SUM(J$49:J$70)</f>
        <v>516</v>
      </c>
      <c r="E112">
        <f>SUM(L$49:L$70)+SUM(N$49:N$70)+SUM(P$49:P$70)+SUM(R$49:R$70)</f>
        <v>484</v>
      </c>
      <c r="F112">
        <f>SUM(T$49:T$70)+SUM(V$49:V$70)+SUM(X$49:X$70)+SUM(Z$49:Z$70)</f>
        <v>40</v>
      </c>
      <c r="G112">
        <f>SUM(AB$49:AB$70)+SUM(AD$49:AD$70)+SUM(AF$49:AF$70)+SUM(AH$49:AH$70)</f>
        <v>0</v>
      </c>
      <c r="H112">
        <f>SUM(AJ$49:AJ$70)+SUM(AL$49:AL$70)+SUM(AN$49:AN$70)+SUM(AP$49:AP$70)</f>
        <v>0</v>
      </c>
      <c r="I112">
        <f>SUM(AR$49:AR$70)+SUM(AT$49:AT$70)+SUM(AV$49:AV$70)+SUM(AX$49:AX$70)</f>
        <v>0</v>
      </c>
      <c r="J112">
        <f>SUM(AZ$49:AZ$70)+SUM(BB$49:BB$70)+SUM(BD$49:BD$70)+SUM(BF$49:BF$70)</f>
        <v>0</v>
      </c>
      <c r="K112">
        <f>SUM(BH$49:BH$70)+SUM(BJ$49:BJ$70)+SUM(BL$49:BL$70)+SUM(BN$49:BN$70)</f>
        <v>0</v>
      </c>
      <c r="L112">
        <f>SUM(BP$49:BP$70)+SUM(BR$49:BR$70)+SUM(BT$49:BT$70)+SUM(BV$49:BV$70)</f>
        <v>0</v>
      </c>
      <c r="M112">
        <f>SUM(BX$49:BX$70)+SUM(BZ$49:BZ$70)+SUM(CB$49:CB$70)+SUM(CD$49:CD$70)</f>
        <v>0</v>
      </c>
      <c r="N112">
        <f>SUM(CF$49:CF$70)+SUM(CH$49:CH$70)+SUM(CJ$49:CJ$70)+SUM(CL$49:CL$70)</f>
        <v>0</v>
      </c>
      <c r="O112">
        <f>SUM(CN$49:CN$70)+SUM(CP$49:CP$70)+SUM(CR$49:CR$70)+SUM(CT$49:CT$70)</f>
        <v>0</v>
      </c>
    </row>
    <row r="113" spans="2:15" x14ac:dyDescent="0.2">
      <c r="C113" s="118" t="s">
        <v>130</v>
      </c>
      <c r="D113">
        <f>SUM(D$71:D$86)+SUM(F$71:F$86)+SUM(H$71:H$86)+SUM(J$71:J$86)</f>
        <v>184</v>
      </c>
      <c r="E113">
        <f>SUM(L$71:L$86)+SUM(N$71:N$86)+SUM(P$71:P$86)+SUM(R$71:R$86)</f>
        <v>322</v>
      </c>
      <c r="F113">
        <f>SUM(T$71:T$86)+SUM(V$71:V$86)+SUM(X$71:X$86)+SUM(Z$71:Z$86)</f>
        <v>219</v>
      </c>
      <c r="G113">
        <f>SUM(AB$71:AB$86)+SUM(AD$71:AD$86)+SUM(AF$71:AF$86)+SUM(AH$71:AH$86)</f>
        <v>0</v>
      </c>
      <c r="H113">
        <f>SUM(AJ$71:AJ$86)+SUM(AL$71:AL$86)+SUM(AN$71:AN$86)+SUM(AP$71:AP$86)</f>
        <v>0</v>
      </c>
      <c r="I113">
        <f>SUM(AR$71:AR$86)+SUM(AT$71:AT$86)+SUM(AV$71:AV$86)+SUM(AX$71:AX$86)</f>
        <v>0</v>
      </c>
      <c r="J113">
        <f>SUM(AZ$71:AZ$86)+SUM(BB$71:BB$86)+SUM(BD$71:BD$86)+SUM(BF$71:BF$86)</f>
        <v>0</v>
      </c>
      <c r="K113">
        <f>SUM(BH$71:BH$86)+SUM(BJ$71:BJ$86)+SUM(BL$71:BL$86)+SUM(BN$71:BN$86)</f>
        <v>0</v>
      </c>
      <c r="L113">
        <f>SUM(BP$71:BP$86)+SUM(BR$71:BR$86)+SUM(BT$71:BT$86)+SUM(BV$71:BV$86)</f>
        <v>0</v>
      </c>
      <c r="M113">
        <f>SUM(BX$71:BX$86)+SUM(BZ$71:BZ$86)+SUM(CB$71:CB$86)+SUM(CD$71:CD$86)</f>
        <v>0</v>
      </c>
      <c r="N113">
        <f>SUM(CF$71:CF$86)+SUM(CH$71:CH$86)+SUM(CJ$71:CJ$86)+SUM(CL$71:CL$86)</f>
        <v>0</v>
      </c>
      <c r="O113">
        <f>SUM(CN$71:CN$86)+SUM(CP$71:CP$86)+SUM(CR$71:CR$86)+SUM(CT$71:CT$86)</f>
        <v>0</v>
      </c>
    </row>
    <row r="114" spans="2:15" x14ac:dyDescent="0.2">
      <c r="C114" s="118" t="s">
        <v>131</v>
      </c>
      <c r="D114">
        <f>SUM(D$87:D$94)+SUM(F$87:F$94)+SUM(H$87:H$94)+SUM(J$87:J$94)</f>
        <v>744</v>
      </c>
      <c r="E114">
        <f>SUM(L$87:L$94)+SUM(N$87:N$94)+SUM(P$87:P$94)+SUM(R$87:R$94)</f>
        <v>226</v>
      </c>
      <c r="F114">
        <f>SUM(T$87:T$94)+SUM(V$87:V$94)+SUM(X$87:X$94)+SUM(Z$87:Z$94)</f>
        <v>236</v>
      </c>
      <c r="G114">
        <f>SUM(AB$87:AB$94)+SUM(AD$87:AD$94)+SUM(AF$87:AF$94)+SUM(AH$87:AH$94)</f>
        <v>0</v>
      </c>
      <c r="H114">
        <f>SUM(AJ$87:AJ$94)+SUM(AL$87:AL$94)+SUM(AN$87:AN$94)+SUM(AP$87:AP$94)</f>
        <v>0</v>
      </c>
      <c r="I114">
        <f>SUM(AR$87:AR$94)+SUM(AT$87:AT$94)+SUM(AV$87:AV$94)+SUM(AX$87:AX$94)</f>
        <v>0</v>
      </c>
      <c r="J114">
        <f>SUM(AZ$87:AZ$94)+SUM(BB$87:BB$94)+SUM(BD$87:BD$94)+SUM(BF$87:BF$94)</f>
        <v>0</v>
      </c>
      <c r="K114">
        <f>SUM(BH$87:BH$94)+SUM(BJ$87:BJ$94)+SUM(BL$87:BL$94)+SUM(BN$87:BN$94)</f>
        <v>0</v>
      </c>
      <c r="L114">
        <f>SUM(BP$87:BP$94)+SUM(BR$87:BR$94)+SUM(BT$87:BT$94)+SUM(BV$87:BV$94)</f>
        <v>0</v>
      </c>
      <c r="M114">
        <f>SUM(BX$87:BX$94)+SUM(BZ$87:BZ$94)+SUM(CB$87:CB$94)+SUM(CD$87:CD$94)</f>
        <v>0</v>
      </c>
      <c r="N114">
        <f>SUM(CF$87:CF$94)+SUM(CH$87:CH$94)+SUM(CJ$87:CJ$94)+SUM(CL$87:CL$94)</f>
        <v>0</v>
      </c>
      <c r="O114">
        <f>SUM(CN$87:CN$94)+SUM(CP$87:CP$94)+SUM(CR$87:CR$94)+SUM(CT$87:CT$94)</f>
        <v>0</v>
      </c>
    </row>
    <row r="115" spans="2:15" x14ac:dyDescent="0.2">
      <c r="C115" s="118" t="s">
        <v>132</v>
      </c>
      <c r="D115">
        <f>SUM(D$95:D$105)+SUM(F$95:F$105)+SUM(H$95:H$105)+SUM(J$95:J$105)</f>
        <v>326</v>
      </c>
      <c r="E115">
        <f>SUM(L$95:L$105)+SUM(N$95:N$105)+SUM(P$95:P$105)+SUM(R$95:R$105)</f>
        <v>1808</v>
      </c>
      <c r="F115">
        <f>SUM(T$95:T$105)+SUM(V$95:V$105)+SUM(X$95:X$105)+SUM(Z$95:Z$105)</f>
        <v>609</v>
      </c>
      <c r="G115">
        <f>SUM(AB$95:AB$105)+SUM(AD$95:AD$105)+SUM(AF$95:AF$105)+SUM(AH$95:AH$105)</f>
        <v>0</v>
      </c>
      <c r="H115">
        <f>SUM(AJ$95:AJ$105)+SUM(AL$95:AL$105)+SUM(AN$95:AN$105)+SUM(AP$95:AP$105)</f>
        <v>0</v>
      </c>
      <c r="I115">
        <f>SUM(AR$95:AR$105)+SUM(AT$95:AT$105)+SUM(AV$95:AV$105)+SUM(AX$95:AX$105)</f>
        <v>0</v>
      </c>
      <c r="J115">
        <f>SUM(AZ$95:AZ$105)+SUM(BB$95:BB$105)+SUM(BD$95:BD$105)+SUM(BF$95:BF$105)</f>
        <v>0</v>
      </c>
      <c r="K115">
        <f>SUM(BH$95:BH$105)+SUM(BJ$95:BJ$105)+SUM(BL$95:BL$105)+SUM(BN$95:BN$105)</f>
        <v>0</v>
      </c>
      <c r="L115">
        <f>SUM(BP$95:BP$105)+SUM(BR$95:BR$105)+SUM(BT$95:BT$105)+SUM(BV$95:BV$105)</f>
        <v>0</v>
      </c>
      <c r="M115">
        <f>SUM(BX$95:BX$105)+SUM(BZ$95:BZ$105)+SUM(CB$95:CB$105)+SUM(CD$95:CD$105)</f>
        <v>0</v>
      </c>
      <c r="N115">
        <f>SUM(CF$95:CF$105)+SUM(CH$95:CH$105)+SUM(CJ$95:CJ$105)+SUM(CL$95:CL$105)</f>
        <v>0</v>
      </c>
      <c r="O115">
        <f>SUM(CN$95:CN$105)+SUM(CP$95:CP$105)+SUM(CR$95:CR$105)+SUM(CT$95:CT$105)</f>
        <v>0</v>
      </c>
    </row>
    <row r="116" spans="2:15" x14ac:dyDescent="0.2">
      <c r="C116" s="118" t="s">
        <v>278</v>
      </c>
      <c r="D116">
        <f t="shared" ref="D116:O116" si="0">SUM(D$109:D$115)</f>
        <v>2571</v>
      </c>
      <c r="E116">
        <f t="shared" si="0"/>
        <v>2840</v>
      </c>
      <c r="F116">
        <f t="shared" si="0"/>
        <v>1104</v>
      </c>
      <c r="G116">
        <f t="shared" si="0"/>
        <v>0</v>
      </c>
      <c r="H116">
        <f t="shared" si="0"/>
        <v>0</v>
      </c>
      <c r="I116">
        <f t="shared" si="0"/>
        <v>0</v>
      </c>
      <c r="J116">
        <f t="shared" si="0"/>
        <v>0</v>
      </c>
      <c r="K116">
        <f t="shared" si="0"/>
        <v>0</v>
      </c>
      <c r="L116">
        <f t="shared" si="0"/>
        <v>0</v>
      </c>
      <c r="M116">
        <f t="shared" si="0"/>
        <v>0</v>
      </c>
      <c r="N116">
        <f t="shared" si="0"/>
        <v>0</v>
      </c>
      <c r="O116">
        <f t="shared" si="0"/>
        <v>0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D109*pricing!D6*2000</f>
        <v>892899.98029892123</v>
      </c>
      <c r="E120">
        <f>E109*pricing!E6*2000</f>
        <v>0</v>
      </c>
      <c r="F120">
        <f>F109*pricing!F6*2000</f>
        <v>0</v>
      </c>
      <c r="G120">
        <f>G109*pricing!G6*2000</f>
        <v>0</v>
      </c>
      <c r="H120">
        <f>H109*pricing!H6*2000</f>
        <v>0</v>
      </c>
      <c r="I120">
        <f>I109*pricing!I6*2000</f>
        <v>0</v>
      </c>
      <c r="J120">
        <f>J109*pricing!J6*2000</f>
        <v>0</v>
      </c>
      <c r="K120">
        <f>K109*pricing!K6*2000</f>
        <v>0</v>
      </c>
      <c r="L120">
        <f>L109*pricing!L6*2000</f>
        <v>0</v>
      </c>
      <c r="M120">
        <f>M109*pricing!M6*2000</f>
        <v>0</v>
      </c>
      <c r="N120">
        <f>N109*pricing!N6*2000</f>
        <v>0</v>
      </c>
      <c r="O120">
        <f>O109*pricing!O6*2000</f>
        <v>0</v>
      </c>
    </row>
    <row r="121" spans="2:15" x14ac:dyDescent="0.2">
      <c r="C121" s="118" t="s">
        <v>127</v>
      </c>
      <c r="D121">
        <f>D110*pricing!D7*2000</f>
        <v>1796954.6202912552</v>
      </c>
      <c r="E121">
        <f>E110*pricing!E7*2000</f>
        <v>0</v>
      </c>
      <c r="F121">
        <f>F110*pricing!F7*2000</f>
        <v>0</v>
      </c>
      <c r="G121">
        <f>G110*pricing!G7*2000</f>
        <v>0</v>
      </c>
      <c r="H121">
        <f>H110*pricing!H7*2000</f>
        <v>0</v>
      </c>
      <c r="I121">
        <f>I110*pricing!I7*2000</f>
        <v>0</v>
      </c>
      <c r="J121">
        <f>J110*pricing!J7*2000</f>
        <v>0</v>
      </c>
      <c r="K121">
        <f>K110*pricing!K7*2000</f>
        <v>0</v>
      </c>
      <c r="L121">
        <f>L110*pricing!L7*2000</f>
        <v>0</v>
      </c>
      <c r="M121">
        <f>M110*pricing!M7*2000</f>
        <v>0</v>
      </c>
      <c r="N121">
        <f>N110*pricing!N7*2000</f>
        <v>0</v>
      </c>
      <c r="O121">
        <f>O110*pricing!O7*2000</f>
        <v>0</v>
      </c>
    </row>
    <row r="122" spans="2:15" x14ac:dyDescent="0.2">
      <c r="C122" s="118" t="s">
        <v>128</v>
      </c>
      <c r="D122">
        <f>D111*pricing!D8*2000</f>
        <v>393041.35269995726</v>
      </c>
      <c r="E122">
        <f>E111*pricing!E8*2000</f>
        <v>0</v>
      </c>
      <c r="F122">
        <f>F111*pricing!F8*2000</f>
        <v>0</v>
      </c>
      <c r="G122">
        <f>G111*pricing!G8*2000</f>
        <v>0</v>
      </c>
      <c r="H122">
        <f>H111*pricing!H8*2000</f>
        <v>0</v>
      </c>
      <c r="I122">
        <f>I111*pricing!I8*2000</f>
        <v>0</v>
      </c>
      <c r="J122">
        <f>J111*pricing!J8*2000</f>
        <v>0</v>
      </c>
      <c r="K122">
        <f>K111*pricing!K8*2000</f>
        <v>0</v>
      </c>
      <c r="L122">
        <f>L111*pricing!L8*2000</f>
        <v>0</v>
      </c>
      <c r="M122">
        <f>M111*pricing!M8*2000</f>
        <v>0</v>
      </c>
      <c r="N122">
        <f>N111*pricing!N8*2000</f>
        <v>0</v>
      </c>
      <c r="O122">
        <f>O111*pricing!O8*2000</f>
        <v>0</v>
      </c>
    </row>
    <row r="123" spans="2:15" x14ac:dyDescent="0.2">
      <c r="C123" s="118" t="s">
        <v>129</v>
      </c>
      <c r="D123">
        <f>D112*pricing!D9*2000</f>
        <v>1851393.6501003408</v>
      </c>
      <c r="E123">
        <f>E112*pricing!E9*2000</f>
        <v>1230061.9778349048</v>
      </c>
      <c r="F123">
        <f>F112*pricing!F9*2000</f>
        <v>251266.8667833744</v>
      </c>
      <c r="G123">
        <f>G112*pricing!G9*2000</f>
        <v>0</v>
      </c>
      <c r="H123">
        <f>H112*pricing!H9*2000</f>
        <v>0</v>
      </c>
      <c r="I123">
        <f>I112*pricing!I9*2000</f>
        <v>0</v>
      </c>
      <c r="J123">
        <f>J112*pricing!J9*2000</f>
        <v>0</v>
      </c>
      <c r="K123">
        <f>K112*pricing!K9*2000</f>
        <v>0</v>
      </c>
      <c r="L123">
        <f>L112*pricing!L9*2000</f>
        <v>0</v>
      </c>
      <c r="M123">
        <f>M112*pricing!M9*2000</f>
        <v>0</v>
      </c>
      <c r="N123">
        <f>N112*pricing!N9*2000</f>
        <v>0</v>
      </c>
      <c r="O123">
        <f>O112*pricing!O9*2000</f>
        <v>0</v>
      </c>
    </row>
    <row r="124" spans="2:15" x14ac:dyDescent="0.2">
      <c r="C124" s="118" t="s">
        <v>130</v>
      </c>
      <c r="D124">
        <f>D113*pricing!D10*2000</f>
        <v>1318317.218954945</v>
      </c>
      <c r="E124">
        <f>E113*pricing!E10*2000</f>
        <v>1860331.6897421565</v>
      </c>
      <c r="F124">
        <f>F113*pricing!F10*2000</f>
        <v>1345220.5936986136</v>
      </c>
      <c r="G124">
        <f>G113*pricing!G10*2000</f>
        <v>0</v>
      </c>
      <c r="H124">
        <f>H113*pricing!H10*2000</f>
        <v>0</v>
      </c>
      <c r="I124">
        <f>I113*pricing!I10*2000</f>
        <v>0</v>
      </c>
      <c r="J124">
        <f>J113*pricing!J10*2000</f>
        <v>0</v>
      </c>
      <c r="K124">
        <f>K113*pricing!K10*2000</f>
        <v>0</v>
      </c>
      <c r="L124">
        <f>L113*pricing!L10*2000</f>
        <v>0</v>
      </c>
      <c r="M124">
        <f>M113*pricing!M10*2000</f>
        <v>0</v>
      </c>
      <c r="N124">
        <f>N113*pricing!N10*2000</f>
        <v>0</v>
      </c>
      <c r="O124">
        <f>O113*pricing!O10*2000</f>
        <v>0</v>
      </c>
    </row>
    <row r="125" spans="2:15" x14ac:dyDescent="0.2">
      <c r="C125" s="118" t="s">
        <v>131</v>
      </c>
      <c r="D125">
        <f>D114*pricing!D11*2000</f>
        <v>2326357.9729710715</v>
      </c>
      <c r="E125">
        <f>E114*pricing!E11*2000</f>
        <v>1277122.7113493343</v>
      </c>
      <c r="F125">
        <f>F114*pricing!F11*2000</f>
        <v>1145122.8579093805</v>
      </c>
      <c r="G125">
        <f>G114*pricing!G11*2000</f>
        <v>0</v>
      </c>
      <c r="H125">
        <f>H114*pricing!H11*2000</f>
        <v>0</v>
      </c>
      <c r="I125">
        <f>I114*pricing!I11*2000</f>
        <v>0</v>
      </c>
      <c r="J125">
        <f>J114*pricing!J11*2000</f>
        <v>0</v>
      </c>
      <c r="K125">
        <f>K114*pricing!K11*2000</f>
        <v>0</v>
      </c>
      <c r="L125">
        <f>L114*pricing!L11*2000</f>
        <v>0</v>
      </c>
      <c r="M125">
        <f>M114*pricing!M11*2000</f>
        <v>0</v>
      </c>
      <c r="N125">
        <f>N114*pricing!N11*2000</f>
        <v>0</v>
      </c>
      <c r="O125">
        <f>O114*pricing!O11*2000</f>
        <v>0</v>
      </c>
    </row>
    <row r="126" spans="2:15" x14ac:dyDescent="0.2">
      <c r="C126" s="118" t="s">
        <v>132</v>
      </c>
      <c r="D126">
        <f>D115*pricing!D12*2000</f>
        <v>1680016.3835560326</v>
      </c>
      <c r="E126">
        <f>E115*pricing!E12*2000</f>
        <v>4356123.0094320774</v>
      </c>
      <c r="F126">
        <f>F115*pricing!F12*2000</f>
        <v>2184369.5160937551</v>
      </c>
      <c r="G126">
        <f>G115*pricing!G12*2000</f>
        <v>0</v>
      </c>
      <c r="H126">
        <f>H115*pricing!H12*2000</f>
        <v>0</v>
      </c>
      <c r="I126">
        <f>I115*pricing!I12*2000</f>
        <v>0</v>
      </c>
      <c r="J126">
        <f>J115*pricing!J12*2000</f>
        <v>0</v>
      </c>
      <c r="K126">
        <f>K115*pricing!K12*2000</f>
        <v>0</v>
      </c>
      <c r="L126">
        <f>L115*pricing!L12*2000</f>
        <v>0</v>
      </c>
      <c r="M126">
        <f>M115*pricing!M12*2000</f>
        <v>0</v>
      </c>
      <c r="N126">
        <f>N115*pricing!N12*2000</f>
        <v>0</v>
      </c>
      <c r="O126">
        <f>O115*pricing!O12*2000</f>
        <v>0</v>
      </c>
    </row>
    <row r="127" spans="2:15" x14ac:dyDescent="0.2">
      <c r="C127" s="118" t="s">
        <v>278</v>
      </c>
      <c r="D127">
        <f t="shared" ref="D127:O127" si="1">SUM(D$120:D$126)</f>
        <v>10258981.178872524</v>
      </c>
      <c r="E127">
        <f t="shared" si="1"/>
        <v>8723639.3883584738</v>
      </c>
      <c r="F127">
        <f t="shared" si="1"/>
        <v>4925979.8344851239</v>
      </c>
      <c r="G127">
        <f t="shared" si="1"/>
        <v>0</v>
      </c>
      <c r="H127">
        <f t="shared" si="1"/>
        <v>0</v>
      </c>
      <c r="I127">
        <f t="shared" si="1"/>
        <v>0</v>
      </c>
      <c r="J127">
        <f t="shared" si="1"/>
        <v>0</v>
      </c>
      <c r="K127">
        <f t="shared" si="1"/>
        <v>0</v>
      </c>
      <c r="L127">
        <f t="shared" si="1"/>
        <v>0</v>
      </c>
      <c r="M127">
        <f t="shared" si="1"/>
        <v>0</v>
      </c>
      <c r="N127">
        <f t="shared" si="1"/>
        <v>0</v>
      </c>
      <c r="O127">
        <f t="shared" si="1"/>
        <v>0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136150.79999999999</v>
      </c>
      <c r="E131" s="123">
        <f>SUM(M$6:M$19)+SUM(O$6:O$19)+SUM(Q$6:Q$19)+SUM(S$6:S$19)</f>
        <v>0</v>
      </c>
      <c r="F131" s="123">
        <f>SUM(U$6:U$19)+SUM(W$6:W$19)+SUM(Y$6:Y$19)+SUM(AA$6:AA$19)</f>
        <v>0</v>
      </c>
      <c r="G131" s="123">
        <f>SUM(AC$6:AC$19)+SUM(AE$6:AE$19)+SUM(AG$6:AG$19)+SUM(AI$6:AI$19)</f>
        <v>0</v>
      </c>
      <c r="H131" s="123">
        <f>SUM(AK$6:AK$19)+SUM(AM$6:AM$19)+SUM(AO$6:AO$19)+SUM(AQ$6:AQ$19)</f>
        <v>0</v>
      </c>
      <c r="I131" s="123">
        <f>SUM(AS$6:AS$19)+SUM(AU$6:AU$19)+SUM(AW$6:AW$19)+SUM(AY$6:AY$19)</f>
        <v>0</v>
      </c>
      <c r="J131" s="123">
        <f>SUM(BA$6:BA$19)+SUM(BC$6:BC$19)+SUM(BE$6:BE$19)+SUM(BG$6:BG$19)</f>
        <v>0</v>
      </c>
      <c r="K131" s="123">
        <f>SUM(BI$6:BI$19)+SUM(BK$6:BK$19)+SUM(BM$6:BM$19)+SUM(BO$6:BO$19)</f>
        <v>0</v>
      </c>
      <c r="L131" s="123">
        <f>SUM(BQ$6:BQ$19)+SUM(BS$6:BS$19)+SUM(BU$6:BU$19)+SUM(BW$6:BW$19)</f>
        <v>0</v>
      </c>
      <c r="M131" s="123">
        <f>SUM(BY$6:BY$19)+SUM(CA$6:CA$19)+SUM(CC$6:CC$19)+SUM(CE$6:CE$19)</f>
        <v>0</v>
      </c>
      <c r="N131" s="123">
        <f>SUM(CG$6:CG$19)+SUM(CI$6:CI$19)+SUM(CK$6:CK$19)+SUM(CM$6:CM$19)</f>
        <v>0</v>
      </c>
      <c r="O131" s="123">
        <f>SUM(CO$6:CO$19)+SUM(CQ$6:CQ$19)+SUM(CS$6:CS$19)+SUM(CU$6:CU$19)</f>
        <v>0</v>
      </c>
    </row>
    <row r="132" spans="2:15" x14ac:dyDescent="0.2">
      <c r="C132" s="122" t="s">
        <v>127</v>
      </c>
      <c r="D132" s="123">
        <f>SUM(E$20:E$36)+SUM(G$20:G$36)+SUM(I$20:I$36)+SUM(K$20:K$36)</f>
        <v>198616.8</v>
      </c>
      <c r="E132" s="123">
        <f>SUM(M$20:M$36)+SUM(O$20:O$36)+SUM(Q$20:Q$36)+SUM(S$20:S$36)</f>
        <v>0</v>
      </c>
      <c r="F132" s="123">
        <f>SUM(U$20:U$36)+SUM(W$20:W$36)+SUM(Y$20:Y$36)+SUM(AA$20:AA$36)</f>
        <v>0</v>
      </c>
      <c r="G132" s="123">
        <f>SUM(AC$20:AC$36)+SUM(AE$20:AE$36)+SUM(AG$20:AG$36)+SUM(AI$20:AI$36)</f>
        <v>0</v>
      </c>
      <c r="H132" s="123">
        <f>SUM(AK$20:AK$36)+SUM(AM$20:AM$36)+SUM(AO$20:AO$36)+SUM(AQ$20:AQ$36)</f>
        <v>0</v>
      </c>
      <c r="I132" s="123">
        <f>SUM(AS$20:AS$36)+SUM(AU$20:AU$36)+SUM(AW$20:AW$36)+SUM(AY$20:AY$36)</f>
        <v>0</v>
      </c>
      <c r="J132" s="123">
        <f>SUM(BA$20:BA$36)+SUM(BC$20:BC$36)+SUM(BE$20:BE$36)+SUM(BG$20:BG$36)</f>
        <v>0</v>
      </c>
      <c r="K132" s="123">
        <f>SUM(BI$20:BI$36)+SUM(BK$20:BK$36)+SUM(BM$20:BM$36)+SUM(BO$20:BO$36)</f>
        <v>0</v>
      </c>
      <c r="L132" s="123">
        <f>SUM(BQ$20:BQ$36)+SUM(BS$20:BS$36)+SUM(BU$20:BU$36)+SUM(BW$20:BW$36)</f>
        <v>0</v>
      </c>
      <c r="M132" s="123">
        <f>SUM(BY$20:BY$36)+SUM(CA$20:CA$36)+SUM(CC$20:CC$36)+SUM(CE$20:CE$36)</f>
        <v>0</v>
      </c>
      <c r="N132" s="123">
        <f>SUM(CG$20:CG$36)+SUM(CI$20:CI$36)+SUM(CK$20:CK$36)+SUM(CM$20:CM$36)</f>
        <v>0</v>
      </c>
      <c r="O132" s="123">
        <f>SUM(CO$20:CO$36)+SUM(CQ$20:CQ$36)+SUM(CS$20:CS$36)+SUM(CU$20:CU$36)</f>
        <v>0</v>
      </c>
    </row>
    <row r="133" spans="2:15" x14ac:dyDescent="0.2">
      <c r="C133" s="122" t="s">
        <v>128</v>
      </c>
      <c r="D133" s="123">
        <f>SUM(E$37:E$48)+SUM(G$37:G$48)+SUM(I$37:I$48)+SUM(K$37:K$48)</f>
        <v>66057.600000000006</v>
      </c>
      <c r="E133" s="123">
        <f>SUM(M$37:M$48)+SUM(O$37:O$48)+SUM(Q$37:Q$48)+SUM(S$37:S$48)</f>
        <v>0</v>
      </c>
      <c r="F133" s="123">
        <f>SUM(U$37:U$48)+SUM(W$37:W$48)+SUM(Y$37:Y$48)+SUM(AA$37:AA$48)</f>
        <v>0</v>
      </c>
      <c r="G133" s="123">
        <f>SUM(AC$37:AC$48)+SUM(AE$37:AE$48)+SUM(AG$37:AG$48)+SUM(AI$37:AI$48)</f>
        <v>0</v>
      </c>
      <c r="H133" s="123">
        <f>SUM(AK$37:AK$48)+SUM(AM$37:AM$48)+SUM(AO$37:AO$48)+SUM(AQ$37:AQ$48)</f>
        <v>0</v>
      </c>
      <c r="I133" s="123">
        <f>SUM(AS$37:AS$48)+SUM(AU$37:AU$48)+SUM(AW$37:AW$48)+SUM(AY$37:AY$48)</f>
        <v>0</v>
      </c>
      <c r="J133" s="123">
        <f>SUM(BA$37:BA$48)+SUM(BC$37:BC$48)+SUM(BE$37:BE$48)+SUM(BG$37:BG$48)</f>
        <v>0</v>
      </c>
      <c r="K133" s="123">
        <f>SUM(BI$37:BI$48)+SUM(BK$37:BK$48)+SUM(BM$37:BM$48)+SUM(BO$37:BO$48)</f>
        <v>0</v>
      </c>
      <c r="L133" s="123">
        <f>SUM(BQ$37:BQ$48)+SUM(BS$37:BS$48)+SUM(BU$37:BU$48)+SUM(BW$37:BW$48)</f>
        <v>0</v>
      </c>
      <c r="M133" s="123">
        <f>SUM(BY$37:BY$48)+SUM(CA$37:CA$48)+SUM(CC$37:CC$48)+SUM(CE$37:CE$48)</f>
        <v>0</v>
      </c>
      <c r="N133" s="123">
        <f>SUM(CG$37:CG$48)+SUM(CI$37:CI$48)+SUM(CK$37:CK$48)+SUM(CM$37:CM$48)</f>
        <v>0</v>
      </c>
      <c r="O133" s="123">
        <f>SUM(CO$37:CO$48)+SUM(CQ$37:CQ$48)+SUM(CS$37:CS$48)+SUM(CU$37:CU$48)</f>
        <v>0</v>
      </c>
    </row>
    <row r="134" spans="2:15" x14ac:dyDescent="0.2">
      <c r="C134" s="122" t="s">
        <v>129</v>
      </c>
      <c r="D134" s="123">
        <f>SUM(E$49:E$70)+SUM(G$49:G$70)+SUM(I$49:I$70)+SUM(K$49:K$70)</f>
        <v>474214.8</v>
      </c>
      <c r="E134" s="123">
        <f>SUM(M$49:M$70)+SUM(O$49:O$70)+SUM(Q$49:Q$70)+SUM(S$49:S$70)</f>
        <v>533397.6</v>
      </c>
      <c r="F134" s="123">
        <f>SUM(U$49:U$70)+SUM(W$49:W$70)+SUM(Y$49:Y$70)+SUM(AA$49:AA$70)</f>
        <v>44056.800000000003</v>
      </c>
      <c r="G134" s="123">
        <f>SUM(AC$49:AC$70)+SUM(AE$49:AE$70)+SUM(AG$49:AG$70)+SUM(AI$49:AI$70)</f>
        <v>0</v>
      </c>
      <c r="H134" s="123">
        <f>SUM(AK$49:AK$70)+SUM(AM$49:AM$70)+SUM(AO$49:AO$70)+SUM(AQ$49:AQ$70)</f>
        <v>0</v>
      </c>
      <c r="I134" s="123">
        <f>SUM(AS$49:AS$70)+SUM(AU$49:AU$70)+SUM(AW$49:AW$70)+SUM(AY$49:AY$70)</f>
        <v>0</v>
      </c>
      <c r="J134" s="123">
        <f>SUM(BA$49:BA$70)+SUM(BC$49:BC$70)+SUM(BE$49:BE$70)+SUM(BG$49:BG$70)</f>
        <v>0</v>
      </c>
      <c r="K134" s="123">
        <f>SUM(BI$49:BI$70)+SUM(BK$49:BK$70)+SUM(BM$49:BM$70)+SUM(BO$49:BO$70)</f>
        <v>0</v>
      </c>
      <c r="L134" s="123">
        <f>SUM(BQ$49:BQ$70)+SUM(BS$49:BS$70)+SUM(BU$49:BU$70)+SUM(BW$49:BW$70)</f>
        <v>0</v>
      </c>
      <c r="M134" s="123">
        <f>SUM(BY$49:BY$70)+SUM(CA$49:CA$70)+SUM(CC$49:CC$70)+SUM(CE$49:CE$70)</f>
        <v>0</v>
      </c>
      <c r="N134" s="123">
        <f>SUM(CG$49:CG$70)+SUM(CI$49:CI$70)+SUM(CK$49:CK$70)+SUM(CM$49:CM$70)</f>
        <v>0</v>
      </c>
      <c r="O134" s="123">
        <f>SUM(CO$49:CO$70)+SUM(CQ$49:CQ$70)+SUM(CS$49:CS$70)+SUM(CU$49:CU$70)</f>
        <v>0</v>
      </c>
    </row>
    <row r="135" spans="2:15" x14ac:dyDescent="0.2">
      <c r="C135" s="122" t="s">
        <v>130</v>
      </c>
      <c r="D135" s="123">
        <f>SUM(E$71:E$86)+SUM(G$71:G$86)+SUM(I$71:I$86)+SUM(K$71:K$86)</f>
        <v>102831.59999999999</v>
      </c>
      <c r="E135" s="123">
        <f>SUM(M$71:M$86)+SUM(O$71:O$86)+SUM(Q$71:Q$86)+SUM(S$71:S$86)</f>
        <v>179082</v>
      </c>
      <c r="F135" s="123">
        <f>SUM(U$71:U$86)+SUM(W$71:W$86)+SUM(Y$71:Y$86)+SUM(AA$71:AA$86)</f>
        <v>121876.79999999999</v>
      </c>
      <c r="G135" s="123">
        <f>SUM(AC$71:AC$86)+SUM(AE$71:AE$86)+SUM(AG$71:AG$86)+SUM(AI$71:AI$86)</f>
        <v>0</v>
      </c>
      <c r="H135" s="123">
        <f>SUM(AK$71:AK$86)+SUM(AM$71:AM$86)+SUM(AO$71:AO$86)+SUM(AQ$71:AQ$86)</f>
        <v>0</v>
      </c>
      <c r="I135" s="123">
        <f>SUM(AS$71:AS$86)+SUM(AU$71:AU$86)+SUM(AW$71:AW$86)+SUM(AY$71:AY$86)</f>
        <v>0</v>
      </c>
      <c r="J135" s="123">
        <f>SUM(BA$71:BA$86)+SUM(BC$71:BC$86)+SUM(BE$71:BE$86)+SUM(BG$71:BG$86)</f>
        <v>0</v>
      </c>
      <c r="K135" s="123">
        <f>SUM(BI$71:BI$86)+SUM(BK$71:BK$86)+SUM(BM$71:BM$86)+SUM(BO$71:BO$86)</f>
        <v>0</v>
      </c>
      <c r="L135" s="123">
        <f>SUM(BQ$71:BQ$86)+SUM(BS$71:BS$86)+SUM(BU$71:BU$86)+SUM(BW$71:BW$86)</f>
        <v>0</v>
      </c>
      <c r="M135" s="123">
        <f>SUM(BY$71:BY$86)+SUM(CA$71:CA$86)+SUM(CC$71:CC$86)+SUM(CE$71:CE$86)</f>
        <v>0</v>
      </c>
      <c r="N135" s="123">
        <f>SUM(CG$71:CG$86)+SUM(CI$71:CI$86)+SUM(CK$71:CK$86)+SUM(CM$71:CM$86)</f>
        <v>0</v>
      </c>
      <c r="O135" s="123">
        <f>SUM(CO$71:CO$86)+SUM(CQ$71:CQ$86)+SUM(CS$71:CS$86)+SUM(CU$71:CU$86)</f>
        <v>0</v>
      </c>
    </row>
    <row r="136" spans="2:15" x14ac:dyDescent="0.2">
      <c r="C136" s="122" t="s">
        <v>131</v>
      </c>
      <c r="D136" s="123">
        <f>SUM(E$87:E$94)+SUM(G$87:G$94)+SUM(I$87:I$94)+SUM(K$87:K$94)</f>
        <v>1510384.7999999998</v>
      </c>
      <c r="E136" s="123">
        <f>SUM(M$87:M$94)+SUM(O$87:O$94)+SUM(Q$87:Q$94)+SUM(S$87:S$94)</f>
        <v>459055.19999999995</v>
      </c>
      <c r="F136" s="123">
        <f>SUM(U$87:U$94)+SUM(W$87:W$94)+SUM(Y$87:Y$94)+SUM(AA$87:AA$94)</f>
        <v>478647.6</v>
      </c>
      <c r="G136" s="123">
        <f>SUM(AC$87:AC$94)+SUM(AE$87:AE$94)+SUM(AG$87:AG$94)+SUM(AI$87:AI$94)</f>
        <v>0</v>
      </c>
      <c r="H136" s="123">
        <f>SUM(AK$87:AK$94)+SUM(AM$87:AM$94)+SUM(AO$87:AO$94)+SUM(AQ$87:AQ$94)</f>
        <v>0</v>
      </c>
      <c r="I136" s="123">
        <f>SUM(AS$87:AS$94)+SUM(AU$87:AU$94)+SUM(AW$87:AW$94)+SUM(AY$87:AY$94)</f>
        <v>0</v>
      </c>
      <c r="J136" s="123">
        <f>SUM(BA$87:BA$94)+SUM(BC$87:BC$94)+SUM(BE$87:BE$94)+SUM(BG$87:BG$94)</f>
        <v>0</v>
      </c>
      <c r="K136" s="123">
        <f>SUM(BI$87:BI$94)+SUM(BK$87:BK$94)+SUM(BM$87:BM$94)+SUM(BO$87:BO$94)</f>
        <v>0</v>
      </c>
      <c r="L136" s="123">
        <f>SUM(BQ$87:BQ$94)+SUM(BS$87:BS$94)+SUM(BU$87:BU$94)+SUM(BW$87:BW$94)</f>
        <v>0</v>
      </c>
      <c r="M136" s="123">
        <f>SUM(BY$87:BY$94)+SUM(CA$87:CA$94)+SUM(CC$87:CC$94)+SUM(CE$87:CE$94)</f>
        <v>0</v>
      </c>
      <c r="N136" s="123">
        <f>SUM(CG$87:CG$94)+SUM(CI$87:CI$94)+SUM(CK$87:CK$94)+SUM(CM$87:CM$94)</f>
        <v>0</v>
      </c>
      <c r="O136" s="123">
        <f>SUM(CO$87:CO$94)+SUM(CQ$87:CQ$94)+SUM(CS$87:CS$94)+SUM(CU$87:CU$94)</f>
        <v>0</v>
      </c>
    </row>
    <row r="137" spans="2:15" x14ac:dyDescent="0.2">
      <c r="C137" s="122" t="s">
        <v>132</v>
      </c>
      <c r="D137" s="123">
        <f>SUM(E$95:E$105)+SUM(G$95:G$105)+SUM(I$95:I$105)+SUM(K$95:K$105)</f>
        <v>619203.6</v>
      </c>
      <c r="E137" s="123">
        <f>SUM(M$95:M$105)+SUM(O$95:O$105)+SUM(Q$95:Q$105)+SUM(S$95:S$105)</f>
        <v>3319711.1999999997</v>
      </c>
      <c r="F137" s="123">
        <f>SUM(U$95:U$105)+SUM(W$95:W$105)+SUM(Y$95:Y$105)+SUM(AA$95:AA$105)</f>
        <v>1141227.6000000001</v>
      </c>
      <c r="G137" s="123">
        <f>SUM(AC$95:AC$105)+SUM(AE$95:AE$105)+SUM(AG$95:AG$105)+SUM(AI$95:AI$105)</f>
        <v>0</v>
      </c>
      <c r="H137" s="123">
        <f>SUM(AK$95:AK$105)+SUM(AM$95:AM$105)+SUM(AO$95:AO$105)+SUM(AQ$95:AQ$105)</f>
        <v>0</v>
      </c>
      <c r="I137" s="123">
        <f>SUM(AS$95:AS$105)+SUM(AU$95:AU$105)+SUM(AW$95:AW$105)+SUM(AY$95:AY$105)</f>
        <v>0</v>
      </c>
      <c r="J137" s="123">
        <f>SUM(BA$95:BA$105)+SUM(BC$95:BC$105)+SUM(BE$95:BE$105)+SUM(BG$95:BG$105)</f>
        <v>0</v>
      </c>
      <c r="K137" s="123">
        <f>SUM(BI$95:BI$105)+SUM(BK$95:BK$105)+SUM(BM$95:BM$105)+SUM(BO$95:BO$105)</f>
        <v>0</v>
      </c>
      <c r="L137" s="123">
        <f>SUM(BQ$95:BQ$105)+SUM(BS$95:BS$105)+SUM(BU$95:BU$105)+SUM(BW$95:BW$105)</f>
        <v>0</v>
      </c>
      <c r="M137" s="123">
        <f>SUM(BY$95:BY$105)+SUM(CA$95:CA$105)+SUM(CC$95:CC$105)+SUM(CE$95:CE$105)</f>
        <v>0</v>
      </c>
      <c r="N137" s="123">
        <f>SUM(CG$95:CG$105)+SUM(CI$95:CI$105)+SUM(CK$95:CK$105)+SUM(CM$95:CM$105)</f>
        <v>0</v>
      </c>
      <c r="O137" s="123">
        <f>SUM(CO$95:CO$105)+SUM(CQ$95:CQ$105)+SUM(CS$95:CS$105)+SUM(CU$95:CU$105)</f>
        <v>0</v>
      </c>
    </row>
    <row r="138" spans="2:15" x14ac:dyDescent="0.2">
      <c r="C138" s="122" t="s">
        <v>278</v>
      </c>
      <c r="D138">
        <f t="shared" ref="D138:O138" si="2">SUM(D$131:D$137)</f>
        <v>3107460</v>
      </c>
      <c r="E138">
        <f t="shared" si="2"/>
        <v>4491246</v>
      </c>
      <c r="F138">
        <f t="shared" si="2"/>
        <v>1785808.8</v>
      </c>
      <c r="G138">
        <f t="shared" si="2"/>
        <v>0</v>
      </c>
      <c r="H138">
        <f t="shared" si="2"/>
        <v>0</v>
      </c>
      <c r="I138">
        <f t="shared" si="2"/>
        <v>0</v>
      </c>
      <c r="J138">
        <f t="shared" si="2"/>
        <v>0</v>
      </c>
      <c r="K138">
        <f t="shared" si="2"/>
        <v>0</v>
      </c>
      <c r="L138">
        <f t="shared" si="2"/>
        <v>0</v>
      </c>
      <c r="M138">
        <f t="shared" si="2"/>
        <v>0</v>
      </c>
      <c r="N138">
        <f t="shared" si="2"/>
        <v>0</v>
      </c>
      <c r="O138">
        <f t="shared" si="2"/>
        <v>0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282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37</v>
      </c>
      <c r="E6">
        <v>21400.799999999999</v>
      </c>
      <c r="F6">
        <v>42</v>
      </c>
      <c r="G6">
        <v>24292.799999999999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8" t="s">
        <v>173</v>
      </c>
      <c r="D7">
        <v>37</v>
      </c>
      <c r="E7">
        <v>29170.799999999999</v>
      </c>
      <c r="F7">
        <v>48</v>
      </c>
      <c r="G7">
        <v>37843.199999999997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8" t="s">
        <v>174</v>
      </c>
      <c r="D8">
        <v>39</v>
      </c>
      <c r="E8">
        <v>12074.399999999998</v>
      </c>
      <c r="F8">
        <v>49</v>
      </c>
      <c r="G8">
        <v>15170.399999999998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8" t="s">
        <v>175</v>
      </c>
      <c r="D9">
        <v>41</v>
      </c>
      <c r="E9">
        <v>28782</v>
      </c>
      <c r="F9">
        <v>42</v>
      </c>
      <c r="G9">
        <v>29484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8" t="s">
        <v>176</v>
      </c>
      <c r="D10">
        <v>39</v>
      </c>
      <c r="E10">
        <v>21247.199999999997</v>
      </c>
      <c r="F10">
        <v>43</v>
      </c>
      <c r="G10">
        <v>23426.399999999998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8" t="s">
        <v>177</v>
      </c>
      <c r="D11">
        <v>38</v>
      </c>
      <c r="E11">
        <v>20246.399999999998</v>
      </c>
      <c r="F11">
        <v>48</v>
      </c>
      <c r="G11">
        <v>25574.399999999998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8" t="s">
        <v>178</v>
      </c>
      <c r="D12">
        <v>36</v>
      </c>
      <c r="E12">
        <v>20260.8</v>
      </c>
      <c r="F12">
        <v>41</v>
      </c>
      <c r="G12">
        <v>23074.799999999999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8" t="s">
        <v>179</v>
      </c>
      <c r="D13">
        <v>40</v>
      </c>
      <c r="E13">
        <v>3408</v>
      </c>
      <c r="F13">
        <v>45</v>
      </c>
      <c r="G13">
        <v>3834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8" t="s">
        <v>180</v>
      </c>
      <c r="D14">
        <v>38</v>
      </c>
      <c r="E14">
        <v>18559.2</v>
      </c>
      <c r="F14">
        <v>49</v>
      </c>
      <c r="G14">
        <v>23931.599999999999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8" t="s">
        <v>181</v>
      </c>
      <c r="D15">
        <v>36</v>
      </c>
      <c r="E15">
        <v>27475.199999999997</v>
      </c>
      <c r="F15">
        <v>40</v>
      </c>
      <c r="G15">
        <v>30527.999999999996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8" t="s">
        <v>182</v>
      </c>
      <c r="D16">
        <v>40</v>
      </c>
      <c r="E16">
        <v>13632</v>
      </c>
      <c r="F16">
        <v>48</v>
      </c>
      <c r="G16">
        <v>16358.400000000001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8" t="s">
        <v>183</v>
      </c>
      <c r="D17">
        <v>41</v>
      </c>
      <c r="E17">
        <v>17318.399999999998</v>
      </c>
      <c r="F17">
        <v>43</v>
      </c>
      <c r="G17">
        <v>18163.2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8" t="s">
        <v>184</v>
      </c>
      <c r="D18">
        <v>35</v>
      </c>
      <c r="E18">
        <v>22848</v>
      </c>
      <c r="F18">
        <v>40</v>
      </c>
      <c r="G18">
        <v>26112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8" t="s">
        <v>185</v>
      </c>
      <c r="D19">
        <v>39</v>
      </c>
      <c r="E19">
        <v>12870</v>
      </c>
      <c r="F19">
        <v>49</v>
      </c>
      <c r="G19">
        <v>16170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8" t="s">
        <v>127</v>
      </c>
      <c r="C20" s="118" t="s">
        <v>186</v>
      </c>
      <c r="D20">
        <v>22</v>
      </c>
      <c r="E20">
        <v>6309.6</v>
      </c>
      <c r="F20">
        <v>32</v>
      </c>
      <c r="G20">
        <v>9177.6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8" t="s">
        <v>187</v>
      </c>
      <c r="D21">
        <v>21</v>
      </c>
      <c r="E21">
        <v>1310.3999999999999</v>
      </c>
      <c r="F21">
        <v>31</v>
      </c>
      <c r="G21">
        <v>1934.3999999999999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8" t="s">
        <v>188</v>
      </c>
      <c r="D22">
        <v>19</v>
      </c>
      <c r="E22">
        <v>3556.7999999999997</v>
      </c>
      <c r="F22">
        <v>33</v>
      </c>
      <c r="G22">
        <v>6177.5999999999995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8" t="s">
        <v>189</v>
      </c>
      <c r="D23">
        <v>18</v>
      </c>
      <c r="E23">
        <v>5292</v>
      </c>
      <c r="F23">
        <v>30</v>
      </c>
      <c r="G23">
        <v>8820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8" t="s">
        <v>190</v>
      </c>
      <c r="D24">
        <v>21</v>
      </c>
      <c r="E24">
        <v>7711.2</v>
      </c>
      <c r="F24">
        <v>31</v>
      </c>
      <c r="G24">
        <v>11383.199999999999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8" t="s">
        <v>191</v>
      </c>
      <c r="D25">
        <v>21</v>
      </c>
      <c r="E25">
        <v>11138.4</v>
      </c>
      <c r="F25">
        <v>28</v>
      </c>
      <c r="G25">
        <v>14851.199999999999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8" t="s">
        <v>192</v>
      </c>
      <c r="D26">
        <v>21</v>
      </c>
      <c r="E26">
        <v>10206</v>
      </c>
      <c r="F26">
        <v>29</v>
      </c>
      <c r="G26">
        <v>14094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8" t="s">
        <v>193</v>
      </c>
      <c r="D27">
        <v>21</v>
      </c>
      <c r="E27">
        <v>8971.1999999999989</v>
      </c>
      <c r="F27">
        <v>28</v>
      </c>
      <c r="G27">
        <v>11961.6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8" t="s">
        <v>194</v>
      </c>
      <c r="D28">
        <v>20</v>
      </c>
      <c r="E28">
        <v>14760</v>
      </c>
      <c r="F28">
        <v>27</v>
      </c>
      <c r="G28">
        <v>19926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8" t="s">
        <v>195</v>
      </c>
      <c r="D29">
        <v>19</v>
      </c>
      <c r="E29">
        <v>6429.5999999999995</v>
      </c>
      <c r="F29">
        <v>30</v>
      </c>
      <c r="G29">
        <v>10152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8" t="s">
        <v>196</v>
      </c>
      <c r="D30">
        <v>19</v>
      </c>
      <c r="E30">
        <v>2644.7999999999997</v>
      </c>
      <c r="F30">
        <v>30</v>
      </c>
      <c r="G30">
        <v>4176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8" t="s">
        <v>197</v>
      </c>
      <c r="D31">
        <v>20</v>
      </c>
      <c r="E31">
        <v>6816</v>
      </c>
      <c r="F31">
        <v>29</v>
      </c>
      <c r="G31">
        <v>9883.2000000000007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8" t="s">
        <v>198</v>
      </c>
      <c r="D32">
        <v>18</v>
      </c>
      <c r="E32">
        <v>15120</v>
      </c>
      <c r="F32">
        <v>27</v>
      </c>
      <c r="G32">
        <v>22680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8" t="s">
        <v>199</v>
      </c>
      <c r="D33">
        <v>20</v>
      </c>
      <c r="E33">
        <v>9480</v>
      </c>
      <c r="F33">
        <v>30</v>
      </c>
      <c r="G33">
        <v>14220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8" t="s">
        <v>200</v>
      </c>
      <c r="D34">
        <v>19</v>
      </c>
      <c r="E34">
        <v>10419.6</v>
      </c>
      <c r="F34">
        <v>27</v>
      </c>
      <c r="G34">
        <v>14806.8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8" t="s">
        <v>201</v>
      </c>
      <c r="D35">
        <v>18</v>
      </c>
      <c r="E35">
        <v>9050.3999999999978</v>
      </c>
      <c r="F35">
        <v>32</v>
      </c>
      <c r="G35">
        <v>16089.599999999997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8" t="s">
        <v>202</v>
      </c>
      <c r="D36">
        <v>20</v>
      </c>
      <c r="E36">
        <v>15216</v>
      </c>
      <c r="F36">
        <v>30</v>
      </c>
      <c r="G36">
        <v>22824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8" t="s">
        <v>128</v>
      </c>
      <c r="C37" s="118" t="s">
        <v>203</v>
      </c>
      <c r="D37">
        <v>42</v>
      </c>
      <c r="E37">
        <v>36136.799999999996</v>
      </c>
      <c r="F37">
        <v>33</v>
      </c>
      <c r="G37">
        <v>28393.200000000001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8" t="s">
        <v>204</v>
      </c>
      <c r="D38">
        <v>45</v>
      </c>
      <c r="E38">
        <v>55890</v>
      </c>
      <c r="F38">
        <v>34</v>
      </c>
      <c r="G38">
        <v>42228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8" t="s">
        <v>205</v>
      </c>
      <c r="D39">
        <v>41</v>
      </c>
      <c r="E39">
        <v>58351.200000000004</v>
      </c>
      <c r="F39">
        <v>34</v>
      </c>
      <c r="G39">
        <v>48388.800000000003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8" t="s">
        <v>206</v>
      </c>
      <c r="D40">
        <v>47</v>
      </c>
      <c r="E40">
        <v>34065.599999999999</v>
      </c>
      <c r="F40">
        <v>37</v>
      </c>
      <c r="G40">
        <v>26817.599999999999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8" t="s">
        <v>207</v>
      </c>
      <c r="D41">
        <v>45</v>
      </c>
      <c r="E41">
        <v>29700</v>
      </c>
      <c r="F41">
        <v>38</v>
      </c>
      <c r="G41">
        <v>25080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8" t="s">
        <v>208</v>
      </c>
      <c r="D42">
        <v>49</v>
      </c>
      <c r="E42">
        <v>41454</v>
      </c>
      <c r="F42">
        <v>35</v>
      </c>
      <c r="G42">
        <v>29610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8" t="s">
        <v>209</v>
      </c>
      <c r="D43">
        <v>45</v>
      </c>
      <c r="E43">
        <v>46008</v>
      </c>
      <c r="F43">
        <v>30</v>
      </c>
      <c r="G43">
        <v>30672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8" t="s">
        <v>210</v>
      </c>
      <c r="D44">
        <v>46</v>
      </c>
      <c r="E44">
        <v>47030.400000000001</v>
      </c>
      <c r="F44">
        <v>33</v>
      </c>
      <c r="G44">
        <v>33739.199999999997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8" t="s">
        <v>211</v>
      </c>
      <c r="D45">
        <v>39</v>
      </c>
      <c r="E45">
        <v>48718.8</v>
      </c>
      <c r="F45">
        <v>31</v>
      </c>
      <c r="G45">
        <v>38725.200000000004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8" t="s">
        <v>212</v>
      </c>
      <c r="D46">
        <v>46</v>
      </c>
      <c r="E46">
        <v>55752</v>
      </c>
      <c r="F46">
        <v>35</v>
      </c>
      <c r="G46">
        <v>42420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8" t="s">
        <v>213</v>
      </c>
      <c r="D47">
        <v>40</v>
      </c>
      <c r="E47">
        <v>61104</v>
      </c>
      <c r="F47">
        <v>31</v>
      </c>
      <c r="G47">
        <v>47355.6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8" t="s">
        <v>214</v>
      </c>
      <c r="D48">
        <v>45</v>
      </c>
      <c r="E48">
        <v>39042</v>
      </c>
      <c r="F48">
        <v>31</v>
      </c>
      <c r="G48">
        <v>26895.600000000002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8" t="s">
        <v>129</v>
      </c>
      <c r="C49" s="118" t="s">
        <v>215</v>
      </c>
      <c r="D49">
        <v>21.470404127444802</v>
      </c>
      <c r="E49">
        <v>21152.642146358616</v>
      </c>
      <c r="F49">
        <v>78</v>
      </c>
      <c r="G49">
        <v>76845.599999999991</v>
      </c>
      <c r="H49">
        <v>70</v>
      </c>
      <c r="I49">
        <v>68964</v>
      </c>
      <c r="J49">
        <v>53</v>
      </c>
      <c r="K49">
        <v>52215.6</v>
      </c>
      <c r="L49">
        <v>58</v>
      </c>
      <c r="M49">
        <v>57141.599999999999</v>
      </c>
      <c r="N49">
        <v>34</v>
      </c>
      <c r="O49">
        <v>33496.799999999996</v>
      </c>
      <c r="P49">
        <v>61</v>
      </c>
      <c r="Q49">
        <v>60097.2</v>
      </c>
      <c r="R49">
        <v>56</v>
      </c>
      <c r="S49">
        <v>55171.199999999997</v>
      </c>
      <c r="T49">
        <v>24</v>
      </c>
      <c r="U49">
        <v>23644.799999999999</v>
      </c>
      <c r="V49">
        <v>22</v>
      </c>
      <c r="W49">
        <v>21674.399999999998</v>
      </c>
      <c r="X49">
        <v>23</v>
      </c>
      <c r="Y49">
        <v>22659.599999999999</v>
      </c>
      <c r="Z49">
        <v>19</v>
      </c>
      <c r="AA49">
        <v>18718.8</v>
      </c>
      <c r="AB49">
        <v>12</v>
      </c>
      <c r="AC49">
        <v>11822.4</v>
      </c>
      <c r="AD49">
        <v>6</v>
      </c>
      <c r="AE49">
        <v>5911.2</v>
      </c>
      <c r="AF49">
        <v>11</v>
      </c>
      <c r="AG49">
        <v>10837.199999999999</v>
      </c>
      <c r="AH49">
        <v>8</v>
      </c>
      <c r="AI49">
        <v>7881.5999999999995</v>
      </c>
      <c r="AJ49">
        <v>25</v>
      </c>
      <c r="AK49">
        <v>24630</v>
      </c>
      <c r="AL49">
        <v>21</v>
      </c>
      <c r="AM49">
        <v>20689.199999999997</v>
      </c>
      <c r="AN49">
        <v>31</v>
      </c>
      <c r="AO49">
        <v>30541.199999999997</v>
      </c>
      <c r="AP49">
        <v>20</v>
      </c>
      <c r="AQ49">
        <v>19704</v>
      </c>
      <c r="AR49">
        <v>9</v>
      </c>
      <c r="AS49">
        <v>8866.7999999999993</v>
      </c>
      <c r="AT49">
        <v>10</v>
      </c>
      <c r="AU49">
        <v>9852</v>
      </c>
      <c r="AV49">
        <v>11</v>
      </c>
      <c r="AW49">
        <v>10837.199999999999</v>
      </c>
      <c r="AX49">
        <v>11</v>
      </c>
      <c r="AY49">
        <v>10837.199999999999</v>
      </c>
      <c r="AZ49">
        <v>6</v>
      </c>
      <c r="BA49">
        <v>5911.2</v>
      </c>
      <c r="BB49">
        <v>7</v>
      </c>
      <c r="BC49">
        <v>6896.4</v>
      </c>
      <c r="BD49">
        <v>4</v>
      </c>
      <c r="BE49">
        <v>3940.7999999999997</v>
      </c>
      <c r="BF49">
        <v>6</v>
      </c>
      <c r="BG49">
        <v>5911.2</v>
      </c>
      <c r="BH49">
        <v>9</v>
      </c>
      <c r="BI49">
        <v>8866.7999999999993</v>
      </c>
      <c r="BJ49">
        <v>6</v>
      </c>
      <c r="BK49">
        <v>5911.2</v>
      </c>
      <c r="BL49">
        <v>11</v>
      </c>
      <c r="BM49">
        <v>10837.199999999999</v>
      </c>
      <c r="BN49">
        <v>7</v>
      </c>
      <c r="BO49">
        <v>6896.4</v>
      </c>
      <c r="BP49">
        <v>30</v>
      </c>
      <c r="BQ49">
        <v>29555.999999999996</v>
      </c>
      <c r="BR49">
        <v>27</v>
      </c>
      <c r="BS49">
        <v>26600.399999999998</v>
      </c>
      <c r="BT49">
        <v>22</v>
      </c>
      <c r="BU49">
        <v>21674.399999999998</v>
      </c>
      <c r="BV49">
        <v>26</v>
      </c>
      <c r="BW49">
        <v>25615.199999999997</v>
      </c>
      <c r="BX49">
        <v>4</v>
      </c>
      <c r="BY49">
        <v>3940.7999999999997</v>
      </c>
      <c r="BZ49">
        <v>4</v>
      </c>
      <c r="CA49">
        <v>3940.7999999999997</v>
      </c>
      <c r="CB49">
        <v>7</v>
      </c>
      <c r="CC49">
        <v>6896.4</v>
      </c>
      <c r="CD49">
        <v>7</v>
      </c>
      <c r="CE49">
        <v>6896.4</v>
      </c>
      <c r="CF49">
        <v>6</v>
      </c>
      <c r="CG49">
        <v>5911.2</v>
      </c>
      <c r="CH49">
        <v>10</v>
      </c>
      <c r="CI49">
        <v>9852</v>
      </c>
      <c r="CJ49">
        <v>7</v>
      </c>
      <c r="CK49">
        <v>6896.4</v>
      </c>
      <c r="CL49">
        <v>8</v>
      </c>
      <c r="CM49">
        <v>7881.5999999999995</v>
      </c>
      <c r="CN49">
        <v>11</v>
      </c>
      <c r="CO49">
        <v>10837.199999999999</v>
      </c>
      <c r="CP49">
        <v>12</v>
      </c>
      <c r="CQ49">
        <v>11822.4</v>
      </c>
      <c r="CR49">
        <v>10</v>
      </c>
      <c r="CS49">
        <v>9852</v>
      </c>
      <c r="CT49">
        <v>10</v>
      </c>
      <c r="CU49">
        <v>9852</v>
      </c>
    </row>
    <row r="50" spans="2:99" x14ac:dyDescent="0.2">
      <c r="C50" s="118" t="s">
        <v>216</v>
      </c>
      <c r="D50">
        <v>98</v>
      </c>
      <c r="E50">
        <v>27636</v>
      </c>
      <c r="F50">
        <v>91</v>
      </c>
      <c r="G50">
        <v>25662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8" t="s">
        <v>217</v>
      </c>
      <c r="D51">
        <v>100</v>
      </c>
      <c r="E51">
        <v>85440</v>
      </c>
      <c r="F51">
        <v>94</v>
      </c>
      <c r="G51">
        <v>80313.599999999991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8" t="s">
        <v>218</v>
      </c>
      <c r="D52">
        <v>98</v>
      </c>
      <c r="E52">
        <v>52920</v>
      </c>
      <c r="F52">
        <v>99</v>
      </c>
      <c r="G52">
        <v>53460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8" t="s">
        <v>219</v>
      </c>
      <c r="D53">
        <v>94</v>
      </c>
      <c r="E53">
        <v>38239.200000000004</v>
      </c>
      <c r="F53">
        <v>98</v>
      </c>
      <c r="G53">
        <v>39866.400000000001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8" t="s">
        <v>220</v>
      </c>
      <c r="D54">
        <v>102</v>
      </c>
      <c r="E54">
        <v>34149.599999999999</v>
      </c>
      <c r="F54">
        <v>88</v>
      </c>
      <c r="G54">
        <v>29462.400000000001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8" t="s">
        <v>221</v>
      </c>
      <c r="D55">
        <v>98</v>
      </c>
      <c r="E55">
        <v>65032.800000000003</v>
      </c>
      <c r="F55">
        <v>86</v>
      </c>
      <c r="G55">
        <v>57069.599999999999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8" t="s">
        <v>222</v>
      </c>
      <c r="D56">
        <v>19.800483806421319</v>
      </c>
      <c r="E56">
        <v>22786.396764429654</v>
      </c>
      <c r="F56">
        <v>75</v>
      </c>
      <c r="G56">
        <v>86310</v>
      </c>
      <c r="H56">
        <v>62</v>
      </c>
      <c r="I56">
        <v>71349.599999999991</v>
      </c>
      <c r="J56">
        <v>51</v>
      </c>
      <c r="K56">
        <v>58690.799999999996</v>
      </c>
      <c r="L56">
        <v>50</v>
      </c>
      <c r="M56">
        <v>57540</v>
      </c>
      <c r="N56">
        <v>34</v>
      </c>
      <c r="O56">
        <v>39127.199999999997</v>
      </c>
      <c r="P56">
        <v>58</v>
      </c>
      <c r="Q56">
        <v>66746.399999999994</v>
      </c>
      <c r="R56">
        <v>50</v>
      </c>
      <c r="S56">
        <v>57540</v>
      </c>
      <c r="T56">
        <v>21</v>
      </c>
      <c r="U56">
        <v>24166.799999999999</v>
      </c>
      <c r="V56">
        <v>20</v>
      </c>
      <c r="W56">
        <v>23016</v>
      </c>
      <c r="X56">
        <v>22</v>
      </c>
      <c r="Y56">
        <v>25317.599999999999</v>
      </c>
      <c r="Z56">
        <v>17</v>
      </c>
      <c r="AA56">
        <v>19563.599999999999</v>
      </c>
      <c r="AB56">
        <v>11</v>
      </c>
      <c r="AC56">
        <v>12658.8</v>
      </c>
      <c r="AD56">
        <v>7</v>
      </c>
      <c r="AE56">
        <v>8055.5999999999995</v>
      </c>
      <c r="AF56">
        <v>11</v>
      </c>
      <c r="AG56">
        <v>12658.8</v>
      </c>
      <c r="AH56">
        <v>9</v>
      </c>
      <c r="AI56">
        <v>10357.199999999999</v>
      </c>
      <c r="AJ56">
        <v>27</v>
      </c>
      <c r="AK56">
        <v>31071.599999999999</v>
      </c>
      <c r="AL56">
        <v>21</v>
      </c>
      <c r="AM56">
        <v>24166.799999999999</v>
      </c>
      <c r="AN56">
        <v>29</v>
      </c>
      <c r="AO56">
        <v>33373.199999999997</v>
      </c>
      <c r="AP56">
        <v>18</v>
      </c>
      <c r="AQ56">
        <v>20714.399999999998</v>
      </c>
      <c r="AR56">
        <v>11</v>
      </c>
      <c r="AS56">
        <v>12658.8</v>
      </c>
      <c r="AT56">
        <v>9</v>
      </c>
      <c r="AU56">
        <v>10357.199999999999</v>
      </c>
      <c r="AV56">
        <v>11</v>
      </c>
      <c r="AW56">
        <v>12658.8</v>
      </c>
      <c r="AX56">
        <v>10</v>
      </c>
      <c r="AY56">
        <v>11508</v>
      </c>
      <c r="AZ56">
        <v>6</v>
      </c>
      <c r="BA56">
        <v>6904.7999999999993</v>
      </c>
      <c r="BB56">
        <v>6</v>
      </c>
      <c r="BC56">
        <v>6904.7999999999993</v>
      </c>
      <c r="BD56">
        <v>4</v>
      </c>
      <c r="BE56">
        <v>4603.2</v>
      </c>
      <c r="BF56">
        <v>6</v>
      </c>
      <c r="BG56">
        <v>6904.7999999999993</v>
      </c>
      <c r="BH56">
        <v>8</v>
      </c>
      <c r="BI56">
        <v>9206.4</v>
      </c>
      <c r="BJ56">
        <v>6</v>
      </c>
      <c r="BK56">
        <v>6904.7999999999993</v>
      </c>
      <c r="BL56">
        <v>10</v>
      </c>
      <c r="BM56">
        <v>11508</v>
      </c>
      <c r="BN56">
        <v>7</v>
      </c>
      <c r="BO56">
        <v>8055.5999999999995</v>
      </c>
      <c r="BP56">
        <v>26</v>
      </c>
      <c r="BQ56">
        <v>29920.799999999999</v>
      </c>
      <c r="BR56">
        <v>26</v>
      </c>
      <c r="BS56">
        <v>29920.799999999999</v>
      </c>
      <c r="BT56">
        <v>22</v>
      </c>
      <c r="BU56">
        <v>25317.599999999999</v>
      </c>
      <c r="BV56">
        <v>26</v>
      </c>
      <c r="BW56">
        <v>29920.799999999999</v>
      </c>
      <c r="BX56">
        <v>5</v>
      </c>
      <c r="BY56">
        <v>5754</v>
      </c>
      <c r="BZ56">
        <v>4</v>
      </c>
      <c r="CA56">
        <v>4603.2</v>
      </c>
      <c r="CB56">
        <v>8</v>
      </c>
      <c r="CC56">
        <v>9206.4</v>
      </c>
      <c r="CD56">
        <v>6</v>
      </c>
      <c r="CE56">
        <v>6904.7999999999993</v>
      </c>
      <c r="CF56">
        <v>6</v>
      </c>
      <c r="CG56">
        <v>6904.7999999999993</v>
      </c>
      <c r="CH56">
        <v>10</v>
      </c>
      <c r="CI56">
        <v>11508</v>
      </c>
      <c r="CJ56">
        <v>7</v>
      </c>
      <c r="CK56">
        <v>8055.5999999999995</v>
      </c>
      <c r="CL56">
        <v>8</v>
      </c>
      <c r="CM56">
        <v>9206.4</v>
      </c>
      <c r="CN56">
        <v>10</v>
      </c>
      <c r="CO56">
        <v>11508</v>
      </c>
      <c r="CP56">
        <v>11</v>
      </c>
      <c r="CQ56">
        <v>12658.8</v>
      </c>
      <c r="CR56">
        <v>10</v>
      </c>
      <c r="CS56">
        <v>11508</v>
      </c>
      <c r="CT56">
        <v>9</v>
      </c>
      <c r="CU56">
        <v>10357.199999999999</v>
      </c>
    </row>
    <row r="57" spans="2:99" x14ac:dyDescent="0.2">
      <c r="C57" s="118" t="s">
        <v>223</v>
      </c>
      <c r="D57">
        <v>82</v>
      </c>
      <c r="E57">
        <v>115718.40000000001</v>
      </c>
      <c r="F57">
        <v>76</v>
      </c>
      <c r="G57">
        <v>107251.2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8" t="s">
        <v>224</v>
      </c>
      <c r="D58">
        <v>19.56192376056082</v>
      </c>
      <c r="E58">
        <v>23028.2966509322</v>
      </c>
      <c r="F58">
        <v>77</v>
      </c>
      <c r="G58">
        <v>90644.400000000009</v>
      </c>
      <c r="H58">
        <v>58</v>
      </c>
      <c r="I58">
        <v>68277.600000000006</v>
      </c>
      <c r="J58">
        <v>54</v>
      </c>
      <c r="K58">
        <v>63568.800000000003</v>
      </c>
      <c r="L58">
        <v>48</v>
      </c>
      <c r="M58">
        <v>56505.600000000006</v>
      </c>
      <c r="N58">
        <v>33</v>
      </c>
      <c r="O58">
        <v>38847.599999999999</v>
      </c>
      <c r="P58">
        <v>54</v>
      </c>
      <c r="Q58">
        <v>63568.800000000003</v>
      </c>
      <c r="R58">
        <v>56</v>
      </c>
      <c r="S58">
        <v>65923.199999999997</v>
      </c>
      <c r="T58">
        <v>22</v>
      </c>
      <c r="U58">
        <v>25898.400000000001</v>
      </c>
      <c r="V58">
        <v>18</v>
      </c>
      <c r="W58">
        <v>21189.600000000002</v>
      </c>
      <c r="X58">
        <v>23</v>
      </c>
      <c r="Y58">
        <v>27075.600000000002</v>
      </c>
      <c r="Z58">
        <v>19</v>
      </c>
      <c r="AA58">
        <v>22366.799999999999</v>
      </c>
      <c r="AB58">
        <v>10</v>
      </c>
      <c r="AC58">
        <v>11772</v>
      </c>
      <c r="AD58">
        <v>6</v>
      </c>
      <c r="AE58">
        <v>7063.2000000000007</v>
      </c>
      <c r="AF58">
        <v>11</v>
      </c>
      <c r="AG58">
        <v>12949.2</v>
      </c>
      <c r="AH58">
        <v>9</v>
      </c>
      <c r="AI58">
        <v>10594.800000000001</v>
      </c>
      <c r="AJ58">
        <v>24</v>
      </c>
      <c r="AK58">
        <v>28252.800000000003</v>
      </c>
      <c r="AL58">
        <v>24</v>
      </c>
      <c r="AM58">
        <v>28252.800000000003</v>
      </c>
      <c r="AN58">
        <v>26</v>
      </c>
      <c r="AO58">
        <v>30607.200000000001</v>
      </c>
      <c r="AP58">
        <v>19</v>
      </c>
      <c r="AQ58">
        <v>22366.799999999999</v>
      </c>
      <c r="AR58">
        <v>9</v>
      </c>
      <c r="AS58">
        <v>10594.800000000001</v>
      </c>
      <c r="AT58">
        <v>10</v>
      </c>
      <c r="AU58">
        <v>11772</v>
      </c>
      <c r="AV58">
        <v>10</v>
      </c>
      <c r="AW58">
        <v>11772</v>
      </c>
      <c r="AX58">
        <v>9</v>
      </c>
      <c r="AY58">
        <v>10594.800000000001</v>
      </c>
      <c r="AZ58">
        <v>6</v>
      </c>
      <c r="BA58">
        <v>7063.2000000000007</v>
      </c>
      <c r="BB58">
        <v>6</v>
      </c>
      <c r="BC58">
        <v>7063.2000000000007</v>
      </c>
      <c r="BD58">
        <v>4</v>
      </c>
      <c r="BE58">
        <v>4708.8</v>
      </c>
      <c r="BF58">
        <v>6</v>
      </c>
      <c r="BG58">
        <v>7063.2000000000007</v>
      </c>
      <c r="BH58">
        <v>9</v>
      </c>
      <c r="BI58">
        <v>10594.800000000001</v>
      </c>
      <c r="BJ58">
        <v>6</v>
      </c>
      <c r="BK58">
        <v>7063.2000000000007</v>
      </c>
      <c r="BL58">
        <v>9</v>
      </c>
      <c r="BM58">
        <v>10594.800000000001</v>
      </c>
      <c r="BN58">
        <v>6</v>
      </c>
      <c r="BO58">
        <v>7063.2000000000007</v>
      </c>
      <c r="BP58">
        <v>25</v>
      </c>
      <c r="BQ58">
        <v>29430</v>
      </c>
      <c r="BR58">
        <v>25</v>
      </c>
      <c r="BS58">
        <v>29430</v>
      </c>
      <c r="BT58">
        <v>21</v>
      </c>
      <c r="BU58">
        <v>24721.200000000001</v>
      </c>
      <c r="BV58">
        <v>28</v>
      </c>
      <c r="BW58">
        <v>32961.599999999999</v>
      </c>
      <c r="BX58">
        <v>5</v>
      </c>
      <c r="BY58">
        <v>5886</v>
      </c>
      <c r="BZ58">
        <v>4</v>
      </c>
      <c r="CA58">
        <v>4708.8</v>
      </c>
      <c r="CB58">
        <v>8</v>
      </c>
      <c r="CC58">
        <v>9417.6</v>
      </c>
      <c r="CD58">
        <v>6</v>
      </c>
      <c r="CE58">
        <v>7063.2000000000007</v>
      </c>
      <c r="CF58">
        <v>6</v>
      </c>
      <c r="CG58">
        <v>7063.2000000000007</v>
      </c>
      <c r="CH58">
        <v>10</v>
      </c>
      <c r="CI58">
        <v>11772</v>
      </c>
      <c r="CJ58">
        <v>7</v>
      </c>
      <c r="CK58">
        <v>8240.4</v>
      </c>
      <c r="CL58">
        <v>9</v>
      </c>
      <c r="CM58">
        <v>10594.800000000001</v>
      </c>
      <c r="CN58">
        <v>10</v>
      </c>
      <c r="CO58">
        <v>11772</v>
      </c>
      <c r="CP58">
        <v>10</v>
      </c>
      <c r="CQ58">
        <v>11772</v>
      </c>
      <c r="CR58">
        <v>11</v>
      </c>
      <c r="CS58">
        <v>12949.2</v>
      </c>
      <c r="CT58">
        <v>10</v>
      </c>
      <c r="CU58">
        <v>11772</v>
      </c>
    </row>
    <row r="59" spans="2:99" x14ac:dyDescent="0.2">
      <c r="C59" s="118" t="s">
        <v>225</v>
      </c>
      <c r="D59">
        <v>113</v>
      </c>
      <c r="E59">
        <v>34306.799999999996</v>
      </c>
      <c r="F59">
        <v>93</v>
      </c>
      <c r="G59">
        <v>28234.799999999996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8" t="s">
        <v>226</v>
      </c>
      <c r="D60">
        <v>97</v>
      </c>
      <c r="E60">
        <v>63205.200000000004</v>
      </c>
      <c r="F60">
        <v>83</v>
      </c>
      <c r="G60">
        <v>54082.8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8" t="s">
        <v>227</v>
      </c>
      <c r="D61">
        <v>99</v>
      </c>
      <c r="E61">
        <v>94208.4</v>
      </c>
      <c r="F61">
        <v>90</v>
      </c>
      <c r="G61">
        <v>85643.999999999985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8" t="s">
        <v>228</v>
      </c>
      <c r="D62">
        <v>72</v>
      </c>
      <c r="E62">
        <v>122774.40000000001</v>
      </c>
      <c r="F62">
        <v>79</v>
      </c>
      <c r="G62">
        <v>134710.80000000002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8" t="s">
        <v>229</v>
      </c>
      <c r="D63">
        <v>95</v>
      </c>
      <c r="E63">
        <v>75582</v>
      </c>
      <c r="F63">
        <v>93</v>
      </c>
      <c r="G63">
        <v>73990.8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8" t="s">
        <v>230</v>
      </c>
      <c r="D64">
        <v>90</v>
      </c>
      <c r="E64">
        <v>90827.999999999985</v>
      </c>
      <c r="F64">
        <v>82</v>
      </c>
      <c r="G64">
        <v>82754.39999999998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8" t="s">
        <v>231</v>
      </c>
      <c r="D65">
        <v>94</v>
      </c>
      <c r="E65">
        <v>96444</v>
      </c>
      <c r="F65">
        <v>83</v>
      </c>
      <c r="G65">
        <v>85158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8" t="s">
        <v>232</v>
      </c>
      <c r="D66">
        <v>83</v>
      </c>
      <c r="E66">
        <v>98803.199999999983</v>
      </c>
      <c r="F66">
        <v>78</v>
      </c>
      <c r="G66">
        <v>92851.199999999983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8" t="s">
        <v>233</v>
      </c>
      <c r="D67">
        <v>93</v>
      </c>
      <c r="E67">
        <v>104457.60000000001</v>
      </c>
      <c r="F67">
        <v>83</v>
      </c>
      <c r="G67">
        <v>93225.600000000006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8" t="s">
        <v>234</v>
      </c>
      <c r="D68">
        <v>84</v>
      </c>
      <c r="E68">
        <v>86788.800000000003</v>
      </c>
      <c r="F68">
        <v>82</v>
      </c>
      <c r="G68">
        <v>84722.400000000009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8" t="s">
        <v>235</v>
      </c>
      <c r="D69">
        <v>103</v>
      </c>
      <c r="E69">
        <v>78115.199999999997</v>
      </c>
      <c r="F69">
        <v>86</v>
      </c>
      <c r="G69">
        <v>65222.400000000001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8" t="s">
        <v>236</v>
      </c>
      <c r="D70">
        <v>98</v>
      </c>
      <c r="E70">
        <v>52449.599999999991</v>
      </c>
      <c r="F70">
        <v>86</v>
      </c>
      <c r="G70">
        <v>46027.199999999997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8" t="s">
        <v>130</v>
      </c>
      <c r="C71" s="118" t="s">
        <v>237</v>
      </c>
      <c r="D71">
        <v>3.5784006879074668</v>
      </c>
      <c r="E71">
        <v>2018.2179879798114</v>
      </c>
      <c r="F71">
        <v>13</v>
      </c>
      <c r="G71">
        <v>7332</v>
      </c>
      <c r="H71">
        <v>17</v>
      </c>
      <c r="I71">
        <v>9588</v>
      </c>
      <c r="J71">
        <v>12</v>
      </c>
      <c r="K71">
        <v>6768</v>
      </c>
      <c r="L71">
        <v>54</v>
      </c>
      <c r="M71">
        <v>30456</v>
      </c>
      <c r="N71">
        <v>42</v>
      </c>
      <c r="O71">
        <v>23688</v>
      </c>
      <c r="P71">
        <v>38</v>
      </c>
      <c r="Q71">
        <v>21432</v>
      </c>
      <c r="R71">
        <v>36</v>
      </c>
      <c r="S71">
        <v>20304</v>
      </c>
      <c r="T71">
        <v>47</v>
      </c>
      <c r="U71">
        <v>26508</v>
      </c>
      <c r="V71">
        <v>33</v>
      </c>
      <c r="W71">
        <v>18612</v>
      </c>
      <c r="X71">
        <v>43</v>
      </c>
      <c r="Y71">
        <v>24252</v>
      </c>
      <c r="Z71">
        <v>41</v>
      </c>
      <c r="AA71">
        <v>23124</v>
      </c>
      <c r="AB71">
        <v>14</v>
      </c>
      <c r="AC71">
        <v>7896</v>
      </c>
      <c r="AD71">
        <v>21</v>
      </c>
      <c r="AE71">
        <v>11844</v>
      </c>
      <c r="AF71">
        <v>18</v>
      </c>
      <c r="AG71">
        <v>10152</v>
      </c>
      <c r="AH71">
        <v>22</v>
      </c>
      <c r="AI71">
        <v>12408</v>
      </c>
      <c r="AJ71">
        <v>83</v>
      </c>
      <c r="AK71">
        <v>46812</v>
      </c>
      <c r="AL71">
        <v>73</v>
      </c>
      <c r="AM71">
        <v>41172</v>
      </c>
      <c r="AN71">
        <v>78</v>
      </c>
      <c r="AO71">
        <v>43992</v>
      </c>
      <c r="AP71">
        <v>52</v>
      </c>
      <c r="AQ71">
        <v>29328</v>
      </c>
      <c r="AR71">
        <v>16</v>
      </c>
      <c r="AS71">
        <v>9024</v>
      </c>
      <c r="AT71">
        <v>12</v>
      </c>
      <c r="AU71">
        <v>6768</v>
      </c>
      <c r="AV71">
        <v>9</v>
      </c>
      <c r="AW71">
        <v>5076</v>
      </c>
      <c r="AX71">
        <v>11</v>
      </c>
      <c r="AY71">
        <v>6204</v>
      </c>
      <c r="AZ71">
        <v>7</v>
      </c>
      <c r="BA71">
        <v>3948</v>
      </c>
      <c r="BB71">
        <v>7</v>
      </c>
      <c r="BC71">
        <v>3948</v>
      </c>
      <c r="BD71">
        <v>13</v>
      </c>
      <c r="BE71">
        <v>7332</v>
      </c>
      <c r="BF71">
        <v>8</v>
      </c>
      <c r="BG71">
        <v>4512</v>
      </c>
      <c r="BH71">
        <v>10</v>
      </c>
      <c r="BI71">
        <v>5640</v>
      </c>
      <c r="BJ71">
        <v>11</v>
      </c>
      <c r="BK71">
        <v>6204</v>
      </c>
      <c r="BL71">
        <v>9</v>
      </c>
      <c r="BM71">
        <v>5076</v>
      </c>
      <c r="BN71">
        <v>9</v>
      </c>
      <c r="BO71">
        <v>5076</v>
      </c>
      <c r="BP71">
        <v>34</v>
      </c>
      <c r="BQ71">
        <v>19176</v>
      </c>
      <c r="BR71">
        <v>32</v>
      </c>
      <c r="BS71">
        <v>18048</v>
      </c>
      <c r="BT71">
        <v>19</v>
      </c>
      <c r="BU71">
        <v>10716</v>
      </c>
      <c r="BV71">
        <v>21</v>
      </c>
      <c r="BW71">
        <v>11844</v>
      </c>
      <c r="BX71">
        <v>49</v>
      </c>
      <c r="BY71">
        <v>27636</v>
      </c>
      <c r="BZ71">
        <v>46</v>
      </c>
      <c r="CA71">
        <v>25944</v>
      </c>
      <c r="CB71">
        <v>44</v>
      </c>
      <c r="CC71">
        <v>24816</v>
      </c>
      <c r="CD71">
        <v>39</v>
      </c>
      <c r="CE71">
        <v>21996</v>
      </c>
      <c r="CF71">
        <v>51</v>
      </c>
      <c r="CG71">
        <v>28764</v>
      </c>
      <c r="CH71">
        <v>70</v>
      </c>
      <c r="CI71">
        <v>39480</v>
      </c>
      <c r="CJ71">
        <v>89</v>
      </c>
      <c r="CK71">
        <v>50196</v>
      </c>
      <c r="CL71">
        <v>76</v>
      </c>
      <c r="CM71">
        <v>42864</v>
      </c>
      <c r="CN71">
        <v>16</v>
      </c>
      <c r="CO71">
        <v>9024</v>
      </c>
      <c r="CP71">
        <v>20</v>
      </c>
      <c r="CQ71">
        <v>11280</v>
      </c>
      <c r="CR71">
        <v>25</v>
      </c>
      <c r="CS71">
        <v>14100</v>
      </c>
      <c r="CT71">
        <v>15</v>
      </c>
      <c r="CU71">
        <v>8460</v>
      </c>
    </row>
    <row r="72" spans="2:99" x14ac:dyDescent="0.2">
      <c r="C72" s="118" t="s">
        <v>238</v>
      </c>
      <c r="D72">
        <v>3.8169607337679645</v>
      </c>
      <c r="E72">
        <v>283.9818785923365</v>
      </c>
      <c r="F72">
        <v>12</v>
      </c>
      <c r="G72">
        <v>892.8</v>
      </c>
      <c r="H72">
        <v>20</v>
      </c>
      <c r="I72">
        <v>1487.9999999999998</v>
      </c>
      <c r="J72">
        <v>15</v>
      </c>
      <c r="K72">
        <v>1115.9999999999998</v>
      </c>
      <c r="L72">
        <v>57</v>
      </c>
      <c r="M72">
        <v>4240.7999999999993</v>
      </c>
      <c r="N72">
        <v>47</v>
      </c>
      <c r="O72">
        <v>3496.7999999999997</v>
      </c>
      <c r="P72">
        <v>38</v>
      </c>
      <c r="Q72">
        <v>2827.2</v>
      </c>
      <c r="R72">
        <v>43</v>
      </c>
      <c r="S72">
        <v>3199.2</v>
      </c>
      <c r="T72">
        <v>42</v>
      </c>
      <c r="U72">
        <v>3124.7999999999997</v>
      </c>
      <c r="V72">
        <v>33</v>
      </c>
      <c r="W72">
        <v>2455.1999999999998</v>
      </c>
      <c r="X72">
        <v>51</v>
      </c>
      <c r="Y72">
        <v>3794.3999999999996</v>
      </c>
      <c r="Z72">
        <v>48</v>
      </c>
      <c r="AA72">
        <v>3571.2</v>
      </c>
      <c r="AB72">
        <v>15</v>
      </c>
      <c r="AC72">
        <v>1115.9999999999998</v>
      </c>
      <c r="AD72">
        <v>20</v>
      </c>
      <c r="AE72">
        <v>1487.9999999999998</v>
      </c>
      <c r="AF72">
        <v>17</v>
      </c>
      <c r="AG72">
        <v>1264.8</v>
      </c>
      <c r="AH72">
        <v>22</v>
      </c>
      <c r="AI72">
        <v>1636.7999999999997</v>
      </c>
      <c r="AJ72">
        <v>98</v>
      </c>
      <c r="AK72">
        <v>7291.1999999999989</v>
      </c>
      <c r="AL72">
        <v>84</v>
      </c>
      <c r="AM72">
        <v>6249.5999999999995</v>
      </c>
      <c r="AN72">
        <v>89</v>
      </c>
      <c r="AO72">
        <v>6621.5999999999995</v>
      </c>
      <c r="AP72">
        <v>53</v>
      </c>
      <c r="AQ72">
        <v>3943.1999999999994</v>
      </c>
      <c r="AR72">
        <v>15</v>
      </c>
      <c r="AS72">
        <v>1115.9999999999998</v>
      </c>
      <c r="AT72">
        <v>12</v>
      </c>
      <c r="AU72">
        <v>892.8</v>
      </c>
      <c r="AV72">
        <v>9</v>
      </c>
      <c r="AW72">
        <v>669.59999999999991</v>
      </c>
      <c r="AX72">
        <v>12</v>
      </c>
      <c r="AY72">
        <v>892.8</v>
      </c>
      <c r="AZ72">
        <v>7</v>
      </c>
      <c r="BA72">
        <v>520.79999999999995</v>
      </c>
      <c r="BB72">
        <v>8</v>
      </c>
      <c r="BC72">
        <v>595.19999999999993</v>
      </c>
      <c r="BD72">
        <v>15</v>
      </c>
      <c r="BE72">
        <v>1115.9999999999998</v>
      </c>
      <c r="BF72">
        <v>8</v>
      </c>
      <c r="BG72">
        <v>595.19999999999993</v>
      </c>
      <c r="BH72">
        <v>11</v>
      </c>
      <c r="BI72">
        <v>818.39999999999986</v>
      </c>
      <c r="BJ72">
        <v>12</v>
      </c>
      <c r="BK72">
        <v>892.8</v>
      </c>
      <c r="BL72">
        <v>10</v>
      </c>
      <c r="BM72">
        <v>743.99999999999989</v>
      </c>
      <c r="BN72">
        <v>10</v>
      </c>
      <c r="BO72">
        <v>743.99999999999989</v>
      </c>
      <c r="BP72">
        <v>37</v>
      </c>
      <c r="BQ72">
        <v>2752.7999999999997</v>
      </c>
      <c r="BR72">
        <v>30</v>
      </c>
      <c r="BS72">
        <v>2231.9999999999995</v>
      </c>
      <c r="BT72">
        <v>19</v>
      </c>
      <c r="BU72">
        <v>1413.6</v>
      </c>
      <c r="BV72">
        <v>26</v>
      </c>
      <c r="BW72">
        <v>1934.3999999999999</v>
      </c>
      <c r="BX72">
        <v>54</v>
      </c>
      <c r="BY72">
        <v>4017.5999999999995</v>
      </c>
      <c r="BZ72">
        <v>51</v>
      </c>
      <c r="CA72">
        <v>3794.3999999999996</v>
      </c>
      <c r="CB72">
        <v>45</v>
      </c>
      <c r="CC72">
        <v>3347.9999999999995</v>
      </c>
      <c r="CD72">
        <v>44</v>
      </c>
      <c r="CE72">
        <v>3273.5999999999995</v>
      </c>
      <c r="CF72">
        <v>62</v>
      </c>
      <c r="CG72">
        <v>4612.7999999999993</v>
      </c>
      <c r="CH72">
        <v>81</v>
      </c>
      <c r="CI72">
        <v>6026.4</v>
      </c>
      <c r="CJ72">
        <v>93</v>
      </c>
      <c r="CK72">
        <v>6919.1999999999989</v>
      </c>
      <c r="CL72">
        <v>77</v>
      </c>
      <c r="CM72">
        <v>5728.7999999999993</v>
      </c>
      <c r="CN72">
        <v>16</v>
      </c>
      <c r="CO72">
        <v>1190.3999999999999</v>
      </c>
      <c r="CP72">
        <v>22</v>
      </c>
      <c r="CQ72">
        <v>1636.7999999999997</v>
      </c>
      <c r="CR72">
        <v>23</v>
      </c>
      <c r="CS72">
        <v>1711.1999999999998</v>
      </c>
      <c r="CT72">
        <v>18</v>
      </c>
      <c r="CU72">
        <v>1339.1999999999998</v>
      </c>
    </row>
    <row r="73" spans="2:99" x14ac:dyDescent="0.2">
      <c r="C73" s="118" t="s">
        <v>239</v>
      </c>
      <c r="D73">
        <v>4.29408082548896</v>
      </c>
      <c r="E73">
        <v>2401.2499976134263</v>
      </c>
      <c r="F73">
        <v>12</v>
      </c>
      <c r="G73">
        <v>6710.4</v>
      </c>
      <c r="H73">
        <v>18</v>
      </c>
      <c r="I73">
        <v>10065.599999999999</v>
      </c>
      <c r="J73">
        <v>12</v>
      </c>
      <c r="K73">
        <v>6710.4</v>
      </c>
      <c r="L73">
        <v>57</v>
      </c>
      <c r="M73">
        <v>31874.399999999998</v>
      </c>
      <c r="N73">
        <v>40</v>
      </c>
      <c r="O73">
        <v>22367.999999999996</v>
      </c>
      <c r="P73">
        <v>39</v>
      </c>
      <c r="Q73">
        <v>21808.799999999996</v>
      </c>
      <c r="R73">
        <v>37</v>
      </c>
      <c r="S73">
        <v>20690.399999999998</v>
      </c>
      <c r="T73">
        <v>45</v>
      </c>
      <c r="U73">
        <v>25163.999999999996</v>
      </c>
      <c r="V73">
        <v>31</v>
      </c>
      <c r="W73">
        <v>17335.199999999997</v>
      </c>
      <c r="X73">
        <v>41</v>
      </c>
      <c r="Y73">
        <v>22927.199999999997</v>
      </c>
      <c r="Z73">
        <v>42</v>
      </c>
      <c r="AA73">
        <v>23486.399999999998</v>
      </c>
      <c r="AB73">
        <v>15</v>
      </c>
      <c r="AC73">
        <v>8387.9999999999982</v>
      </c>
      <c r="AD73">
        <v>17</v>
      </c>
      <c r="AE73">
        <v>9506.4</v>
      </c>
      <c r="AF73">
        <v>17</v>
      </c>
      <c r="AG73">
        <v>9506.4</v>
      </c>
      <c r="AH73">
        <v>23</v>
      </c>
      <c r="AI73">
        <v>12861.599999999999</v>
      </c>
      <c r="AJ73">
        <v>89</v>
      </c>
      <c r="AK73">
        <v>49768.799999999996</v>
      </c>
      <c r="AL73">
        <v>76</v>
      </c>
      <c r="AM73">
        <v>42499.199999999997</v>
      </c>
      <c r="AN73">
        <v>79</v>
      </c>
      <c r="AO73">
        <v>44176.799999999996</v>
      </c>
      <c r="AP73">
        <v>55</v>
      </c>
      <c r="AQ73">
        <v>30755.999999999996</v>
      </c>
      <c r="AR73">
        <v>16</v>
      </c>
      <c r="AS73">
        <v>8947.1999999999989</v>
      </c>
      <c r="AT73">
        <v>12</v>
      </c>
      <c r="AU73">
        <v>6710.4</v>
      </c>
      <c r="AV73">
        <v>9</v>
      </c>
      <c r="AW73">
        <v>5032.7999999999993</v>
      </c>
      <c r="AX73">
        <v>13</v>
      </c>
      <c r="AY73">
        <v>7269.5999999999995</v>
      </c>
      <c r="AZ73">
        <v>7</v>
      </c>
      <c r="BA73">
        <v>3914.3999999999996</v>
      </c>
      <c r="BB73">
        <v>8</v>
      </c>
      <c r="BC73">
        <v>4473.5999999999995</v>
      </c>
      <c r="BD73">
        <v>15</v>
      </c>
      <c r="BE73">
        <v>8387.9999999999982</v>
      </c>
      <c r="BF73">
        <v>8</v>
      </c>
      <c r="BG73">
        <v>4473.5999999999995</v>
      </c>
      <c r="BH73">
        <v>12</v>
      </c>
      <c r="BI73">
        <v>6710.4</v>
      </c>
      <c r="BJ73">
        <v>11</v>
      </c>
      <c r="BK73">
        <v>6151.1999999999989</v>
      </c>
      <c r="BL73">
        <v>10</v>
      </c>
      <c r="BM73">
        <v>5591.9999999999991</v>
      </c>
      <c r="BN73">
        <v>9</v>
      </c>
      <c r="BO73">
        <v>5032.7999999999993</v>
      </c>
      <c r="BP73">
        <v>36</v>
      </c>
      <c r="BQ73">
        <v>20131.199999999997</v>
      </c>
      <c r="BR73">
        <v>32</v>
      </c>
      <c r="BS73">
        <v>17894.399999999998</v>
      </c>
      <c r="BT73">
        <v>18</v>
      </c>
      <c r="BU73">
        <v>10065.599999999999</v>
      </c>
      <c r="BV73">
        <v>21</v>
      </c>
      <c r="BW73">
        <v>11743.199999999999</v>
      </c>
      <c r="BX73">
        <v>55</v>
      </c>
      <c r="BY73">
        <v>30755.999999999996</v>
      </c>
      <c r="BZ73">
        <v>49</v>
      </c>
      <c r="CA73">
        <v>27400.799999999996</v>
      </c>
      <c r="CB73">
        <v>43</v>
      </c>
      <c r="CC73">
        <v>24045.599999999999</v>
      </c>
      <c r="CD73">
        <v>36</v>
      </c>
      <c r="CE73">
        <v>20131.199999999997</v>
      </c>
      <c r="CF73">
        <v>57</v>
      </c>
      <c r="CG73">
        <v>31874.399999999998</v>
      </c>
      <c r="CH73">
        <v>76</v>
      </c>
      <c r="CI73">
        <v>42499.199999999997</v>
      </c>
      <c r="CJ73">
        <v>88</v>
      </c>
      <c r="CK73">
        <v>49209.599999999991</v>
      </c>
      <c r="CL73">
        <v>70</v>
      </c>
      <c r="CM73">
        <v>39143.999999999993</v>
      </c>
      <c r="CN73">
        <v>16</v>
      </c>
      <c r="CO73">
        <v>8947.1999999999989</v>
      </c>
      <c r="CP73">
        <v>23</v>
      </c>
      <c r="CQ73">
        <v>12861.599999999999</v>
      </c>
      <c r="CR73">
        <v>22</v>
      </c>
      <c r="CS73">
        <v>12302.399999999998</v>
      </c>
      <c r="CT73">
        <v>16</v>
      </c>
      <c r="CU73">
        <v>8947.1999999999989</v>
      </c>
    </row>
    <row r="74" spans="2:99" x14ac:dyDescent="0.2">
      <c r="C74" s="118" t="s">
        <v>240</v>
      </c>
      <c r="D74">
        <v>4.0555207796284627</v>
      </c>
      <c r="E74">
        <v>1635.1859783461962</v>
      </c>
      <c r="F74">
        <v>12</v>
      </c>
      <c r="G74">
        <v>4838.3999999999996</v>
      </c>
      <c r="H74">
        <v>18</v>
      </c>
      <c r="I74">
        <v>7257.5999999999995</v>
      </c>
      <c r="J74">
        <v>13</v>
      </c>
      <c r="K74">
        <v>5241.5999999999995</v>
      </c>
      <c r="L74">
        <v>52</v>
      </c>
      <c r="M74">
        <v>20966.399999999998</v>
      </c>
      <c r="N74">
        <v>44</v>
      </c>
      <c r="O74">
        <v>17740.8</v>
      </c>
      <c r="P74">
        <v>36</v>
      </c>
      <c r="Q74">
        <v>14515.199999999999</v>
      </c>
      <c r="R74">
        <v>41</v>
      </c>
      <c r="S74">
        <v>16531.2</v>
      </c>
      <c r="T74">
        <v>44</v>
      </c>
      <c r="U74">
        <v>17740.8</v>
      </c>
      <c r="V74">
        <v>32</v>
      </c>
      <c r="W74">
        <v>12902.4</v>
      </c>
      <c r="X74">
        <v>47</v>
      </c>
      <c r="Y74">
        <v>18950.399999999998</v>
      </c>
      <c r="Z74">
        <v>48</v>
      </c>
      <c r="AA74">
        <v>19353.599999999999</v>
      </c>
      <c r="AB74">
        <v>14</v>
      </c>
      <c r="AC74">
        <v>5644.8</v>
      </c>
      <c r="AD74">
        <v>18</v>
      </c>
      <c r="AE74">
        <v>7257.5999999999995</v>
      </c>
      <c r="AF74">
        <v>16</v>
      </c>
      <c r="AG74">
        <v>6451.2</v>
      </c>
      <c r="AH74">
        <v>20</v>
      </c>
      <c r="AI74">
        <v>8064</v>
      </c>
      <c r="AJ74">
        <v>79</v>
      </c>
      <c r="AK74">
        <v>31852.799999999999</v>
      </c>
      <c r="AL74">
        <v>74</v>
      </c>
      <c r="AM74">
        <v>29836.799999999999</v>
      </c>
      <c r="AN74">
        <v>86</v>
      </c>
      <c r="AO74">
        <v>34675.199999999997</v>
      </c>
      <c r="AP74">
        <v>52</v>
      </c>
      <c r="AQ74">
        <v>20966.399999999998</v>
      </c>
      <c r="AR74">
        <v>14</v>
      </c>
      <c r="AS74">
        <v>5644.8</v>
      </c>
      <c r="AT74">
        <v>12</v>
      </c>
      <c r="AU74">
        <v>4838.3999999999996</v>
      </c>
      <c r="AV74">
        <v>9</v>
      </c>
      <c r="AW74">
        <v>3628.7999999999997</v>
      </c>
      <c r="AX74">
        <v>12</v>
      </c>
      <c r="AY74">
        <v>4838.3999999999996</v>
      </c>
      <c r="AZ74">
        <v>7</v>
      </c>
      <c r="BA74">
        <v>2822.4</v>
      </c>
      <c r="BB74">
        <v>7</v>
      </c>
      <c r="BC74">
        <v>2822.4</v>
      </c>
      <c r="BD74">
        <v>14</v>
      </c>
      <c r="BE74">
        <v>5644.8</v>
      </c>
      <c r="BF74">
        <v>8</v>
      </c>
      <c r="BG74">
        <v>3225.6</v>
      </c>
      <c r="BH74">
        <v>11</v>
      </c>
      <c r="BI74">
        <v>4435.2</v>
      </c>
      <c r="BJ74">
        <v>11</v>
      </c>
      <c r="BK74">
        <v>4435.2</v>
      </c>
      <c r="BL74">
        <v>10</v>
      </c>
      <c r="BM74">
        <v>4032</v>
      </c>
      <c r="BN74">
        <v>10</v>
      </c>
      <c r="BO74">
        <v>4032</v>
      </c>
      <c r="BP74">
        <v>36</v>
      </c>
      <c r="BQ74">
        <v>14515.199999999999</v>
      </c>
      <c r="BR74">
        <v>28</v>
      </c>
      <c r="BS74">
        <v>11289.6</v>
      </c>
      <c r="BT74">
        <v>19</v>
      </c>
      <c r="BU74">
        <v>7660.8</v>
      </c>
      <c r="BV74">
        <v>24</v>
      </c>
      <c r="BW74">
        <v>9676.7999999999993</v>
      </c>
      <c r="BX74">
        <v>55</v>
      </c>
      <c r="BY74">
        <v>22176</v>
      </c>
      <c r="BZ74">
        <v>43</v>
      </c>
      <c r="CA74">
        <v>17337.599999999999</v>
      </c>
      <c r="CB74">
        <v>48</v>
      </c>
      <c r="CC74">
        <v>19353.599999999999</v>
      </c>
      <c r="CD74">
        <v>39</v>
      </c>
      <c r="CE74">
        <v>15724.8</v>
      </c>
      <c r="CF74">
        <v>58</v>
      </c>
      <c r="CG74">
        <v>23385.599999999999</v>
      </c>
      <c r="CH74">
        <v>72</v>
      </c>
      <c r="CI74">
        <v>29030.399999999998</v>
      </c>
      <c r="CJ74">
        <v>96</v>
      </c>
      <c r="CK74">
        <v>38707.199999999997</v>
      </c>
      <c r="CL74">
        <v>77</v>
      </c>
      <c r="CM74">
        <v>31046.399999999998</v>
      </c>
      <c r="CN74">
        <v>17</v>
      </c>
      <c r="CO74">
        <v>6854.4</v>
      </c>
      <c r="CP74">
        <v>22</v>
      </c>
      <c r="CQ74">
        <v>8870.4</v>
      </c>
      <c r="CR74">
        <v>22</v>
      </c>
      <c r="CS74">
        <v>8870.4</v>
      </c>
      <c r="CT74">
        <v>15</v>
      </c>
      <c r="CU74">
        <v>6048</v>
      </c>
    </row>
    <row r="75" spans="2:99" x14ac:dyDescent="0.2">
      <c r="C75" s="118" t="s">
        <v>241</v>
      </c>
      <c r="D75">
        <v>3.8169607337679645</v>
      </c>
      <c r="E75">
        <v>2455.0691439595544</v>
      </c>
      <c r="F75">
        <v>12</v>
      </c>
      <c r="G75">
        <v>7718.4</v>
      </c>
      <c r="H75">
        <v>19</v>
      </c>
      <c r="I75">
        <v>12220.8</v>
      </c>
      <c r="J75">
        <v>14</v>
      </c>
      <c r="K75">
        <v>9004.7999999999993</v>
      </c>
      <c r="L75">
        <v>54</v>
      </c>
      <c r="M75">
        <v>34732.799999999996</v>
      </c>
      <c r="N75">
        <v>40</v>
      </c>
      <c r="O75">
        <v>25727.999999999996</v>
      </c>
      <c r="P75">
        <v>40</v>
      </c>
      <c r="Q75">
        <v>25727.999999999996</v>
      </c>
      <c r="R75">
        <v>37</v>
      </c>
      <c r="S75">
        <v>23798.399999999998</v>
      </c>
      <c r="T75">
        <v>46</v>
      </c>
      <c r="U75">
        <v>29587.199999999997</v>
      </c>
      <c r="V75">
        <v>28</v>
      </c>
      <c r="W75">
        <v>18009.599999999999</v>
      </c>
      <c r="X75">
        <v>41</v>
      </c>
      <c r="Y75">
        <v>26371.199999999997</v>
      </c>
      <c r="Z75">
        <v>48</v>
      </c>
      <c r="AA75">
        <v>30873.599999999999</v>
      </c>
      <c r="AB75">
        <v>13</v>
      </c>
      <c r="AC75">
        <v>8361.5999999999985</v>
      </c>
      <c r="AD75">
        <v>18</v>
      </c>
      <c r="AE75">
        <v>11577.599999999999</v>
      </c>
      <c r="AF75">
        <v>18</v>
      </c>
      <c r="AG75">
        <v>11577.599999999999</v>
      </c>
      <c r="AH75">
        <v>21</v>
      </c>
      <c r="AI75">
        <v>13507.199999999999</v>
      </c>
      <c r="AJ75">
        <v>76</v>
      </c>
      <c r="AK75">
        <v>48883.199999999997</v>
      </c>
      <c r="AL75">
        <v>78</v>
      </c>
      <c r="AM75">
        <v>50169.599999999991</v>
      </c>
      <c r="AN75">
        <v>79</v>
      </c>
      <c r="AO75">
        <v>50812.799999999996</v>
      </c>
      <c r="AP75">
        <v>49</v>
      </c>
      <c r="AQ75">
        <v>31516.799999999996</v>
      </c>
      <c r="AR75">
        <v>15</v>
      </c>
      <c r="AS75">
        <v>9647.9999999999982</v>
      </c>
      <c r="AT75">
        <v>12</v>
      </c>
      <c r="AU75">
        <v>7718.4</v>
      </c>
      <c r="AV75">
        <v>9</v>
      </c>
      <c r="AW75">
        <v>5788.7999999999993</v>
      </c>
      <c r="AX75">
        <v>12</v>
      </c>
      <c r="AY75">
        <v>7718.4</v>
      </c>
      <c r="AZ75">
        <v>7</v>
      </c>
      <c r="BA75">
        <v>4502.3999999999996</v>
      </c>
      <c r="BB75">
        <v>9</v>
      </c>
      <c r="BC75">
        <v>5788.7999999999993</v>
      </c>
      <c r="BD75">
        <v>12</v>
      </c>
      <c r="BE75">
        <v>7718.4</v>
      </c>
      <c r="BF75">
        <v>8</v>
      </c>
      <c r="BG75">
        <v>5145.5999999999995</v>
      </c>
      <c r="BH75">
        <v>11</v>
      </c>
      <c r="BI75">
        <v>7075.1999999999989</v>
      </c>
      <c r="BJ75">
        <v>12</v>
      </c>
      <c r="BK75">
        <v>7718.4</v>
      </c>
      <c r="BL75">
        <v>9</v>
      </c>
      <c r="BM75">
        <v>5788.7999999999993</v>
      </c>
      <c r="BN75">
        <v>9</v>
      </c>
      <c r="BO75">
        <v>5788.7999999999993</v>
      </c>
      <c r="BP75">
        <v>35</v>
      </c>
      <c r="BQ75">
        <v>22511.999999999996</v>
      </c>
      <c r="BR75">
        <v>26</v>
      </c>
      <c r="BS75">
        <v>16723.199999999997</v>
      </c>
      <c r="BT75">
        <v>20</v>
      </c>
      <c r="BU75">
        <v>12863.999999999998</v>
      </c>
      <c r="BV75">
        <v>22</v>
      </c>
      <c r="BW75">
        <v>14150.399999999998</v>
      </c>
      <c r="BX75">
        <v>50</v>
      </c>
      <c r="BY75">
        <v>32159.999999999996</v>
      </c>
      <c r="BZ75">
        <v>44</v>
      </c>
      <c r="CA75">
        <v>28300.799999999996</v>
      </c>
      <c r="CB75">
        <v>42</v>
      </c>
      <c r="CC75">
        <v>27014.399999999998</v>
      </c>
      <c r="CD75">
        <v>34</v>
      </c>
      <c r="CE75">
        <v>21868.799999999999</v>
      </c>
      <c r="CF75">
        <v>50</v>
      </c>
      <c r="CG75">
        <v>32159.999999999996</v>
      </c>
      <c r="CH75">
        <v>72</v>
      </c>
      <c r="CI75">
        <v>46310.399999999994</v>
      </c>
      <c r="CJ75">
        <v>89</v>
      </c>
      <c r="CK75">
        <v>57244.799999999996</v>
      </c>
      <c r="CL75">
        <v>72</v>
      </c>
      <c r="CM75">
        <v>46310.399999999994</v>
      </c>
      <c r="CN75">
        <v>16</v>
      </c>
      <c r="CO75">
        <v>10291.199999999999</v>
      </c>
      <c r="CP75">
        <v>23</v>
      </c>
      <c r="CQ75">
        <v>14793.599999999999</v>
      </c>
      <c r="CR75">
        <v>22</v>
      </c>
      <c r="CS75">
        <v>14150.399999999998</v>
      </c>
      <c r="CT75">
        <v>17</v>
      </c>
      <c r="CU75">
        <v>10934.4</v>
      </c>
    </row>
    <row r="76" spans="2:99" x14ac:dyDescent="0.2">
      <c r="C76" s="118" t="s">
        <v>242</v>
      </c>
      <c r="D76">
        <v>4.29408082548896</v>
      </c>
      <c r="E76">
        <v>3344.2301468908017</v>
      </c>
      <c r="F76">
        <v>12</v>
      </c>
      <c r="G76">
        <v>9345.5999999999985</v>
      </c>
      <c r="H76">
        <v>17</v>
      </c>
      <c r="I76">
        <v>13239.599999999999</v>
      </c>
      <c r="J76">
        <v>14</v>
      </c>
      <c r="K76">
        <v>10903.199999999999</v>
      </c>
      <c r="L76">
        <v>50</v>
      </c>
      <c r="M76">
        <v>38940</v>
      </c>
      <c r="N76">
        <v>37</v>
      </c>
      <c r="O76">
        <v>28815.599999999999</v>
      </c>
      <c r="P76">
        <v>34</v>
      </c>
      <c r="Q76">
        <v>26479.199999999997</v>
      </c>
      <c r="R76">
        <v>35</v>
      </c>
      <c r="S76">
        <v>27258</v>
      </c>
      <c r="T76">
        <v>38</v>
      </c>
      <c r="U76">
        <v>29594.399999999998</v>
      </c>
      <c r="V76">
        <v>32</v>
      </c>
      <c r="W76">
        <v>24921.599999999999</v>
      </c>
      <c r="X76">
        <v>46</v>
      </c>
      <c r="Y76">
        <v>35824.799999999996</v>
      </c>
      <c r="Z76">
        <v>43</v>
      </c>
      <c r="AA76">
        <v>33488.400000000001</v>
      </c>
      <c r="AB76">
        <v>12</v>
      </c>
      <c r="AC76">
        <v>9345.5999999999985</v>
      </c>
      <c r="AD76">
        <v>20</v>
      </c>
      <c r="AE76">
        <v>15576</v>
      </c>
      <c r="AF76">
        <v>16</v>
      </c>
      <c r="AG76">
        <v>12460.8</v>
      </c>
      <c r="AH76">
        <v>22</v>
      </c>
      <c r="AI76">
        <v>17133.599999999999</v>
      </c>
      <c r="AJ76">
        <v>85</v>
      </c>
      <c r="AK76">
        <v>66198</v>
      </c>
      <c r="AL76">
        <v>69</v>
      </c>
      <c r="AM76">
        <v>53737.2</v>
      </c>
      <c r="AN76">
        <v>78</v>
      </c>
      <c r="AO76">
        <v>60746.399999999994</v>
      </c>
      <c r="AP76">
        <v>48</v>
      </c>
      <c r="AQ76">
        <v>37382.399999999994</v>
      </c>
      <c r="AR76">
        <v>15</v>
      </c>
      <c r="AS76">
        <v>11682</v>
      </c>
      <c r="AT76">
        <v>13</v>
      </c>
      <c r="AU76">
        <v>10124.4</v>
      </c>
      <c r="AV76">
        <v>10</v>
      </c>
      <c r="AW76">
        <v>7788</v>
      </c>
      <c r="AX76">
        <v>13</v>
      </c>
      <c r="AY76">
        <v>10124.4</v>
      </c>
      <c r="AZ76">
        <v>7</v>
      </c>
      <c r="BA76">
        <v>5451.5999999999995</v>
      </c>
      <c r="BB76">
        <v>8</v>
      </c>
      <c r="BC76">
        <v>6230.4</v>
      </c>
      <c r="BD76">
        <v>12</v>
      </c>
      <c r="BE76">
        <v>9345.5999999999985</v>
      </c>
      <c r="BF76">
        <v>7</v>
      </c>
      <c r="BG76">
        <v>5451.5999999999995</v>
      </c>
      <c r="BH76">
        <v>12</v>
      </c>
      <c r="BI76">
        <v>9345.5999999999985</v>
      </c>
      <c r="BJ76">
        <v>12</v>
      </c>
      <c r="BK76">
        <v>9345.5999999999985</v>
      </c>
      <c r="BL76">
        <v>9</v>
      </c>
      <c r="BM76">
        <v>7009.2</v>
      </c>
      <c r="BN76">
        <v>9</v>
      </c>
      <c r="BO76">
        <v>7009.2</v>
      </c>
      <c r="BP76">
        <v>34</v>
      </c>
      <c r="BQ76">
        <v>26479.199999999997</v>
      </c>
      <c r="BR76">
        <v>27</v>
      </c>
      <c r="BS76">
        <v>21027.599999999999</v>
      </c>
      <c r="BT76">
        <v>19</v>
      </c>
      <c r="BU76">
        <v>14797.199999999999</v>
      </c>
      <c r="BV76">
        <v>23</v>
      </c>
      <c r="BW76">
        <v>17912.399999999998</v>
      </c>
      <c r="BX76">
        <v>53</v>
      </c>
      <c r="BY76">
        <v>41276.399999999994</v>
      </c>
      <c r="BZ76">
        <v>41</v>
      </c>
      <c r="CA76">
        <v>31930.799999999999</v>
      </c>
      <c r="CB76">
        <v>46</v>
      </c>
      <c r="CC76">
        <v>35824.799999999996</v>
      </c>
      <c r="CD76">
        <v>37</v>
      </c>
      <c r="CE76">
        <v>28815.599999999999</v>
      </c>
      <c r="CF76">
        <v>58</v>
      </c>
      <c r="CG76">
        <v>45170.399999999994</v>
      </c>
      <c r="CH76">
        <v>73</v>
      </c>
      <c r="CI76">
        <v>56852.399999999994</v>
      </c>
      <c r="CJ76">
        <v>93</v>
      </c>
      <c r="CK76">
        <v>72428.399999999994</v>
      </c>
      <c r="CL76">
        <v>65</v>
      </c>
      <c r="CM76">
        <v>50622</v>
      </c>
      <c r="CN76">
        <v>15</v>
      </c>
      <c r="CO76">
        <v>11682</v>
      </c>
      <c r="CP76">
        <v>20</v>
      </c>
      <c r="CQ76">
        <v>15576</v>
      </c>
      <c r="CR76">
        <v>22</v>
      </c>
      <c r="CS76">
        <v>17133.599999999999</v>
      </c>
      <c r="CT76">
        <v>16</v>
      </c>
      <c r="CU76">
        <v>12460.8</v>
      </c>
    </row>
    <row r="77" spans="2:99" x14ac:dyDescent="0.2">
      <c r="C77" s="118" t="s">
        <v>243</v>
      </c>
      <c r="D77">
        <v>4.29408082548896</v>
      </c>
      <c r="E77">
        <v>1195.4721018161263</v>
      </c>
      <c r="F77">
        <v>12</v>
      </c>
      <c r="G77">
        <v>3340.7999999999997</v>
      </c>
      <c r="H77">
        <v>20</v>
      </c>
      <c r="I77">
        <v>5568</v>
      </c>
      <c r="J77">
        <v>15</v>
      </c>
      <c r="K77">
        <v>4176</v>
      </c>
      <c r="L77">
        <v>54</v>
      </c>
      <c r="M77">
        <v>15033.599999999999</v>
      </c>
      <c r="N77">
        <v>45</v>
      </c>
      <c r="O77">
        <v>12527.999999999998</v>
      </c>
      <c r="P77">
        <v>37</v>
      </c>
      <c r="Q77">
        <v>10300.799999999999</v>
      </c>
      <c r="R77">
        <v>39</v>
      </c>
      <c r="S77">
        <v>10857.599999999999</v>
      </c>
      <c r="T77">
        <v>49</v>
      </c>
      <c r="U77">
        <v>13641.599999999999</v>
      </c>
      <c r="V77">
        <v>30</v>
      </c>
      <c r="W77">
        <v>8352</v>
      </c>
      <c r="X77">
        <v>42</v>
      </c>
      <c r="Y77">
        <v>11692.8</v>
      </c>
      <c r="Z77">
        <v>51</v>
      </c>
      <c r="AA77">
        <v>14198.4</v>
      </c>
      <c r="AB77">
        <v>13</v>
      </c>
      <c r="AC77">
        <v>3619.2</v>
      </c>
      <c r="AD77">
        <v>21</v>
      </c>
      <c r="AE77">
        <v>5846.4</v>
      </c>
      <c r="AF77">
        <v>16</v>
      </c>
      <c r="AG77">
        <v>4454.3999999999996</v>
      </c>
      <c r="AH77">
        <v>23</v>
      </c>
      <c r="AI77">
        <v>6403.2</v>
      </c>
      <c r="AJ77">
        <v>86</v>
      </c>
      <c r="AK77">
        <v>23942.399999999998</v>
      </c>
      <c r="AL77">
        <v>75</v>
      </c>
      <c r="AM77">
        <v>20880</v>
      </c>
      <c r="AN77">
        <v>81</v>
      </c>
      <c r="AO77">
        <v>22550.399999999998</v>
      </c>
      <c r="AP77">
        <v>59</v>
      </c>
      <c r="AQ77">
        <v>16425.599999999999</v>
      </c>
      <c r="AR77">
        <v>15</v>
      </c>
      <c r="AS77">
        <v>4176</v>
      </c>
      <c r="AT77">
        <v>13</v>
      </c>
      <c r="AU77">
        <v>3619.2</v>
      </c>
      <c r="AV77">
        <v>9</v>
      </c>
      <c r="AW77">
        <v>2505.6</v>
      </c>
      <c r="AX77">
        <v>11</v>
      </c>
      <c r="AY77">
        <v>3062.3999999999996</v>
      </c>
      <c r="AZ77">
        <v>7</v>
      </c>
      <c r="BA77">
        <v>1948.7999999999997</v>
      </c>
      <c r="BB77">
        <v>9</v>
      </c>
      <c r="BC77">
        <v>2505.6</v>
      </c>
      <c r="BD77">
        <v>13</v>
      </c>
      <c r="BE77">
        <v>3619.2</v>
      </c>
      <c r="BF77">
        <v>8</v>
      </c>
      <c r="BG77">
        <v>2227.1999999999998</v>
      </c>
      <c r="BH77">
        <v>12</v>
      </c>
      <c r="BI77">
        <v>3340.7999999999997</v>
      </c>
      <c r="BJ77">
        <v>13</v>
      </c>
      <c r="BK77">
        <v>3619.2</v>
      </c>
      <c r="BL77">
        <v>9</v>
      </c>
      <c r="BM77">
        <v>2505.6</v>
      </c>
      <c r="BN77">
        <v>10</v>
      </c>
      <c r="BO77">
        <v>2784</v>
      </c>
      <c r="BP77">
        <v>33</v>
      </c>
      <c r="BQ77">
        <v>9187.1999999999989</v>
      </c>
      <c r="BR77">
        <v>32</v>
      </c>
      <c r="BS77">
        <v>8908.7999999999993</v>
      </c>
      <c r="BT77">
        <v>20</v>
      </c>
      <c r="BU77">
        <v>5568</v>
      </c>
      <c r="BV77">
        <v>26</v>
      </c>
      <c r="BW77">
        <v>7238.4</v>
      </c>
      <c r="BX77">
        <v>52</v>
      </c>
      <c r="BY77">
        <v>14476.8</v>
      </c>
      <c r="BZ77">
        <v>51</v>
      </c>
      <c r="CA77">
        <v>14198.4</v>
      </c>
      <c r="CB77">
        <v>50</v>
      </c>
      <c r="CC77">
        <v>13919.999999999998</v>
      </c>
      <c r="CD77">
        <v>39</v>
      </c>
      <c r="CE77">
        <v>10857.599999999999</v>
      </c>
      <c r="CF77">
        <v>63</v>
      </c>
      <c r="CG77">
        <v>17539.199999999997</v>
      </c>
      <c r="CH77">
        <v>88</v>
      </c>
      <c r="CI77">
        <v>24499.199999999997</v>
      </c>
      <c r="CJ77">
        <v>95</v>
      </c>
      <c r="CK77">
        <v>26447.999999999996</v>
      </c>
      <c r="CL77">
        <v>79</v>
      </c>
      <c r="CM77">
        <v>21993.599999999999</v>
      </c>
      <c r="CN77">
        <v>15</v>
      </c>
      <c r="CO77">
        <v>4176</v>
      </c>
      <c r="CP77">
        <v>22</v>
      </c>
      <c r="CQ77">
        <v>6124.7999999999993</v>
      </c>
      <c r="CR77">
        <v>26</v>
      </c>
      <c r="CS77">
        <v>7238.4</v>
      </c>
      <c r="CT77">
        <v>15</v>
      </c>
      <c r="CU77">
        <v>4176</v>
      </c>
    </row>
    <row r="78" spans="2:99" x14ac:dyDescent="0.2">
      <c r="C78" s="118" t="s">
        <v>244</v>
      </c>
      <c r="D78">
        <v>4.0555207796284627</v>
      </c>
      <c r="E78">
        <v>2238.6474703549115</v>
      </c>
      <c r="F78">
        <v>12</v>
      </c>
      <c r="G78">
        <v>6624</v>
      </c>
      <c r="H78">
        <v>18</v>
      </c>
      <c r="I78">
        <v>9936</v>
      </c>
      <c r="J78">
        <v>13</v>
      </c>
      <c r="K78">
        <v>7176</v>
      </c>
      <c r="L78">
        <v>50</v>
      </c>
      <c r="M78">
        <v>27600</v>
      </c>
      <c r="N78">
        <v>40</v>
      </c>
      <c r="O78">
        <v>22080</v>
      </c>
      <c r="P78">
        <v>35</v>
      </c>
      <c r="Q78">
        <v>19320</v>
      </c>
      <c r="R78">
        <v>38</v>
      </c>
      <c r="S78">
        <v>20976</v>
      </c>
      <c r="T78">
        <v>44</v>
      </c>
      <c r="U78">
        <v>24288</v>
      </c>
      <c r="V78">
        <v>33</v>
      </c>
      <c r="W78">
        <v>18216</v>
      </c>
      <c r="X78">
        <v>41</v>
      </c>
      <c r="Y78">
        <v>22632</v>
      </c>
      <c r="Z78">
        <v>50</v>
      </c>
      <c r="AA78">
        <v>27600</v>
      </c>
      <c r="AB78">
        <v>13</v>
      </c>
      <c r="AC78">
        <v>7176</v>
      </c>
      <c r="AD78">
        <v>17</v>
      </c>
      <c r="AE78">
        <v>9384</v>
      </c>
      <c r="AF78">
        <v>18</v>
      </c>
      <c r="AG78">
        <v>9936</v>
      </c>
      <c r="AH78">
        <v>22</v>
      </c>
      <c r="AI78">
        <v>12144</v>
      </c>
      <c r="AJ78">
        <v>87</v>
      </c>
      <c r="AK78">
        <v>48024</v>
      </c>
      <c r="AL78">
        <v>76</v>
      </c>
      <c r="AM78">
        <v>41952</v>
      </c>
      <c r="AN78">
        <v>83</v>
      </c>
      <c r="AO78">
        <v>45816</v>
      </c>
      <c r="AP78">
        <v>56</v>
      </c>
      <c r="AQ78">
        <v>30912</v>
      </c>
      <c r="AR78">
        <v>17</v>
      </c>
      <c r="AS78">
        <v>9384</v>
      </c>
      <c r="AT78">
        <v>13</v>
      </c>
      <c r="AU78">
        <v>7176</v>
      </c>
      <c r="AV78">
        <v>8</v>
      </c>
      <c r="AW78">
        <v>4416</v>
      </c>
      <c r="AX78">
        <v>11</v>
      </c>
      <c r="AY78">
        <v>6072</v>
      </c>
      <c r="AZ78">
        <v>8</v>
      </c>
      <c r="BA78">
        <v>4416</v>
      </c>
      <c r="BB78">
        <v>8</v>
      </c>
      <c r="BC78">
        <v>4416</v>
      </c>
      <c r="BD78">
        <v>13</v>
      </c>
      <c r="BE78">
        <v>7176</v>
      </c>
      <c r="BF78">
        <v>8</v>
      </c>
      <c r="BG78">
        <v>4416</v>
      </c>
      <c r="BH78">
        <v>11</v>
      </c>
      <c r="BI78">
        <v>6072</v>
      </c>
      <c r="BJ78">
        <v>12</v>
      </c>
      <c r="BK78">
        <v>6624</v>
      </c>
      <c r="BL78">
        <v>10</v>
      </c>
      <c r="BM78">
        <v>5520</v>
      </c>
      <c r="BN78">
        <v>9</v>
      </c>
      <c r="BO78">
        <v>4968</v>
      </c>
      <c r="BP78">
        <v>34</v>
      </c>
      <c r="BQ78">
        <v>18768</v>
      </c>
      <c r="BR78">
        <v>27</v>
      </c>
      <c r="BS78">
        <v>14904</v>
      </c>
      <c r="BT78">
        <v>19</v>
      </c>
      <c r="BU78">
        <v>10488</v>
      </c>
      <c r="BV78">
        <v>25</v>
      </c>
      <c r="BW78">
        <v>13800</v>
      </c>
      <c r="BX78">
        <v>50</v>
      </c>
      <c r="BY78">
        <v>27600</v>
      </c>
      <c r="BZ78">
        <v>42</v>
      </c>
      <c r="CA78">
        <v>23184</v>
      </c>
      <c r="CB78">
        <v>47</v>
      </c>
      <c r="CC78">
        <v>25944</v>
      </c>
      <c r="CD78">
        <v>34</v>
      </c>
      <c r="CE78">
        <v>18768</v>
      </c>
      <c r="CF78">
        <v>56</v>
      </c>
      <c r="CG78">
        <v>30912</v>
      </c>
      <c r="CH78">
        <v>72</v>
      </c>
      <c r="CI78">
        <v>39744</v>
      </c>
      <c r="CJ78">
        <v>100</v>
      </c>
      <c r="CK78">
        <v>55200</v>
      </c>
      <c r="CL78">
        <v>66</v>
      </c>
      <c r="CM78">
        <v>36432</v>
      </c>
      <c r="CN78">
        <v>15</v>
      </c>
      <c r="CO78">
        <v>8280</v>
      </c>
      <c r="CP78">
        <v>23</v>
      </c>
      <c r="CQ78">
        <v>12696</v>
      </c>
      <c r="CR78">
        <v>24</v>
      </c>
      <c r="CS78">
        <v>13248</v>
      </c>
      <c r="CT78">
        <v>16</v>
      </c>
      <c r="CU78">
        <v>8832</v>
      </c>
    </row>
    <row r="79" spans="2:99" x14ac:dyDescent="0.2">
      <c r="C79" s="118" t="s">
        <v>245</v>
      </c>
      <c r="D79">
        <v>3.5784006879074668</v>
      </c>
      <c r="E79">
        <v>2709.5650008835337</v>
      </c>
      <c r="F79">
        <v>13</v>
      </c>
      <c r="G79">
        <v>9843.5999999999985</v>
      </c>
      <c r="H79">
        <v>17</v>
      </c>
      <c r="I79">
        <v>12872.4</v>
      </c>
      <c r="J79">
        <v>12</v>
      </c>
      <c r="K79">
        <v>9086.4</v>
      </c>
      <c r="L79">
        <v>48</v>
      </c>
      <c r="M79">
        <v>36345.599999999999</v>
      </c>
      <c r="N79">
        <v>45</v>
      </c>
      <c r="O79">
        <v>34074</v>
      </c>
      <c r="P79">
        <v>33</v>
      </c>
      <c r="Q79">
        <v>24987.599999999999</v>
      </c>
      <c r="R79">
        <v>36</v>
      </c>
      <c r="S79">
        <v>27259.199999999997</v>
      </c>
      <c r="T79">
        <v>44</v>
      </c>
      <c r="U79">
        <v>33316.799999999996</v>
      </c>
      <c r="V79">
        <v>28</v>
      </c>
      <c r="W79">
        <v>21201.599999999999</v>
      </c>
      <c r="X79">
        <v>48</v>
      </c>
      <c r="Y79">
        <v>36345.599999999999</v>
      </c>
      <c r="Z79">
        <v>48</v>
      </c>
      <c r="AA79">
        <v>36345.599999999999</v>
      </c>
      <c r="AB79">
        <v>12</v>
      </c>
      <c r="AC79">
        <v>9086.4</v>
      </c>
      <c r="AD79">
        <v>17</v>
      </c>
      <c r="AE79">
        <v>12872.4</v>
      </c>
      <c r="AF79">
        <v>15</v>
      </c>
      <c r="AG79">
        <v>11357.999999999998</v>
      </c>
      <c r="AH79">
        <v>20</v>
      </c>
      <c r="AI79">
        <v>15143.999999999998</v>
      </c>
      <c r="AJ79">
        <v>85</v>
      </c>
      <c r="AK79">
        <v>64361.999999999993</v>
      </c>
      <c r="AL79">
        <v>66</v>
      </c>
      <c r="AM79">
        <v>49975.199999999997</v>
      </c>
      <c r="AN79">
        <v>89</v>
      </c>
      <c r="AO79">
        <v>67390.799999999988</v>
      </c>
      <c r="AP79">
        <v>50</v>
      </c>
      <c r="AQ79">
        <v>37860</v>
      </c>
      <c r="AR79">
        <v>14</v>
      </c>
      <c r="AS79">
        <v>10600.8</v>
      </c>
      <c r="AT79">
        <v>11</v>
      </c>
      <c r="AU79">
        <v>8329.1999999999989</v>
      </c>
      <c r="AV79">
        <v>9</v>
      </c>
      <c r="AW79">
        <v>6814.7999999999993</v>
      </c>
      <c r="AX79">
        <v>11</v>
      </c>
      <c r="AY79">
        <v>8329.1999999999989</v>
      </c>
      <c r="AZ79">
        <v>7</v>
      </c>
      <c r="BA79">
        <v>5300.4</v>
      </c>
      <c r="BB79">
        <v>8</v>
      </c>
      <c r="BC79">
        <v>6057.5999999999995</v>
      </c>
      <c r="BD79">
        <v>12</v>
      </c>
      <c r="BE79">
        <v>9086.4</v>
      </c>
      <c r="BF79">
        <v>7</v>
      </c>
      <c r="BG79">
        <v>5300.4</v>
      </c>
      <c r="BH79">
        <v>11</v>
      </c>
      <c r="BI79">
        <v>8329.1999999999989</v>
      </c>
      <c r="BJ79">
        <v>12</v>
      </c>
      <c r="BK79">
        <v>9086.4</v>
      </c>
      <c r="BL79">
        <v>8</v>
      </c>
      <c r="BM79">
        <v>6057.5999999999995</v>
      </c>
      <c r="BN79">
        <v>9</v>
      </c>
      <c r="BO79">
        <v>6814.7999999999993</v>
      </c>
      <c r="BP79">
        <v>30</v>
      </c>
      <c r="BQ79">
        <v>22715.999999999996</v>
      </c>
      <c r="BR79">
        <v>29</v>
      </c>
      <c r="BS79">
        <v>21958.799999999999</v>
      </c>
      <c r="BT79">
        <v>19</v>
      </c>
      <c r="BU79">
        <v>14386.8</v>
      </c>
      <c r="BV79">
        <v>23</v>
      </c>
      <c r="BW79">
        <v>17415.599999999999</v>
      </c>
      <c r="BX79">
        <v>49</v>
      </c>
      <c r="BY79">
        <v>37102.799999999996</v>
      </c>
      <c r="BZ79">
        <v>43</v>
      </c>
      <c r="CA79">
        <v>32559.599999999999</v>
      </c>
      <c r="CB79">
        <v>47</v>
      </c>
      <c r="CC79">
        <v>35588.399999999994</v>
      </c>
      <c r="CD79">
        <v>39</v>
      </c>
      <c r="CE79">
        <v>29530.799999999996</v>
      </c>
      <c r="CF79">
        <v>49</v>
      </c>
      <c r="CG79">
        <v>37102.799999999996</v>
      </c>
      <c r="CH79">
        <v>71</v>
      </c>
      <c r="CI79">
        <v>53761.2</v>
      </c>
      <c r="CJ79">
        <v>89</v>
      </c>
      <c r="CK79">
        <v>67390.799999999988</v>
      </c>
      <c r="CL79">
        <v>67</v>
      </c>
      <c r="CM79">
        <v>50732.399999999994</v>
      </c>
      <c r="CN79">
        <v>16</v>
      </c>
      <c r="CO79">
        <v>12115.199999999999</v>
      </c>
      <c r="CP79">
        <v>23</v>
      </c>
      <c r="CQ79">
        <v>17415.599999999999</v>
      </c>
      <c r="CR79">
        <v>20</v>
      </c>
      <c r="CS79">
        <v>15143.999999999998</v>
      </c>
      <c r="CT79">
        <v>16</v>
      </c>
      <c r="CU79">
        <v>12115.199999999999</v>
      </c>
    </row>
    <row r="80" spans="2:99" x14ac:dyDescent="0.2">
      <c r="C80" s="118" t="s">
        <v>246</v>
      </c>
      <c r="D80">
        <v>4.0555207796284627</v>
      </c>
      <c r="E80">
        <v>3265.5053317568377</v>
      </c>
      <c r="F80">
        <v>13</v>
      </c>
      <c r="G80">
        <v>10467.599999999999</v>
      </c>
      <c r="H80">
        <v>20</v>
      </c>
      <c r="I80">
        <v>16103.999999999998</v>
      </c>
      <c r="J80">
        <v>14</v>
      </c>
      <c r="K80">
        <v>11272.8</v>
      </c>
      <c r="L80">
        <v>51</v>
      </c>
      <c r="M80">
        <v>41065.199999999997</v>
      </c>
      <c r="N80">
        <v>39</v>
      </c>
      <c r="O80">
        <v>31402.799999999996</v>
      </c>
      <c r="P80">
        <v>37</v>
      </c>
      <c r="Q80">
        <v>29792.399999999998</v>
      </c>
      <c r="R80">
        <v>38</v>
      </c>
      <c r="S80">
        <v>30597.599999999999</v>
      </c>
      <c r="T80">
        <v>39</v>
      </c>
      <c r="U80">
        <v>31402.799999999996</v>
      </c>
      <c r="V80">
        <v>30</v>
      </c>
      <c r="W80">
        <v>24155.999999999996</v>
      </c>
      <c r="X80">
        <v>47</v>
      </c>
      <c r="Y80">
        <v>37844.399999999994</v>
      </c>
      <c r="Z80">
        <v>41</v>
      </c>
      <c r="AA80">
        <v>33013.199999999997</v>
      </c>
      <c r="AB80">
        <v>14</v>
      </c>
      <c r="AC80">
        <v>11272.8</v>
      </c>
      <c r="AD80">
        <v>20</v>
      </c>
      <c r="AE80">
        <v>16103.999999999998</v>
      </c>
      <c r="AF80">
        <v>17</v>
      </c>
      <c r="AG80">
        <v>13688.4</v>
      </c>
      <c r="AH80">
        <v>23</v>
      </c>
      <c r="AI80">
        <v>18519.599999999999</v>
      </c>
      <c r="AJ80">
        <v>80</v>
      </c>
      <c r="AK80">
        <v>64415.999999999993</v>
      </c>
      <c r="AL80">
        <v>73</v>
      </c>
      <c r="AM80">
        <v>58779.6</v>
      </c>
      <c r="AN80">
        <v>85</v>
      </c>
      <c r="AO80">
        <v>68442</v>
      </c>
      <c r="AP80">
        <v>51</v>
      </c>
      <c r="AQ80">
        <v>41065.199999999997</v>
      </c>
      <c r="AR80">
        <v>14</v>
      </c>
      <c r="AS80">
        <v>11272.8</v>
      </c>
      <c r="AT80">
        <v>11</v>
      </c>
      <c r="AU80">
        <v>8857.1999999999989</v>
      </c>
      <c r="AV80">
        <v>9</v>
      </c>
      <c r="AW80">
        <v>7246.7999999999993</v>
      </c>
      <c r="AX80">
        <v>12</v>
      </c>
      <c r="AY80">
        <v>9662.4</v>
      </c>
      <c r="AZ80">
        <v>8</v>
      </c>
      <c r="BA80">
        <v>6441.5999999999995</v>
      </c>
      <c r="BB80">
        <v>8</v>
      </c>
      <c r="BC80">
        <v>6441.5999999999995</v>
      </c>
      <c r="BD80">
        <v>14</v>
      </c>
      <c r="BE80">
        <v>11272.8</v>
      </c>
      <c r="BF80">
        <v>7</v>
      </c>
      <c r="BG80">
        <v>5636.4</v>
      </c>
      <c r="BH80">
        <v>11</v>
      </c>
      <c r="BI80">
        <v>8857.1999999999989</v>
      </c>
      <c r="BJ80">
        <v>12</v>
      </c>
      <c r="BK80">
        <v>9662.4</v>
      </c>
      <c r="BL80">
        <v>9</v>
      </c>
      <c r="BM80">
        <v>7246.7999999999993</v>
      </c>
      <c r="BN80">
        <v>10</v>
      </c>
      <c r="BO80">
        <v>8051.9999999999991</v>
      </c>
      <c r="BP80">
        <v>33</v>
      </c>
      <c r="BQ80">
        <v>26571.599999999999</v>
      </c>
      <c r="BR80">
        <v>30</v>
      </c>
      <c r="BS80">
        <v>24155.999999999996</v>
      </c>
      <c r="BT80">
        <v>17</v>
      </c>
      <c r="BU80">
        <v>13688.4</v>
      </c>
      <c r="BV80">
        <v>24</v>
      </c>
      <c r="BW80">
        <v>19324.8</v>
      </c>
      <c r="BX80">
        <v>52</v>
      </c>
      <c r="BY80">
        <v>41870.399999999994</v>
      </c>
      <c r="BZ80">
        <v>44</v>
      </c>
      <c r="CA80">
        <v>35428.799999999996</v>
      </c>
      <c r="CB80">
        <v>41</v>
      </c>
      <c r="CC80">
        <v>33013.199999999997</v>
      </c>
      <c r="CD80">
        <v>35</v>
      </c>
      <c r="CE80">
        <v>28181.999999999996</v>
      </c>
      <c r="CF80">
        <v>54</v>
      </c>
      <c r="CG80">
        <v>43480.799999999996</v>
      </c>
      <c r="CH80">
        <v>74</v>
      </c>
      <c r="CI80">
        <v>59584.799999999996</v>
      </c>
      <c r="CJ80">
        <v>84</v>
      </c>
      <c r="CK80">
        <v>67636.799999999988</v>
      </c>
      <c r="CL80">
        <v>73</v>
      </c>
      <c r="CM80">
        <v>58779.6</v>
      </c>
      <c r="CN80">
        <v>14</v>
      </c>
      <c r="CO80">
        <v>11272.8</v>
      </c>
      <c r="CP80">
        <v>23</v>
      </c>
      <c r="CQ80">
        <v>18519.599999999999</v>
      </c>
      <c r="CR80">
        <v>20</v>
      </c>
      <c r="CS80">
        <v>16103.999999999998</v>
      </c>
      <c r="CT80">
        <v>15</v>
      </c>
      <c r="CU80">
        <v>12077.999999999998</v>
      </c>
    </row>
    <row r="81" spans="2:99" x14ac:dyDescent="0.2">
      <c r="C81" s="118" t="s">
        <v>247</v>
      </c>
      <c r="D81">
        <v>4.0555207796284627</v>
      </c>
      <c r="E81">
        <v>3056.2404595280095</v>
      </c>
      <c r="F81">
        <v>11</v>
      </c>
      <c r="G81">
        <v>8289.6</v>
      </c>
      <c r="H81">
        <v>17</v>
      </c>
      <c r="I81">
        <v>12811.2</v>
      </c>
      <c r="J81">
        <v>14</v>
      </c>
      <c r="K81">
        <v>10550.4</v>
      </c>
      <c r="L81">
        <v>50</v>
      </c>
      <c r="M81">
        <v>37680</v>
      </c>
      <c r="N81">
        <v>40</v>
      </c>
      <c r="O81">
        <v>30144</v>
      </c>
      <c r="P81">
        <v>34</v>
      </c>
      <c r="Q81">
        <v>25622.400000000001</v>
      </c>
      <c r="R81">
        <v>39</v>
      </c>
      <c r="S81">
        <v>29390.400000000001</v>
      </c>
      <c r="T81">
        <v>44</v>
      </c>
      <c r="U81">
        <v>33158.400000000001</v>
      </c>
      <c r="V81">
        <v>29</v>
      </c>
      <c r="W81">
        <v>21854.400000000001</v>
      </c>
      <c r="X81">
        <v>45</v>
      </c>
      <c r="Y81">
        <v>33912</v>
      </c>
      <c r="Z81">
        <v>47</v>
      </c>
      <c r="AA81">
        <v>35419.200000000004</v>
      </c>
      <c r="AB81">
        <v>13</v>
      </c>
      <c r="AC81">
        <v>9796.8000000000011</v>
      </c>
      <c r="AD81">
        <v>17</v>
      </c>
      <c r="AE81">
        <v>12811.2</v>
      </c>
      <c r="AF81">
        <v>18</v>
      </c>
      <c r="AG81">
        <v>13564.800000000001</v>
      </c>
      <c r="AH81">
        <v>21</v>
      </c>
      <c r="AI81">
        <v>15825.6</v>
      </c>
      <c r="AJ81">
        <v>90</v>
      </c>
      <c r="AK81">
        <v>67824</v>
      </c>
      <c r="AL81">
        <v>71</v>
      </c>
      <c r="AM81">
        <v>53505.599999999999</v>
      </c>
      <c r="AN81">
        <v>74</v>
      </c>
      <c r="AO81">
        <v>55766.400000000001</v>
      </c>
      <c r="AP81">
        <v>54</v>
      </c>
      <c r="AQ81">
        <v>40694.400000000001</v>
      </c>
      <c r="AR81">
        <v>15</v>
      </c>
      <c r="AS81">
        <v>11304</v>
      </c>
      <c r="AT81">
        <v>13</v>
      </c>
      <c r="AU81">
        <v>9796.8000000000011</v>
      </c>
      <c r="AV81">
        <v>10</v>
      </c>
      <c r="AW81">
        <v>7536</v>
      </c>
      <c r="AX81">
        <v>12</v>
      </c>
      <c r="AY81">
        <v>9043.2000000000007</v>
      </c>
      <c r="AZ81">
        <v>7</v>
      </c>
      <c r="BA81">
        <v>5275.2</v>
      </c>
      <c r="BB81">
        <v>8</v>
      </c>
      <c r="BC81">
        <v>6028.8</v>
      </c>
      <c r="BD81">
        <v>14</v>
      </c>
      <c r="BE81">
        <v>10550.4</v>
      </c>
      <c r="BF81">
        <v>9</v>
      </c>
      <c r="BG81">
        <v>6782.4000000000005</v>
      </c>
      <c r="BH81">
        <v>11</v>
      </c>
      <c r="BI81">
        <v>8289.6</v>
      </c>
      <c r="BJ81">
        <v>11</v>
      </c>
      <c r="BK81">
        <v>8289.6</v>
      </c>
      <c r="BL81">
        <v>9</v>
      </c>
      <c r="BM81">
        <v>6782.4000000000005</v>
      </c>
      <c r="BN81">
        <v>10</v>
      </c>
      <c r="BO81">
        <v>7536</v>
      </c>
      <c r="BP81">
        <v>36</v>
      </c>
      <c r="BQ81">
        <v>27129.600000000002</v>
      </c>
      <c r="BR81">
        <v>30</v>
      </c>
      <c r="BS81">
        <v>22608</v>
      </c>
      <c r="BT81">
        <v>17</v>
      </c>
      <c r="BU81">
        <v>12811.2</v>
      </c>
      <c r="BV81">
        <v>21</v>
      </c>
      <c r="BW81">
        <v>15825.6</v>
      </c>
      <c r="BX81">
        <v>50</v>
      </c>
      <c r="BY81">
        <v>37680</v>
      </c>
      <c r="BZ81">
        <v>48</v>
      </c>
      <c r="CA81">
        <v>36172.800000000003</v>
      </c>
      <c r="CB81">
        <v>46</v>
      </c>
      <c r="CC81">
        <v>34665.599999999999</v>
      </c>
      <c r="CD81">
        <v>34</v>
      </c>
      <c r="CE81">
        <v>25622.400000000001</v>
      </c>
      <c r="CF81">
        <v>57</v>
      </c>
      <c r="CG81">
        <v>42955.200000000004</v>
      </c>
      <c r="CH81">
        <v>78</v>
      </c>
      <c r="CI81">
        <v>58780.800000000003</v>
      </c>
      <c r="CJ81">
        <v>93</v>
      </c>
      <c r="CK81">
        <v>70084.800000000003</v>
      </c>
      <c r="CL81">
        <v>77</v>
      </c>
      <c r="CM81">
        <v>58027.200000000004</v>
      </c>
      <c r="CN81">
        <v>15</v>
      </c>
      <c r="CO81">
        <v>11304</v>
      </c>
      <c r="CP81">
        <v>19</v>
      </c>
      <c r="CQ81">
        <v>14318.4</v>
      </c>
      <c r="CR81">
        <v>23</v>
      </c>
      <c r="CS81">
        <v>17332.8</v>
      </c>
      <c r="CT81">
        <v>14</v>
      </c>
      <c r="CU81">
        <v>10550.4</v>
      </c>
    </row>
    <row r="82" spans="2:99" x14ac:dyDescent="0.2">
      <c r="C82" s="118" t="s">
        <v>248</v>
      </c>
      <c r="D82">
        <v>3.8169607337679645</v>
      </c>
      <c r="E82">
        <v>1942.06962134114</v>
      </c>
      <c r="F82">
        <v>13</v>
      </c>
      <c r="G82">
        <v>6614.3999999999987</v>
      </c>
      <c r="H82">
        <v>17</v>
      </c>
      <c r="I82">
        <v>8649.5999999999985</v>
      </c>
      <c r="J82">
        <v>13</v>
      </c>
      <c r="K82">
        <v>6614.3999999999987</v>
      </c>
      <c r="L82">
        <v>54</v>
      </c>
      <c r="M82">
        <v>27475.199999999993</v>
      </c>
      <c r="N82">
        <v>43</v>
      </c>
      <c r="O82">
        <v>21878.399999999994</v>
      </c>
      <c r="P82">
        <v>40</v>
      </c>
      <c r="Q82">
        <v>20351.999999999996</v>
      </c>
      <c r="R82">
        <v>36</v>
      </c>
      <c r="S82">
        <v>18316.799999999996</v>
      </c>
      <c r="T82">
        <v>45</v>
      </c>
      <c r="U82">
        <v>22895.999999999996</v>
      </c>
      <c r="V82">
        <v>29</v>
      </c>
      <c r="W82">
        <v>14755.199999999997</v>
      </c>
      <c r="X82">
        <v>49</v>
      </c>
      <c r="Y82">
        <v>24931.199999999993</v>
      </c>
      <c r="Z82">
        <v>43</v>
      </c>
      <c r="AA82">
        <v>21878.399999999994</v>
      </c>
      <c r="AB82">
        <v>14</v>
      </c>
      <c r="AC82">
        <v>7123.1999999999989</v>
      </c>
      <c r="AD82">
        <v>21</v>
      </c>
      <c r="AE82">
        <v>10684.799999999997</v>
      </c>
      <c r="AF82">
        <v>17</v>
      </c>
      <c r="AG82">
        <v>8649.5999999999985</v>
      </c>
      <c r="AH82">
        <v>20</v>
      </c>
      <c r="AI82">
        <v>10175.999999999998</v>
      </c>
      <c r="AJ82">
        <v>93</v>
      </c>
      <c r="AK82">
        <v>47318.399999999987</v>
      </c>
      <c r="AL82">
        <v>69</v>
      </c>
      <c r="AM82">
        <v>35107.19999999999</v>
      </c>
      <c r="AN82">
        <v>86</v>
      </c>
      <c r="AO82">
        <v>43756.799999999988</v>
      </c>
      <c r="AP82">
        <v>50</v>
      </c>
      <c r="AQ82">
        <v>25439.999999999996</v>
      </c>
      <c r="AR82">
        <v>15</v>
      </c>
      <c r="AS82">
        <v>7631.9999999999982</v>
      </c>
      <c r="AT82">
        <v>13</v>
      </c>
      <c r="AU82">
        <v>6614.3999999999987</v>
      </c>
      <c r="AV82">
        <v>10</v>
      </c>
      <c r="AW82">
        <v>5087.9999999999991</v>
      </c>
      <c r="AX82">
        <v>12</v>
      </c>
      <c r="AY82">
        <v>6105.5999999999985</v>
      </c>
      <c r="AZ82">
        <v>8</v>
      </c>
      <c r="BA82">
        <v>4070.3999999999992</v>
      </c>
      <c r="BB82">
        <v>8</v>
      </c>
      <c r="BC82">
        <v>4070.3999999999992</v>
      </c>
      <c r="BD82">
        <v>13</v>
      </c>
      <c r="BE82">
        <v>6614.3999999999987</v>
      </c>
      <c r="BF82">
        <v>8</v>
      </c>
      <c r="BG82">
        <v>4070.3999999999992</v>
      </c>
      <c r="BH82">
        <v>11</v>
      </c>
      <c r="BI82">
        <v>5596.7999999999993</v>
      </c>
      <c r="BJ82">
        <v>13</v>
      </c>
      <c r="BK82">
        <v>6614.3999999999987</v>
      </c>
      <c r="BL82">
        <v>9</v>
      </c>
      <c r="BM82">
        <v>4579.1999999999989</v>
      </c>
      <c r="BN82">
        <v>9</v>
      </c>
      <c r="BO82">
        <v>4579.1999999999989</v>
      </c>
      <c r="BP82">
        <v>35</v>
      </c>
      <c r="BQ82">
        <v>17807.999999999996</v>
      </c>
      <c r="BR82">
        <v>28</v>
      </c>
      <c r="BS82">
        <v>14246.399999999998</v>
      </c>
      <c r="BT82">
        <v>18</v>
      </c>
      <c r="BU82">
        <v>9158.3999999999978</v>
      </c>
      <c r="BV82">
        <v>21</v>
      </c>
      <c r="BW82">
        <v>10684.799999999997</v>
      </c>
      <c r="BX82">
        <v>48</v>
      </c>
      <c r="BY82">
        <v>24422.399999999994</v>
      </c>
      <c r="BZ82">
        <v>49</v>
      </c>
      <c r="CA82">
        <v>24931.199999999993</v>
      </c>
      <c r="CB82">
        <v>48</v>
      </c>
      <c r="CC82">
        <v>24422.399999999994</v>
      </c>
      <c r="CD82">
        <v>36</v>
      </c>
      <c r="CE82">
        <v>18316.799999999996</v>
      </c>
      <c r="CF82">
        <v>62</v>
      </c>
      <c r="CG82">
        <v>31545.599999999995</v>
      </c>
      <c r="CH82">
        <v>73</v>
      </c>
      <c r="CI82">
        <v>37142.399999999994</v>
      </c>
      <c r="CJ82">
        <v>96</v>
      </c>
      <c r="CK82">
        <v>48844.799999999988</v>
      </c>
      <c r="CL82">
        <v>72</v>
      </c>
      <c r="CM82">
        <v>36633.599999999991</v>
      </c>
      <c r="CN82">
        <v>17</v>
      </c>
      <c r="CO82">
        <v>8649.5999999999985</v>
      </c>
      <c r="CP82">
        <v>20</v>
      </c>
      <c r="CQ82">
        <v>10175.999999999998</v>
      </c>
      <c r="CR82">
        <v>24</v>
      </c>
      <c r="CS82">
        <v>12211.199999999997</v>
      </c>
      <c r="CT82">
        <v>15</v>
      </c>
      <c r="CU82">
        <v>7631.9999999999982</v>
      </c>
    </row>
    <row r="83" spans="2:99" x14ac:dyDescent="0.2">
      <c r="C83" s="118" t="s">
        <v>249</v>
      </c>
      <c r="D83">
        <v>3.8169607337679645</v>
      </c>
      <c r="E83">
        <v>3284.1130153339568</v>
      </c>
      <c r="F83">
        <v>11</v>
      </c>
      <c r="G83">
        <v>9464.4</v>
      </c>
      <c r="H83">
        <v>17</v>
      </c>
      <c r="I83">
        <v>14626.8</v>
      </c>
      <c r="J83">
        <v>13</v>
      </c>
      <c r="K83">
        <v>11185.199999999999</v>
      </c>
      <c r="L83">
        <v>48</v>
      </c>
      <c r="M83">
        <v>41299.199999999997</v>
      </c>
      <c r="N83">
        <v>37</v>
      </c>
      <c r="O83">
        <v>31834.799999999999</v>
      </c>
      <c r="P83">
        <v>36</v>
      </c>
      <c r="Q83">
        <v>30974.399999999998</v>
      </c>
      <c r="R83">
        <v>38</v>
      </c>
      <c r="S83">
        <v>32695.200000000001</v>
      </c>
      <c r="T83">
        <v>43</v>
      </c>
      <c r="U83">
        <v>36997.199999999997</v>
      </c>
      <c r="V83">
        <v>30</v>
      </c>
      <c r="W83">
        <v>25812</v>
      </c>
      <c r="X83">
        <v>47</v>
      </c>
      <c r="Y83">
        <v>40438.799999999996</v>
      </c>
      <c r="Z83">
        <v>44</v>
      </c>
      <c r="AA83">
        <v>37857.599999999999</v>
      </c>
      <c r="AB83">
        <v>12</v>
      </c>
      <c r="AC83">
        <v>10324.799999999999</v>
      </c>
      <c r="AD83">
        <v>20</v>
      </c>
      <c r="AE83">
        <v>17208</v>
      </c>
      <c r="AF83">
        <v>16</v>
      </c>
      <c r="AG83">
        <v>13766.4</v>
      </c>
      <c r="AH83">
        <v>23</v>
      </c>
      <c r="AI83">
        <v>19789.2</v>
      </c>
      <c r="AJ83">
        <v>79</v>
      </c>
      <c r="AK83">
        <v>67971.599999999991</v>
      </c>
      <c r="AL83">
        <v>63</v>
      </c>
      <c r="AM83">
        <v>54205.2</v>
      </c>
      <c r="AN83">
        <v>84</v>
      </c>
      <c r="AO83">
        <v>72273.599999999991</v>
      </c>
      <c r="AP83">
        <v>49</v>
      </c>
      <c r="AQ83">
        <v>42159.6</v>
      </c>
      <c r="AR83">
        <v>17</v>
      </c>
      <c r="AS83">
        <v>14626.8</v>
      </c>
      <c r="AT83">
        <v>13</v>
      </c>
      <c r="AU83">
        <v>11185.199999999999</v>
      </c>
      <c r="AV83">
        <v>9</v>
      </c>
      <c r="AW83">
        <v>7743.5999999999995</v>
      </c>
      <c r="AX83">
        <v>12</v>
      </c>
      <c r="AY83">
        <v>10324.799999999999</v>
      </c>
      <c r="AZ83">
        <v>7</v>
      </c>
      <c r="BA83">
        <v>6022.8</v>
      </c>
      <c r="BB83">
        <v>8</v>
      </c>
      <c r="BC83">
        <v>6883.2</v>
      </c>
      <c r="BD83">
        <v>13</v>
      </c>
      <c r="BE83">
        <v>11185.199999999999</v>
      </c>
      <c r="BF83">
        <v>7</v>
      </c>
      <c r="BG83">
        <v>6022.8</v>
      </c>
      <c r="BH83">
        <v>10</v>
      </c>
      <c r="BI83">
        <v>8604</v>
      </c>
      <c r="BJ83">
        <v>12</v>
      </c>
      <c r="BK83">
        <v>10324.799999999999</v>
      </c>
      <c r="BL83">
        <v>8</v>
      </c>
      <c r="BM83">
        <v>6883.2</v>
      </c>
      <c r="BN83">
        <v>10</v>
      </c>
      <c r="BO83">
        <v>8604</v>
      </c>
      <c r="BP83">
        <v>31</v>
      </c>
      <c r="BQ83">
        <v>26672.399999999998</v>
      </c>
      <c r="BR83">
        <v>27</v>
      </c>
      <c r="BS83">
        <v>23230.799999999999</v>
      </c>
      <c r="BT83">
        <v>19</v>
      </c>
      <c r="BU83">
        <v>16347.6</v>
      </c>
      <c r="BV83">
        <v>22</v>
      </c>
      <c r="BW83">
        <v>18928.8</v>
      </c>
      <c r="BX83">
        <v>52</v>
      </c>
      <c r="BY83">
        <v>44740.799999999996</v>
      </c>
      <c r="BZ83">
        <v>45</v>
      </c>
      <c r="CA83">
        <v>38718</v>
      </c>
      <c r="CB83">
        <v>46</v>
      </c>
      <c r="CC83">
        <v>39578.400000000001</v>
      </c>
      <c r="CD83">
        <v>39</v>
      </c>
      <c r="CE83">
        <v>33555.599999999999</v>
      </c>
      <c r="CF83">
        <v>50</v>
      </c>
      <c r="CG83">
        <v>43020</v>
      </c>
      <c r="CH83">
        <v>74</v>
      </c>
      <c r="CI83">
        <v>63669.599999999999</v>
      </c>
      <c r="CJ83">
        <v>84</v>
      </c>
      <c r="CK83">
        <v>72273.599999999991</v>
      </c>
      <c r="CL83">
        <v>75</v>
      </c>
      <c r="CM83">
        <v>64530</v>
      </c>
      <c r="CN83">
        <v>15</v>
      </c>
      <c r="CO83">
        <v>12906</v>
      </c>
      <c r="CP83">
        <v>21</v>
      </c>
      <c r="CQ83">
        <v>18068.399999999998</v>
      </c>
      <c r="CR83">
        <v>24</v>
      </c>
      <c r="CS83">
        <v>20649.599999999999</v>
      </c>
      <c r="CT83">
        <v>15</v>
      </c>
      <c r="CU83">
        <v>12906</v>
      </c>
    </row>
    <row r="84" spans="2:99" x14ac:dyDescent="0.2">
      <c r="C84" s="118" t="s">
        <v>250</v>
      </c>
      <c r="D84">
        <v>3.5784006879074668</v>
      </c>
      <c r="E84">
        <v>2795.4466173933129</v>
      </c>
      <c r="F84">
        <v>12</v>
      </c>
      <c r="G84">
        <v>9374.4</v>
      </c>
      <c r="H84">
        <v>18</v>
      </c>
      <c r="I84">
        <v>14061.599999999999</v>
      </c>
      <c r="J84">
        <v>14</v>
      </c>
      <c r="K84">
        <v>10936.8</v>
      </c>
      <c r="L84">
        <v>51</v>
      </c>
      <c r="M84">
        <v>39841.199999999997</v>
      </c>
      <c r="N84">
        <v>44</v>
      </c>
      <c r="O84">
        <v>34372.799999999996</v>
      </c>
      <c r="P84">
        <v>36</v>
      </c>
      <c r="Q84">
        <v>28123.199999999997</v>
      </c>
      <c r="R84">
        <v>40</v>
      </c>
      <c r="S84">
        <v>31247.999999999996</v>
      </c>
      <c r="T84">
        <v>43</v>
      </c>
      <c r="U84">
        <v>33591.599999999999</v>
      </c>
      <c r="V84">
        <v>33</v>
      </c>
      <c r="W84">
        <v>25779.599999999999</v>
      </c>
      <c r="X84">
        <v>42</v>
      </c>
      <c r="Y84">
        <v>32810.399999999994</v>
      </c>
      <c r="Z84">
        <v>41</v>
      </c>
      <c r="AA84">
        <v>32029.199999999997</v>
      </c>
      <c r="AB84">
        <v>14</v>
      </c>
      <c r="AC84">
        <v>10936.8</v>
      </c>
      <c r="AD84">
        <v>18</v>
      </c>
      <c r="AE84">
        <v>14061.599999999999</v>
      </c>
      <c r="AF84">
        <v>18</v>
      </c>
      <c r="AG84">
        <v>14061.599999999999</v>
      </c>
      <c r="AH84">
        <v>23</v>
      </c>
      <c r="AI84">
        <v>17967.599999999999</v>
      </c>
      <c r="AJ84">
        <v>74</v>
      </c>
      <c r="AK84">
        <v>57808.799999999996</v>
      </c>
      <c r="AL84">
        <v>68</v>
      </c>
      <c r="AM84">
        <v>53121.599999999999</v>
      </c>
      <c r="AN84">
        <v>84</v>
      </c>
      <c r="AO84">
        <v>65620.799999999988</v>
      </c>
      <c r="AP84">
        <v>47</v>
      </c>
      <c r="AQ84">
        <v>36716.399999999994</v>
      </c>
      <c r="AR84">
        <v>14</v>
      </c>
      <c r="AS84">
        <v>10936.8</v>
      </c>
      <c r="AT84">
        <v>13</v>
      </c>
      <c r="AU84">
        <v>10155.599999999999</v>
      </c>
      <c r="AV84">
        <v>9</v>
      </c>
      <c r="AW84">
        <v>7030.7999999999993</v>
      </c>
      <c r="AX84">
        <v>11</v>
      </c>
      <c r="AY84">
        <v>8593.1999999999989</v>
      </c>
      <c r="AZ84">
        <v>7</v>
      </c>
      <c r="BA84">
        <v>5468.4</v>
      </c>
      <c r="BB84">
        <v>8</v>
      </c>
      <c r="BC84">
        <v>6249.5999999999995</v>
      </c>
      <c r="BD84">
        <v>12</v>
      </c>
      <c r="BE84">
        <v>9374.4</v>
      </c>
      <c r="BF84">
        <v>8</v>
      </c>
      <c r="BG84">
        <v>6249.5999999999995</v>
      </c>
      <c r="BH84">
        <v>12</v>
      </c>
      <c r="BI84">
        <v>9374.4</v>
      </c>
      <c r="BJ84">
        <v>11</v>
      </c>
      <c r="BK84">
        <v>8593.1999999999989</v>
      </c>
      <c r="BL84">
        <v>8</v>
      </c>
      <c r="BM84">
        <v>6249.5999999999995</v>
      </c>
      <c r="BN84">
        <v>9</v>
      </c>
      <c r="BO84">
        <v>7030.7999999999993</v>
      </c>
      <c r="BP84">
        <v>30</v>
      </c>
      <c r="BQ84">
        <v>23435.999999999996</v>
      </c>
      <c r="BR84">
        <v>29</v>
      </c>
      <c r="BS84">
        <v>22654.799999999999</v>
      </c>
      <c r="BT84">
        <v>16</v>
      </c>
      <c r="BU84">
        <v>12499.199999999999</v>
      </c>
      <c r="BV84">
        <v>25</v>
      </c>
      <c r="BW84">
        <v>19530</v>
      </c>
      <c r="BX84">
        <v>45</v>
      </c>
      <c r="BY84">
        <v>35154</v>
      </c>
      <c r="BZ84">
        <v>44</v>
      </c>
      <c r="CA84">
        <v>34372.799999999996</v>
      </c>
      <c r="CB84">
        <v>46</v>
      </c>
      <c r="CC84">
        <v>35935.199999999997</v>
      </c>
      <c r="CD84">
        <v>36</v>
      </c>
      <c r="CE84">
        <v>28123.199999999997</v>
      </c>
      <c r="CF84">
        <v>54</v>
      </c>
      <c r="CG84">
        <v>42184.799999999996</v>
      </c>
      <c r="CH84">
        <v>68</v>
      </c>
      <c r="CI84">
        <v>53121.599999999999</v>
      </c>
      <c r="CJ84">
        <v>80</v>
      </c>
      <c r="CK84">
        <v>62495.999999999993</v>
      </c>
      <c r="CL84">
        <v>71</v>
      </c>
      <c r="CM84">
        <v>55465.2</v>
      </c>
      <c r="CN84">
        <v>15</v>
      </c>
      <c r="CO84">
        <v>11717.999999999998</v>
      </c>
      <c r="CP84">
        <v>20</v>
      </c>
      <c r="CQ84">
        <v>15623.999999999998</v>
      </c>
      <c r="CR84">
        <v>22</v>
      </c>
      <c r="CS84">
        <v>17186.399999999998</v>
      </c>
      <c r="CT84">
        <v>14</v>
      </c>
      <c r="CU84">
        <v>10936.8</v>
      </c>
    </row>
    <row r="85" spans="2:99" x14ac:dyDescent="0.2">
      <c r="C85" s="118" t="s">
        <v>251</v>
      </c>
      <c r="D85">
        <v>4.0555207796284627</v>
      </c>
      <c r="E85">
        <v>608.32811694426937</v>
      </c>
      <c r="F85">
        <v>14</v>
      </c>
      <c r="G85">
        <v>2100</v>
      </c>
      <c r="H85">
        <v>19</v>
      </c>
      <c r="I85">
        <v>2850</v>
      </c>
      <c r="J85">
        <v>14</v>
      </c>
      <c r="K85">
        <v>2100</v>
      </c>
      <c r="L85">
        <v>57</v>
      </c>
      <c r="M85">
        <v>8550</v>
      </c>
      <c r="N85">
        <v>44</v>
      </c>
      <c r="O85">
        <v>6600</v>
      </c>
      <c r="P85">
        <v>42</v>
      </c>
      <c r="Q85">
        <v>6300</v>
      </c>
      <c r="R85">
        <v>36</v>
      </c>
      <c r="S85">
        <v>5400</v>
      </c>
      <c r="T85">
        <v>41</v>
      </c>
      <c r="U85">
        <v>6150</v>
      </c>
      <c r="V85">
        <v>35</v>
      </c>
      <c r="W85">
        <v>5250</v>
      </c>
      <c r="X85">
        <v>51</v>
      </c>
      <c r="Y85">
        <v>7650</v>
      </c>
      <c r="Z85">
        <v>48</v>
      </c>
      <c r="AA85">
        <v>7200</v>
      </c>
      <c r="AB85">
        <v>15</v>
      </c>
      <c r="AC85">
        <v>2250</v>
      </c>
      <c r="AD85">
        <v>20</v>
      </c>
      <c r="AE85">
        <v>3000</v>
      </c>
      <c r="AF85">
        <v>17</v>
      </c>
      <c r="AG85">
        <v>2550</v>
      </c>
      <c r="AH85">
        <v>21</v>
      </c>
      <c r="AI85">
        <v>3150</v>
      </c>
      <c r="AJ85">
        <v>95</v>
      </c>
      <c r="AK85">
        <v>14250</v>
      </c>
      <c r="AL85">
        <v>74</v>
      </c>
      <c r="AM85">
        <v>11100</v>
      </c>
      <c r="AN85">
        <v>94</v>
      </c>
      <c r="AO85">
        <v>14100</v>
      </c>
      <c r="AP85">
        <v>62</v>
      </c>
      <c r="AQ85">
        <v>9300</v>
      </c>
      <c r="AR85">
        <v>16</v>
      </c>
      <c r="AS85">
        <v>2400</v>
      </c>
      <c r="AT85">
        <v>12</v>
      </c>
      <c r="AU85">
        <v>1800</v>
      </c>
      <c r="AV85">
        <v>10</v>
      </c>
      <c r="AW85">
        <v>1500</v>
      </c>
      <c r="AX85">
        <v>11</v>
      </c>
      <c r="AY85">
        <v>1650</v>
      </c>
      <c r="AZ85">
        <v>8</v>
      </c>
      <c r="BA85">
        <v>1200</v>
      </c>
      <c r="BB85">
        <v>8</v>
      </c>
      <c r="BC85">
        <v>1200</v>
      </c>
      <c r="BD85">
        <v>14</v>
      </c>
      <c r="BE85">
        <v>2100</v>
      </c>
      <c r="BF85">
        <v>8</v>
      </c>
      <c r="BG85">
        <v>1200</v>
      </c>
      <c r="BH85">
        <v>11</v>
      </c>
      <c r="BI85">
        <v>1650</v>
      </c>
      <c r="BJ85">
        <v>13</v>
      </c>
      <c r="BK85">
        <v>1950</v>
      </c>
      <c r="BL85">
        <v>9</v>
      </c>
      <c r="BM85">
        <v>1350</v>
      </c>
      <c r="BN85">
        <v>10</v>
      </c>
      <c r="BO85">
        <v>1500</v>
      </c>
      <c r="BP85">
        <v>35</v>
      </c>
      <c r="BQ85">
        <v>5250</v>
      </c>
      <c r="BR85">
        <v>29</v>
      </c>
      <c r="BS85">
        <v>4350</v>
      </c>
      <c r="BT85">
        <v>18</v>
      </c>
      <c r="BU85">
        <v>2700</v>
      </c>
      <c r="BV85">
        <v>23</v>
      </c>
      <c r="BW85">
        <v>3450</v>
      </c>
      <c r="BX85">
        <v>57</v>
      </c>
      <c r="BY85">
        <v>8550</v>
      </c>
      <c r="BZ85">
        <v>44</v>
      </c>
      <c r="CA85">
        <v>6600</v>
      </c>
      <c r="CB85">
        <v>52</v>
      </c>
      <c r="CC85">
        <v>7800</v>
      </c>
      <c r="CD85">
        <v>39</v>
      </c>
      <c r="CE85">
        <v>5850</v>
      </c>
      <c r="CF85">
        <v>59</v>
      </c>
      <c r="CG85">
        <v>8850</v>
      </c>
      <c r="CH85">
        <v>90</v>
      </c>
      <c r="CI85">
        <v>13500</v>
      </c>
      <c r="CJ85">
        <v>96</v>
      </c>
      <c r="CK85">
        <v>14400</v>
      </c>
      <c r="CL85">
        <v>74</v>
      </c>
      <c r="CM85">
        <v>11100</v>
      </c>
      <c r="CN85">
        <v>16</v>
      </c>
      <c r="CO85">
        <v>2400</v>
      </c>
      <c r="CP85">
        <v>22</v>
      </c>
      <c r="CQ85">
        <v>3300</v>
      </c>
      <c r="CR85">
        <v>26</v>
      </c>
      <c r="CS85">
        <v>3900</v>
      </c>
      <c r="CT85">
        <v>15</v>
      </c>
      <c r="CU85">
        <v>2250</v>
      </c>
    </row>
    <row r="86" spans="2:99" x14ac:dyDescent="0.2">
      <c r="C86" s="118" t="s">
        <v>252</v>
      </c>
      <c r="D86">
        <v>3.8169607337679645</v>
      </c>
      <c r="E86">
        <v>2061.1587962347007</v>
      </c>
      <c r="F86">
        <v>13</v>
      </c>
      <c r="G86">
        <v>7020</v>
      </c>
      <c r="H86">
        <v>19</v>
      </c>
      <c r="I86">
        <v>10260</v>
      </c>
      <c r="J86">
        <v>12</v>
      </c>
      <c r="K86">
        <v>6480</v>
      </c>
      <c r="L86">
        <v>56</v>
      </c>
      <c r="M86">
        <v>30240</v>
      </c>
      <c r="N86">
        <v>45</v>
      </c>
      <c r="O86">
        <v>24300</v>
      </c>
      <c r="P86">
        <v>37</v>
      </c>
      <c r="Q86">
        <v>19980</v>
      </c>
      <c r="R86">
        <v>38</v>
      </c>
      <c r="S86">
        <v>20520</v>
      </c>
      <c r="T86">
        <v>45</v>
      </c>
      <c r="U86">
        <v>24300</v>
      </c>
      <c r="V86">
        <v>32</v>
      </c>
      <c r="W86">
        <v>17280</v>
      </c>
      <c r="X86">
        <v>45</v>
      </c>
      <c r="Y86">
        <v>24300</v>
      </c>
      <c r="Z86">
        <v>43</v>
      </c>
      <c r="AA86">
        <v>23220</v>
      </c>
      <c r="AB86">
        <v>15</v>
      </c>
      <c r="AC86">
        <v>8100</v>
      </c>
      <c r="AD86">
        <v>17</v>
      </c>
      <c r="AE86">
        <v>9180</v>
      </c>
      <c r="AF86">
        <v>18</v>
      </c>
      <c r="AG86">
        <v>9720</v>
      </c>
      <c r="AH86">
        <v>23</v>
      </c>
      <c r="AI86">
        <v>12420</v>
      </c>
      <c r="AJ86">
        <v>91</v>
      </c>
      <c r="AK86">
        <v>49140</v>
      </c>
      <c r="AL86">
        <v>71</v>
      </c>
      <c r="AM86">
        <v>38340</v>
      </c>
      <c r="AN86">
        <v>89</v>
      </c>
      <c r="AO86">
        <v>48060</v>
      </c>
      <c r="AP86">
        <v>54</v>
      </c>
      <c r="AQ86">
        <v>29160</v>
      </c>
      <c r="AR86">
        <v>14</v>
      </c>
      <c r="AS86">
        <v>7560</v>
      </c>
      <c r="AT86">
        <v>12</v>
      </c>
      <c r="AU86">
        <v>6480</v>
      </c>
      <c r="AV86">
        <v>9</v>
      </c>
      <c r="AW86">
        <v>4860</v>
      </c>
      <c r="AX86">
        <v>11</v>
      </c>
      <c r="AY86">
        <v>5940</v>
      </c>
      <c r="AZ86">
        <v>8</v>
      </c>
      <c r="BA86">
        <v>4320</v>
      </c>
      <c r="BB86">
        <v>9</v>
      </c>
      <c r="BC86">
        <v>4860</v>
      </c>
      <c r="BD86">
        <v>13</v>
      </c>
      <c r="BE86">
        <v>7020</v>
      </c>
      <c r="BF86">
        <v>7</v>
      </c>
      <c r="BG86">
        <v>3780</v>
      </c>
      <c r="BH86">
        <v>11</v>
      </c>
      <c r="BI86">
        <v>5940</v>
      </c>
      <c r="BJ86">
        <v>11</v>
      </c>
      <c r="BK86">
        <v>5940</v>
      </c>
      <c r="BL86">
        <v>8</v>
      </c>
      <c r="BM86">
        <v>4320</v>
      </c>
      <c r="BN86">
        <v>9</v>
      </c>
      <c r="BO86">
        <v>4860</v>
      </c>
      <c r="BP86">
        <v>36</v>
      </c>
      <c r="BQ86">
        <v>19440</v>
      </c>
      <c r="BR86">
        <v>30</v>
      </c>
      <c r="BS86">
        <v>16200</v>
      </c>
      <c r="BT86">
        <v>19</v>
      </c>
      <c r="BU86">
        <v>10260</v>
      </c>
      <c r="BV86">
        <v>25</v>
      </c>
      <c r="BW86">
        <v>13500</v>
      </c>
      <c r="BX86">
        <v>46</v>
      </c>
      <c r="BY86">
        <v>24840</v>
      </c>
      <c r="BZ86">
        <v>49</v>
      </c>
      <c r="CA86">
        <v>26460</v>
      </c>
      <c r="CB86">
        <v>46</v>
      </c>
      <c r="CC86">
        <v>24840</v>
      </c>
      <c r="CD86">
        <v>40</v>
      </c>
      <c r="CE86">
        <v>21600</v>
      </c>
      <c r="CF86">
        <v>52</v>
      </c>
      <c r="CG86">
        <v>28080</v>
      </c>
      <c r="CH86">
        <v>72</v>
      </c>
      <c r="CI86">
        <v>38880</v>
      </c>
      <c r="CJ86">
        <v>90</v>
      </c>
      <c r="CK86">
        <v>48600</v>
      </c>
      <c r="CL86">
        <v>71</v>
      </c>
      <c r="CM86">
        <v>38340</v>
      </c>
      <c r="CN86">
        <v>17</v>
      </c>
      <c r="CO86">
        <v>9180</v>
      </c>
      <c r="CP86">
        <v>23</v>
      </c>
      <c r="CQ86">
        <v>12420</v>
      </c>
      <c r="CR86">
        <v>23</v>
      </c>
      <c r="CS86">
        <v>12420</v>
      </c>
      <c r="CT86">
        <v>16</v>
      </c>
      <c r="CU86">
        <v>8640</v>
      </c>
    </row>
    <row r="87" spans="2:99" x14ac:dyDescent="0.2">
      <c r="B87" s="118" t="s">
        <v>131</v>
      </c>
      <c r="C87" s="118" t="s">
        <v>253</v>
      </c>
      <c r="D87">
        <v>1.4313602751629868</v>
      </c>
      <c r="E87">
        <v>2798.0230658886067</v>
      </c>
      <c r="F87">
        <v>7</v>
      </c>
      <c r="G87">
        <v>13683.6</v>
      </c>
      <c r="H87">
        <v>7</v>
      </c>
      <c r="I87">
        <v>13683.6</v>
      </c>
      <c r="J87">
        <v>11</v>
      </c>
      <c r="K87">
        <v>21502.799999999999</v>
      </c>
      <c r="L87">
        <v>9</v>
      </c>
      <c r="M87">
        <v>17593.2</v>
      </c>
      <c r="N87">
        <v>9</v>
      </c>
      <c r="O87">
        <v>17593.2</v>
      </c>
      <c r="P87">
        <v>12</v>
      </c>
      <c r="Q87">
        <v>23457.599999999999</v>
      </c>
      <c r="R87">
        <v>13</v>
      </c>
      <c r="S87">
        <v>25412.399999999998</v>
      </c>
      <c r="T87">
        <v>8</v>
      </c>
      <c r="U87">
        <v>15638.4</v>
      </c>
      <c r="V87">
        <v>13</v>
      </c>
      <c r="W87">
        <v>25412.399999999998</v>
      </c>
      <c r="X87">
        <v>13</v>
      </c>
      <c r="Y87">
        <v>25412.399999999998</v>
      </c>
      <c r="Z87">
        <v>10</v>
      </c>
      <c r="AA87">
        <v>19548</v>
      </c>
      <c r="AB87">
        <v>6</v>
      </c>
      <c r="AC87">
        <v>11728.8</v>
      </c>
      <c r="AD87">
        <v>10</v>
      </c>
      <c r="AE87">
        <v>19548</v>
      </c>
      <c r="AF87">
        <v>10</v>
      </c>
      <c r="AG87">
        <v>19548</v>
      </c>
      <c r="AH87">
        <v>9</v>
      </c>
      <c r="AI87">
        <v>17593.2</v>
      </c>
      <c r="AJ87">
        <v>6</v>
      </c>
      <c r="AK87">
        <v>11728.8</v>
      </c>
      <c r="AL87">
        <v>9</v>
      </c>
      <c r="AM87">
        <v>17593.2</v>
      </c>
      <c r="AN87">
        <v>12</v>
      </c>
      <c r="AO87">
        <v>23457.599999999999</v>
      </c>
      <c r="AP87">
        <v>10</v>
      </c>
      <c r="AQ87">
        <v>19548</v>
      </c>
      <c r="AR87">
        <v>18</v>
      </c>
      <c r="AS87">
        <v>35186.400000000001</v>
      </c>
      <c r="AT87">
        <v>16</v>
      </c>
      <c r="AU87">
        <v>31276.799999999999</v>
      </c>
      <c r="AV87">
        <v>18</v>
      </c>
      <c r="AW87">
        <v>35186.400000000001</v>
      </c>
      <c r="AX87">
        <v>15</v>
      </c>
      <c r="AY87">
        <v>29322</v>
      </c>
      <c r="AZ87">
        <v>10</v>
      </c>
      <c r="BA87">
        <v>19548</v>
      </c>
      <c r="BB87">
        <v>12</v>
      </c>
      <c r="BC87">
        <v>23457.599999999999</v>
      </c>
      <c r="BD87">
        <v>10</v>
      </c>
      <c r="BE87">
        <v>19548</v>
      </c>
      <c r="BF87">
        <v>8</v>
      </c>
      <c r="BG87">
        <v>15638.4</v>
      </c>
      <c r="BH87">
        <v>19</v>
      </c>
      <c r="BI87">
        <v>37141.199999999997</v>
      </c>
      <c r="BJ87">
        <v>28</v>
      </c>
      <c r="BK87">
        <v>54734.400000000001</v>
      </c>
      <c r="BL87">
        <v>30</v>
      </c>
      <c r="BM87">
        <v>58644</v>
      </c>
      <c r="BN87">
        <v>34</v>
      </c>
      <c r="BO87">
        <v>66463.199999999997</v>
      </c>
      <c r="BP87">
        <v>13</v>
      </c>
      <c r="BQ87">
        <v>25412.399999999998</v>
      </c>
      <c r="BR87">
        <v>18</v>
      </c>
      <c r="BS87">
        <v>35186.400000000001</v>
      </c>
      <c r="BT87">
        <v>9</v>
      </c>
      <c r="BU87">
        <v>17593.2</v>
      </c>
      <c r="BV87">
        <v>9</v>
      </c>
      <c r="BW87">
        <v>17593.2</v>
      </c>
      <c r="BX87">
        <v>8</v>
      </c>
      <c r="BY87">
        <v>15638.4</v>
      </c>
      <c r="BZ87">
        <v>13</v>
      </c>
      <c r="CA87">
        <v>25412.399999999998</v>
      </c>
      <c r="CB87">
        <v>9</v>
      </c>
      <c r="CC87">
        <v>17593.2</v>
      </c>
      <c r="CD87">
        <v>10</v>
      </c>
      <c r="CE87">
        <v>19548</v>
      </c>
      <c r="CF87">
        <v>11</v>
      </c>
      <c r="CG87">
        <v>21502.799999999999</v>
      </c>
      <c r="CH87">
        <v>10</v>
      </c>
      <c r="CI87">
        <v>19548</v>
      </c>
      <c r="CJ87">
        <v>17</v>
      </c>
      <c r="CK87">
        <v>33231.599999999999</v>
      </c>
      <c r="CL87">
        <v>13</v>
      </c>
      <c r="CM87">
        <v>25412.399999999998</v>
      </c>
      <c r="CN87">
        <v>28</v>
      </c>
      <c r="CO87">
        <v>54734.400000000001</v>
      </c>
      <c r="CP87">
        <v>30</v>
      </c>
      <c r="CQ87">
        <v>58644</v>
      </c>
      <c r="CR87">
        <v>27</v>
      </c>
      <c r="CS87">
        <v>52779.6</v>
      </c>
      <c r="CT87">
        <v>23</v>
      </c>
      <c r="CU87">
        <v>44960.4</v>
      </c>
    </row>
    <row r="88" spans="2:99" x14ac:dyDescent="0.2">
      <c r="C88" s="118" t="s">
        <v>254</v>
      </c>
      <c r="D88">
        <v>1.4313602751629868</v>
      </c>
      <c r="E88">
        <v>2708.7061847184359</v>
      </c>
      <c r="F88">
        <v>7</v>
      </c>
      <c r="G88">
        <v>13246.8</v>
      </c>
      <c r="H88">
        <v>7</v>
      </c>
      <c r="I88">
        <v>13246.8</v>
      </c>
      <c r="J88">
        <v>11</v>
      </c>
      <c r="K88">
        <v>20816.399999999998</v>
      </c>
      <c r="L88">
        <v>9</v>
      </c>
      <c r="M88">
        <v>17031.599999999999</v>
      </c>
      <c r="N88">
        <v>9</v>
      </c>
      <c r="O88">
        <v>17031.599999999999</v>
      </c>
      <c r="P88">
        <v>11</v>
      </c>
      <c r="Q88">
        <v>20816.399999999998</v>
      </c>
      <c r="R88">
        <v>14</v>
      </c>
      <c r="S88">
        <v>26493.599999999999</v>
      </c>
      <c r="T88">
        <v>9</v>
      </c>
      <c r="U88">
        <v>17031.599999999999</v>
      </c>
      <c r="V88">
        <v>13</v>
      </c>
      <c r="W88">
        <v>24601.199999999997</v>
      </c>
      <c r="X88">
        <v>12</v>
      </c>
      <c r="Y88">
        <v>22708.799999999999</v>
      </c>
      <c r="Z88">
        <v>10</v>
      </c>
      <c r="AA88">
        <v>18924</v>
      </c>
      <c r="AB88">
        <v>5</v>
      </c>
      <c r="AC88">
        <v>9462</v>
      </c>
      <c r="AD88">
        <v>10</v>
      </c>
      <c r="AE88">
        <v>18924</v>
      </c>
      <c r="AF88">
        <v>10</v>
      </c>
      <c r="AG88">
        <v>18924</v>
      </c>
      <c r="AH88">
        <v>9</v>
      </c>
      <c r="AI88">
        <v>17031.599999999999</v>
      </c>
      <c r="AJ88">
        <v>7</v>
      </c>
      <c r="AK88">
        <v>13246.8</v>
      </c>
      <c r="AL88">
        <v>9</v>
      </c>
      <c r="AM88">
        <v>17031.599999999999</v>
      </c>
      <c r="AN88">
        <v>12</v>
      </c>
      <c r="AO88">
        <v>22708.799999999999</v>
      </c>
      <c r="AP88">
        <v>10</v>
      </c>
      <c r="AQ88">
        <v>18924</v>
      </c>
      <c r="AR88">
        <v>18</v>
      </c>
      <c r="AS88">
        <v>34063.199999999997</v>
      </c>
      <c r="AT88">
        <v>17</v>
      </c>
      <c r="AU88">
        <v>32170.799999999999</v>
      </c>
      <c r="AV88">
        <v>17</v>
      </c>
      <c r="AW88">
        <v>32170.799999999999</v>
      </c>
      <c r="AX88">
        <v>16</v>
      </c>
      <c r="AY88">
        <v>30278.399999999998</v>
      </c>
      <c r="AZ88">
        <v>9</v>
      </c>
      <c r="BA88">
        <v>17031.599999999999</v>
      </c>
      <c r="BB88">
        <v>12</v>
      </c>
      <c r="BC88">
        <v>22708.799999999999</v>
      </c>
      <c r="BD88">
        <v>9</v>
      </c>
      <c r="BE88">
        <v>17031.599999999999</v>
      </c>
      <c r="BF88">
        <v>10</v>
      </c>
      <c r="BG88">
        <v>18924</v>
      </c>
      <c r="BH88">
        <v>22</v>
      </c>
      <c r="BI88">
        <v>41632.799999999996</v>
      </c>
      <c r="BJ88">
        <v>27</v>
      </c>
      <c r="BK88">
        <v>51094.799999999996</v>
      </c>
      <c r="BL88">
        <v>28</v>
      </c>
      <c r="BM88">
        <v>52987.199999999997</v>
      </c>
      <c r="BN88">
        <v>35</v>
      </c>
      <c r="BO88">
        <v>66234</v>
      </c>
      <c r="BP88">
        <v>14</v>
      </c>
      <c r="BQ88">
        <v>26493.599999999999</v>
      </c>
      <c r="BR88">
        <v>17</v>
      </c>
      <c r="BS88">
        <v>32170.799999999999</v>
      </c>
      <c r="BT88">
        <v>9</v>
      </c>
      <c r="BU88">
        <v>17031.599999999999</v>
      </c>
      <c r="BV88">
        <v>10</v>
      </c>
      <c r="BW88">
        <v>18924</v>
      </c>
      <c r="BX88">
        <v>9</v>
      </c>
      <c r="BY88">
        <v>17031.599999999999</v>
      </c>
      <c r="BZ88">
        <v>12</v>
      </c>
      <c r="CA88">
        <v>22708.799999999999</v>
      </c>
      <c r="CB88">
        <v>8</v>
      </c>
      <c r="CC88">
        <v>15139.199999999999</v>
      </c>
      <c r="CD88">
        <v>10</v>
      </c>
      <c r="CE88">
        <v>18924</v>
      </c>
      <c r="CF88">
        <v>11</v>
      </c>
      <c r="CG88">
        <v>20816.399999999998</v>
      </c>
      <c r="CH88">
        <v>10</v>
      </c>
      <c r="CI88">
        <v>18924</v>
      </c>
      <c r="CJ88">
        <v>17</v>
      </c>
      <c r="CK88">
        <v>32170.799999999999</v>
      </c>
      <c r="CL88">
        <v>15</v>
      </c>
      <c r="CM88">
        <v>28385.999999999996</v>
      </c>
      <c r="CN88">
        <v>28</v>
      </c>
      <c r="CO88">
        <v>52987.199999999997</v>
      </c>
      <c r="CP88">
        <v>35</v>
      </c>
      <c r="CQ88">
        <v>66234</v>
      </c>
      <c r="CR88">
        <v>24</v>
      </c>
      <c r="CS88">
        <v>45417.599999999999</v>
      </c>
      <c r="CT88">
        <v>23</v>
      </c>
      <c r="CU88">
        <v>43525.2</v>
      </c>
    </row>
    <row r="89" spans="2:99" x14ac:dyDescent="0.2">
      <c r="C89" s="118" t="s">
        <v>255</v>
      </c>
      <c r="D89">
        <v>1.4313602751629868</v>
      </c>
      <c r="E89">
        <v>3431.8293957307769</v>
      </c>
      <c r="F89">
        <v>7</v>
      </c>
      <c r="G89">
        <v>16783.2</v>
      </c>
      <c r="H89">
        <v>6</v>
      </c>
      <c r="I89">
        <v>14385.599999999999</v>
      </c>
      <c r="J89">
        <v>10</v>
      </c>
      <c r="K89">
        <v>23976</v>
      </c>
      <c r="L89">
        <v>9</v>
      </c>
      <c r="M89">
        <v>21578.399999999998</v>
      </c>
      <c r="N89">
        <v>8</v>
      </c>
      <c r="O89">
        <v>19180.8</v>
      </c>
      <c r="P89">
        <v>11</v>
      </c>
      <c r="Q89">
        <v>26373.599999999999</v>
      </c>
      <c r="R89">
        <v>14</v>
      </c>
      <c r="S89">
        <v>33566.400000000001</v>
      </c>
      <c r="T89">
        <v>9</v>
      </c>
      <c r="U89">
        <v>21578.399999999998</v>
      </c>
      <c r="V89">
        <v>12</v>
      </c>
      <c r="W89">
        <v>28771.199999999997</v>
      </c>
      <c r="X89">
        <v>11</v>
      </c>
      <c r="Y89">
        <v>26373.599999999999</v>
      </c>
      <c r="Z89">
        <v>9</v>
      </c>
      <c r="AA89">
        <v>21578.399999999998</v>
      </c>
      <c r="AB89">
        <v>5</v>
      </c>
      <c r="AC89">
        <v>11988</v>
      </c>
      <c r="AD89">
        <v>10</v>
      </c>
      <c r="AE89">
        <v>23976</v>
      </c>
      <c r="AF89">
        <v>10</v>
      </c>
      <c r="AG89">
        <v>23976</v>
      </c>
      <c r="AH89">
        <v>9</v>
      </c>
      <c r="AI89">
        <v>21578.399999999998</v>
      </c>
      <c r="AJ89">
        <v>6</v>
      </c>
      <c r="AK89">
        <v>14385.599999999999</v>
      </c>
      <c r="AL89">
        <v>9</v>
      </c>
      <c r="AM89">
        <v>21578.399999999998</v>
      </c>
      <c r="AN89">
        <v>11</v>
      </c>
      <c r="AO89">
        <v>26373.599999999999</v>
      </c>
      <c r="AP89">
        <v>9</v>
      </c>
      <c r="AQ89">
        <v>21578.399999999998</v>
      </c>
      <c r="AR89">
        <v>16</v>
      </c>
      <c r="AS89">
        <v>38361.599999999999</v>
      </c>
      <c r="AT89">
        <v>15</v>
      </c>
      <c r="AU89">
        <v>35964</v>
      </c>
      <c r="AV89">
        <v>18</v>
      </c>
      <c r="AW89">
        <v>43156.799999999996</v>
      </c>
      <c r="AX89">
        <v>15</v>
      </c>
      <c r="AY89">
        <v>35964</v>
      </c>
      <c r="AZ89">
        <v>9</v>
      </c>
      <c r="BA89">
        <v>21578.399999999998</v>
      </c>
      <c r="BB89">
        <v>11</v>
      </c>
      <c r="BC89">
        <v>26373.599999999999</v>
      </c>
      <c r="BD89">
        <v>10</v>
      </c>
      <c r="BE89">
        <v>23976</v>
      </c>
      <c r="BF89">
        <v>9</v>
      </c>
      <c r="BG89">
        <v>21578.399999999998</v>
      </c>
      <c r="BH89">
        <v>20</v>
      </c>
      <c r="BI89">
        <v>47952</v>
      </c>
      <c r="BJ89">
        <v>24</v>
      </c>
      <c r="BK89">
        <v>57542.399999999994</v>
      </c>
      <c r="BL89">
        <v>30</v>
      </c>
      <c r="BM89">
        <v>71928</v>
      </c>
      <c r="BN89">
        <v>29</v>
      </c>
      <c r="BO89">
        <v>69530.399999999994</v>
      </c>
      <c r="BP89">
        <v>13</v>
      </c>
      <c r="BQ89">
        <v>31168.799999999999</v>
      </c>
      <c r="BR89">
        <v>16</v>
      </c>
      <c r="BS89">
        <v>38361.599999999999</v>
      </c>
      <c r="BT89">
        <v>9</v>
      </c>
      <c r="BU89">
        <v>21578.399999999998</v>
      </c>
      <c r="BV89">
        <v>10</v>
      </c>
      <c r="BW89">
        <v>23976</v>
      </c>
      <c r="BX89">
        <v>8</v>
      </c>
      <c r="BY89">
        <v>19180.8</v>
      </c>
      <c r="BZ89">
        <v>13</v>
      </c>
      <c r="CA89">
        <v>31168.799999999999</v>
      </c>
      <c r="CB89">
        <v>8</v>
      </c>
      <c r="CC89">
        <v>19180.8</v>
      </c>
      <c r="CD89">
        <v>9</v>
      </c>
      <c r="CE89">
        <v>21578.399999999998</v>
      </c>
      <c r="CF89">
        <v>10</v>
      </c>
      <c r="CG89">
        <v>23976</v>
      </c>
      <c r="CH89">
        <v>11</v>
      </c>
      <c r="CI89">
        <v>26373.599999999999</v>
      </c>
      <c r="CJ89">
        <v>18</v>
      </c>
      <c r="CK89">
        <v>43156.799999999996</v>
      </c>
      <c r="CL89">
        <v>13</v>
      </c>
      <c r="CM89">
        <v>31168.799999999999</v>
      </c>
      <c r="CN89">
        <v>25</v>
      </c>
      <c r="CO89">
        <v>59940</v>
      </c>
      <c r="CP89">
        <v>32</v>
      </c>
      <c r="CQ89">
        <v>76723.199999999997</v>
      </c>
      <c r="CR89">
        <v>24</v>
      </c>
      <c r="CS89">
        <v>57542.399999999994</v>
      </c>
      <c r="CT89">
        <v>21</v>
      </c>
      <c r="CU89">
        <v>50349.599999999999</v>
      </c>
    </row>
    <row r="90" spans="2:99" x14ac:dyDescent="0.2">
      <c r="C90" s="118" t="s">
        <v>256</v>
      </c>
      <c r="D90">
        <v>1.1928002293024889</v>
      </c>
      <c r="E90">
        <v>2620.8206638234283</v>
      </c>
      <c r="F90">
        <v>7</v>
      </c>
      <c r="G90">
        <v>15380.399999999998</v>
      </c>
      <c r="H90">
        <v>7</v>
      </c>
      <c r="I90">
        <v>15380.399999999998</v>
      </c>
      <c r="J90">
        <v>10</v>
      </c>
      <c r="K90">
        <v>21972</v>
      </c>
      <c r="L90">
        <v>8</v>
      </c>
      <c r="M90">
        <v>17577.599999999999</v>
      </c>
      <c r="N90">
        <v>8</v>
      </c>
      <c r="O90">
        <v>17577.599999999999</v>
      </c>
      <c r="P90">
        <v>10</v>
      </c>
      <c r="Q90">
        <v>21972</v>
      </c>
      <c r="R90">
        <v>12</v>
      </c>
      <c r="S90">
        <v>26366.399999999998</v>
      </c>
      <c r="T90">
        <v>10</v>
      </c>
      <c r="U90">
        <v>21972</v>
      </c>
      <c r="V90">
        <v>12</v>
      </c>
      <c r="W90">
        <v>26366.399999999998</v>
      </c>
      <c r="X90">
        <v>12</v>
      </c>
      <c r="Y90">
        <v>26366.399999999998</v>
      </c>
      <c r="Z90">
        <v>9</v>
      </c>
      <c r="AA90">
        <v>19774.8</v>
      </c>
      <c r="AB90">
        <v>5</v>
      </c>
      <c r="AC90">
        <v>10986</v>
      </c>
      <c r="AD90">
        <v>10</v>
      </c>
      <c r="AE90">
        <v>21972</v>
      </c>
      <c r="AF90">
        <v>10</v>
      </c>
      <c r="AG90">
        <v>21972</v>
      </c>
      <c r="AH90">
        <v>8</v>
      </c>
      <c r="AI90">
        <v>17577.599999999999</v>
      </c>
      <c r="AJ90">
        <v>6</v>
      </c>
      <c r="AK90">
        <v>13183.199999999999</v>
      </c>
      <c r="AL90">
        <v>8</v>
      </c>
      <c r="AM90">
        <v>17577.599999999999</v>
      </c>
      <c r="AN90">
        <v>10</v>
      </c>
      <c r="AO90">
        <v>21972</v>
      </c>
      <c r="AP90">
        <v>9</v>
      </c>
      <c r="AQ90">
        <v>19774.8</v>
      </c>
      <c r="AR90">
        <v>18</v>
      </c>
      <c r="AS90">
        <v>39549.599999999999</v>
      </c>
      <c r="AT90">
        <v>15</v>
      </c>
      <c r="AU90">
        <v>32958</v>
      </c>
      <c r="AV90">
        <v>18</v>
      </c>
      <c r="AW90">
        <v>39549.599999999999</v>
      </c>
      <c r="AX90">
        <v>15</v>
      </c>
      <c r="AY90">
        <v>32958</v>
      </c>
      <c r="AZ90">
        <v>10</v>
      </c>
      <c r="BA90">
        <v>21972</v>
      </c>
      <c r="BB90">
        <v>12</v>
      </c>
      <c r="BC90">
        <v>26366.399999999998</v>
      </c>
      <c r="BD90">
        <v>10</v>
      </c>
      <c r="BE90">
        <v>21972</v>
      </c>
      <c r="BF90">
        <v>10</v>
      </c>
      <c r="BG90">
        <v>21972</v>
      </c>
      <c r="BH90">
        <v>19</v>
      </c>
      <c r="BI90">
        <v>41746.799999999996</v>
      </c>
      <c r="BJ90">
        <v>26</v>
      </c>
      <c r="BK90">
        <v>57127.199999999997</v>
      </c>
      <c r="BL90">
        <v>26</v>
      </c>
      <c r="BM90">
        <v>57127.199999999997</v>
      </c>
      <c r="BN90">
        <v>33</v>
      </c>
      <c r="BO90">
        <v>72507.599999999991</v>
      </c>
      <c r="BP90">
        <v>13</v>
      </c>
      <c r="BQ90">
        <v>28563.599999999999</v>
      </c>
      <c r="BR90">
        <v>15</v>
      </c>
      <c r="BS90">
        <v>32958</v>
      </c>
      <c r="BT90">
        <v>9</v>
      </c>
      <c r="BU90">
        <v>19774.8</v>
      </c>
      <c r="BV90">
        <v>10</v>
      </c>
      <c r="BW90">
        <v>21972</v>
      </c>
      <c r="BX90">
        <v>8</v>
      </c>
      <c r="BY90">
        <v>17577.599999999999</v>
      </c>
      <c r="BZ90">
        <v>12</v>
      </c>
      <c r="CA90">
        <v>26366.399999999998</v>
      </c>
      <c r="CB90">
        <v>8</v>
      </c>
      <c r="CC90">
        <v>17577.599999999999</v>
      </c>
      <c r="CD90">
        <v>8</v>
      </c>
      <c r="CE90">
        <v>17577.599999999999</v>
      </c>
      <c r="CF90">
        <v>11</v>
      </c>
      <c r="CG90">
        <v>24169.199999999997</v>
      </c>
      <c r="CH90">
        <v>10</v>
      </c>
      <c r="CI90">
        <v>21972</v>
      </c>
      <c r="CJ90">
        <v>18</v>
      </c>
      <c r="CK90">
        <v>39549.599999999999</v>
      </c>
      <c r="CL90">
        <v>15</v>
      </c>
      <c r="CM90">
        <v>32958</v>
      </c>
      <c r="CN90">
        <v>28</v>
      </c>
      <c r="CO90">
        <v>61521.599999999991</v>
      </c>
      <c r="CP90">
        <v>32</v>
      </c>
      <c r="CQ90">
        <v>70310.399999999994</v>
      </c>
      <c r="CR90">
        <v>23</v>
      </c>
      <c r="CS90">
        <v>50535.6</v>
      </c>
      <c r="CT90">
        <v>24</v>
      </c>
      <c r="CU90">
        <v>52732.799999999996</v>
      </c>
    </row>
    <row r="91" spans="2:99" x14ac:dyDescent="0.2">
      <c r="C91" s="118" t="s">
        <v>257</v>
      </c>
      <c r="D91">
        <v>1.4313602751629868</v>
      </c>
      <c r="E91">
        <v>3287.5482799943479</v>
      </c>
      <c r="F91">
        <v>7</v>
      </c>
      <c r="G91">
        <v>16077.599999999999</v>
      </c>
      <c r="H91">
        <v>7</v>
      </c>
      <c r="I91">
        <v>16077.599999999999</v>
      </c>
      <c r="J91">
        <v>10</v>
      </c>
      <c r="K91">
        <v>22967.999999999996</v>
      </c>
      <c r="L91">
        <v>9</v>
      </c>
      <c r="M91">
        <v>20671.199999999997</v>
      </c>
      <c r="N91">
        <v>8</v>
      </c>
      <c r="O91">
        <v>18374.399999999998</v>
      </c>
      <c r="P91">
        <v>11</v>
      </c>
      <c r="Q91">
        <v>25264.799999999996</v>
      </c>
      <c r="R91">
        <v>14</v>
      </c>
      <c r="S91">
        <v>32155.199999999997</v>
      </c>
      <c r="T91">
        <v>10</v>
      </c>
      <c r="U91">
        <v>22967.999999999996</v>
      </c>
      <c r="V91">
        <v>11</v>
      </c>
      <c r="W91">
        <v>25264.799999999996</v>
      </c>
      <c r="X91">
        <v>12</v>
      </c>
      <c r="Y91">
        <v>27561.599999999999</v>
      </c>
      <c r="Z91">
        <v>10</v>
      </c>
      <c r="AA91">
        <v>22967.999999999996</v>
      </c>
      <c r="AB91">
        <v>6</v>
      </c>
      <c r="AC91">
        <v>13780.8</v>
      </c>
      <c r="AD91">
        <v>11</v>
      </c>
      <c r="AE91">
        <v>25264.799999999996</v>
      </c>
      <c r="AF91">
        <v>9</v>
      </c>
      <c r="AG91">
        <v>20671.199999999997</v>
      </c>
      <c r="AH91">
        <v>9</v>
      </c>
      <c r="AI91">
        <v>20671.199999999997</v>
      </c>
      <c r="AJ91">
        <v>7</v>
      </c>
      <c r="AK91">
        <v>16077.599999999999</v>
      </c>
      <c r="AL91">
        <v>8</v>
      </c>
      <c r="AM91">
        <v>18374.399999999998</v>
      </c>
      <c r="AN91">
        <v>10</v>
      </c>
      <c r="AO91">
        <v>22967.999999999996</v>
      </c>
      <c r="AP91">
        <v>9</v>
      </c>
      <c r="AQ91">
        <v>20671.199999999997</v>
      </c>
      <c r="AR91">
        <v>17</v>
      </c>
      <c r="AS91">
        <v>39045.599999999999</v>
      </c>
      <c r="AT91">
        <v>15</v>
      </c>
      <c r="AU91">
        <v>34451.999999999993</v>
      </c>
      <c r="AV91">
        <v>17</v>
      </c>
      <c r="AW91">
        <v>39045.599999999999</v>
      </c>
      <c r="AX91">
        <v>14</v>
      </c>
      <c r="AY91">
        <v>32155.199999999997</v>
      </c>
      <c r="AZ91">
        <v>9</v>
      </c>
      <c r="BA91">
        <v>20671.199999999997</v>
      </c>
      <c r="BB91">
        <v>11</v>
      </c>
      <c r="BC91">
        <v>25264.799999999996</v>
      </c>
      <c r="BD91">
        <v>9</v>
      </c>
      <c r="BE91">
        <v>20671.199999999997</v>
      </c>
      <c r="BF91">
        <v>9</v>
      </c>
      <c r="BG91">
        <v>20671.199999999997</v>
      </c>
      <c r="BH91">
        <v>20</v>
      </c>
      <c r="BI91">
        <v>45935.999999999993</v>
      </c>
      <c r="BJ91">
        <v>24</v>
      </c>
      <c r="BK91">
        <v>55123.199999999997</v>
      </c>
      <c r="BL91">
        <v>27</v>
      </c>
      <c r="BM91">
        <v>62013.599999999991</v>
      </c>
      <c r="BN91">
        <v>32</v>
      </c>
      <c r="BO91">
        <v>73497.599999999991</v>
      </c>
      <c r="BP91">
        <v>13</v>
      </c>
      <c r="BQ91">
        <v>29858.399999999998</v>
      </c>
      <c r="BR91">
        <v>16</v>
      </c>
      <c r="BS91">
        <v>36748.799999999996</v>
      </c>
      <c r="BT91">
        <v>9</v>
      </c>
      <c r="BU91">
        <v>20671.199999999997</v>
      </c>
      <c r="BV91">
        <v>9</v>
      </c>
      <c r="BW91">
        <v>20671.199999999997</v>
      </c>
      <c r="BX91">
        <v>8</v>
      </c>
      <c r="BY91">
        <v>18374.399999999998</v>
      </c>
      <c r="BZ91">
        <v>11</v>
      </c>
      <c r="CA91">
        <v>25264.799999999996</v>
      </c>
      <c r="CB91">
        <v>8</v>
      </c>
      <c r="CC91">
        <v>18374.399999999998</v>
      </c>
      <c r="CD91">
        <v>9</v>
      </c>
      <c r="CE91">
        <v>20671.199999999997</v>
      </c>
      <c r="CF91">
        <v>11</v>
      </c>
      <c r="CG91">
        <v>25264.799999999996</v>
      </c>
      <c r="CH91">
        <v>9</v>
      </c>
      <c r="CI91">
        <v>20671.199999999997</v>
      </c>
      <c r="CJ91">
        <v>17</v>
      </c>
      <c r="CK91">
        <v>39045.599999999999</v>
      </c>
      <c r="CL91">
        <v>13</v>
      </c>
      <c r="CM91">
        <v>29858.399999999998</v>
      </c>
      <c r="CN91">
        <v>29</v>
      </c>
      <c r="CO91">
        <v>66607.199999999997</v>
      </c>
      <c r="CP91">
        <v>33</v>
      </c>
      <c r="CQ91">
        <v>75794.399999999994</v>
      </c>
      <c r="CR91">
        <v>27</v>
      </c>
      <c r="CS91">
        <v>62013.599999999991</v>
      </c>
      <c r="CT91">
        <v>21</v>
      </c>
      <c r="CU91">
        <v>48232.799999999996</v>
      </c>
    </row>
    <row r="92" spans="2:99" x14ac:dyDescent="0.2">
      <c r="C92" s="118" t="s">
        <v>258</v>
      </c>
      <c r="D92">
        <v>1.4313602751629868</v>
      </c>
      <c r="E92">
        <v>2033.6766789515716</v>
      </c>
      <c r="F92">
        <v>7</v>
      </c>
      <c r="G92">
        <v>9945.6</v>
      </c>
      <c r="H92">
        <v>7</v>
      </c>
      <c r="I92">
        <v>9945.6</v>
      </c>
      <c r="J92">
        <v>11</v>
      </c>
      <c r="K92">
        <v>15628.8</v>
      </c>
      <c r="L92">
        <v>9</v>
      </c>
      <c r="M92">
        <v>12787.199999999999</v>
      </c>
      <c r="N92">
        <v>9</v>
      </c>
      <c r="O92">
        <v>12787.199999999999</v>
      </c>
      <c r="P92">
        <v>11</v>
      </c>
      <c r="Q92">
        <v>15628.8</v>
      </c>
      <c r="R92">
        <v>15</v>
      </c>
      <c r="S92">
        <v>21312</v>
      </c>
      <c r="T92">
        <v>10</v>
      </c>
      <c r="U92">
        <v>14208</v>
      </c>
      <c r="V92">
        <v>12</v>
      </c>
      <c r="W92">
        <v>17049.599999999999</v>
      </c>
      <c r="X92">
        <v>13</v>
      </c>
      <c r="Y92">
        <v>18470.399999999998</v>
      </c>
      <c r="Z92">
        <v>11</v>
      </c>
      <c r="AA92">
        <v>15628.8</v>
      </c>
      <c r="AB92">
        <v>6</v>
      </c>
      <c r="AC92">
        <v>8524.7999999999993</v>
      </c>
      <c r="AD92">
        <v>10</v>
      </c>
      <c r="AE92">
        <v>14208</v>
      </c>
      <c r="AF92">
        <v>10</v>
      </c>
      <c r="AG92">
        <v>14208</v>
      </c>
      <c r="AH92">
        <v>10</v>
      </c>
      <c r="AI92">
        <v>14208</v>
      </c>
      <c r="AJ92">
        <v>7</v>
      </c>
      <c r="AK92">
        <v>9945.6</v>
      </c>
      <c r="AL92">
        <v>9</v>
      </c>
      <c r="AM92">
        <v>12787.199999999999</v>
      </c>
      <c r="AN92">
        <v>12</v>
      </c>
      <c r="AO92">
        <v>17049.599999999999</v>
      </c>
      <c r="AP92">
        <v>10</v>
      </c>
      <c r="AQ92">
        <v>14208</v>
      </c>
      <c r="AR92">
        <v>18</v>
      </c>
      <c r="AS92">
        <v>25574.399999999998</v>
      </c>
      <c r="AT92">
        <v>17</v>
      </c>
      <c r="AU92">
        <v>24153.599999999999</v>
      </c>
      <c r="AV92">
        <v>17</v>
      </c>
      <c r="AW92">
        <v>24153.599999999999</v>
      </c>
      <c r="AX92">
        <v>18</v>
      </c>
      <c r="AY92">
        <v>25574.399999999998</v>
      </c>
      <c r="AZ92">
        <v>10</v>
      </c>
      <c r="BA92">
        <v>14208</v>
      </c>
      <c r="BB92">
        <v>14</v>
      </c>
      <c r="BC92">
        <v>19891.2</v>
      </c>
      <c r="BD92">
        <v>11</v>
      </c>
      <c r="BE92">
        <v>15628.8</v>
      </c>
      <c r="BF92">
        <v>9</v>
      </c>
      <c r="BG92">
        <v>12787.199999999999</v>
      </c>
      <c r="BH92">
        <v>21</v>
      </c>
      <c r="BI92">
        <v>29836.799999999999</v>
      </c>
      <c r="BJ92">
        <v>30</v>
      </c>
      <c r="BK92">
        <v>42624</v>
      </c>
      <c r="BL92">
        <v>29</v>
      </c>
      <c r="BM92">
        <v>41203.199999999997</v>
      </c>
      <c r="BN92">
        <v>35</v>
      </c>
      <c r="BO92">
        <v>49728</v>
      </c>
      <c r="BP92">
        <v>14</v>
      </c>
      <c r="BQ92">
        <v>19891.2</v>
      </c>
      <c r="BR92">
        <v>18</v>
      </c>
      <c r="BS92">
        <v>25574.399999999998</v>
      </c>
      <c r="BT92">
        <v>10</v>
      </c>
      <c r="BU92">
        <v>14208</v>
      </c>
      <c r="BV92">
        <v>10</v>
      </c>
      <c r="BW92">
        <v>14208</v>
      </c>
      <c r="BX92">
        <v>9</v>
      </c>
      <c r="BY92">
        <v>12787.199999999999</v>
      </c>
      <c r="BZ92">
        <v>12</v>
      </c>
      <c r="CA92">
        <v>17049.599999999999</v>
      </c>
      <c r="CB92">
        <v>8</v>
      </c>
      <c r="CC92">
        <v>11366.4</v>
      </c>
      <c r="CD92">
        <v>10</v>
      </c>
      <c r="CE92">
        <v>14208</v>
      </c>
      <c r="CF92">
        <v>11</v>
      </c>
      <c r="CG92">
        <v>15628.8</v>
      </c>
      <c r="CH92">
        <v>11</v>
      </c>
      <c r="CI92">
        <v>15628.8</v>
      </c>
      <c r="CJ92">
        <v>19</v>
      </c>
      <c r="CK92">
        <v>26995.200000000001</v>
      </c>
      <c r="CL92">
        <v>15</v>
      </c>
      <c r="CM92">
        <v>21312</v>
      </c>
      <c r="CN92">
        <v>28</v>
      </c>
      <c r="CO92">
        <v>39782.400000000001</v>
      </c>
      <c r="CP92">
        <v>36</v>
      </c>
      <c r="CQ92">
        <v>51148.799999999996</v>
      </c>
      <c r="CR92">
        <v>27</v>
      </c>
      <c r="CS92">
        <v>38361.599999999999</v>
      </c>
      <c r="CT92">
        <v>24</v>
      </c>
      <c r="CU92">
        <v>34099.199999999997</v>
      </c>
    </row>
    <row r="93" spans="2:99" x14ac:dyDescent="0.2">
      <c r="C93" s="118" t="s">
        <v>259</v>
      </c>
      <c r="D93">
        <v>1.4313602751629868</v>
      </c>
      <c r="E93">
        <v>2536.9429516988776</v>
      </c>
      <c r="F93">
        <v>7</v>
      </c>
      <c r="G93">
        <v>12406.8</v>
      </c>
      <c r="H93">
        <v>6</v>
      </c>
      <c r="I93">
        <v>10634.4</v>
      </c>
      <c r="J93">
        <v>10</v>
      </c>
      <c r="K93">
        <v>17724</v>
      </c>
      <c r="L93">
        <v>10</v>
      </c>
      <c r="M93">
        <v>17724</v>
      </c>
      <c r="N93">
        <v>9</v>
      </c>
      <c r="O93">
        <v>15951.599999999999</v>
      </c>
      <c r="P93">
        <v>11</v>
      </c>
      <c r="Q93">
        <v>19496.399999999998</v>
      </c>
      <c r="R93">
        <v>14</v>
      </c>
      <c r="S93">
        <v>24813.599999999999</v>
      </c>
      <c r="T93">
        <v>10</v>
      </c>
      <c r="U93">
        <v>17724</v>
      </c>
      <c r="V93">
        <v>12</v>
      </c>
      <c r="W93">
        <v>21268.799999999999</v>
      </c>
      <c r="X93">
        <v>11</v>
      </c>
      <c r="Y93">
        <v>19496.399999999998</v>
      </c>
      <c r="Z93">
        <v>9</v>
      </c>
      <c r="AA93">
        <v>15951.599999999999</v>
      </c>
      <c r="AB93">
        <v>5</v>
      </c>
      <c r="AC93">
        <v>8862</v>
      </c>
      <c r="AD93">
        <v>11</v>
      </c>
      <c r="AE93">
        <v>19496.399999999998</v>
      </c>
      <c r="AF93">
        <v>10</v>
      </c>
      <c r="AG93">
        <v>17724</v>
      </c>
      <c r="AH93">
        <v>10</v>
      </c>
      <c r="AI93">
        <v>17724</v>
      </c>
      <c r="AJ93">
        <v>7</v>
      </c>
      <c r="AK93">
        <v>12406.8</v>
      </c>
      <c r="AL93">
        <v>8</v>
      </c>
      <c r="AM93">
        <v>14179.199999999999</v>
      </c>
      <c r="AN93">
        <v>10</v>
      </c>
      <c r="AO93">
        <v>17724</v>
      </c>
      <c r="AP93">
        <v>9</v>
      </c>
      <c r="AQ93">
        <v>15951.599999999999</v>
      </c>
      <c r="AR93">
        <v>18</v>
      </c>
      <c r="AS93">
        <v>31903.199999999997</v>
      </c>
      <c r="AT93">
        <v>15</v>
      </c>
      <c r="AU93">
        <v>26585.999999999996</v>
      </c>
      <c r="AV93">
        <v>16</v>
      </c>
      <c r="AW93">
        <v>28358.399999999998</v>
      </c>
      <c r="AX93">
        <v>16</v>
      </c>
      <c r="AY93">
        <v>28358.399999999998</v>
      </c>
      <c r="AZ93">
        <v>9</v>
      </c>
      <c r="BA93">
        <v>15951.599999999999</v>
      </c>
      <c r="BB93">
        <v>14</v>
      </c>
      <c r="BC93">
        <v>24813.599999999999</v>
      </c>
      <c r="BD93">
        <v>11</v>
      </c>
      <c r="BE93">
        <v>19496.399999999998</v>
      </c>
      <c r="BF93">
        <v>9</v>
      </c>
      <c r="BG93">
        <v>15951.599999999999</v>
      </c>
      <c r="BH93">
        <v>19</v>
      </c>
      <c r="BI93">
        <v>33675.599999999999</v>
      </c>
      <c r="BJ93">
        <v>29</v>
      </c>
      <c r="BK93">
        <v>51399.6</v>
      </c>
      <c r="BL93">
        <v>28</v>
      </c>
      <c r="BM93">
        <v>49627.199999999997</v>
      </c>
      <c r="BN93">
        <v>32</v>
      </c>
      <c r="BO93">
        <v>56716.799999999996</v>
      </c>
      <c r="BP93">
        <v>12</v>
      </c>
      <c r="BQ93">
        <v>21268.799999999999</v>
      </c>
      <c r="BR93">
        <v>15</v>
      </c>
      <c r="BS93">
        <v>26585.999999999996</v>
      </c>
      <c r="BT93">
        <v>10</v>
      </c>
      <c r="BU93">
        <v>17724</v>
      </c>
      <c r="BV93">
        <v>10</v>
      </c>
      <c r="BW93">
        <v>17724</v>
      </c>
      <c r="BX93">
        <v>9</v>
      </c>
      <c r="BY93">
        <v>15951.599999999999</v>
      </c>
      <c r="BZ93">
        <v>13</v>
      </c>
      <c r="CA93">
        <v>23041.199999999997</v>
      </c>
      <c r="CB93">
        <v>8</v>
      </c>
      <c r="CC93">
        <v>14179.199999999999</v>
      </c>
      <c r="CD93">
        <v>10</v>
      </c>
      <c r="CE93">
        <v>17724</v>
      </c>
      <c r="CF93">
        <v>10</v>
      </c>
      <c r="CG93">
        <v>17724</v>
      </c>
      <c r="CH93">
        <v>11</v>
      </c>
      <c r="CI93">
        <v>19496.399999999998</v>
      </c>
      <c r="CJ93">
        <v>17</v>
      </c>
      <c r="CK93">
        <v>30130.799999999999</v>
      </c>
      <c r="CL93">
        <v>14</v>
      </c>
      <c r="CM93">
        <v>24813.599999999999</v>
      </c>
      <c r="CN93">
        <v>29</v>
      </c>
      <c r="CO93">
        <v>51399.6</v>
      </c>
      <c r="CP93">
        <v>32</v>
      </c>
      <c r="CQ93">
        <v>56716.799999999996</v>
      </c>
      <c r="CR93">
        <v>25</v>
      </c>
      <c r="CS93">
        <v>44310</v>
      </c>
      <c r="CT93">
        <v>22</v>
      </c>
      <c r="CU93">
        <v>38992.799999999996</v>
      </c>
    </row>
    <row r="94" spans="2:99" x14ac:dyDescent="0.2">
      <c r="C94" s="118" t="s">
        <v>260</v>
      </c>
      <c r="D94">
        <v>1.4313602751629868</v>
      </c>
      <c r="E94">
        <v>3428.3941310703858</v>
      </c>
      <c r="F94">
        <v>7</v>
      </c>
      <c r="G94">
        <v>16766.399999999998</v>
      </c>
      <c r="H94">
        <v>6</v>
      </c>
      <c r="I94">
        <v>14371.199999999999</v>
      </c>
      <c r="J94">
        <v>10</v>
      </c>
      <c r="K94">
        <v>23952</v>
      </c>
      <c r="L94">
        <v>9</v>
      </c>
      <c r="M94">
        <v>21556.799999999999</v>
      </c>
      <c r="N94">
        <v>7</v>
      </c>
      <c r="O94">
        <v>16766.399999999998</v>
      </c>
      <c r="P94">
        <v>11</v>
      </c>
      <c r="Q94">
        <v>26347.199999999997</v>
      </c>
      <c r="R94">
        <v>14</v>
      </c>
      <c r="S94">
        <v>33532.799999999996</v>
      </c>
      <c r="T94">
        <v>9</v>
      </c>
      <c r="U94">
        <v>21556.799999999999</v>
      </c>
      <c r="V94">
        <v>11</v>
      </c>
      <c r="W94">
        <v>26347.199999999997</v>
      </c>
      <c r="X94">
        <v>12</v>
      </c>
      <c r="Y94">
        <v>28742.399999999998</v>
      </c>
      <c r="Z94">
        <v>9</v>
      </c>
      <c r="AA94">
        <v>21556.799999999999</v>
      </c>
      <c r="AB94">
        <v>5</v>
      </c>
      <c r="AC94">
        <v>11976</v>
      </c>
      <c r="AD94">
        <v>11</v>
      </c>
      <c r="AE94">
        <v>26347.199999999997</v>
      </c>
      <c r="AF94">
        <v>9</v>
      </c>
      <c r="AG94">
        <v>21556.799999999999</v>
      </c>
      <c r="AH94">
        <v>9</v>
      </c>
      <c r="AI94">
        <v>21556.799999999999</v>
      </c>
      <c r="AJ94">
        <v>7</v>
      </c>
      <c r="AK94">
        <v>16766.399999999998</v>
      </c>
      <c r="AL94">
        <v>8</v>
      </c>
      <c r="AM94">
        <v>19161.599999999999</v>
      </c>
      <c r="AN94">
        <v>10</v>
      </c>
      <c r="AO94">
        <v>23952</v>
      </c>
      <c r="AP94">
        <v>9</v>
      </c>
      <c r="AQ94">
        <v>21556.799999999999</v>
      </c>
      <c r="AR94">
        <v>15</v>
      </c>
      <c r="AS94">
        <v>35928</v>
      </c>
      <c r="AT94">
        <v>15</v>
      </c>
      <c r="AU94">
        <v>35928</v>
      </c>
      <c r="AV94">
        <v>15</v>
      </c>
      <c r="AW94">
        <v>35928</v>
      </c>
      <c r="AX94">
        <v>15</v>
      </c>
      <c r="AY94">
        <v>35928</v>
      </c>
      <c r="AZ94">
        <v>9</v>
      </c>
      <c r="BA94">
        <v>21556.799999999999</v>
      </c>
      <c r="BB94">
        <v>12</v>
      </c>
      <c r="BC94">
        <v>28742.399999999998</v>
      </c>
      <c r="BD94">
        <v>9</v>
      </c>
      <c r="BE94">
        <v>21556.799999999999</v>
      </c>
      <c r="BF94">
        <v>9</v>
      </c>
      <c r="BG94">
        <v>21556.799999999999</v>
      </c>
      <c r="BH94">
        <v>20</v>
      </c>
      <c r="BI94">
        <v>47904</v>
      </c>
      <c r="BJ94">
        <v>26</v>
      </c>
      <c r="BK94">
        <v>62275.199999999997</v>
      </c>
      <c r="BL94">
        <v>28</v>
      </c>
      <c r="BM94">
        <v>67065.599999999991</v>
      </c>
      <c r="BN94">
        <v>30</v>
      </c>
      <c r="BO94">
        <v>71856</v>
      </c>
      <c r="BP94">
        <v>12</v>
      </c>
      <c r="BQ94">
        <v>28742.399999999998</v>
      </c>
      <c r="BR94">
        <v>17</v>
      </c>
      <c r="BS94">
        <v>40718.399999999994</v>
      </c>
      <c r="BT94">
        <v>9</v>
      </c>
      <c r="BU94">
        <v>21556.799999999999</v>
      </c>
      <c r="BV94">
        <v>9</v>
      </c>
      <c r="BW94">
        <v>21556.799999999999</v>
      </c>
      <c r="BX94">
        <v>8</v>
      </c>
      <c r="BY94">
        <v>19161.599999999999</v>
      </c>
      <c r="BZ94">
        <v>12</v>
      </c>
      <c r="CA94">
        <v>28742.399999999998</v>
      </c>
      <c r="CB94">
        <v>9</v>
      </c>
      <c r="CC94">
        <v>21556.799999999999</v>
      </c>
      <c r="CD94">
        <v>10</v>
      </c>
      <c r="CE94">
        <v>23952</v>
      </c>
      <c r="CF94">
        <v>10</v>
      </c>
      <c r="CG94">
        <v>23952</v>
      </c>
      <c r="CH94">
        <v>10</v>
      </c>
      <c r="CI94">
        <v>23952</v>
      </c>
      <c r="CJ94">
        <v>17</v>
      </c>
      <c r="CK94">
        <v>40718.399999999994</v>
      </c>
      <c r="CL94">
        <v>13</v>
      </c>
      <c r="CM94">
        <v>31137.599999999999</v>
      </c>
      <c r="CN94">
        <v>28</v>
      </c>
      <c r="CO94">
        <v>67065.599999999991</v>
      </c>
      <c r="CP94">
        <v>32</v>
      </c>
      <c r="CQ94">
        <v>76646.399999999994</v>
      </c>
      <c r="CR94">
        <v>26</v>
      </c>
      <c r="CS94">
        <v>62275.199999999997</v>
      </c>
      <c r="CT94">
        <v>24</v>
      </c>
      <c r="CU94">
        <v>57484.799999999996</v>
      </c>
    </row>
    <row r="95" spans="2:99" x14ac:dyDescent="0.2">
      <c r="B95" s="118" t="s">
        <v>132</v>
      </c>
      <c r="C95" s="118" t="s">
        <v>261</v>
      </c>
      <c r="D95">
        <v>9.5424018344199109</v>
      </c>
      <c r="E95">
        <v>16535.073898682822</v>
      </c>
      <c r="F95">
        <v>52</v>
      </c>
      <c r="G95">
        <v>90105.599999999991</v>
      </c>
      <c r="H95">
        <v>71</v>
      </c>
      <c r="I95">
        <v>123028.8</v>
      </c>
      <c r="J95">
        <v>61</v>
      </c>
      <c r="K95">
        <v>105700.8</v>
      </c>
      <c r="L95">
        <v>16</v>
      </c>
      <c r="M95">
        <v>27724.799999999999</v>
      </c>
      <c r="N95">
        <v>9</v>
      </c>
      <c r="O95">
        <v>15595.199999999999</v>
      </c>
      <c r="P95">
        <v>21</v>
      </c>
      <c r="Q95">
        <v>36388.799999999996</v>
      </c>
      <c r="R95">
        <v>15</v>
      </c>
      <c r="S95">
        <v>25992</v>
      </c>
      <c r="T95">
        <v>15</v>
      </c>
      <c r="U95">
        <v>25992</v>
      </c>
      <c r="V95">
        <v>21</v>
      </c>
      <c r="W95">
        <v>36388.799999999996</v>
      </c>
      <c r="X95">
        <v>13</v>
      </c>
      <c r="Y95">
        <v>22526.399999999998</v>
      </c>
      <c r="Z95">
        <v>16</v>
      </c>
      <c r="AA95">
        <v>27724.799999999999</v>
      </c>
      <c r="AB95">
        <v>29</v>
      </c>
      <c r="AC95">
        <v>50251.199999999997</v>
      </c>
      <c r="AD95">
        <v>18</v>
      </c>
      <c r="AE95">
        <v>31190.399999999998</v>
      </c>
      <c r="AF95">
        <v>25</v>
      </c>
      <c r="AG95">
        <v>43320</v>
      </c>
      <c r="AH95">
        <v>17</v>
      </c>
      <c r="AI95">
        <v>29457.599999999999</v>
      </c>
      <c r="AJ95">
        <v>14</v>
      </c>
      <c r="AK95">
        <v>24259.200000000001</v>
      </c>
      <c r="AL95">
        <v>9</v>
      </c>
      <c r="AM95">
        <v>15595.199999999999</v>
      </c>
      <c r="AN95">
        <v>11</v>
      </c>
      <c r="AO95">
        <v>19060.8</v>
      </c>
      <c r="AP95">
        <v>10</v>
      </c>
      <c r="AQ95">
        <v>17328</v>
      </c>
      <c r="AR95">
        <v>12</v>
      </c>
      <c r="AS95">
        <v>20793.599999999999</v>
      </c>
      <c r="AT95">
        <v>8</v>
      </c>
      <c r="AU95">
        <v>13862.4</v>
      </c>
      <c r="AV95">
        <v>13</v>
      </c>
      <c r="AW95">
        <v>22526.399999999998</v>
      </c>
      <c r="AX95">
        <v>11</v>
      </c>
      <c r="AY95">
        <v>19060.8</v>
      </c>
      <c r="AZ95">
        <v>24</v>
      </c>
      <c r="BA95">
        <v>41587.199999999997</v>
      </c>
      <c r="BB95">
        <v>19</v>
      </c>
      <c r="BC95">
        <v>32923.199999999997</v>
      </c>
      <c r="BD95">
        <v>22</v>
      </c>
      <c r="BE95">
        <v>38121.599999999999</v>
      </c>
      <c r="BF95">
        <v>17</v>
      </c>
      <c r="BG95">
        <v>29457.599999999999</v>
      </c>
      <c r="BH95">
        <v>7</v>
      </c>
      <c r="BI95">
        <v>12129.6</v>
      </c>
      <c r="BJ95">
        <v>11</v>
      </c>
      <c r="BK95">
        <v>19060.8</v>
      </c>
      <c r="BL95">
        <v>7</v>
      </c>
      <c r="BM95">
        <v>12129.6</v>
      </c>
      <c r="BN95">
        <v>11</v>
      </c>
      <c r="BO95">
        <v>19060.8</v>
      </c>
      <c r="BP95">
        <v>39</v>
      </c>
      <c r="BQ95">
        <v>67579.199999999997</v>
      </c>
      <c r="BR95">
        <v>55</v>
      </c>
      <c r="BS95">
        <v>95304</v>
      </c>
      <c r="BT95">
        <v>54</v>
      </c>
      <c r="BU95">
        <v>93571.199999999997</v>
      </c>
      <c r="BV95">
        <v>54</v>
      </c>
      <c r="BW95">
        <v>93571.199999999997</v>
      </c>
      <c r="BX95">
        <v>19</v>
      </c>
      <c r="BY95">
        <v>32923.199999999997</v>
      </c>
      <c r="BZ95">
        <v>17</v>
      </c>
      <c r="CA95">
        <v>29457.599999999999</v>
      </c>
      <c r="CB95">
        <v>15</v>
      </c>
      <c r="CC95">
        <v>25992</v>
      </c>
      <c r="CD95">
        <v>12</v>
      </c>
      <c r="CE95">
        <v>20793.599999999999</v>
      </c>
      <c r="CF95">
        <v>9</v>
      </c>
      <c r="CG95">
        <v>15595.199999999999</v>
      </c>
      <c r="CH95">
        <v>13</v>
      </c>
      <c r="CI95">
        <v>22526.399999999998</v>
      </c>
      <c r="CJ95">
        <v>8</v>
      </c>
      <c r="CK95">
        <v>13862.4</v>
      </c>
      <c r="CL95">
        <v>8</v>
      </c>
      <c r="CM95">
        <v>13862.4</v>
      </c>
      <c r="CN95">
        <v>26</v>
      </c>
      <c r="CO95">
        <v>45052.799999999996</v>
      </c>
      <c r="CP95">
        <v>23</v>
      </c>
      <c r="CQ95">
        <v>39854.400000000001</v>
      </c>
      <c r="CR95">
        <v>28</v>
      </c>
      <c r="CS95">
        <v>48518.400000000001</v>
      </c>
      <c r="CT95">
        <v>27</v>
      </c>
      <c r="CU95">
        <v>46785.599999999999</v>
      </c>
    </row>
    <row r="96" spans="2:99" x14ac:dyDescent="0.2">
      <c r="C96" s="118" t="s">
        <v>262</v>
      </c>
      <c r="D96">
        <v>11.212322155443397</v>
      </c>
      <c r="E96">
        <v>9229.9835983610046</v>
      </c>
      <c r="F96">
        <v>56</v>
      </c>
      <c r="G96">
        <v>46099.199999999997</v>
      </c>
      <c r="H96">
        <v>81</v>
      </c>
      <c r="I96">
        <v>66679.199999999997</v>
      </c>
      <c r="J96">
        <v>69</v>
      </c>
      <c r="K96">
        <v>56800.799999999996</v>
      </c>
      <c r="L96">
        <v>18</v>
      </c>
      <c r="M96">
        <v>14817.599999999999</v>
      </c>
      <c r="N96">
        <v>11</v>
      </c>
      <c r="O96">
        <v>9055.1999999999989</v>
      </c>
      <c r="P96">
        <v>19</v>
      </c>
      <c r="Q96">
        <v>15640.8</v>
      </c>
      <c r="R96">
        <v>14</v>
      </c>
      <c r="S96">
        <v>11524.8</v>
      </c>
      <c r="T96">
        <v>17</v>
      </c>
      <c r="U96">
        <v>13994.4</v>
      </c>
      <c r="V96">
        <v>24</v>
      </c>
      <c r="W96">
        <v>19756.8</v>
      </c>
      <c r="X96">
        <v>13</v>
      </c>
      <c r="Y96">
        <v>10701.599999999999</v>
      </c>
      <c r="Z96">
        <v>16</v>
      </c>
      <c r="AA96">
        <v>13171.199999999999</v>
      </c>
      <c r="AB96">
        <v>31</v>
      </c>
      <c r="AC96">
        <v>25519.199999999997</v>
      </c>
      <c r="AD96">
        <v>23</v>
      </c>
      <c r="AE96">
        <v>18933.599999999999</v>
      </c>
      <c r="AF96">
        <v>29</v>
      </c>
      <c r="AG96">
        <v>23872.799999999999</v>
      </c>
      <c r="AH96">
        <v>20</v>
      </c>
      <c r="AI96">
        <v>16464</v>
      </c>
      <c r="AJ96">
        <v>15</v>
      </c>
      <c r="AK96">
        <v>12347.999999999998</v>
      </c>
      <c r="AL96">
        <v>10</v>
      </c>
      <c r="AM96">
        <v>8232</v>
      </c>
      <c r="AN96">
        <v>11</v>
      </c>
      <c r="AO96">
        <v>9055.1999999999989</v>
      </c>
      <c r="AP96">
        <v>10</v>
      </c>
      <c r="AQ96">
        <v>8232</v>
      </c>
      <c r="AR96">
        <v>12</v>
      </c>
      <c r="AS96">
        <v>9878.4</v>
      </c>
      <c r="AT96">
        <v>8</v>
      </c>
      <c r="AU96">
        <v>6585.5999999999995</v>
      </c>
      <c r="AV96">
        <v>14</v>
      </c>
      <c r="AW96">
        <v>11524.8</v>
      </c>
      <c r="AX96">
        <v>13</v>
      </c>
      <c r="AY96">
        <v>10701.599999999999</v>
      </c>
      <c r="AZ96">
        <v>25</v>
      </c>
      <c r="BA96">
        <v>20580</v>
      </c>
      <c r="BB96">
        <v>20</v>
      </c>
      <c r="BC96">
        <v>16464</v>
      </c>
      <c r="BD96">
        <v>26</v>
      </c>
      <c r="BE96">
        <v>21403.199999999997</v>
      </c>
      <c r="BF96">
        <v>20</v>
      </c>
      <c r="BG96">
        <v>16464</v>
      </c>
      <c r="BH96">
        <v>8</v>
      </c>
      <c r="BI96">
        <v>6585.5999999999995</v>
      </c>
      <c r="BJ96">
        <v>11</v>
      </c>
      <c r="BK96">
        <v>9055.1999999999989</v>
      </c>
      <c r="BL96">
        <v>8</v>
      </c>
      <c r="BM96">
        <v>6585.5999999999995</v>
      </c>
      <c r="BN96">
        <v>11</v>
      </c>
      <c r="BO96">
        <v>9055.1999999999989</v>
      </c>
      <c r="BP96">
        <v>46</v>
      </c>
      <c r="BQ96">
        <v>37867.199999999997</v>
      </c>
      <c r="BR96">
        <v>56</v>
      </c>
      <c r="BS96">
        <v>46099.199999999997</v>
      </c>
      <c r="BT96">
        <v>54</v>
      </c>
      <c r="BU96">
        <v>44452.799999999996</v>
      </c>
      <c r="BV96">
        <v>57</v>
      </c>
      <c r="BW96">
        <v>46922.399999999994</v>
      </c>
      <c r="BX96">
        <v>18</v>
      </c>
      <c r="BY96">
        <v>14817.599999999999</v>
      </c>
      <c r="BZ96">
        <v>19</v>
      </c>
      <c r="CA96">
        <v>15640.8</v>
      </c>
      <c r="CB96">
        <v>19</v>
      </c>
      <c r="CC96">
        <v>15640.8</v>
      </c>
      <c r="CD96">
        <v>14</v>
      </c>
      <c r="CE96">
        <v>11524.8</v>
      </c>
      <c r="CF96">
        <v>10</v>
      </c>
      <c r="CG96">
        <v>8232</v>
      </c>
      <c r="CH96">
        <v>13</v>
      </c>
      <c r="CI96">
        <v>10701.599999999999</v>
      </c>
      <c r="CJ96">
        <v>8</v>
      </c>
      <c r="CK96">
        <v>6585.5999999999995</v>
      </c>
      <c r="CL96">
        <v>7</v>
      </c>
      <c r="CM96">
        <v>5762.4</v>
      </c>
      <c r="CN96">
        <v>26</v>
      </c>
      <c r="CO96">
        <v>21403.199999999997</v>
      </c>
      <c r="CP96">
        <v>22</v>
      </c>
      <c r="CQ96">
        <v>18110.399999999998</v>
      </c>
      <c r="CR96">
        <v>32</v>
      </c>
      <c r="CS96">
        <v>26342.399999999998</v>
      </c>
      <c r="CT96">
        <v>29</v>
      </c>
      <c r="CU96">
        <v>23872.799999999999</v>
      </c>
    </row>
    <row r="97" spans="2:99" x14ac:dyDescent="0.2">
      <c r="C97" s="118" t="s">
        <v>263</v>
      </c>
      <c r="D97">
        <v>9.7809618802804099</v>
      </c>
      <c r="E97">
        <v>17887.423086656814</v>
      </c>
      <c r="F97">
        <v>45</v>
      </c>
      <c r="G97">
        <v>82296</v>
      </c>
      <c r="H97">
        <v>65</v>
      </c>
      <c r="I97">
        <v>118872</v>
      </c>
      <c r="J97">
        <v>60</v>
      </c>
      <c r="K97">
        <v>109728</v>
      </c>
      <c r="L97">
        <v>19</v>
      </c>
      <c r="M97">
        <v>34747.199999999997</v>
      </c>
      <c r="N97">
        <v>11</v>
      </c>
      <c r="O97">
        <v>20116.8</v>
      </c>
      <c r="P97">
        <v>18</v>
      </c>
      <c r="Q97">
        <v>32918.400000000001</v>
      </c>
      <c r="R97">
        <v>14</v>
      </c>
      <c r="S97">
        <v>25603.200000000001</v>
      </c>
      <c r="T97">
        <v>16</v>
      </c>
      <c r="U97">
        <v>29260.799999999999</v>
      </c>
      <c r="V97">
        <v>21</v>
      </c>
      <c r="W97">
        <v>38404.799999999996</v>
      </c>
      <c r="X97">
        <v>13</v>
      </c>
      <c r="Y97">
        <v>23774.399999999998</v>
      </c>
      <c r="Z97">
        <v>15</v>
      </c>
      <c r="AA97">
        <v>27432</v>
      </c>
      <c r="AB97">
        <v>29</v>
      </c>
      <c r="AC97">
        <v>53035.199999999997</v>
      </c>
      <c r="AD97">
        <v>18</v>
      </c>
      <c r="AE97">
        <v>32918.400000000001</v>
      </c>
      <c r="AF97">
        <v>25</v>
      </c>
      <c r="AG97">
        <v>45720</v>
      </c>
      <c r="AH97">
        <v>17</v>
      </c>
      <c r="AI97">
        <v>31089.599999999999</v>
      </c>
      <c r="AJ97">
        <v>13</v>
      </c>
      <c r="AK97">
        <v>23774.399999999998</v>
      </c>
      <c r="AL97">
        <v>9</v>
      </c>
      <c r="AM97">
        <v>16459.2</v>
      </c>
      <c r="AN97">
        <v>10</v>
      </c>
      <c r="AO97">
        <v>18288</v>
      </c>
      <c r="AP97">
        <v>10</v>
      </c>
      <c r="AQ97">
        <v>18288</v>
      </c>
      <c r="AR97">
        <v>11</v>
      </c>
      <c r="AS97">
        <v>20116.8</v>
      </c>
      <c r="AT97">
        <v>8</v>
      </c>
      <c r="AU97">
        <v>14630.4</v>
      </c>
      <c r="AV97">
        <v>12</v>
      </c>
      <c r="AW97">
        <v>21945.599999999999</v>
      </c>
      <c r="AX97">
        <v>11</v>
      </c>
      <c r="AY97">
        <v>20116.8</v>
      </c>
      <c r="AZ97">
        <v>26</v>
      </c>
      <c r="BA97">
        <v>47548.799999999996</v>
      </c>
      <c r="BB97">
        <v>17</v>
      </c>
      <c r="BC97">
        <v>31089.599999999999</v>
      </c>
      <c r="BD97">
        <v>24</v>
      </c>
      <c r="BE97">
        <v>43891.199999999997</v>
      </c>
      <c r="BF97">
        <v>17</v>
      </c>
      <c r="BG97">
        <v>31089.599999999999</v>
      </c>
      <c r="BH97">
        <v>7</v>
      </c>
      <c r="BI97">
        <v>12801.6</v>
      </c>
      <c r="BJ97">
        <v>11</v>
      </c>
      <c r="BK97">
        <v>20116.8</v>
      </c>
      <c r="BL97">
        <v>8</v>
      </c>
      <c r="BM97">
        <v>14630.4</v>
      </c>
      <c r="BN97">
        <v>10</v>
      </c>
      <c r="BO97">
        <v>18288</v>
      </c>
      <c r="BP97">
        <v>38</v>
      </c>
      <c r="BQ97">
        <v>69494.399999999994</v>
      </c>
      <c r="BR97">
        <v>55</v>
      </c>
      <c r="BS97">
        <v>100584</v>
      </c>
      <c r="BT97">
        <v>55</v>
      </c>
      <c r="BU97">
        <v>100584</v>
      </c>
      <c r="BV97">
        <v>46</v>
      </c>
      <c r="BW97">
        <v>84124.800000000003</v>
      </c>
      <c r="BX97">
        <v>17</v>
      </c>
      <c r="BY97">
        <v>31089.599999999999</v>
      </c>
      <c r="BZ97">
        <v>17</v>
      </c>
      <c r="CA97">
        <v>31089.599999999999</v>
      </c>
      <c r="CB97">
        <v>17</v>
      </c>
      <c r="CC97">
        <v>31089.599999999999</v>
      </c>
      <c r="CD97">
        <v>11</v>
      </c>
      <c r="CE97">
        <v>20116.8</v>
      </c>
      <c r="CF97">
        <v>10</v>
      </c>
      <c r="CG97">
        <v>18288</v>
      </c>
      <c r="CH97">
        <v>13</v>
      </c>
      <c r="CI97">
        <v>23774.399999999998</v>
      </c>
      <c r="CJ97">
        <v>8</v>
      </c>
      <c r="CK97">
        <v>14630.4</v>
      </c>
      <c r="CL97">
        <v>7</v>
      </c>
      <c r="CM97">
        <v>12801.6</v>
      </c>
      <c r="CN97">
        <v>25</v>
      </c>
      <c r="CO97">
        <v>45720</v>
      </c>
      <c r="CP97">
        <v>21</v>
      </c>
      <c r="CQ97">
        <v>38404.799999999996</v>
      </c>
      <c r="CR97">
        <v>27</v>
      </c>
      <c r="CS97">
        <v>49377.599999999999</v>
      </c>
      <c r="CT97">
        <v>26</v>
      </c>
      <c r="CU97">
        <v>47548.799999999996</v>
      </c>
    </row>
    <row r="98" spans="2:99" x14ac:dyDescent="0.2">
      <c r="C98" s="118" t="s">
        <v>264</v>
      </c>
      <c r="D98">
        <v>10.258081972001406</v>
      </c>
      <c r="E98">
        <v>12962.112379820976</v>
      </c>
      <c r="F98">
        <v>54</v>
      </c>
      <c r="G98">
        <v>68234.399999999994</v>
      </c>
      <c r="H98">
        <v>76</v>
      </c>
      <c r="I98">
        <v>96033.599999999991</v>
      </c>
      <c r="J98">
        <v>70</v>
      </c>
      <c r="K98">
        <v>88452</v>
      </c>
      <c r="L98">
        <v>19</v>
      </c>
      <c r="M98">
        <v>24008.399999999998</v>
      </c>
      <c r="N98">
        <v>11</v>
      </c>
      <c r="O98">
        <v>13899.599999999999</v>
      </c>
      <c r="P98">
        <v>21</v>
      </c>
      <c r="Q98">
        <v>26535.599999999999</v>
      </c>
      <c r="R98">
        <v>14</v>
      </c>
      <c r="S98">
        <v>17690.399999999998</v>
      </c>
      <c r="T98">
        <v>15</v>
      </c>
      <c r="U98">
        <v>18954</v>
      </c>
      <c r="V98">
        <v>22</v>
      </c>
      <c r="W98">
        <v>27799.199999999997</v>
      </c>
      <c r="X98">
        <v>16</v>
      </c>
      <c r="Y98">
        <v>20217.599999999999</v>
      </c>
      <c r="Z98">
        <v>16</v>
      </c>
      <c r="AA98">
        <v>20217.599999999999</v>
      </c>
      <c r="AB98">
        <v>30</v>
      </c>
      <c r="AC98">
        <v>37908</v>
      </c>
      <c r="AD98">
        <v>22</v>
      </c>
      <c r="AE98">
        <v>27799.199999999997</v>
      </c>
      <c r="AF98">
        <v>27</v>
      </c>
      <c r="AG98">
        <v>34117.199999999997</v>
      </c>
      <c r="AH98">
        <v>19</v>
      </c>
      <c r="AI98">
        <v>24008.399999999998</v>
      </c>
      <c r="AJ98">
        <v>13</v>
      </c>
      <c r="AK98">
        <v>16426.8</v>
      </c>
      <c r="AL98">
        <v>9</v>
      </c>
      <c r="AM98">
        <v>11372.4</v>
      </c>
      <c r="AN98">
        <v>10</v>
      </c>
      <c r="AO98">
        <v>12636</v>
      </c>
      <c r="AP98">
        <v>10</v>
      </c>
      <c r="AQ98">
        <v>12636</v>
      </c>
      <c r="AR98">
        <v>13</v>
      </c>
      <c r="AS98">
        <v>16426.8</v>
      </c>
      <c r="AT98">
        <v>8</v>
      </c>
      <c r="AU98">
        <v>10108.799999999999</v>
      </c>
      <c r="AV98">
        <v>13</v>
      </c>
      <c r="AW98">
        <v>16426.8</v>
      </c>
      <c r="AX98">
        <v>12</v>
      </c>
      <c r="AY98">
        <v>15163.199999999999</v>
      </c>
      <c r="AZ98">
        <v>26</v>
      </c>
      <c r="BA98">
        <v>32853.599999999999</v>
      </c>
      <c r="BB98">
        <v>18</v>
      </c>
      <c r="BC98">
        <v>22744.799999999999</v>
      </c>
      <c r="BD98">
        <v>23</v>
      </c>
      <c r="BE98">
        <v>29062.799999999999</v>
      </c>
      <c r="BF98">
        <v>18</v>
      </c>
      <c r="BG98">
        <v>22744.799999999999</v>
      </c>
      <c r="BH98">
        <v>7</v>
      </c>
      <c r="BI98">
        <v>8845.1999999999989</v>
      </c>
      <c r="BJ98">
        <v>11</v>
      </c>
      <c r="BK98">
        <v>13899.599999999999</v>
      </c>
      <c r="BL98">
        <v>8</v>
      </c>
      <c r="BM98">
        <v>10108.799999999999</v>
      </c>
      <c r="BN98">
        <v>11</v>
      </c>
      <c r="BO98">
        <v>13899.599999999999</v>
      </c>
      <c r="BP98">
        <v>39</v>
      </c>
      <c r="BQ98">
        <v>49280.399999999994</v>
      </c>
      <c r="BR98">
        <v>54</v>
      </c>
      <c r="BS98">
        <v>68234.399999999994</v>
      </c>
      <c r="BT98">
        <v>59</v>
      </c>
      <c r="BU98">
        <v>74552.399999999994</v>
      </c>
      <c r="BV98">
        <v>51</v>
      </c>
      <c r="BW98">
        <v>64443.6</v>
      </c>
      <c r="BX98">
        <v>18</v>
      </c>
      <c r="BY98">
        <v>22744.799999999999</v>
      </c>
      <c r="BZ98">
        <v>19</v>
      </c>
      <c r="CA98">
        <v>24008.399999999998</v>
      </c>
      <c r="CB98">
        <v>17</v>
      </c>
      <c r="CC98">
        <v>21481.199999999997</v>
      </c>
      <c r="CD98">
        <v>14</v>
      </c>
      <c r="CE98">
        <v>17690.399999999998</v>
      </c>
      <c r="CF98">
        <v>10</v>
      </c>
      <c r="CG98">
        <v>12636</v>
      </c>
      <c r="CH98">
        <v>14</v>
      </c>
      <c r="CI98">
        <v>17690.399999999998</v>
      </c>
      <c r="CJ98">
        <v>9</v>
      </c>
      <c r="CK98">
        <v>11372.4</v>
      </c>
      <c r="CL98">
        <v>7</v>
      </c>
      <c r="CM98">
        <v>8845.1999999999989</v>
      </c>
      <c r="CN98">
        <v>24</v>
      </c>
      <c r="CO98">
        <v>30326.399999999998</v>
      </c>
      <c r="CP98">
        <v>21</v>
      </c>
      <c r="CQ98">
        <v>26535.599999999999</v>
      </c>
      <c r="CR98">
        <v>31</v>
      </c>
      <c r="CS98">
        <v>39171.599999999999</v>
      </c>
      <c r="CT98">
        <v>25</v>
      </c>
      <c r="CU98">
        <v>31589.999999999996</v>
      </c>
    </row>
    <row r="99" spans="2:99" x14ac:dyDescent="0.2">
      <c r="C99" s="118" t="s">
        <v>265</v>
      </c>
      <c r="D99">
        <v>6.44112123823344</v>
      </c>
      <c r="E99">
        <v>35307.650179500422</v>
      </c>
      <c r="F99">
        <v>28</v>
      </c>
      <c r="G99">
        <v>153484.79999999999</v>
      </c>
      <c r="H99">
        <v>45</v>
      </c>
      <c r="I99">
        <v>246671.99999999997</v>
      </c>
      <c r="J99">
        <v>34</v>
      </c>
      <c r="K99">
        <v>186374.39999999999</v>
      </c>
      <c r="L99">
        <v>14</v>
      </c>
      <c r="M99">
        <v>76742.399999999994</v>
      </c>
      <c r="N99">
        <v>7</v>
      </c>
      <c r="O99">
        <v>38371.199999999997</v>
      </c>
      <c r="P99">
        <v>14</v>
      </c>
      <c r="Q99">
        <v>76742.399999999994</v>
      </c>
      <c r="R99">
        <v>10</v>
      </c>
      <c r="S99">
        <v>54815.999999999993</v>
      </c>
      <c r="T99">
        <v>12</v>
      </c>
      <c r="U99">
        <v>65779.199999999997</v>
      </c>
      <c r="V99">
        <v>17</v>
      </c>
      <c r="W99">
        <v>93187.199999999997</v>
      </c>
      <c r="X99">
        <v>10</v>
      </c>
      <c r="Y99">
        <v>54815.999999999993</v>
      </c>
      <c r="Z99">
        <v>12</v>
      </c>
      <c r="AA99">
        <v>65779.199999999997</v>
      </c>
      <c r="AB99">
        <v>21</v>
      </c>
      <c r="AC99">
        <v>115113.59999999999</v>
      </c>
      <c r="AD99">
        <v>13</v>
      </c>
      <c r="AE99">
        <v>71260.799999999988</v>
      </c>
      <c r="AF99">
        <v>17</v>
      </c>
      <c r="AG99">
        <v>93187.199999999997</v>
      </c>
      <c r="AH99">
        <v>12</v>
      </c>
      <c r="AI99">
        <v>65779.199999999997</v>
      </c>
      <c r="AJ99">
        <v>11</v>
      </c>
      <c r="AK99">
        <v>60297.599999999991</v>
      </c>
      <c r="AL99">
        <v>7</v>
      </c>
      <c r="AM99">
        <v>38371.199999999997</v>
      </c>
      <c r="AN99">
        <v>8</v>
      </c>
      <c r="AO99">
        <v>43852.799999999996</v>
      </c>
      <c r="AP99">
        <v>8</v>
      </c>
      <c r="AQ99">
        <v>43852.799999999996</v>
      </c>
      <c r="AR99">
        <v>10</v>
      </c>
      <c r="AS99">
        <v>54815.999999999993</v>
      </c>
      <c r="AT99">
        <v>6</v>
      </c>
      <c r="AU99">
        <v>32889.599999999999</v>
      </c>
      <c r="AV99">
        <v>10</v>
      </c>
      <c r="AW99">
        <v>54815.999999999993</v>
      </c>
      <c r="AX99">
        <v>9</v>
      </c>
      <c r="AY99">
        <v>49334.399999999994</v>
      </c>
      <c r="AZ99">
        <v>19</v>
      </c>
      <c r="BA99">
        <v>104150.39999999999</v>
      </c>
      <c r="BB99">
        <v>12</v>
      </c>
      <c r="BC99">
        <v>65779.199999999997</v>
      </c>
      <c r="BD99">
        <v>16</v>
      </c>
      <c r="BE99">
        <v>87705.599999999991</v>
      </c>
      <c r="BF99">
        <v>13</v>
      </c>
      <c r="BG99">
        <v>71260.799999999988</v>
      </c>
      <c r="BH99">
        <v>5</v>
      </c>
      <c r="BI99">
        <v>27407.999999999996</v>
      </c>
      <c r="BJ99">
        <v>8</v>
      </c>
      <c r="BK99">
        <v>43852.799999999996</v>
      </c>
      <c r="BL99">
        <v>6</v>
      </c>
      <c r="BM99">
        <v>32889.599999999999</v>
      </c>
      <c r="BN99">
        <v>8</v>
      </c>
      <c r="BO99">
        <v>43852.799999999996</v>
      </c>
      <c r="BP99">
        <v>22</v>
      </c>
      <c r="BQ99">
        <v>120595.19999999998</v>
      </c>
      <c r="BR99">
        <v>30</v>
      </c>
      <c r="BS99">
        <v>164447.99999999997</v>
      </c>
      <c r="BT99">
        <v>29</v>
      </c>
      <c r="BU99">
        <v>158966.39999999999</v>
      </c>
      <c r="BV99">
        <v>33</v>
      </c>
      <c r="BW99">
        <v>180892.79999999999</v>
      </c>
      <c r="BX99">
        <v>12</v>
      </c>
      <c r="BY99">
        <v>65779.199999999997</v>
      </c>
      <c r="BZ99">
        <v>12</v>
      </c>
      <c r="CA99">
        <v>65779.199999999997</v>
      </c>
      <c r="CB99">
        <v>11</v>
      </c>
      <c r="CC99">
        <v>60297.599999999991</v>
      </c>
      <c r="CD99">
        <v>10</v>
      </c>
      <c r="CE99">
        <v>54815.999999999993</v>
      </c>
      <c r="CF99">
        <v>7</v>
      </c>
      <c r="CG99">
        <v>38371.199999999997</v>
      </c>
      <c r="CH99">
        <v>10</v>
      </c>
      <c r="CI99">
        <v>54815.999999999993</v>
      </c>
      <c r="CJ99">
        <v>7</v>
      </c>
      <c r="CK99">
        <v>38371.199999999997</v>
      </c>
      <c r="CL99">
        <v>6</v>
      </c>
      <c r="CM99">
        <v>32889.599999999999</v>
      </c>
      <c r="CN99">
        <v>17</v>
      </c>
      <c r="CO99">
        <v>93187.199999999997</v>
      </c>
      <c r="CP99">
        <v>15</v>
      </c>
      <c r="CQ99">
        <v>82223.999999999985</v>
      </c>
      <c r="CR99">
        <v>19</v>
      </c>
      <c r="CS99">
        <v>104150.39999999999</v>
      </c>
      <c r="CT99">
        <v>19</v>
      </c>
      <c r="CU99">
        <v>104150.39999999999</v>
      </c>
    </row>
    <row r="100" spans="2:99" x14ac:dyDescent="0.2">
      <c r="C100" s="118" t="s">
        <v>266</v>
      </c>
      <c r="D100">
        <v>10.019521926140907</v>
      </c>
      <c r="E100">
        <v>16255.672372971007</v>
      </c>
      <c r="F100">
        <v>47</v>
      </c>
      <c r="G100">
        <v>76252.799999999988</v>
      </c>
      <c r="H100">
        <v>71</v>
      </c>
      <c r="I100">
        <v>115190.39999999999</v>
      </c>
      <c r="J100">
        <v>64</v>
      </c>
      <c r="K100">
        <v>103833.59999999999</v>
      </c>
      <c r="L100">
        <v>18</v>
      </c>
      <c r="M100">
        <v>29203.199999999997</v>
      </c>
      <c r="N100">
        <v>9</v>
      </c>
      <c r="O100">
        <v>14601.599999999999</v>
      </c>
      <c r="P100">
        <v>20</v>
      </c>
      <c r="Q100">
        <v>32447.999999999996</v>
      </c>
      <c r="R100">
        <v>15</v>
      </c>
      <c r="S100">
        <v>24335.999999999996</v>
      </c>
      <c r="T100">
        <v>17</v>
      </c>
      <c r="U100">
        <v>27580.799999999999</v>
      </c>
      <c r="V100">
        <v>20</v>
      </c>
      <c r="W100">
        <v>32447.999999999996</v>
      </c>
      <c r="X100">
        <v>15</v>
      </c>
      <c r="Y100">
        <v>24335.999999999996</v>
      </c>
      <c r="Z100">
        <v>14</v>
      </c>
      <c r="AA100">
        <v>22713.599999999999</v>
      </c>
      <c r="AB100">
        <v>30</v>
      </c>
      <c r="AC100">
        <v>48671.999999999993</v>
      </c>
      <c r="AD100">
        <v>20</v>
      </c>
      <c r="AE100">
        <v>32447.999999999996</v>
      </c>
      <c r="AF100">
        <v>23</v>
      </c>
      <c r="AG100">
        <v>37315.199999999997</v>
      </c>
      <c r="AH100">
        <v>20</v>
      </c>
      <c r="AI100">
        <v>32447.999999999996</v>
      </c>
      <c r="AJ100">
        <v>13</v>
      </c>
      <c r="AK100">
        <v>21091.199999999997</v>
      </c>
      <c r="AL100">
        <v>9</v>
      </c>
      <c r="AM100">
        <v>14601.599999999999</v>
      </c>
      <c r="AN100">
        <v>11</v>
      </c>
      <c r="AO100">
        <v>17846.399999999998</v>
      </c>
      <c r="AP100">
        <v>11</v>
      </c>
      <c r="AQ100">
        <v>17846.399999999998</v>
      </c>
      <c r="AR100">
        <v>11</v>
      </c>
      <c r="AS100">
        <v>17846.399999999998</v>
      </c>
      <c r="AT100">
        <v>7</v>
      </c>
      <c r="AU100">
        <v>11356.8</v>
      </c>
      <c r="AV100">
        <v>13</v>
      </c>
      <c r="AW100">
        <v>21091.199999999997</v>
      </c>
      <c r="AX100">
        <v>13</v>
      </c>
      <c r="AY100">
        <v>21091.199999999997</v>
      </c>
      <c r="AZ100">
        <v>23</v>
      </c>
      <c r="BA100">
        <v>37315.199999999997</v>
      </c>
      <c r="BB100">
        <v>19</v>
      </c>
      <c r="BC100">
        <v>30825.599999999999</v>
      </c>
      <c r="BD100">
        <v>23</v>
      </c>
      <c r="BE100">
        <v>37315.199999999997</v>
      </c>
      <c r="BF100">
        <v>17</v>
      </c>
      <c r="BG100">
        <v>27580.799999999999</v>
      </c>
      <c r="BH100">
        <v>7</v>
      </c>
      <c r="BI100">
        <v>11356.8</v>
      </c>
      <c r="BJ100">
        <v>12</v>
      </c>
      <c r="BK100">
        <v>19468.8</v>
      </c>
      <c r="BL100">
        <v>8</v>
      </c>
      <c r="BM100">
        <v>12979.199999999999</v>
      </c>
      <c r="BN100">
        <v>10</v>
      </c>
      <c r="BO100">
        <v>16223.999999999998</v>
      </c>
      <c r="BP100">
        <v>38</v>
      </c>
      <c r="BQ100">
        <v>61651.199999999997</v>
      </c>
      <c r="BR100">
        <v>59</v>
      </c>
      <c r="BS100">
        <v>95721.599999999991</v>
      </c>
      <c r="BT100">
        <v>56</v>
      </c>
      <c r="BU100">
        <v>90854.399999999994</v>
      </c>
      <c r="BV100">
        <v>46</v>
      </c>
      <c r="BW100">
        <v>74630.399999999994</v>
      </c>
      <c r="BX100">
        <v>19</v>
      </c>
      <c r="BY100">
        <v>30825.599999999999</v>
      </c>
      <c r="BZ100">
        <v>19</v>
      </c>
      <c r="CA100">
        <v>30825.599999999999</v>
      </c>
      <c r="CB100">
        <v>17</v>
      </c>
      <c r="CC100">
        <v>27580.799999999999</v>
      </c>
      <c r="CD100">
        <v>12</v>
      </c>
      <c r="CE100">
        <v>19468.8</v>
      </c>
      <c r="CF100">
        <v>9</v>
      </c>
      <c r="CG100">
        <v>14601.599999999999</v>
      </c>
      <c r="CH100">
        <v>13</v>
      </c>
      <c r="CI100">
        <v>21091.199999999997</v>
      </c>
      <c r="CJ100">
        <v>8</v>
      </c>
      <c r="CK100">
        <v>12979.199999999999</v>
      </c>
      <c r="CL100">
        <v>7</v>
      </c>
      <c r="CM100">
        <v>11356.8</v>
      </c>
      <c r="CN100">
        <v>24</v>
      </c>
      <c r="CO100">
        <v>38937.599999999999</v>
      </c>
      <c r="CP100">
        <v>24</v>
      </c>
      <c r="CQ100">
        <v>38937.599999999999</v>
      </c>
      <c r="CR100">
        <v>30</v>
      </c>
      <c r="CS100">
        <v>48671.999999999993</v>
      </c>
      <c r="CT100">
        <v>27</v>
      </c>
      <c r="CU100">
        <v>43804.799999999996</v>
      </c>
    </row>
    <row r="101" spans="2:99" x14ac:dyDescent="0.2">
      <c r="C101" s="118" t="s">
        <v>267</v>
      </c>
      <c r="D101">
        <v>10.496642017861904</v>
      </c>
      <c r="E101">
        <v>12495.202658062808</v>
      </c>
      <c r="F101">
        <v>53</v>
      </c>
      <c r="G101">
        <v>63091.19999999999</v>
      </c>
      <c r="H101">
        <v>80</v>
      </c>
      <c r="I101">
        <v>95231.999999999985</v>
      </c>
      <c r="J101">
        <v>70</v>
      </c>
      <c r="K101">
        <v>83327.999999999985</v>
      </c>
      <c r="L101">
        <v>18</v>
      </c>
      <c r="M101">
        <v>21427.199999999997</v>
      </c>
      <c r="N101">
        <v>9</v>
      </c>
      <c r="O101">
        <v>10713.599999999999</v>
      </c>
      <c r="P101">
        <v>19</v>
      </c>
      <c r="Q101">
        <v>22617.599999999999</v>
      </c>
      <c r="R101">
        <v>14</v>
      </c>
      <c r="S101">
        <v>16665.599999999999</v>
      </c>
      <c r="T101">
        <v>15</v>
      </c>
      <c r="U101">
        <v>17855.999999999996</v>
      </c>
      <c r="V101">
        <v>22</v>
      </c>
      <c r="W101">
        <v>26188.799999999996</v>
      </c>
      <c r="X101">
        <v>15</v>
      </c>
      <c r="Y101">
        <v>17855.999999999996</v>
      </c>
      <c r="Z101">
        <v>17</v>
      </c>
      <c r="AA101">
        <v>20236.8</v>
      </c>
      <c r="AB101">
        <v>31</v>
      </c>
      <c r="AC101">
        <v>36902.399999999994</v>
      </c>
      <c r="AD101">
        <v>19</v>
      </c>
      <c r="AE101">
        <v>22617.599999999999</v>
      </c>
      <c r="AF101">
        <v>24</v>
      </c>
      <c r="AG101">
        <v>28569.599999999999</v>
      </c>
      <c r="AH101">
        <v>21</v>
      </c>
      <c r="AI101">
        <v>24998.399999999998</v>
      </c>
      <c r="AJ101">
        <v>15</v>
      </c>
      <c r="AK101">
        <v>17855.999999999996</v>
      </c>
      <c r="AL101">
        <v>9</v>
      </c>
      <c r="AM101">
        <v>10713.599999999999</v>
      </c>
      <c r="AN101">
        <v>11</v>
      </c>
      <c r="AO101">
        <v>13094.399999999998</v>
      </c>
      <c r="AP101">
        <v>12</v>
      </c>
      <c r="AQ101">
        <v>14284.8</v>
      </c>
      <c r="AR101">
        <v>12</v>
      </c>
      <c r="AS101">
        <v>14284.8</v>
      </c>
      <c r="AT101">
        <v>8</v>
      </c>
      <c r="AU101">
        <v>9523.1999999999989</v>
      </c>
      <c r="AV101">
        <v>12</v>
      </c>
      <c r="AW101">
        <v>14284.8</v>
      </c>
      <c r="AX101">
        <v>12</v>
      </c>
      <c r="AY101">
        <v>14284.8</v>
      </c>
      <c r="AZ101">
        <v>23</v>
      </c>
      <c r="BA101">
        <v>27379.199999999997</v>
      </c>
      <c r="BB101">
        <v>18</v>
      </c>
      <c r="BC101">
        <v>21427.199999999997</v>
      </c>
      <c r="BD101">
        <v>26</v>
      </c>
      <c r="BE101">
        <v>30950.399999999998</v>
      </c>
      <c r="BF101">
        <v>21</v>
      </c>
      <c r="BG101">
        <v>24998.399999999998</v>
      </c>
      <c r="BH101">
        <v>7</v>
      </c>
      <c r="BI101">
        <v>8332.7999999999993</v>
      </c>
      <c r="BJ101">
        <v>13</v>
      </c>
      <c r="BK101">
        <v>15475.199999999999</v>
      </c>
      <c r="BL101">
        <v>7</v>
      </c>
      <c r="BM101">
        <v>8332.7999999999993</v>
      </c>
      <c r="BN101">
        <v>11</v>
      </c>
      <c r="BO101">
        <v>13094.399999999998</v>
      </c>
      <c r="BP101">
        <v>42</v>
      </c>
      <c r="BQ101">
        <v>49996.799999999996</v>
      </c>
      <c r="BR101">
        <v>56</v>
      </c>
      <c r="BS101">
        <v>66662.399999999994</v>
      </c>
      <c r="BT101">
        <v>53</v>
      </c>
      <c r="BU101">
        <v>63091.19999999999</v>
      </c>
      <c r="BV101">
        <v>56</v>
      </c>
      <c r="BW101">
        <v>66662.399999999994</v>
      </c>
      <c r="BX101">
        <v>19</v>
      </c>
      <c r="BY101">
        <v>22617.599999999999</v>
      </c>
      <c r="BZ101">
        <v>17</v>
      </c>
      <c r="CA101">
        <v>20236.8</v>
      </c>
      <c r="CB101">
        <v>15</v>
      </c>
      <c r="CC101">
        <v>17855.999999999996</v>
      </c>
      <c r="CD101">
        <v>13</v>
      </c>
      <c r="CE101">
        <v>15475.199999999999</v>
      </c>
      <c r="CF101">
        <v>11</v>
      </c>
      <c r="CG101">
        <v>13094.399999999998</v>
      </c>
      <c r="CH101">
        <v>12</v>
      </c>
      <c r="CI101">
        <v>14284.8</v>
      </c>
      <c r="CJ101">
        <v>9</v>
      </c>
      <c r="CK101">
        <v>10713.599999999999</v>
      </c>
      <c r="CL101">
        <v>7</v>
      </c>
      <c r="CM101">
        <v>8332.7999999999993</v>
      </c>
      <c r="CN101">
        <v>25</v>
      </c>
      <c r="CO101">
        <v>29759.999999999996</v>
      </c>
      <c r="CP101">
        <v>22</v>
      </c>
      <c r="CQ101">
        <v>26188.799999999996</v>
      </c>
      <c r="CR101">
        <v>32</v>
      </c>
      <c r="CS101">
        <v>38092.799999999996</v>
      </c>
      <c r="CT101">
        <v>28</v>
      </c>
      <c r="CU101">
        <v>33331.199999999997</v>
      </c>
    </row>
    <row r="102" spans="2:99" x14ac:dyDescent="0.2">
      <c r="C102" s="118" t="s">
        <v>268</v>
      </c>
      <c r="D102">
        <v>9.7809618802804099</v>
      </c>
      <c r="E102">
        <v>18967.24127823977</v>
      </c>
      <c r="F102">
        <v>49</v>
      </c>
      <c r="G102">
        <v>95020.799999999988</v>
      </c>
      <c r="H102">
        <v>67</v>
      </c>
      <c r="I102">
        <v>129926.39999999999</v>
      </c>
      <c r="J102">
        <v>63</v>
      </c>
      <c r="K102">
        <v>122169.59999999999</v>
      </c>
      <c r="L102">
        <v>19</v>
      </c>
      <c r="M102">
        <v>36844.799999999996</v>
      </c>
      <c r="N102">
        <v>10</v>
      </c>
      <c r="O102">
        <v>19392</v>
      </c>
      <c r="P102">
        <v>20</v>
      </c>
      <c r="Q102">
        <v>38784</v>
      </c>
      <c r="R102">
        <v>14</v>
      </c>
      <c r="S102">
        <v>27148.799999999996</v>
      </c>
      <c r="T102">
        <v>17</v>
      </c>
      <c r="U102">
        <v>32966.399999999994</v>
      </c>
      <c r="V102">
        <v>19</v>
      </c>
      <c r="W102">
        <v>36844.799999999996</v>
      </c>
      <c r="X102">
        <v>14</v>
      </c>
      <c r="Y102">
        <v>27148.799999999996</v>
      </c>
      <c r="Z102">
        <v>14</v>
      </c>
      <c r="AA102">
        <v>27148.799999999996</v>
      </c>
      <c r="AB102">
        <v>28</v>
      </c>
      <c r="AC102">
        <v>54297.599999999991</v>
      </c>
      <c r="AD102">
        <v>19</v>
      </c>
      <c r="AE102">
        <v>36844.799999999996</v>
      </c>
      <c r="AF102">
        <v>23</v>
      </c>
      <c r="AG102">
        <v>44601.599999999999</v>
      </c>
      <c r="AH102">
        <v>18</v>
      </c>
      <c r="AI102">
        <v>34905.599999999999</v>
      </c>
      <c r="AJ102">
        <v>15</v>
      </c>
      <c r="AK102">
        <v>29087.999999999996</v>
      </c>
      <c r="AL102">
        <v>9</v>
      </c>
      <c r="AM102">
        <v>17452.8</v>
      </c>
      <c r="AN102">
        <v>9</v>
      </c>
      <c r="AO102">
        <v>17452.8</v>
      </c>
      <c r="AP102">
        <v>10</v>
      </c>
      <c r="AQ102">
        <v>19392</v>
      </c>
      <c r="AR102">
        <v>11</v>
      </c>
      <c r="AS102">
        <v>21331.199999999997</v>
      </c>
      <c r="AT102">
        <v>8</v>
      </c>
      <c r="AU102">
        <v>15513.599999999999</v>
      </c>
      <c r="AV102">
        <v>11</v>
      </c>
      <c r="AW102">
        <v>21331.199999999997</v>
      </c>
      <c r="AX102">
        <v>13</v>
      </c>
      <c r="AY102">
        <v>25209.599999999999</v>
      </c>
      <c r="AZ102">
        <v>23</v>
      </c>
      <c r="BA102">
        <v>44601.599999999999</v>
      </c>
      <c r="BB102">
        <v>19</v>
      </c>
      <c r="BC102">
        <v>36844.799999999996</v>
      </c>
      <c r="BD102">
        <v>22</v>
      </c>
      <c r="BE102">
        <v>42662.399999999994</v>
      </c>
      <c r="BF102">
        <v>17</v>
      </c>
      <c r="BG102">
        <v>32966.399999999994</v>
      </c>
      <c r="BH102">
        <v>7</v>
      </c>
      <c r="BI102">
        <v>13574.399999999998</v>
      </c>
      <c r="BJ102">
        <v>11</v>
      </c>
      <c r="BK102">
        <v>21331.199999999997</v>
      </c>
      <c r="BL102">
        <v>8</v>
      </c>
      <c r="BM102">
        <v>15513.599999999999</v>
      </c>
      <c r="BN102">
        <v>10</v>
      </c>
      <c r="BO102">
        <v>19392</v>
      </c>
      <c r="BP102">
        <v>39</v>
      </c>
      <c r="BQ102">
        <v>75628.799999999988</v>
      </c>
      <c r="BR102">
        <v>50</v>
      </c>
      <c r="BS102">
        <v>96959.999999999985</v>
      </c>
      <c r="BT102">
        <v>50</v>
      </c>
      <c r="BU102">
        <v>96959.999999999985</v>
      </c>
      <c r="BV102">
        <v>52</v>
      </c>
      <c r="BW102">
        <v>100838.39999999999</v>
      </c>
      <c r="BX102">
        <v>17</v>
      </c>
      <c r="BY102">
        <v>32966.399999999994</v>
      </c>
      <c r="BZ102">
        <v>18</v>
      </c>
      <c r="CA102">
        <v>34905.599999999999</v>
      </c>
      <c r="CB102">
        <v>15</v>
      </c>
      <c r="CC102">
        <v>29087.999999999996</v>
      </c>
      <c r="CD102">
        <v>13</v>
      </c>
      <c r="CE102">
        <v>25209.599999999999</v>
      </c>
      <c r="CF102">
        <v>9</v>
      </c>
      <c r="CG102">
        <v>17452.8</v>
      </c>
      <c r="CH102">
        <v>12</v>
      </c>
      <c r="CI102">
        <v>23270.399999999998</v>
      </c>
      <c r="CJ102">
        <v>7</v>
      </c>
      <c r="CK102">
        <v>13574.399999999998</v>
      </c>
      <c r="CL102">
        <v>8</v>
      </c>
      <c r="CM102">
        <v>15513.599999999999</v>
      </c>
      <c r="CN102">
        <v>26</v>
      </c>
      <c r="CO102">
        <v>50419.199999999997</v>
      </c>
      <c r="CP102">
        <v>20</v>
      </c>
      <c r="CQ102">
        <v>38784</v>
      </c>
      <c r="CR102">
        <v>29</v>
      </c>
      <c r="CS102">
        <v>56236.799999999996</v>
      </c>
      <c r="CT102">
        <v>24</v>
      </c>
      <c r="CU102">
        <v>46540.799999999996</v>
      </c>
    </row>
    <row r="103" spans="2:99" x14ac:dyDescent="0.2">
      <c r="C103" s="118" t="s">
        <v>269</v>
      </c>
      <c r="D103">
        <v>9.7809618802804099</v>
      </c>
      <c r="E103">
        <v>19835.79069320867</v>
      </c>
      <c r="F103">
        <v>43</v>
      </c>
      <c r="G103">
        <v>87204</v>
      </c>
      <c r="H103">
        <v>65</v>
      </c>
      <c r="I103">
        <v>131820</v>
      </c>
      <c r="J103">
        <v>56</v>
      </c>
      <c r="K103">
        <v>113568</v>
      </c>
      <c r="L103">
        <v>17</v>
      </c>
      <c r="M103">
        <v>34476</v>
      </c>
      <c r="N103">
        <v>9</v>
      </c>
      <c r="O103">
        <v>18252</v>
      </c>
      <c r="P103">
        <v>19</v>
      </c>
      <c r="Q103">
        <v>38532</v>
      </c>
      <c r="R103">
        <v>14</v>
      </c>
      <c r="S103">
        <v>28392</v>
      </c>
      <c r="T103">
        <v>17</v>
      </c>
      <c r="U103">
        <v>34476</v>
      </c>
      <c r="V103">
        <v>22</v>
      </c>
      <c r="W103">
        <v>44616</v>
      </c>
      <c r="X103">
        <v>13</v>
      </c>
      <c r="Y103">
        <v>26364</v>
      </c>
      <c r="Z103">
        <v>15</v>
      </c>
      <c r="AA103">
        <v>30420</v>
      </c>
      <c r="AB103">
        <v>26</v>
      </c>
      <c r="AC103">
        <v>52728</v>
      </c>
      <c r="AD103">
        <v>20</v>
      </c>
      <c r="AE103">
        <v>40560</v>
      </c>
      <c r="AF103">
        <v>24</v>
      </c>
      <c r="AG103">
        <v>48672</v>
      </c>
      <c r="AH103">
        <v>18</v>
      </c>
      <c r="AI103">
        <v>36504</v>
      </c>
      <c r="AJ103">
        <v>14</v>
      </c>
      <c r="AK103">
        <v>28392</v>
      </c>
      <c r="AL103">
        <v>9</v>
      </c>
      <c r="AM103">
        <v>18252</v>
      </c>
      <c r="AN103">
        <v>11</v>
      </c>
      <c r="AO103">
        <v>22308</v>
      </c>
      <c r="AP103">
        <v>11</v>
      </c>
      <c r="AQ103">
        <v>22308</v>
      </c>
      <c r="AR103">
        <v>10</v>
      </c>
      <c r="AS103">
        <v>20280</v>
      </c>
      <c r="AT103">
        <v>7</v>
      </c>
      <c r="AU103">
        <v>14196</v>
      </c>
      <c r="AV103">
        <v>11</v>
      </c>
      <c r="AW103">
        <v>22308</v>
      </c>
      <c r="AX103">
        <v>12</v>
      </c>
      <c r="AY103">
        <v>24336</v>
      </c>
      <c r="AZ103">
        <v>23</v>
      </c>
      <c r="BA103">
        <v>46644</v>
      </c>
      <c r="BB103">
        <v>19</v>
      </c>
      <c r="BC103">
        <v>38532</v>
      </c>
      <c r="BD103">
        <v>25</v>
      </c>
      <c r="BE103">
        <v>50700</v>
      </c>
      <c r="BF103">
        <v>19</v>
      </c>
      <c r="BG103">
        <v>38532</v>
      </c>
      <c r="BH103">
        <v>7</v>
      </c>
      <c r="BI103">
        <v>14196</v>
      </c>
      <c r="BJ103">
        <v>10</v>
      </c>
      <c r="BK103">
        <v>20280</v>
      </c>
      <c r="BL103">
        <v>7</v>
      </c>
      <c r="BM103">
        <v>14196</v>
      </c>
      <c r="BN103">
        <v>11</v>
      </c>
      <c r="BO103">
        <v>22308</v>
      </c>
      <c r="BP103">
        <v>32</v>
      </c>
      <c r="BQ103">
        <v>64896</v>
      </c>
      <c r="BR103">
        <v>56</v>
      </c>
      <c r="BS103">
        <v>113568</v>
      </c>
      <c r="BT103">
        <v>54</v>
      </c>
      <c r="BU103">
        <v>109512</v>
      </c>
      <c r="BV103">
        <v>48</v>
      </c>
      <c r="BW103">
        <v>97344</v>
      </c>
      <c r="BX103">
        <v>19</v>
      </c>
      <c r="BY103">
        <v>38532</v>
      </c>
      <c r="BZ103">
        <v>18</v>
      </c>
      <c r="CA103">
        <v>36504</v>
      </c>
      <c r="CB103">
        <v>15</v>
      </c>
      <c r="CC103">
        <v>30420</v>
      </c>
      <c r="CD103">
        <v>11</v>
      </c>
      <c r="CE103">
        <v>22308</v>
      </c>
      <c r="CF103">
        <v>10</v>
      </c>
      <c r="CG103">
        <v>20280</v>
      </c>
      <c r="CH103">
        <v>13</v>
      </c>
      <c r="CI103">
        <v>26364</v>
      </c>
      <c r="CJ103">
        <v>8</v>
      </c>
      <c r="CK103">
        <v>16224</v>
      </c>
      <c r="CL103">
        <v>7</v>
      </c>
      <c r="CM103">
        <v>14196</v>
      </c>
      <c r="CN103">
        <v>23</v>
      </c>
      <c r="CO103">
        <v>46644</v>
      </c>
      <c r="CP103">
        <v>20</v>
      </c>
      <c r="CQ103">
        <v>40560</v>
      </c>
      <c r="CR103">
        <v>27</v>
      </c>
      <c r="CS103">
        <v>54756</v>
      </c>
      <c r="CT103">
        <v>23</v>
      </c>
      <c r="CU103">
        <v>46644</v>
      </c>
    </row>
    <row r="104" spans="2:99" x14ac:dyDescent="0.2">
      <c r="C104" s="118" t="s">
        <v>270</v>
      </c>
      <c r="D104">
        <v>10.496642017861904</v>
      </c>
      <c r="E104">
        <v>21753.240917817009</v>
      </c>
      <c r="F104">
        <v>43</v>
      </c>
      <c r="G104">
        <v>89113.2</v>
      </c>
      <c r="H104">
        <v>68</v>
      </c>
      <c r="I104">
        <v>140923.20000000001</v>
      </c>
      <c r="J104">
        <v>57</v>
      </c>
      <c r="K104">
        <v>118126.8</v>
      </c>
      <c r="L104">
        <v>17</v>
      </c>
      <c r="M104">
        <v>35230.800000000003</v>
      </c>
      <c r="N104">
        <v>10</v>
      </c>
      <c r="O104">
        <v>20724</v>
      </c>
      <c r="P104">
        <v>18</v>
      </c>
      <c r="Q104">
        <v>37303.200000000004</v>
      </c>
      <c r="R104">
        <v>15</v>
      </c>
      <c r="S104">
        <v>31086</v>
      </c>
      <c r="T104">
        <v>15</v>
      </c>
      <c r="U104">
        <v>31086</v>
      </c>
      <c r="V104">
        <v>21</v>
      </c>
      <c r="W104">
        <v>43520.4</v>
      </c>
      <c r="X104">
        <v>13</v>
      </c>
      <c r="Y104">
        <v>26941.200000000001</v>
      </c>
      <c r="Z104">
        <v>16</v>
      </c>
      <c r="AA104">
        <v>33158.400000000001</v>
      </c>
      <c r="AB104">
        <v>25</v>
      </c>
      <c r="AC104">
        <v>51810</v>
      </c>
      <c r="AD104">
        <v>17</v>
      </c>
      <c r="AE104">
        <v>35230.800000000003</v>
      </c>
      <c r="AF104">
        <v>23</v>
      </c>
      <c r="AG104">
        <v>47665.200000000004</v>
      </c>
      <c r="AH104">
        <v>18</v>
      </c>
      <c r="AI104">
        <v>37303.200000000004</v>
      </c>
      <c r="AJ104">
        <v>14</v>
      </c>
      <c r="AK104">
        <v>29013.600000000002</v>
      </c>
      <c r="AL104">
        <v>9</v>
      </c>
      <c r="AM104">
        <v>18651.600000000002</v>
      </c>
      <c r="AN104">
        <v>11</v>
      </c>
      <c r="AO104">
        <v>22796.400000000001</v>
      </c>
      <c r="AP104">
        <v>11</v>
      </c>
      <c r="AQ104">
        <v>22796.400000000001</v>
      </c>
      <c r="AR104">
        <v>11</v>
      </c>
      <c r="AS104">
        <v>22796.400000000001</v>
      </c>
      <c r="AT104">
        <v>7</v>
      </c>
      <c r="AU104">
        <v>14506.800000000001</v>
      </c>
      <c r="AV104">
        <v>11</v>
      </c>
      <c r="AW104">
        <v>22796.400000000001</v>
      </c>
      <c r="AX104">
        <v>12</v>
      </c>
      <c r="AY104">
        <v>24868.800000000003</v>
      </c>
      <c r="AZ104">
        <v>23</v>
      </c>
      <c r="BA104">
        <v>47665.200000000004</v>
      </c>
      <c r="BB104">
        <v>18</v>
      </c>
      <c r="BC104">
        <v>37303.200000000004</v>
      </c>
      <c r="BD104">
        <v>23</v>
      </c>
      <c r="BE104">
        <v>47665.200000000004</v>
      </c>
      <c r="BF104">
        <v>19</v>
      </c>
      <c r="BG104">
        <v>39375.599999999999</v>
      </c>
      <c r="BH104">
        <v>7</v>
      </c>
      <c r="BI104">
        <v>14506.800000000001</v>
      </c>
      <c r="BJ104">
        <v>12</v>
      </c>
      <c r="BK104">
        <v>24868.800000000003</v>
      </c>
      <c r="BL104">
        <v>7</v>
      </c>
      <c r="BM104">
        <v>14506.800000000001</v>
      </c>
      <c r="BN104">
        <v>10</v>
      </c>
      <c r="BO104">
        <v>20724</v>
      </c>
      <c r="BP104">
        <v>36</v>
      </c>
      <c r="BQ104">
        <v>74606.400000000009</v>
      </c>
      <c r="BR104">
        <v>55</v>
      </c>
      <c r="BS104">
        <v>113982</v>
      </c>
      <c r="BT104">
        <v>47</v>
      </c>
      <c r="BU104">
        <v>97402.8</v>
      </c>
      <c r="BV104">
        <v>44</v>
      </c>
      <c r="BW104">
        <v>91185.600000000006</v>
      </c>
      <c r="BX104">
        <v>19</v>
      </c>
      <c r="BY104">
        <v>39375.599999999999</v>
      </c>
      <c r="BZ104">
        <v>17</v>
      </c>
      <c r="CA104">
        <v>35230.800000000003</v>
      </c>
      <c r="CB104">
        <v>15</v>
      </c>
      <c r="CC104">
        <v>31086</v>
      </c>
      <c r="CD104">
        <v>11</v>
      </c>
      <c r="CE104">
        <v>22796.400000000001</v>
      </c>
      <c r="CF104">
        <v>10</v>
      </c>
      <c r="CG104">
        <v>20724</v>
      </c>
      <c r="CH104">
        <v>13</v>
      </c>
      <c r="CI104">
        <v>26941.200000000001</v>
      </c>
      <c r="CJ104">
        <v>8</v>
      </c>
      <c r="CK104">
        <v>16579.2</v>
      </c>
      <c r="CL104">
        <v>7</v>
      </c>
      <c r="CM104">
        <v>14506.800000000001</v>
      </c>
      <c r="CN104">
        <v>23</v>
      </c>
      <c r="CO104">
        <v>47665.200000000004</v>
      </c>
      <c r="CP104">
        <v>22</v>
      </c>
      <c r="CQ104">
        <v>45592.800000000003</v>
      </c>
      <c r="CR104">
        <v>30</v>
      </c>
      <c r="CS104">
        <v>62172</v>
      </c>
      <c r="CT104">
        <v>25</v>
      </c>
      <c r="CU104">
        <v>51810</v>
      </c>
    </row>
    <row r="105" spans="2:99" x14ac:dyDescent="0.2">
      <c r="C105" s="118" t="s">
        <v>271</v>
      </c>
      <c r="D105">
        <v>10.496642017861904</v>
      </c>
      <c r="E105">
        <v>20972.290751688084</v>
      </c>
      <c r="F105">
        <v>46</v>
      </c>
      <c r="G105">
        <v>91908</v>
      </c>
      <c r="H105">
        <v>65</v>
      </c>
      <c r="I105">
        <v>129870</v>
      </c>
      <c r="J105">
        <v>63</v>
      </c>
      <c r="K105">
        <v>125874</v>
      </c>
      <c r="L105">
        <v>16</v>
      </c>
      <c r="M105">
        <v>31968</v>
      </c>
      <c r="N105">
        <v>11</v>
      </c>
      <c r="O105">
        <v>21978</v>
      </c>
      <c r="P105">
        <v>18</v>
      </c>
      <c r="Q105">
        <v>35964</v>
      </c>
      <c r="R105">
        <v>14</v>
      </c>
      <c r="S105">
        <v>27972</v>
      </c>
      <c r="T105">
        <v>16</v>
      </c>
      <c r="U105">
        <v>31968</v>
      </c>
      <c r="V105">
        <v>22</v>
      </c>
      <c r="W105">
        <v>43956</v>
      </c>
      <c r="X105">
        <v>13</v>
      </c>
      <c r="Y105">
        <v>25974</v>
      </c>
      <c r="Z105">
        <v>14</v>
      </c>
      <c r="AA105">
        <v>27972</v>
      </c>
      <c r="AB105">
        <v>25</v>
      </c>
      <c r="AC105">
        <v>49950</v>
      </c>
      <c r="AD105">
        <v>18</v>
      </c>
      <c r="AE105">
        <v>35964</v>
      </c>
      <c r="AF105">
        <v>22</v>
      </c>
      <c r="AG105">
        <v>43956</v>
      </c>
      <c r="AH105">
        <v>17</v>
      </c>
      <c r="AI105">
        <v>33966</v>
      </c>
      <c r="AJ105">
        <v>12</v>
      </c>
      <c r="AK105">
        <v>23976</v>
      </c>
      <c r="AL105">
        <v>9</v>
      </c>
      <c r="AM105">
        <v>17982</v>
      </c>
      <c r="AN105">
        <v>10</v>
      </c>
      <c r="AO105">
        <v>19980</v>
      </c>
      <c r="AP105">
        <v>10</v>
      </c>
      <c r="AQ105">
        <v>19980</v>
      </c>
      <c r="AR105">
        <v>12</v>
      </c>
      <c r="AS105">
        <v>23976</v>
      </c>
      <c r="AT105">
        <v>7</v>
      </c>
      <c r="AU105">
        <v>13986</v>
      </c>
      <c r="AV105">
        <v>12</v>
      </c>
      <c r="AW105">
        <v>23976</v>
      </c>
      <c r="AX105">
        <v>13</v>
      </c>
      <c r="AY105">
        <v>25974</v>
      </c>
      <c r="AZ105">
        <v>22</v>
      </c>
      <c r="BA105">
        <v>43956</v>
      </c>
      <c r="BB105">
        <v>18</v>
      </c>
      <c r="BC105">
        <v>35964</v>
      </c>
      <c r="BD105">
        <v>22</v>
      </c>
      <c r="BE105">
        <v>43956</v>
      </c>
      <c r="BF105">
        <v>18</v>
      </c>
      <c r="BG105">
        <v>35964</v>
      </c>
      <c r="BH105">
        <v>8</v>
      </c>
      <c r="BI105">
        <v>15984</v>
      </c>
      <c r="BJ105">
        <v>10</v>
      </c>
      <c r="BK105">
        <v>19980</v>
      </c>
      <c r="BL105">
        <v>7</v>
      </c>
      <c r="BM105">
        <v>13986</v>
      </c>
      <c r="BN105">
        <v>12</v>
      </c>
      <c r="BO105">
        <v>23976</v>
      </c>
      <c r="BP105">
        <v>38</v>
      </c>
      <c r="BQ105">
        <v>75924</v>
      </c>
      <c r="BR105">
        <v>49</v>
      </c>
      <c r="BS105">
        <v>97902</v>
      </c>
      <c r="BT105">
        <v>48</v>
      </c>
      <c r="BU105">
        <v>95904</v>
      </c>
      <c r="BV105">
        <v>46</v>
      </c>
      <c r="BW105">
        <v>91908</v>
      </c>
      <c r="BX105">
        <v>17</v>
      </c>
      <c r="BY105">
        <v>33966</v>
      </c>
      <c r="BZ105">
        <v>18</v>
      </c>
      <c r="CA105">
        <v>35964</v>
      </c>
      <c r="CB105">
        <v>16</v>
      </c>
      <c r="CC105">
        <v>31968</v>
      </c>
      <c r="CD105">
        <v>13</v>
      </c>
      <c r="CE105">
        <v>25974</v>
      </c>
      <c r="CF105">
        <v>9</v>
      </c>
      <c r="CG105">
        <v>17982</v>
      </c>
      <c r="CH105">
        <v>14</v>
      </c>
      <c r="CI105">
        <v>27972</v>
      </c>
      <c r="CJ105">
        <v>8</v>
      </c>
      <c r="CK105">
        <v>15984</v>
      </c>
      <c r="CL105">
        <v>8</v>
      </c>
      <c r="CM105">
        <v>15984</v>
      </c>
      <c r="CN105">
        <v>23</v>
      </c>
      <c r="CO105">
        <v>45954</v>
      </c>
      <c r="CP105">
        <v>22</v>
      </c>
      <c r="CQ105">
        <v>43956</v>
      </c>
      <c r="CR105">
        <v>27</v>
      </c>
      <c r="CS105">
        <v>53946</v>
      </c>
      <c r="CT105">
        <v>23</v>
      </c>
      <c r="CU105">
        <v>45954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1163</v>
      </c>
      <c r="E109">
        <f>SUM(L$6:L$19)+SUM(N$6:N$19)+SUM(P$6:P$19)+SUM(R$6:R$19)</f>
        <v>0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8" t="s">
        <v>127</v>
      </c>
      <c r="D110">
        <f>SUM(D$20:D$36)+SUM(F$20:F$36)+SUM(H$20:H$36)+SUM(J$20:J$36)</f>
        <v>841</v>
      </c>
      <c r="E110">
        <f>SUM(L$20:L$36)+SUM(N$20:N$36)+SUM(P$20:P$36)+SUM(R$20:R$36)</f>
        <v>0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8" t="s">
        <v>128</v>
      </c>
      <c r="D111">
        <f>SUM(D$37:D$48)+SUM(F$37:F$48)+SUM(H$37:H$48)+SUM(J$37:J$48)</f>
        <v>932</v>
      </c>
      <c r="E111">
        <f>SUM(L$37:L$48)+SUM(N$37:N$48)+SUM(P$37:P$48)+SUM(R$37:R$48)</f>
        <v>0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8" t="s">
        <v>129</v>
      </c>
      <c r="D112">
        <f>SUM(D$49:D$70)+SUM(F$49:F$70)+SUM(H$49:H$70)+SUM(J$49:J$70)</f>
        <v>4081.8328116944267</v>
      </c>
      <c r="E112">
        <f>SUM(L$49:L$70)+SUM(N$49:N$70)+SUM(P$49:P$70)+SUM(R$49:R$70)</f>
        <v>592</v>
      </c>
      <c r="F112">
        <f>SUM(T$49:T$70)+SUM(V$49:V$70)+SUM(X$49:X$70)+SUM(Z$49:Z$70)</f>
        <v>250</v>
      </c>
      <c r="G112">
        <f>SUM(AB$49:AB$70)+SUM(AD$49:AD$70)+SUM(AF$49:AF$70)+SUM(AH$49:AH$70)</f>
        <v>111</v>
      </c>
      <c r="H112">
        <f>SUM(AJ$49:AJ$70)+SUM(AL$49:AL$70)+SUM(AN$49:AN$70)+SUM(AP$49:AP$70)</f>
        <v>285</v>
      </c>
      <c r="I112">
        <f>SUM(AR$49:AR$70)+SUM(AT$49:AT$70)+SUM(AV$49:AV$70)+SUM(AX$49:AX$70)</f>
        <v>120</v>
      </c>
      <c r="J112">
        <f>SUM(AZ$49:AZ$70)+SUM(BB$49:BB$70)+SUM(BD$49:BD$70)+SUM(BF$49:BF$70)</f>
        <v>67</v>
      </c>
      <c r="K112">
        <f>SUM(BH$49:BH$70)+SUM(BJ$49:BJ$70)+SUM(BL$49:BL$70)+SUM(BN$49:BN$70)</f>
        <v>94</v>
      </c>
      <c r="L112">
        <f>SUM(BP$49:BP$70)+SUM(BR$49:BR$70)+SUM(BT$49:BT$70)+SUM(BV$49:BV$70)</f>
        <v>304</v>
      </c>
      <c r="M112">
        <f>SUM(BX$49:BX$70)+SUM(BZ$49:BZ$70)+SUM(CB$49:CB$70)+SUM(CD$49:CD$70)</f>
        <v>68</v>
      </c>
      <c r="N112">
        <f>SUM(CF$49:CF$70)+SUM(CH$49:CH$70)+SUM(CJ$49:CJ$70)+SUM(CL$49:CL$70)</f>
        <v>94</v>
      </c>
      <c r="O112">
        <f>SUM(CN$49:CN$70)+SUM(CP$49:CP$70)+SUM(CR$49:CR$70)+SUM(CT$49:CT$70)</f>
        <v>124</v>
      </c>
    </row>
    <row r="113" spans="2:15" x14ac:dyDescent="0.2">
      <c r="C113" s="118" t="s">
        <v>130</v>
      </c>
      <c r="D113">
        <f>SUM(D$71:D$86)+SUM(F$71:F$86)+SUM(H$71:H$86)+SUM(J$71:J$86)</f>
        <v>764.97985210717138</v>
      </c>
      <c r="E113">
        <f>SUM(L$71:L$86)+SUM(N$71:N$86)+SUM(P$71:P$86)+SUM(R$71:R$86)</f>
        <v>2714</v>
      </c>
      <c r="F113">
        <f>SUM(T$71:T$86)+SUM(V$71:V$86)+SUM(X$71:X$86)+SUM(Z$71:Z$86)</f>
        <v>2649</v>
      </c>
      <c r="G113">
        <f>SUM(AB$71:AB$86)+SUM(AD$71:AD$86)+SUM(AF$71:AF$86)+SUM(AH$71:AH$86)</f>
        <v>1141</v>
      </c>
      <c r="H113">
        <f>SUM(AJ$71:AJ$86)+SUM(AL$71:AL$86)+SUM(AN$71:AN$86)+SUM(AP$71:AP$86)</f>
        <v>4709</v>
      </c>
      <c r="I113">
        <f>SUM(AR$71:AR$86)+SUM(AT$71:AT$86)+SUM(AV$71:AV$86)+SUM(AX$71:AX$86)</f>
        <v>773</v>
      </c>
      <c r="J113">
        <f>SUM(AZ$71:AZ$86)+SUM(BB$71:BB$86)+SUM(BD$71:BD$86)+SUM(BF$71:BF$86)</f>
        <v>582</v>
      </c>
      <c r="K113">
        <f>SUM(BH$71:BH$86)+SUM(BJ$71:BJ$86)+SUM(BL$71:BL$86)+SUM(BN$71:BN$86)</f>
        <v>662</v>
      </c>
      <c r="L113">
        <f>SUM(BP$71:BP$86)+SUM(BR$71:BR$86)+SUM(BT$71:BT$86)+SUM(BV$71:BV$86)</f>
        <v>1679</v>
      </c>
      <c r="M113">
        <f>SUM(BX$71:BX$86)+SUM(BZ$71:BZ$86)+SUM(CB$71:CB$86)+SUM(CD$71:CD$86)</f>
        <v>2887</v>
      </c>
      <c r="N113">
        <f>SUM(CF$71:CF$86)+SUM(CH$71:CH$86)+SUM(CJ$71:CJ$86)+SUM(CL$71:CL$86)</f>
        <v>4713</v>
      </c>
      <c r="O113">
        <f>SUM(CN$71:CN$86)+SUM(CP$71:CP$86)+SUM(CR$71:CR$86)+SUM(CT$71:CT$86)</f>
        <v>1213</v>
      </c>
    </row>
    <row r="114" spans="2:15" x14ac:dyDescent="0.2">
      <c r="C114" s="118" t="s">
        <v>131</v>
      </c>
      <c r="D114">
        <f>SUM(D$87:D$94)+SUM(F$87:F$94)+SUM(H$87:H$94)+SUM(J$87:J$94)</f>
        <v>203.21232215544342</v>
      </c>
      <c r="E114">
        <f>SUM(L$87:L$94)+SUM(N$87:N$94)+SUM(P$87:P$94)+SUM(R$87:R$94)</f>
        <v>337</v>
      </c>
      <c r="F114">
        <f>SUM(T$87:T$94)+SUM(V$87:V$94)+SUM(X$87:X$94)+SUM(Z$87:Z$94)</f>
        <v>344</v>
      </c>
      <c r="G114">
        <f>SUM(AB$87:AB$94)+SUM(AD$87:AD$94)+SUM(AF$87:AF$94)+SUM(AH$87:AH$94)</f>
        <v>277</v>
      </c>
      <c r="H114">
        <f>SUM(AJ$87:AJ$94)+SUM(AL$87:AL$94)+SUM(AN$87:AN$94)+SUM(AP$87:AP$94)</f>
        <v>283</v>
      </c>
      <c r="I114">
        <f>SUM(AR$87:AR$94)+SUM(AT$87:AT$94)+SUM(AV$87:AV$94)+SUM(AX$87:AX$94)</f>
        <v>523</v>
      </c>
      <c r="J114">
        <f>SUM(AZ$87:AZ$94)+SUM(BB$87:BB$94)+SUM(BD$87:BD$94)+SUM(BF$87:BF$94)</f>
        <v>325</v>
      </c>
      <c r="K114">
        <f>SUM(BH$87:BH$94)+SUM(BJ$87:BJ$94)+SUM(BL$87:BL$94)+SUM(BN$87:BN$94)</f>
        <v>860</v>
      </c>
      <c r="L114">
        <f>SUM(BP$87:BP$94)+SUM(BR$87:BR$94)+SUM(BT$87:BT$94)+SUM(BV$87:BV$94)</f>
        <v>387</v>
      </c>
      <c r="M114">
        <f>SUM(BX$87:BX$94)+SUM(BZ$87:BZ$94)+SUM(CB$87:CB$94)+SUM(CD$87:CD$94)</f>
        <v>307</v>
      </c>
      <c r="N114">
        <f>SUM(CF$87:CF$94)+SUM(CH$87:CH$94)+SUM(CJ$87:CJ$94)+SUM(CL$87:CL$94)</f>
        <v>418</v>
      </c>
      <c r="O114">
        <f>SUM(CN$87:CN$94)+SUM(CP$87:CP$94)+SUM(CR$87:CR$94)+SUM(CT$87:CT$94)</f>
        <v>870</v>
      </c>
    </row>
    <row r="115" spans="2:15" x14ac:dyDescent="0.2">
      <c r="C115" s="118" t="s">
        <v>132</v>
      </c>
      <c r="D115">
        <f>SUM(D$95:D$105)+SUM(F$95:F$105)+SUM(H$95:H$105)+SUM(J$95:J$105)</f>
        <v>2045.306260820666</v>
      </c>
      <c r="E115">
        <f>SUM(L$95:L$105)+SUM(N$95:N$105)+SUM(P$95:P$105)+SUM(R$95:R$105)</f>
        <v>658</v>
      </c>
      <c r="F115">
        <f>SUM(T$95:T$105)+SUM(V$95:V$105)+SUM(X$95:X$105)+SUM(Z$95:Z$105)</f>
        <v>716</v>
      </c>
      <c r="G115">
        <f>SUM(AB$95:AB$105)+SUM(AD$95:AD$105)+SUM(AF$95:AF$105)+SUM(AH$95:AH$105)</f>
        <v>971</v>
      </c>
      <c r="H115">
        <f>SUM(AJ$95:AJ$105)+SUM(AL$95:AL$105)+SUM(AN$95:AN$105)+SUM(AP$95:AP$105)</f>
        <v>473</v>
      </c>
      <c r="I115">
        <f>SUM(AR$95:AR$105)+SUM(AT$95:AT$105)+SUM(AV$95:AV$105)+SUM(AX$95:AX$105)</f>
        <v>470</v>
      </c>
      <c r="J115">
        <f>SUM(AZ$95:AZ$105)+SUM(BB$95:BB$105)+SUM(BD$95:BD$105)+SUM(BF$95:BF$105)</f>
        <v>902</v>
      </c>
      <c r="K115">
        <f>SUM(BH$95:BH$105)+SUM(BJ$95:BJ$105)+SUM(BL$95:BL$105)+SUM(BN$95:BN$105)</f>
        <v>393</v>
      </c>
      <c r="L115">
        <f>SUM(BP$95:BP$105)+SUM(BR$95:BR$105)+SUM(BT$95:BT$105)+SUM(BV$95:BV$105)</f>
        <v>2076</v>
      </c>
      <c r="M115">
        <f>SUM(BX$95:BX$105)+SUM(BZ$95:BZ$105)+SUM(CB$95:CB$105)+SUM(CD$95:CD$105)</f>
        <v>691</v>
      </c>
      <c r="N115">
        <f>SUM(CF$95:CF$105)+SUM(CH$95:CH$105)+SUM(CJ$95:CJ$105)+SUM(CL$95:CL$105)</f>
        <v>411</v>
      </c>
      <c r="O115">
        <f>SUM(CN$95:CN$105)+SUM(CP$95:CP$105)+SUM(CR$95:CR$105)+SUM(CT$95:CT$105)</f>
        <v>1082</v>
      </c>
    </row>
    <row r="116" spans="2:15" x14ac:dyDescent="0.2">
      <c r="C116" s="118" t="s">
        <v>278</v>
      </c>
      <c r="D116">
        <f t="shared" ref="D116:O116" si="0">SUM(D$109:D$115)</f>
        <v>10031.331246777707</v>
      </c>
      <c r="E116">
        <f t="shared" si="0"/>
        <v>4301</v>
      </c>
      <c r="F116">
        <f t="shared" si="0"/>
        <v>3959</v>
      </c>
      <c r="G116">
        <f t="shared" si="0"/>
        <v>2500</v>
      </c>
      <c r="H116">
        <f t="shared" si="0"/>
        <v>5750</v>
      </c>
      <c r="I116">
        <f t="shared" si="0"/>
        <v>1886</v>
      </c>
      <c r="J116">
        <f t="shared" si="0"/>
        <v>1876</v>
      </c>
      <c r="K116">
        <f t="shared" si="0"/>
        <v>2009</v>
      </c>
      <c r="L116">
        <f t="shared" si="0"/>
        <v>4446</v>
      </c>
      <c r="M116">
        <f t="shared" si="0"/>
        <v>3953</v>
      </c>
      <c r="N116">
        <f t="shared" si="0"/>
        <v>5636</v>
      </c>
      <c r="O116">
        <f t="shared" si="0"/>
        <v>3289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D109*pricing!D15*2000</f>
        <v>3468554.0250075571</v>
      </c>
      <c r="E120">
        <f>E109*pricing!E15*2000</f>
        <v>0</v>
      </c>
      <c r="F120">
        <f>F109*pricing!F15*2000</f>
        <v>0</v>
      </c>
      <c r="G120">
        <f>G109*pricing!G15*2000</f>
        <v>0</v>
      </c>
      <c r="H120">
        <f>H109*pricing!H15*2000</f>
        <v>0</v>
      </c>
      <c r="I120">
        <f>I109*pricing!I15*2000</f>
        <v>0</v>
      </c>
      <c r="J120">
        <f>J109*pricing!J15*2000</f>
        <v>0</v>
      </c>
      <c r="K120">
        <f>K109*pricing!K15*2000</f>
        <v>0</v>
      </c>
      <c r="L120">
        <f>L109*pricing!L15*2000</f>
        <v>0</v>
      </c>
      <c r="M120">
        <f>M109*pricing!M15*2000</f>
        <v>0</v>
      </c>
      <c r="N120">
        <f>N109*pricing!N15*2000</f>
        <v>0</v>
      </c>
      <c r="O120">
        <f>O109*pricing!O15*2000</f>
        <v>0</v>
      </c>
    </row>
    <row r="121" spans="2:15" x14ac:dyDescent="0.2">
      <c r="C121" s="118" t="s">
        <v>127</v>
      </c>
      <c r="D121">
        <f>D110*pricing!D16*2000</f>
        <v>4180466.2903283606</v>
      </c>
      <c r="E121">
        <f>E110*pricing!E16*2000</f>
        <v>0</v>
      </c>
      <c r="F121">
        <f>F110*pricing!F16*2000</f>
        <v>0</v>
      </c>
      <c r="G121">
        <f>G110*pricing!G16*2000</f>
        <v>0</v>
      </c>
      <c r="H121">
        <f>H110*pricing!H16*2000</f>
        <v>0</v>
      </c>
      <c r="I121">
        <f>I110*pricing!I16*2000</f>
        <v>0</v>
      </c>
      <c r="J121">
        <f>J110*pricing!J16*2000</f>
        <v>0</v>
      </c>
      <c r="K121">
        <f>K110*pricing!K16*2000</f>
        <v>0</v>
      </c>
      <c r="L121">
        <f>L110*pricing!L16*2000</f>
        <v>0</v>
      </c>
      <c r="M121">
        <f>M110*pricing!M16*2000</f>
        <v>0</v>
      </c>
      <c r="N121">
        <f>N110*pricing!N16*2000</f>
        <v>0</v>
      </c>
      <c r="O121">
        <f>O110*pricing!O16*2000</f>
        <v>0</v>
      </c>
    </row>
    <row r="122" spans="2:15" x14ac:dyDescent="0.2">
      <c r="C122" s="118" t="s">
        <v>128</v>
      </c>
      <c r="D122">
        <f>D111*pricing!D17*2000</f>
        <v>2840481.661420072</v>
      </c>
      <c r="E122">
        <f>E111*pricing!E17*2000</f>
        <v>0</v>
      </c>
      <c r="F122">
        <f>F111*pricing!F17*2000</f>
        <v>0</v>
      </c>
      <c r="G122">
        <f>G111*pricing!G17*2000</f>
        <v>0</v>
      </c>
      <c r="H122">
        <f>H111*pricing!H17*2000</f>
        <v>0</v>
      </c>
      <c r="I122">
        <f>I111*pricing!I17*2000</f>
        <v>0</v>
      </c>
      <c r="J122">
        <f>J111*pricing!J17*2000</f>
        <v>0</v>
      </c>
      <c r="K122">
        <f>K111*pricing!K17*2000</f>
        <v>0</v>
      </c>
      <c r="L122">
        <f>L111*pricing!L17*2000</f>
        <v>0</v>
      </c>
      <c r="M122">
        <f>M111*pricing!M17*2000</f>
        <v>0</v>
      </c>
      <c r="N122">
        <f>N111*pricing!N17*2000</f>
        <v>0</v>
      </c>
      <c r="O122">
        <f>O111*pricing!O17*2000</f>
        <v>0</v>
      </c>
    </row>
    <row r="123" spans="2:15" x14ac:dyDescent="0.2">
      <c r="C123" s="118" t="s">
        <v>129</v>
      </c>
      <c r="D123">
        <f>D112*pricing!D18*2000</f>
        <v>8432993.2661519516</v>
      </c>
      <c r="E123">
        <f>E112*pricing!E18*2000</f>
        <v>1571582.9017944713</v>
      </c>
      <c r="F123">
        <f>F112*pricing!F18*2000</f>
        <v>1004609.0979661049</v>
      </c>
      <c r="G123">
        <f>G112*pricing!G18*2000</f>
        <v>664097.98001262487</v>
      </c>
      <c r="H123">
        <f>H112*pricing!H18*2000</f>
        <v>1006067.6336943912</v>
      </c>
      <c r="I123">
        <f>I112*pricing!I18*2000</f>
        <v>676381.02743045846</v>
      </c>
      <c r="J123">
        <f>J112*pricing!J18*2000</f>
        <v>479164.34702202783</v>
      </c>
      <c r="K123">
        <f>K112*pricing!K18*2000</f>
        <v>553044.47969563457</v>
      </c>
      <c r="L123">
        <f>L112*pricing!L18*2000</f>
        <v>1096719.7033857384</v>
      </c>
      <c r="M123">
        <f>M112*pricing!M18*2000</f>
        <v>485705.49930438213</v>
      </c>
      <c r="N123">
        <f>N112*pricing!N18*2000</f>
        <v>544678.0998446258</v>
      </c>
      <c r="O123">
        <f>O112*pricing!O18*2000</f>
        <v>682513.43195722904</v>
      </c>
    </row>
    <row r="124" spans="2:15" x14ac:dyDescent="0.2">
      <c r="C124" s="118" t="s">
        <v>130</v>
      </c>
      <c r="D124">
        <f>D113*pricing!D19*2000</f>
        <v>3668909.3279861459</v>
      </c>
      <c r="E124">
        <f>E113*pricing!E19*2000</f>
        <v>8303353.4150357265</v>
      </c>
      <c r="F124">
        <f>F113*pricing!F19*2000</f>
        <v>8250511.6675298046</v>
      </c>
      <c r="G124">
        <f>G113*pricing!G19*2000</f>
        <v>5546048.0008987077</v>
      </c>
      <c r="H124">
        <f>H113*pricing!H19*2000</f>
        <v>11777755.320747182</v>
      </c>
      <c r="I124">
        <f>I113*pricing!I19*2000</f>
        <v>4287083.0946537619</v>
      </c>
      <c r="J124">
        <f>J113*pricing!J19*2000</f>
        <v>3576035.2543359906</v>
      </c>
      <c r="K124">
        <f>K113*pricing!K19*2000</f>
        <v>3918435.5449689748</v>
      </c>
      <c r="L124">
        <f>L113*pricing!L19*2000</f>
        <v>6791796.0455878833</v>
      </c>
      <c r="M124">
        <f>M113*pricing!M19*2000</f>
        <v>9202013.2305849586</v>
      </c>
      <c r="N124">
        <f>N113*pricing!N19*2000</f>
        <v>11644827.115577105</v>
      </c>
      <c r="O124">
        <f>O113*pricing!O19*2000</f>
        <v>5550800.2901480645</v>
      </c>
    </row>
    <row r="125" spans="2:15" x14ac:dyDescent="0.2">
      <c r="C125" s="118" t="s">
        <v>131</v>
      </c>
      <c r="D125">
        <f>D114*pricing!D20*2000</f>
        <v>1157699.8306502511</v>
      </c>
      <c r="E125">
        <f>E114*pricing!E20*2000</f>
        <v>1685723.5132592632</v>
      </c>
      <c r="F125">
        <f>F114*pricing!F20*2000</f>
        <v>1750886.6639289658</v>
      </c>
      <c r="G125">
        <f>G114*pricing!G20*2000</f>
        <v>1626583.694895</v>
      </c>
      <c r="H125">
        <f>H114*pricing!H20*2000</f>
        <v>1584486.5935160182</v>
      </c>
      <c r="I125">
        <f>I114*pricing!I20*2000</f>
        <v>2256942.0551833473</v>
      </c>
      <c r="J125">
        <f>J114*pricing!J20*2000</f>
        <v>1693639.3019142353</v>
      </c>
      <c r="K125">
        <f>K114*pricing!K20*2000</f>
        <v>2705310.935775368</v>
      </c>
      <c r="L125">
        <f>L114*pricing!L20*2000</f>
        <v>1883218.3427757933</v>
      </c>
      <c r="M125">
        <f>M114*pricing!M20*2000</f>
        <v>1539009.6137682188</v>
      </c>
      <c r="N125">
        <f>N114*pricing!N20*2000</f>
        <v>1964051.9515389251</v>
      </c>
      <c r="O125">
        <f>O114*pricing!O20*2000</f>
        <v>3051983.6390354424</v>
      </c>
    </row>
    <row r="126" spans="2:15" x14ac:dyDescent="0.2">
      <c r="C126" s="118" t="s">
        <v>132</v>
      </c>
      <c r="D126">
        <f>D115*pricing!D21*2000</f>
        <v>4779652.2156608496</v>
      </c>
      <c r="E126">
        <f>E115*pricing!E21*2000</f>
        <v>3203561.8332615569</v>
      </c>
      <c r="F126">
        <f>F115*pricing!F21*2000</f>
        <v>3220796.1140280059</v>
      </c>
      <c r="G126">
        <f>G115*pricing!G21*2000</f>
        <v>3704453.4872908532</v>
      </c>
      <c r="H126">
        <f>H115*pricing!H21*2000</f>
        <v>2620825.9501936166</v>
      </c>
      <c r="I126">
        <f>I115*pricing!I21*2000</f>
        <v>2741333.7634021807</v>
      </c>
      <c r="J126">
        <f>J115*pricing!J21*2000</f>
        <v>3938901.6454447401</v>
      </c>
      <c r="K126">
        <f>K115*pricing!K21*2000</f>
        <v>2390703.1558350506</v>
      </c>
      <c r="L126">
        <f>L115*pricing!L21*2000</f>
        <v>5596973.8904201314</v>
      </c>
      <c r="M126">
        <f>M115*pricing!M21*2000</f>
        <v>3542763.1759769819</v>
      </c>
      <c r="N126">
        <f>N115*pricing!N21*2000</f>
        <v>2403536.4940277366</v>
      </c>
      <c r="O126">
        <f>O115*pricing!O21*2000</f>
        <v>4056128.4192833649</v>
      </c>
    </row>
    <row r="127" spans="2:15" x14ac:dyDescent="0.2">
      <c r="C127" s="118" t="s">
        <v>278</v>
      </c>
      <c r="D127">
        <f t="shared" ref="D127:O127" si="1">SUM(D$120:D$126)</f>
        <v>28528756.617205188</v>
      </c>
      <c r="E127">
        <f t="shared" si="1"/>
        <v>14764221.663351018</v>
      </c>
      <c r="F127">
        <f t="shared" si="1"/>
        <v>14226803.543452881</v>
      </c>
      <c r="G127">
        <f t="shared" si="1"/>
        <v>11541183.163097186</v>
      </c>
      <c r="H127">
        <f t="shared" si="1"/>
        <v>16989135.498151209</v>
      </c>
      <c r="I127">
        <f t="shared" si="1"/>
        <v>9961739.9406697489</v>
      </c>
      <c r="J127">
        <f t="shared" si="1"/>
        <v>9687740.548716994</v>
      </c>
      <c r="K127">
        <f t="shared" si="1"/>
        <v>9567494.1162750293</v>
      </c>
      <c r="L127">
        <f t="shared" si="1"/>
        <v>15368707.982169546</v>
      </c>
      <c r="M127">
        <f t="shared" si="1"/>
        <v>14769491.519634541</v>
      </c>
      <c r="N127">
        <f t="shared" si="1"/>
        <v>16557093.660988394</v>
      </c>
      <c r="O127">
        <f t="shared" si="1"/>
        <v>13341425.780424099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583256.39999999991</v>
      </c>
      <c r="E131" s="123">
        <f>SUM(M$6:M$19)+SUM(O$6:O$19)+SUM(Q$6:Q$19)+SUM(S$6:S$19)</f>
        <v>0</v>
      </c>
      <c r="F131" s="123">
        <f>SUM(U$6:U$19)+SUM(W$6:W$19)+SUM(Y$6:Y$19)+SUM(AA$6:AA$19)</f>
        <v>0</v>
      </c>
      <c r="G131" s="123">
        <f>SUM(AC$6:AC$19)+SUM(AE$6:AE$19)+SUM(AG$6:AG$19)+SUM(AI$6:AI$19)</f>
        <v>0</v>
      </c>
      <c r="H131" s="123">
        <f>SUM(AK$6:AK$19)+SUM(AM$6:AM$19)+SUM(AO$6:AO$19)+SUM(AQ$6:AQ$19)</f>
        <v>0</v>
      </c>
      <c r="I131" s="123">
        <f>SUM(AS$6:AS$19)+SUM(AU$6:AU$19)+SUM(AW$6:AW$19)+SUM(AY$6:AY$19)</f>
        <v>0</v>
      </c>
      <c r="J131" s="123">
        <f>SUM(BA$6:BA$19)+SUM(BC$6:BC$19)+SUM(BE$6:BE$19)+SUM(BG$6:BG$19)</f>
        <v>0</v>
      </c>
      <c r="K131" s="123">
        <f>SUM(BI$6:BI$19)+SUM(BK$6:BK$19)+SUM(BM$6:BM$19)+SUM(BO$6:BO$19)</f>
        <v>0</v>
      </c>
      <c r="L131" s="123">
        <f>SUM(BQ$6:BQ$19)+SUM(BS$6:BS$19)+SUM(BU$6:BU$19)+SUM(BW$6:BW$19)</f>
        <v>0</v>
      </c>
      <c r="M131" s="123">
        <f>SUM(BY$6:BY$19)+SUM(CA$6:CA$19)+SUM(CC$6:CC$19)+SUM(CE$6:CE$19)</f>
        <v>0</v>
      </c>
      <c r="N131" s="123">
        <f>SUM(CG$6:CG$19)+SUM(CI$6:CI$19)+SUM(CK$6:CK$19)+SUM(CM$6:CM$19)</f>
        <v>0</v>
      </c>
      <c r="O131" s="123">
        <f>SUM(CO$6:CO$19)+SUM(CQ$6:CQ$19)+SUM(CS$6:CS$19)+SUM(CU$6:CU$19)</f>
        <v>0</v>
      </c>
    </row>
    <row r="132" spans="2:15" x14ac:dyDescent="0.2">
      <c r="C132" s="122" t="s">
        <v>127</v>
      </c>
      <c r="D132" s="123">
        <f>SUM(E$20:E$36)+SUM(G$20:G$36)+SUM(I$20:I$36)+SUM(K$20:K$36)</f>
        <v>357589.19999999995</v>
      </c>
      <c r="E132" s="123">
        <f>SUM(M$20:M$36)+SUM(O$20:O$36)+SUM(Q$20:Q$36)+SUM(S$20:S$36)</f>
        <v>0</v>
      </c>
      <c r="F132" s="123">
        <f>SUM(U$20:U$36)+SUM(W$20:W$36)+SUM(Y$20:Y$36)+SUM(AA$20:AA$36)</f>
        <v>0</v>
      </c>
      <c r="G132" s="123">
        <f>SUM(AC$20:AC$36)+SUM(AE$20:AE$36)+SUM(AG$20:AG$36)+SUM(AI$20:AI$36)</f>
        <v>0</v>
      </c>
      <c r="H132" s="123">
        <f>SUM(AK$20:AK$36)+SUM(AM$20:AM$36)+SUM(AO$20:AO$36)+SUM(AQ$20:AQ$36)</f>
        <v>0</v>
      </c>
      <c r="I132" s="123">
        <f>SUM(AS$20:AS$36)+SUM(AU$20:AU$36)+SUM(AW$20:AW$36)+SUM(AY$20:AY$36)</f>
        <v>0</v>
      </c>
      <c r="J132" s="123">
        <f>SUM(BA$20:BA$36)+SUM(BC$20:BC$36)+SUM(BE$20:BE$36)+SUM(BG$20:BG$36)</f>
        <v>0</v>
      </c>
      <c r="K132" s="123">
        <f>SUM(BI$20:BI$36)+SUM(BK$20:BK$36)+SUM(BM$20:BM$36)+SUM(BO$20:BO$36)</f>
        <v>0</v>
      </c>
      <c r="L132" s="123">
        <f>SUM(BQ$20:BQ$36)+SUM(BS$20:BS$36)+SUM(BU$20:BU$36)+SUM(BW$20:BW$36)</f>
        <v>0</v>
      </c>
      <c r="M132" s="123">
        <f>SUM(BY$20:BY$36)+SUM(CA$20:CA$36)+SUM(CC$20:CC$36)+SUM(CE$20:CE$36)</f>
        <v>0</v>
      </c>
      <c r="N132" s="123">
        <f>SUM(CG$20:CG$36)+SUM(CI$20:CI$36)+SUM(CK$20:CK$36)+SUM(CM$20:CM$36)</f>
        <v>0</v>
      </c>
      <c r="O132" s="123">
        <f>SUM(CO$20:CO$36)+SUM(CQ$20:CQ$36)+SUM(CS$20:CS$36)+SUM(CU$20:CU$36)</f>
        <v>0</v>
      </c>
    </row>
    <row r="133" spans="2:15" x14ac:dyDescent="0.2">
      <c r="C133" s="122" t="s">
        <v>128</v>
      </c>
      <c r="D133" s="123">
        <f>SUM(E$37:E$48)+SUM(G$37:G$48)+SUM(I$37:I$48)+SUM(K$37:K$48)</f>
        <v>973578</v>
      </c>
      <c r="E133" s="123">
        <f>SUM(M$37:M$48)+SUM(O$37:O$48)+SUM(Q$37:Q$48)+SUM(S$37:S$48)</f>
        <v>0</v>
      </c>
      <c r="F133" s="123">
        <f>SUM(U$37:U$48)+SUM(W$37:W$48)+SUM(Y$37:Y$48)+SUM(AA$37:AA$48)</f>
        <v>0</v>
      </c>
      <c r="G133" s="123">
        <f>SUM(AC$37:AC$48)+SUM(AE$37:AE$48)+SUM(AG$37:AG$48)+SUM(AI$37:AI$48)</f>
        <v>0</v>
      </c>
      <c r="H133" s="123">
        <f>SUM(AK$37:AK$48)+SUM(AM$37:AM$48)+SUM(AO$37:AO$48)+SUM(AQ$37:AQ$48)</f>
        <v>0</v>
      </c>
      <c r="I133" s="123">
        <f>SUM(AS$37:AS$48)+SUM(AU$37:AU$48)+SUM(AW$37:AW$48)+SUM(AY$37:AY$48)</f>
        <v>0</v>
      </c>
      <c r="J133" s="123">
        <f>SUM(BA$37:BA$48)+SUM(BC$37:BC$48)+SUM(BE$37:BE$48)+SUM(BG$37:BG$48)</f>
        <v>0</v>
      </c>
      <c r="K133" s="123">
        <f>SUM(BI$37:BI$48)+SUM(BK$37:BK$48)+SUM(BM$37:BM$48)+SUM(BO$37:BO$48)</f>
        <v>0</v>
      </c>
      <c r="L133" s="123">
        <f>SUM(BQ$37:BQ$48)+SUM(BS$37:BS$48)+SUM(BU$37:BU$48)+SUM(BW$37:BW$48)</f>
        <v>0</v>
      </c>
      <c r="M133" s="123">
        <f>SUM(BY$37:BY$48)+SUM(CA$37:CA$48)+SUM(CC$37:CC$48)+SUM(CE$37:CE$48)</f>
        <v>0</v>
      </c>
      <c r="N133" s="123">
        <f>SUM(CG$37:CG$48)+SUM(CI$37:CI$48)+SUM(CK$37:CK$48)+SUM(CM$37:CM$48)</f>
        <v>0</v>
      </c>
      <c r="O133" s="123">
        <f>SUM(CO$37:CO$48)+SUM(CQ$37:CQ$48)+SUM(CS$37:CS$48)+SUM(CU$37:CU$48)</f>
        <v>0</v>
      </c>
    </row>
    <row r="134" spans="2:15" x14ac:dyDescent="0.2">
      <c r="C134" s="122" t="s">
        <v>129</v>
      </c>
      <c r="D134" s="123">
        <f>SUM(E$49:E$70)+SUM(G$49:G$70)+SUM(I$49:I$70)+SUM(K$49:K$70)</f>
        <v>3440642.5355617208</v>
      </c>
      <c r="E134" s="123">
        <f>SUM(M$49:M$70)+SUM(O$49:O$70)+SUM(Q$49:Q$70)+SUM(S$49:S$70)</f>
        <v>651705.60000000009</v>
      </c>
      <c r="F134" s="123">
        <f>SUM(U$49:U$70)+SUM(W$49:W$70)+SUM(Y$49:Y$70)+SUM(AA$49:AA$70)</f>
        <v>275292</v>
      </c>
      <c r="G134" s="123">
        <f>SUM(AC$49:AC$70)+SUM(AE$49:AE$70)+SUM(AG$49:AG$70)+SUM(AI$49:AI$70)</f>
        <v>122562</v>
      </c>
      <c r="H134" s="123">
        <f>SUM(AK$49:AK$70)+SUM(AM$49:AM$70)+SUM(AO$49:AO$70)+SUM(AQ$49:AQ$70)</f>
        <v>314370</v>
      </c>
      <c r="I134" s="123">
        <f>SUM(AS$49:AS$70)+SUM(AU$49:AU$70)+SUM(AW$49:AW$70)+SUM(AY$49:AY$70)</f>
        <v>132309.6</v>
      </c>
      <c r="J134" s="123">
        <f>SUM(BA$49:BA$70)+SUM(BC$49:BC$70)+SUM(BE$49:BE$70)+SUM(BG$49:BG$70)</f>
        <v>73875.600000000006</v>
      </c>
      <c r="K134" s="123">
        <f>SUM(BI$49:BI$70)+SUM(BK$49:BK$70)+SUM(BM$49:BM$70)+SUM(BO$49:BO$70)</f>
        <v>103502.39999999999</v>
      </c>
      <c r="L134" s="123">
        <f>SUM(BQ$49:BQ$70)+SUM(BS$49:BS$70)+SUM(BU$49:BU$70)+SUM(BW$49:BW$70)</f>
        <v>335068.80000000005</v>
      </c>
      <c r="M134" s="123">
        <f>SUM(BY$49:BY$70)+SUM(CA$49:CA$70)+SUM(CC$49:CC$70)+SUM(CE$49:CE$70)</f>
        <v>75218.399999999994</v>
      </c>
      <c r="N134" s="123">
        <f>SUM(CG$49:CG$70)+SUM(CI$49:CI$70)+SUM(CK$49:CK$70)+SUM(CM$49:CM$70)</f>
        <v>103886.40000000001</v>
      </c>
      <c r="O134" s="123">
        <f>SUM(CO$49:CO$70)+SUM(CQ$49:CQ$70)+SUM(CS$49:CS$70)+SUM(CU$49:CU$70)</f>
        <v>136660.79999999999</v>
      </c>
    </row>
    <row r="135" spans="2:15" x14ac:dyDescent="0.2">
      <c r="C135" s="122" t="s">
        <v>130</v>
      </c>
      <c r="D135" s="123">
        <f>SUM(E$71:E$86)+SUM(G$71:G$86)+SUM(I$71:I$86)+SUM(K$71:K$86)</f>
        <v>426192.08166496886</v>
      </c>
      <c r="E135" s="123">
        <f>SUM(M$71:M$86)+SUM(O$71:O$86)+SUM(Q$71:Q$86)+SUM(S$71:S$86)</f>
        <v>1504977.5999999999</v>
      </c>
      <c r="F135" s="123">
        <f>SUM(U$71:U$86)+SUM(W$71:W$86)+SUM(Y$71:Y$86)+SUM(AA$71:AA$86)</f>
        <v>1475690.4000000001</v>
      </c>
      <c r="G135" s="123">
        <f>SUM(AC$71:AC$86)+SUM(AE$71:AE$86)+SUM(AG$71:AG$86)+SUM(AI$71:AI$86)</f>
        <v>639152.4</v>
      </c>
      <c r="H135" s="123">
        <f>SUM(AK$71:AK$86)+SUM(AM$71:AM$86)+SUM(AO$71:AO$86)+SUM(AQ$71:AQ$86)</f>
        <v>2604921.5999999996</v>
      </c>
      <c r="I135" s="123">
        <f>SUM(AS$71:AS$86)+SUM(AU$71:AU$86)+SUM(AW$71:AW$86)+SUM(AY$71:AY$86)</f>
        <v>435577.19999999995</v>
      </c>
      <c r="J135" s="123">
        <f>SUM(BA$71:BA$86)+SUM(BC$71:BC$86)+SUM(BE$71:BE$86)+SUM(BG$71:BG$86)</f>
        <v>324826.8</v>
      </c>
      <c r="K135" s="123">
        <f>SUM(BI$71:BI$86)+SUM(BK$71:BK$86)+SUM(BM$71:BM$86)+SUM(BO$71:BO$86)</f>
        <v>369678</v>
      </c>
      <c r="L135" s="123">
        <f>SUM(BQ$71:BQ$86)+SUM(BS$71:BS$86)+SUM(BU$71:BU$86)+SUM(BW$71:BW$86)</f>
        <v>935361.59999999986</v>
      </c>
      <c r="M135" s="123">
        <f>SUM(BY$71:BY$86)+SUM(CA$71:CA$86)+SUM(CC$71:CC$86)+SUM(CE$71:CE$86)</f>
        <v>1604119.2</v>
      </c>
      <c r="N135" s="123">
        <f>SUM(CG$71:CG$86)+SUM(CI$71:CI$86)+SUM(CK$71:CK$86)+SUM(CM$71:CM$86)</f>
        <v>2610349.1999999993</v>
      </c>
      <c r="O135" s="123">
        <f>SUM(CO$71:CO$86)+SUM(CQ$71:CQ$86)+SUM(CS$71:CS$86)+SUM(CU$71:CU$86)</f>
        <v>675680.39999999991</v>
      </c>
    </row>
    <row r="136" spans="2:15" x14ac:dyDescent="0.2">
      <c r="C136" s="122" t="s">
        <v>131</v>
      </c>
      <c r="D136" s="123">
        <f>SUM(E$87:E$94)+SUM(G$87:G$94)+SUM(I$87:I$94)+SUM(K$87:K$94)</f>
        <v>413401.54135187645</v>
      </c>
      <c r="E136" s="123">
        <f>SUM(M$87:M$94)+SUM(O$87:O$94)+SUM(Q$87:Q$94)+SUM(S$87:S$94)</f>
        <v>684791.99999999988</v>
      </c>
      <c r="F136" s="123">
        <f>SUM(U$87:U$94)+SUM(W$87:W$94)+SUM(Y$87:Y$94)+SUM(AA$87:AA$94)</f>
        <v>698821.2</v>
      </c>
      <c r="G136" s="123">
        <f>SUM(AC$87:AC$94)+SUM(AE$87:AE$94)+SUM(AG$87:AG$94)+SUM(AI$87:AI$94)</f>
        <v>563565.6</v>
      </c>
      <c r="H136" s="123">
        <f>SUM(AK$87:AK$94)+SUM(AM$87:AM$94)+SUM(AO$87:AO$94)+SUM(AQ$87:AQ$94)</f>
        <v>574442.39999999991</v>
      </c>
      <c r="I136" s="123">
        <f>SUM(AS$87:AS$94)+SUM(AU$87:AU$94)+SUM(AW$87:AW$94)+SUM(AY$87:AY$94)</f>
        <v>1061188.7999999998</v>
      </c>
      <c r="J136" s="123">
        <f>SUM(BA$87:BA$94)+SUM(BC$87:BC$94)+SUM(BE$87:BE$94)+SUM(BG$87:BG$94)</f>
        <v>659096.39999999991</v>
      </c>
      <c r="K136" s="123">
        <f>SUM(BI$87:BI$94)+SUM(BK$87:BK$94)+SUM(BM$87:BM$94)+SUM(BO$87:BO$94)</f>
        <v>1744875.6</v>
      </c>
      <c r="L136" s="123">
        <f>SUM(BQ$87:BQ$94)+SUM(BS$87:BS$94)+SUM(BU$87:BU$94)+SUM(BW$87:BW$94)</f>
        <v>786466.79999999993</v>
      </c>
      <c r="M136" s="123">
        <f>SUM(BY$87:BY$94)+SUM(CA$87:CA$94)+SUM(CC$87:CC$94)+SUM(CE$87:CE$94)</f>
        <v>624608.39999999991</v>
      </c>
      <c r="N136" s="123">
        <f>SUM(CG$87:CG$94)+SUM(CI$87:CI$94)+SUM(CK$87:CK$94)+SUM(CM$87:CM$94)</f>
        <v>849645.60000000009</v>
      </c>
      <c r="O136" s="123">
        <f>SUM(CO$87:CO$94)+SUM(CQ$87:CQ$94)+SUM(CS$87:CS$94)+SUM(CU$87:CU$94)</f>
        <v>1769869.2000000002</v>
      </c>
    </row>
    <row r="137" spans="2:15" x14ac:dyDescent="0.2">
      <c r="C137" s="122" t="s">
        <v>132</v>
      </c>
      <c r="D137" s="123">
        <f>SUM(E$95:E$105)+SUM(G$95:G$105)+SUM(I$95:I$105)+SUM(K$95:K$105)</f>
        <v>3753215.2818150092</v>
      </c>
      <c r="E137" s="123">
        <f>SUM(M$95:M$105)+SUM(O$95:O$105)+SUM(Q$95:Q$105)+SUM(S$95:S$105)</f>
        <v>1254991.2</v>
      </c>
      <c r="F137" s="123">
        <f>SUM(U$95:U$105)+SUM(W$95:W$105)+SUM(Y$95:Y$105)+SUM(AA$95:AA$105)</f>
        <v>1369654.7999999998</v>
      </c>
      <c r="G137" s="123">
        <f>SUM(AC$95:AC$105)+SUM(AE$95:AE$105)+SUM(AG$95:AG$105)+SUM(AI$95:AI$105)</f>
        <v>1819875.5999999999</v>
      </c>
      <c r="H137" s="123">
        <f>SUM(AK$95:AK$105)+SUM(AM$95:AM$105)+SUM(AO$95:AO$105)+SUM(AQ$95:AQ$105)</f>
        <v>907521.59999999986</v>
      </c>
      <c r="I137" s="123">
        <f>SUM(AS$95:AS$105)+SUM(AU$95:AU$105)+SUM(AW$95:AW$105)+SUM(AY$95:AY$105)</f>
        <v>902874</v>
      </c>
      <c r="J137" s="123">
        <f>SUM(BA$95:BA$105)+SUM(BC$95:BC$105)+SUM(BE$95:BE$105)+SUM(BG$95:BG$105)</f>
        <v>1708046.4000000001</v>
      </c>
      <c r="K137" s="123">
        <f>SUM(BI$95:BI$105)+SUM(BK$95:BK$105)+SUM(BM$95:BM$105)+SUM(BO$95:BO$105)</f>
        <v>748843.2</v>
      </c>
      <c r="L137" s="123">
        <f>SUM(BQ$95:BQ$105)+SUM(BS$95:BS$105)+SUM(BU$95:BU$105)+SUM(BW$95:BW$105)</f>
        <v>3825360.0000000005</v>
      </c>
      <c r="M137" s="123">
        <f>SUM(BY$95:BY$105)+SUM(CA$95:CA$105)+SUM(CC$95:CC$105)+SUM(CE$95:CE$105)</f>
        <v>1303953.6000000001</v>
      </c>
      <c r="N137" s="123">
        <f>SUM(CG$95:CG$105)+SUM(CI$95:CI$105)+SUM(CK$95:CK$105)+SUM(CM$95:CM$105)</f>
        <v>791617.2</v>
      </c>
      <c r="O137" s="123">
        <f>SUM(CO$95:CO$105)+SUM(CQ$95:CQ$105)+SUM(CS$95:CS$105)+SUM(CU$95:CU$105)</f>
        <v>2037686.4</v>
      </c>
    </row>
    <row r="138" spans="2:15" x14ac:dyDescent="0.2">
      <c r="C138" s="122" t="s">
        <v>278</v>
      </c>
      <c r="D138">
        <f t="shared" ref="D138:O138" si="2">SUM(D$131:D$137)</f>
        <v>9947875.040393576</v>
      </c>
      <c r="E138">
        <f t="shared" si="2"/>
        <v>4096466.4000000004</v>
      </c>
      <c r="F138">
        <f t="shared" si="2"/>
        <v>3819458.4</v>
      </c>
      <c r="G138">
        <f t="shared" si="2"/>
        <v>3145155.5999999996</v>
      </c>
      <c r="H138">
        <f t="shared" si="2"/>
        <v>4401255.5999999996</v>
      </c>
      <c r="I138">
        <f t="shared" si="2"/>
        <v>2531949.5999999996</v>
      </c>
      <c r="J138">
        <f t="shared" si="2"/>
        <v>2765845.2</v>
      </c>
      <c r="K138">
        <f t="shared" si="2"/>
        <v>2966899.2</v>
      </c>
      <c r="L138">
        <f t="shared" si="2"/>
        <v>5882257.2000000002</v>
      </c>
      <c r="M138">
        <f t="shared" si="2"/>
        <v>3607899.6</v>
      </c>
      <c r="N138">
        <f t="shared" si="2"/>
        <v>4355498.3999999994</v>
      </c>
      <c r="O138">
        <f t="shared" si="2"/>
        <v>4619896.8000000007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281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0</v>
      </c>
      <c r="E6">
        <v>0</v>
      </c>
      <c r="F6">
        <v>56</v>
      </c>
      <c r="G6">
        <v>32390.399999999998</v>
      </c>
      <c r="H6">
        <v>47.092706097828874</v>
      </c>
      <c r="I6">
        <v>27238.421206984218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8" t="s">
        <v>173</v>
      </c>
      <c r="D7">
        <v>0</v>
      </c>
      <c r="E7">
        <v>0</v>
      </c>
      <c r="F7">
        <v>53</v>
      </c>
      <c r="G7">
        <v>41785.199999999997</v>
      </c>
      <c r="H7">
        <v>41.296680731942246</v>
      </c>
      <c r="I7">
        <v>32558.303089063265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8" t="s">
        <v>174</v>
      </c>
      <c r="D8">
        <v>0</v>
      </c>
      <c r="E8">
        <v>0</v>
      </c>
      <c r="F8">
        <v>67</v>
      </c>
      <c r="G8">
        <v>20743.199999999997</v>
      </c>
      <c r="H8">
        <v>51.43972512224385</v>
      </c>
      <c r="I8">
        <v>15925.738897846693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8" t="s">
        <v>175</v>
      </c>
      <c r="D9">
        <v>0</v>
      </c>
      <c r="E9">
        <v>0</v>
      </c>
      <c r="F9">
        <v>58</v>
      </c>
      <c r="G9">
        <v>40716</v>
      </c>
      <c r="H9">
        <v>42.745687073413904</v>
      </c>
      <c r="I9">
        <v>30007.472325536561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8" t="s">
        <v>176</v>
      </c>
      <c r="D10">
        <v>0</v>
      </c>
      <c r="E10">
        <v>0</v>
      </c>
      <c r="F10">
        <v>58</v>
      </c>
      <c r="G10">
        <v>31598.399999999998</v>
      </c>
      <c r="H10">
        <v>46.368202927093044</v>
      </c>
      <c r="I10">
        <v>25261.396954680287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8" t="s">
        <v>177</v>
      </c>
      <c r="D11">
        <v>0</v>
      </c>
      <c r="E11">
        <v>0</v>
      </c>
      <c r="F11">
        <v>56</v>
      </c>
      <c r="G11">
        <v>29836.799999999996</v>
      </c>
      <c r="H11">
        <v>44.194693414885563</v>
      </c>
      <c r="I11">
        <v>23546.932651451025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8" t="s">
        <v>178</v>
      </c>
      <c r="D12">
        <v>0</v>
      </c>
      <c r="E12">
        <v>0</v>
      </c>
      <c r="F12">
        <v>60</v>
      </c>
      <c r="G12">
        <v>33768</v>
      </c>
      <c r="H12">
        <v>43.470190244149734</v>
      </c>
      <c r="I12">
        <v>24465.023069407467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8" t="s">
        <v>179</v>
      </c>
      <c r="D13">
        <v>0</v>
      </c>
      <c r="E13">
        <v>0</v>
      </c>
      <c r="F13">
        <v>70</v>
      </c>
      <c r="G13">
        <v>5964</v>
      </c>
      <c r="H13">
        <v>57.235750488130478</v>
      </c>
      <c r="I13">
        <v>4876.4859415887167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8" t="s">
        <v>180</v>
      </c>
      <c r="D14">
        <v>0</v>
      </c>
      <c r="E14">
        <v>0</v>
      </c>
      <c r="F14">
        <v>55</v>
      </c>
      <c r="G14">
        <v>26862</v>
      </c>
      <c r="H14">
        <v>49.266215610036362</v>
      </c>
      <c r="I14">
        <v>24061.619703941757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8" t="s">
        <v>181</v>
      </c>
      <c r="D15">
        <v>0</v>
      </c>
      <c r="E15">
        <v>0</v>
      </c>
      <c r="F15">
        <v>61</v>
      </c>
      <c r="G15">
        <v>46555.199999999997</v>
      </c>
      <c r="H15">
        <v>45.643699756357222</v>
      </c>
      <c r="I15">
        <v>34835.27165405183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8" t="s">
        <v>182</v>
      </c>
      <c r="D16">
        <v>0</v>
      </c>
      <c r="E16">
        <v>0</v>
      </c>
      <c r="F16">
        <v>67</v>
      </c>
      <c r="G16">
        <v>22833.600000000002</v>
      </c>
      <c r="H16">
        <v>46.368202927093044</v>
      </c>
      <c r="I16">
        <v>15802.28355755331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8" t="s">
        <v>183</v>
      </c>
      <c r="D17">
        <v>0</v>
      </c>
      <c r="E17">
        <v>0</v>
      </c>
      <c r="F17">
        <v>58</v>
      </c>
      <c r="G17">
        <v>24499.199999999997</v>
      </c>
      <c r="H17">
        <v>44.919196585621393</v>
      </c>
      <c r="I17">
        <v>18973.868637766474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8" t="s">
        <v>184</v>
      </c>
      <c r="D18">
        <v>0</v>
      </c>
      <c r="E18">
        <v>0</v>
      </c>
      <c r="F18">
        <v>63</v>
      </c>
      <c r="G18">
        <v>41126.399999999994</v>
      </c>
      <c r="H18">
        <v>50.715221951508013</v>
      </c>
      <c r="I18">
        <v>33106.89688994443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8" t="s">
        <v>185</v>
      </c>
      <c r="D19">
        <v>0</v>
      </c>
      <c r="E19">
        <v>0</v>
      </c>
      <c r="F19">
        <v>62</v>
      </c>
      <c r="G19">
        <v>20460</v>
      </c>
      <c r="H19">
        <v>47.092706097828874</v>
      </c>
      <c r="I19">
        <v>15540.593012283529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8" t="s">
        <v>127</v>
      </c>
      <c r="C20" s="118" t="s">
        <v>186</v>
      </c>
      <c r="D20">
        <v>0</v>
      </c>
      <c r="E20">
        <v>0</v>
      </c>
      <c r="F20">
        <v>7</v>
      </c>
      <c r="G20">
        <v>2007.6000000000001</v>
      </c>
      <c r="H20">
        <v>6.5205285366224599</v>
      </c>
      <c r="I20">
        <v>1870.0875843033216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8" t="s">
        <v>187</v>
      </c>
      <c r="D21">
        <v>0</v>
      </c>
      <c r="E21">
        <v>0</v>
      </c>
      <c r="F21">
        <v>8</v>
      </c>
      <c r="G21">
        <v>499.2</v>
      </c>
      <c r="H21">
        <v>5.7960253658866305</v>
      </c>
      <c r="I21">
        <v>361.67198283132575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8" t="s">
        <v>188</v>
      </c>
      <c r="D22">
        <v>0</v>
      </c>
      <c r="E22">
        <v>0</v>
      </c>
      <c r="F22">
        <v>7</v>
      </c>
      <c r="G22">
        <v>1310.3999999999999</v>
      </c>
      <c r="H22">
        <v>6.5205285366224599</v>
      </c>
      <c r="I22">
        <v>1220.6429420557245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8" t="s">
        <v>189</v>
      </c>
      <c r="D23">
        <v>0</v>
      </c>
      <c r="E23">
        <v>0</v>
      </c>
      <c r="F23">
        <v>7</v>
      </c>
      <c r="G23">
        <v>2058</v>
      </c>
      <c r="H23">
        <v>6.5205285366224599</v>
      </c>
      <c r="I23">
        <v>1917.0353897670032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8" t="s">
        <v>190</v>
      </c>
      <c r="D24">
        <v>0</v>
      </c>
      <c r="E24">
        <v>0</v>
      </c>
      <c r="F24">
        <v>8</v>
      </c>
      <c r="G24">
        <v>2937.6</v>
      </c>
      <c r="H24">
        <v>6.5205285366224599</v>
      </c>
      <c r="I24">
        <v>2394.3380786477674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8" t="s">
        <v>191</v>
      </c>
      <c r="D25">
        <v>0</v>
      </c>
      <c r="E25">
        <v>0</v>
      </c>
      <c r="F25">
        <v>8</v>
      </c>
      <c r="G25">
        <v>4243.2</v>
      </c>
      <c r="H25">
        <v>6.5205285366224599</v>
      </c>
      <c r="I25">
        <v>3458.4883358245525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8" t="s">
        <v>192</v>
      </c>
      <c r="D26">
        <v>0</v>
      </c>
      <c r="E26">
        <v>0</v>
      </c>
      <c r="F26">
        <v>8</v>
      </c>
      <c r="G26">
        <v>3888</v>
      </c>
      <c r="H26">
        <v>7.2450317073582884</v>
      </c>
      <c r="I26">
        <v>3521.085409776128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8" t="s">
        <v>193</v>
      </c>
      <c r="D27">
        <v>0</v>
      </c>
      <c r="E27">
        <v>0</v>
      </c>
      <c r="F27">
        <v>7</v>
      </c>
      <c r="G27">
        <v>2990.4</v>
      </c>
      <c r="H27">
        <v>7.2450317073582884</v>
      </c>
      <c r="I27">
        <v>3095.0775453834608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8" t="s">
        <v>194</v>
      </c>
      <c r="D28">
        <v>0</v>
      </c>
      <c r="E28">
        <v>0</v>
      </c>
      <c r="F28">
        <v>8</v>
      </c>
      <c r="G28">
        <v>5904</v>
      </c>
      <c r="H28">
        <v>6.5205285366224599</v>
      </c>
      <c r="I28">
        <v>4812.1500600273757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8" t="s">
        <v>195</v>
      </c>
      <c r="D29">
        <v>0</v>
      </c>
      <c r="E29">
        <v>0</v>
      </c>
      <c r="F29">
        <v>7</v>
      </c>
      <c r="G29">
        <v>2368.7999999999997</v>
      </c>
      <c r="H29">
        <v>7.2450317073582884</v>
      </c>
      <c r="I29">
        <v>2451.7187297700448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8" t="s">
        <v>196</v>
      </c>
      <c r="D30">
        <v>0</v>
      </c>
      <c r="E30">
        <v>0</v>
      </c>
      <c r="F30">
        <v>8</v>
      </c>
      <c r="G30">
        <v>1113.5999999999999</v>
      </c>
      <c r="H30">
        <v>7.2450317073582884</v>
      </c>
      <c r="I30">
        <v>1008.5084136642737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8" t="s">
        <v>197</v>
      </c>
      <c r="D31">
        <v>0</v>
      </c>
      <c r="E31">
        <v>0</v>
      </c>
      <c r="F31">
        <v>8</v>
      </c>
      <c r="G31">
        <v>2726.4</v>
      </c>
      <c r="H31">
        <v>7.2450317073582884</v>
      </c>
      <c r="I31">
        <v>2469.1068058677047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8" t="s">
        <v>198</v>
      </c>
      <c r="D32">
        <v>0</v>
      </c>
      <c r="E32">
        <v>0</v>
      </c>
      <c r="F32">
        <v>7</v>
      </c>
      <c r="G32">
        <v>5880</v>
      </c>
      <c r="H32">
        <v>6.5205285366224599</v>
      </c>
      <c r="I32">
        <v>5477.2439707628664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8" t="s">
        <v>199</v>
      </c>
      <c r="D33">
        <v>0</v>
      </c>
      <c r="E33">
        <v>0</v>
      </c>
      <c r="F33">
        <v>7</v>
      </c>
      <c r="G33">
        <v>3318</v>
      </c>
      <c r="H33">
        <v>7.2450317073582884</v>
      </c>
      <c r="I33">
        <v>3434.1450292878285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8" t="s">
        <v>200</v>
      </c>
      <c r="D34">
        <v>0</v>
      </c>
      <c r="E34">
        <v>0</v>
      </c>
      <c r="F34">
        <v>7</v>
      </c>
      <c r="G34">
        <v>3838.7999999999997</v>
      </c>
      <c r="H34">
        <v>5.7960253658866305</v>
      </c>
      <c r="I34">
        <v>3178.5403106522281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8" t="s">
        <v>201</v>
      </c>
      <c r="D35">
        <v>0</v>
      </c>
      <c r="E35">
        <v>0</v>
      </c>
      <c r="F35">
        <v>8</v>
      </c>
      <c r="G35">
        <v>4022.3999999999992</v>
      </c>
      <c r="H35">
        <v>7.2450317073582884</v>
      </c>
      <c r="I35">
        <v>3642.8019424597464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8" t="s">
        <v>202</v>
      </c>
      <c r="D36">
        <v>0</v>
      </c>
      <c r="E36">
        <v>0</v>
      </c>
      <c r="F36">
        <v>8</v>
      </c>
      <c r="G36">
        <v>6086.4</v>
      </c>
      <c r="H36">
        <v>6.5205285366224599</v>
      </c>
      <c r="I36">
        <v>4960.818110662367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8" t="s">
        <v>128</v>
      </c>
      <c r="C37" s="118" t="s">
        <v>203</v>
      </c>
      <c r="D37">
        <v>0</v>
      </c>
      <c r="E37">
        <v>0</v>
      </c>
      <c r="F37">
        <v>6</v>
      </c>
      <c r="G37">
        <v>5162.3999999999996</v>
      </c>
      <c r="H37">
        <v>5.071522195150802</v>
      </c>
      <c r="I37">
        <v>4363.53769670775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8" t="s">
        <v>204</v>
      </c>
      <c r="D38">
        <v>0</v>
      </c>
      <c r="E38">
        <v>0</v>
      </c>
      <c r="F38">
        <v>6</v>
      </c>
      <c r="G38">
        <v>7452</v>
      </c>
      <c r="H38">
        <v>4.3470190244149736</v>
      </c>
      <c r="I38">
        <v>5398.9976283233973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8" t="s">
        <v>205</v>
      </c>
      <c r="D39">
        <v>0</v>
      </c>
      <c r="E39">
        <v>0</v>
      </c>
      <c r="F39">
        <v>7</v>
      </c>
      <c r="G39">
        <v>9962.4</v>
      </c>
      <c r="H39">
        <v>5.071522195150802</v>
      </c>
      <c r="I39">
        <v>7217.7903881386219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8" t="s">
        <v>206</v>
      </c>
      <c r="D40">
        <v>0</v>
      </c>
      <c r="E40">
        <v>0</v>
      </c>
      <c r="F40">
        <v>7</v>
      </c>
      <c r="G40">
        <v>5073.5999999999995</v>
      </c>
      <c r="H40">
        <v>5.071522195150802</v>
      </c>
      <c r="I40">
        <v>3675.8392870453013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8" t="s">
        <v>207</v>
      </c>
      <c r="D41">
        <v>0</v>
      </c>
      <c r="E41">
        <v>0</v>
      </c>
      <c r="F41">
        <v>7</v>
      </c>
      <c r="G41">
        <v>4620</v>
      </c>
      <c r="H41">
        <v>4.3470190244149736</v>
      </c>
      <c r="I41">
        <v>2869.0325561138825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8" t="s">
        <v>208</v>
      </c>
      <c r="D42">
        <v>0</v>
      </c>
      <c r="E42">
        <v>0</v>
      </c>
      <c r="F42">
        <v>6</v>
      </c>
      <c r="G42">
        <v>5076</v>
      </c>
      <c r="H42">
        <v>5.071522195150802</v>
      </c>
      <c r="I42">
        <v>4290.5077770975786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8" t="s">
        <v>209</v>
      </c>
      <c r="D43">
        <v>0</v>
      </c>
      <c r="E43">
        <v>0</v>
      </c>
      <c r="F43">
        <v>7</v>
      </c>
      <c r="G43">
        <v>7156.8</v>
      </c>
      <c r="H43">
        <v>5.071522195150802</v>
      </c>
      <c r="I43">
        <v>5185.1242923221798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8" t="s">
        <v>210</v>
      </c>
      <c r="D44">
        <v>0</v>
      </c>
      <c r="E44">
        <v>0</v>
      </c>
      <c r="F44">
        <v>6</v>
      </c>
      <c r="G44">
        <v>6134.4</v>
      </c>
      <c r="H44">
        <v>4.3470190244149736</v>
      </c>
      <c r="I44">
        <v>4444.3922505618684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8" t="s">
        <v>211</v>
      </c>
      <c r="D45">
        <v>0</v>
      </c>
      <c r="E45">
        <v>0</v>
      </c>
      <c r="F45">
        <v>7</v>
      </c>
      <c r="G45">
        <v>8744.4</v>
      </c>
      <c r="H45">
        <v>4.3470190244149736</v>
      </c>
      <c r="I45">
        <v>5430.2961652991853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8" t="s">
        <v>212</v>
      </c>
      <c r="D46">
        <v>0</v>
      </c>
      <c r="E46">
        <v>0</v>
      </c>
      <c r="F46">
        <v>6</v>
      </c>
      <c r="G46">
        <v>7272</v>
      </c>
      <c r="H46">
        <v>5.071522195150802</v>
      </c>
      <c r="I46">
        <v>6146.6849005227723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8" t="s">
        <v>213</v>
      </c>
      <c r="D47">
        <v>0</v>
      </c>
      <c r="E47">
        <v>0</v>
      </c>
      <c r="F47">
        <v>6</v>
      </c>
      <c r="G47">
        <v>9165.5999999999985</v>
      </c>
      <c r="H47">
        <v>4.3470190244149736</v>
      </c>
      <c r="I47">
        <v>6640.5062616963132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8" t="s">
        <v>214</v>
      </c>
      <c r="D48">
        <v>0</v>
      </c>
      <c r="E48">
        <v>0</v>
      </c>
      <c r="F48">
        <v>7</v>
      </c>
      <c r="G48">
        <v>6073.2</v>
      </c>
      <c r="H48">
        <v>4.3470190244149736</v>
      </c>
      <c r="I48">
        <v>3771.4737055824312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8" t="s">
        <v>129</v>
      </c>
      <c r="C49" s="118" t="s">
        <v>215</v>
      </c>
      <c r="D49">
        <v>0</v>
      </c>
      <c r="E49">
        <v>0</v>
      </c>
      <c r="F49">
        <v>40</v>
      </c>
      <c r="G49">
        <v>39408</v>
      </c>
      <c r="H49">
        <v>47</v>
      </c>
      <c r="I49">
        <v>46304.399999999994</v>
      </c>
      <c r="J49">
        <v>27</v>
      </c>
      <c r="K49">
        <v>26600.399999999998</v>
      </c>
      <c r="L49">
        <v>9</v>
      </c>
      <c r="M49">
        <v>8866.7999999999993</v>
      </c>
      <c r="N49">
        <v>6</v>
      </c>
      <c r="O49">
        <v>5911.2</v>
      </c>
      <c r="P49">
        <v>7</v>
      </c>
      <c r="Q49">
        <v>6896.4</v>
      </c>
      <c r="R49">
        <v>9</v>
      </c>
      <c r="S49">
        <v>8866.7999999999993</v>
      </c>
      <c r="T49">
        <v>4</v>
      </c>
      <c r="U49">
        <v>3940.7999999999997</v>
      </c>
      <c r="V49">
        <v>3</v>
      </c>
      <c r="W49">
        <v>2955.6</v>
      </c>
      <c r="X49">
        <v>5</v>
      </c>
      <c r="Y49">
        <v>4926</v>
      </c>
      <c r="Z49">
        <v>6</v>
      </c>
      <c r="AA49">
        <v>5911.2</v>
      </c>
      <c r="AB49">
        <v>4</v>
      </c>
      <c r="AC49">
        <v>3940.7999999999997</v>
      </c>
      <c r="AD49">
        <v>6</v>
      </c>
      <c r="AE49">
        <v>5911.2</v>
      </c>
      <c r="AF49">
        <v>4</v>
      </c>
      <c r="AG49">
        <v>3940.7999999999997</v>
      </c>
      <c r="AH49">
        <v>6</v>
      </c>
      <c r="AI49">
        <v>5911.2</v>
      </c>
      <c r="AJ49">
        <v>30</v>
      </c>
      <c r="AK49">
        <v>29555.999999999996</v>
      </c>
      <c r="AL49">
        <v>33</v>
      </c>
      <c r="AM49">
        <v>32511.599999999999</v>
      </c>
      <c r="AN49">
        <v>61</v>
      </c>
      <c r="AO49">
        <v>60097.2</v>
      </c>
      <c r="AP49">
        <v>58</v>
      </c>
      <c r="AQ49">
        <v>57141.599999999999</v>
      </c>
      <c r="AR49">
        <v>13</v>
      </c>
      <c r="AS49">
        <v>12807.599999999999</v>
      </c>
      <c r="AT49">
        <v>13</v>
      </c>
      <c r="AU49">
        <v>12807.599999999999</v>
      </c>
      <c r="AV49">
        <v>16</v>
      </c>
      <c r="AW49">
        <v>15763.199999999999</v>
      </c>
      <c r="AX49">
        <v>15</v>
      </c>
      <c r="AY49">
        <v>14777.999999999998</v>
      </c>
      <c r="AZ49">
        <v>48</v>
      </c>
      <c r="BA49">
        <v>47289.599999999999</v>
      </c>
      <c r="BB49">
        <v>53</v>
      </c>
      <c r="BC49">
        <v>52215.6</v>
      </c>
      <c r="BD49">
        <v>33</v>
      </c>
      <c r="BE49">
        <v>32511.599999999999</v>
      </c>
      <c r="BF49">
        <v>46</v>
      </c>
      <c r="BG49">
        <v>45319.199999999997</v>
      </c>
      <c r="BH49">
        <v>3</v>
      </c>
      <c r="BI49">
        <v>2955.6</v>
      </c>
      <c r="BJ49">
        <v>5</v>
      </c>
      <c r="BK49">
        <v>4926</v>
      </c>
      <c r="BL49">
        <v>3</v>
      </c>
      <c r="BM49">
        <v>2955.6</v>
      </c>
      <c r="BN49">
        <v>5</v>
      </c>
      <c r="BO49">
        <v>4926</v>
      </c>
      <c r="BP49">
        <v>15</v>
      </c>
      <c r="BQ49">
        <v>14777.999999999998</v>
      </c>
      <c r="BR49">
        <v>14</v>
      </c>
      <c r="BS49">
        <v>13792.8</v>
      </c>
      <c r="BT49">
        <v>11</v>
      </c>
      <c r="BU49">
        <v>10837.199999999999</v>
      </c>
      <c r="BV49">
        <v>10</v>
      </c>
      <c r="BW49">
        <v>9852</v>
      </c>
      <c r="BX49">
        <v>5</v>
      </c>
      <c r="BY49">
        <v>4926</v>
      </c>
      <c r="BZ49">
        <v>2</v>
      </c>
      <c r="CA49">
        <v>1970.3999999999999</v>
      </c>
      <c r="CB49">
        <v>3</v>
      </c>
      <c r="CC49">
        <v>2955.6</v>
      </c>
      <c r="CD49">
        <v>5</v>
      </c>
      <c r="CE49">
        <v>4926</v>
      </c>
      <c r="CF49">
        <v>8</v>
      </c>
      <c r="CG49">
        <v>7881.5999999999995</v>
      </c>
      <c r="CH49">
        <v>7</v>
      </c>
      <c r="CI49">
        <v>6896.4</v>
      </c>
      <c r="CJ49">
        <v>8</v>
      </c>
      <c r="CK49">
        <v>7881.5999999999995</v>
      </c>
      <c r="CL49">
        <v>6</v>
      </c>
      <c r="CM49">
        <v>5911.2</v>
      </c>
      <c r="CN49">
        <v>20</v>
      </c>
      <c r="CO49">
        <v>19704</v>
      </c>
      <c r="CP49">
        <v>23</v>
      </c>
      <c r="CQ49">
        <v>22659.599999999999</v>
      </c>
      <c r="CR49">
        <v>20</v>
      </c>
      <c r="CS49">
        <v>19704</v>
      </c>
      <c r="CT49">
        <v>14</v>
      </c>
      <c r="CU49">
        <v>13792.8</v>
      </c>
    </row>
    <row r="50" spans="2:99" x14ac:dyDescent="0.2">
      <c r="C50" s="118" t="s">
        <v>216</v>
      </c>
      <c r="D50">
        <v>0</v>
      </c>
      <c r="E50">
        <v>0</v>
      </c>
      <c r="F50">
        <v>46</v>
      </c>
      <c r="G50">
        <v>12972</v>
      </c>
      <c r="H50">
        <v>39.123171219734758</v>
      </c>
      <c r="I50">
        <v>11032.734283965201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8" t="s">
        <v>217</v>
      </c>
      <c r="D51">
        <v>0</v>
      </c>
      <c r="E51">
        <v>0</v>
      </c>
      <c r="F51">
        <v>43</v>
      </c>
      <c r="G51">
        <v>36739.199999999997</v>
      </c>
      <c r="H51">
        <v>33.32714585384813</v>
      </c>
      <c r="I51">
        <v>28474.713417527841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8" t="s">
        <v>218</v>
      </c>
      <c r="D52">
        <v>0</v>
      </c>
      <c r="E52">
        <v>0</v>
      </c>
      <c r="F52">
        <v>43</v>
      </c>
      <c r="G52">
        <v>23220</v>
      </c>
      <c r="H52">
        <v>31.878139512376471</v>
      </c>
      <c r="I52">
        <v>17214.195336683293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8" t="s">
        <v>219</v>
      </c>
      <c r="D53">
        <v>0</v>
      </c>
      <c r="E53">
        <v>0</v>
      </c>
      <c r="F53">
        <v>47</v>
      </c>
      <c r="G53">
        <v>19119.600000000002</v>
      </c>
      <c r="H53">
        <v>36.94966170752727</v>
      </c>
      <c r="I53">
        <v>15031.122382622094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8" t="s">
        <v>220</v>
      </c>
      <c r="D54">
        <v>0</v>
      </c>
      <c r="E54">
        <v>0</v>
      </c>
      <c r="F54">
        <v>44</v>
      </c>
      <c r="G54">
        <v>14731.2</v>
      </c>
      <c r="H54">
        <v>32.6026426831123</v>
      </c>
      <c r="I54">
        <v>10915.364770305998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8" t="s">
        <v>221</v>
      </c>
      <c r="D55">
        <v>0</v>
      </c>
      <c r="E55">
        <v>0</v>
      </c>
      <c r="F55">
        <v>42</v>
      </c>
      <c r="G55">
        <v>27871.200000000001</v>
      </c>
      <c r="H55">
        <v>34.051649024583959</v>
      </c>
      <c r="I55">
        <v>22596.674292713917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8" t="s">
        <v>222</v>
      </c>
      <c r="D56">
        <v>0</v>
      </c>
      <c r="E56">
        <v>0</v>
      </c>
      <c r="F56">
        <v>37</v>
      </c>
      <c r="G56">
        <v>42579.6</v>
      </c>
      <c r="H56">
        <v>47</v>
      </c>
      <c r="I56">
        <v>54087.6</v>
      </c>
      <c r="J56">
        <v>30</v>
      </c>
      <c r="K56">
        <v>34524</v>
      </c>
      <c r="L56">
        <v>10</v>
      </c>
      <c r="M56">
        <v>11508</v>
      </c>
      <c r="N56">
        <v>5</v>
      </c>
      <c r="O56">
        <v>5754</v>
      </c>
      <c r="P56">
        <v>6</v>
      </c>
      <c r="Q56">
        <v>6904.7999999999993</v>
      </c>
      <c r="R56">
        <v>8</v>
      </c>
      <c r="S56">
        <v>9206.4</v>
      </c>
      <c r="T56">
        <v>4</v>
      </c>
      <c r="U56">
        <v>4603.2</v>
      </c>
      <c r="V56">
        <v>3</v>
      </c>
      <c r="W56">
        <v>3452.3999999999996</v>
      </c>
      <c r="X56">
        <v>5</v>
      </c>
      <c r="Y56">
        <v>5754</v>
      </c>
      <c r="Z56">
        <v>6</v>
      </c>
      <c r="AA56">
        <v>6904.7999999999993</v>
      </c>
      <c r="AB56">
        <v>4</v>
      </c>
      <c r="AC56">
        <v>4603.2</v>
      </c>
      <c r="AD56">
        <v>6</v>
      </c>
      <c r="AE56">
        <v>6904.7999999999993</v>
      </c>
      <c r="AF56">
        <v>4</v>
      </c>
      <c r="AG56">
        <v>4603.2</v>
      </c>
      <c r="AH56">
        <v>5</v>
      </c>
      <c r="AI56">
        <v>5754</v>
      </c>
      <c r="AJ56">
        <v>30</v>
      </c>
      <c r="AK56">
        <v>34524</v>
      </c>
      <c r="AL56">
        <v>30</v>
      </c>
      <c r="AM56">
        <v>34524</v>
      </c>
      <c r="AN56">
        <v>50</v>
      </c>
      <c r="AO56">
        <v>57540</v>
      </c>
      <c r="AP56">
        <v>54</v>
      </c>
      <c r="AQ56">
        <v>62143.199999999997</v>
      </c>
      <c r="AR56">
        <v>11</v>
      </c>
      <c r="AS56">
        <v>12658.8</v>
      </c>
      <c r="AT56">
        <v>12</v>
      </c>
      <c r="AU56">
        <v>13809.599999999999</v>
      </c>
      <c r="AV56">
        <v>15</v>
      </c>
      <c r="AW56">
        <v>17262</v>
      </c>
      <c r="AX56">
        <v>14</v>
      </c>
      <c r="AY56">
        <v>16111.199999999999</v>
      </c>
      <c r="AZ56">
        <v>56</v>
      </c>
      <c r="BA56">
        <v>64444.799999999996</v>
      </c>
      <c r="BB56">
        <v>54</v>
      </c>
      <c r="BC56">
        <v>62143.199999999997</v>
      </c>
      <c r="BD56">
        <v>35</v>
      </c>
      <c r="BE56">
        <v>40278</v>
      </c>
      <c r="BF56">
        <v>40</v>
      </c>
      <c r="BG56">
        <v>46032</v>
      </c>
      <c r="BH56">
        <v>3</v>
      </c>
      <c r="BI56">
        <v>3452.3999999999996</v>
      </c>
      <c r="BJ56">
        <v>5</v>
      </c>
      <c r="BK56">
        <v>5754</v>
      </c>
      <c r="BL56">
        <v>4</v>
      </c>
      <c r="BM56">
        <v>4603.2</v>
      </c>
      <c r="BN56">
        <v>5</v>
      </c>
      <c r="BO56">
        <v>5754</v>
      </c>
      <c r="BP56">
        <v>15</v>
      </c>
      <c r="BQ56">
        <v>17262</v>
      </c>
      <c r="BR56">
        <v>13</v>
      </c>
      <c r="BS56">
        <v>14960.4</v>
      </c>
      <c r="BT56">
        <v>13</v>
      </c>
      <c r="BU56">
        <v>14960.4</v>
      </c>
      <c r="BV56">
        <v>10</v>
      </c>
      <c r="BW56">
        <v>11508</v>
      </c>
      <c r="BX56">
        <v>5</v>
      </c>
      <c r="BY56">
        <v>5754</v>
      </c>
      <c r="BZ56">
        <v>3</v>
      </c>
      <c r="CA56">
        <v>3452.3999999999996</v>
      </c>
      <c r="CB56">
        <v>3</v>
      </c>
      <c r="CC56">
        <v>3452.3999999999996</v>
      </c>
      <c r="CD56">
        <v>4</v>
      </c>
      <c r="CE56">
        <v>4603.2</v>
      </c>
      <c r="CF56">
        <v>8</v>
      </c>
      <c r="CG56">
        <v>9206.4</v>
      </c>
      <c r="CH56">
        <v>7</v>
      </c>
      <c r="CI56">
        <v>8055.5999999999995</v>
      </c>
      <c r="CJ56">
        <v>8</v>
      </c>
      <c r="CK56">
        <v>9206.4</v>
      </c>
      <c r="CL56">
        <v>7</v>
      </c>
      <c r="CM56">
        <v>8055.5999999999995</v>
      </c>
      <c r="CN56">
        <v>21</v>
      </c>
      <c r="CO56">
        <v>24166.799999999999</v>
      </c>
      <c r="CP56">
        <v>21</v>
      </c>
      <c r="CQ56">
        <v>24166.799999999999</v>
      </c>
      <c r="CR56">
        <v>17</v>
      </c>
      <c r="CS56">
        <v>19563.599999999999</v>
      </c>
      <c r="CT56">
        <v>14</v>
      </c>
      <c r="CU56">
        <v>16111.199999999999</v>
      </c>
    </row>
    <row r="57" spans="2:99" x14ac:dyDescent="0.2">
      <c r="C57" s="118" t="s">
        <v>223</v>
      </c>
      <c r="D57">
        <v>0</v>
      </c>
      <c r="E57">
        <v>0</v>
      </c>
      <c r="F57">
        <v>38</v>
      </c>
      <c r="G57">
        <v>53625.599999999999</v>
      </c>
      <c r="H57">
        <v>28.255623658697328</v>
      </c>
      <c r="I57">
        <v>39874.336107153671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8" t="s">
        <v>224</v>
      </c>
      <c r="D58">
        <v>0</v>
      </c>
      <c r="E58">
        <v>0</v>
      </c>
      <c r="F58">
        <v>40</v>
      </c>
      <c r="G58">
        <v>47088</v>
      </c>
      <c r="H58">
        <v>43</v>
      </c>
      <c r="I58">
        <v>50619.6</v>
      </c>
      <c r="J58">
        <v>28</v>
      </c>
      <c r="K58">
        <v>32961.599999999999</v>
      </c>
      <c r="L58">
        <v>9</v>
      </c>
      <c r="M58">
        <v>10594.800000000001</v>
      </c>
      <c r="N58">
        <v>5</v>
      </c>
      <c r="O58">
        <v>5886</v>
      </c>
      <c r="P58">
        <v>6</v>
      </c>
      <c r="Q58">
        <v>7063.2000000000007</v>
      </c>
      <c r="R58">
        <v>8</v>
      </c>
      <c r="S58">
        <v>9417.6</v>
      </c>
      <c r="T58">
        <v>4</v>
      </c>
      <c r="U58">
        <v>4708.8</v>
      </c>
      <c r="V58">
        <v>4</v>
      </c>
      <c r="W58">
        <v>4708.8</v>
      </c>
      <c r="X58">
        <v>5</v>
      </c>
      <c r="Y58">
        <v>5886</v>
      </c>
      <c r="Z58">
        <v>6</v>
      </c>
      <c r="AA58">
        <v>7063.2000000000007</v>
      </c>
      <c r="AB58">
        <v>4</v>
      </c>
      <c r="AC58">
        <v>4708.8</v>
      </c>
      <c r="AD58">
        <v>6</v>
      </c>
      <c r="AE58">
        <v>7063.2000000000007</v>
      </c>
      <c r="AF58">
        <v>4</v>
      </c>
      <c r="AG58">
        <v>4708.8</v>
      </c>
      <c r="AH58">
        <v>6</v>
      </c>
      <c r="AI58">
        <v>7063.2000000000007</v>
      </c>
      <c r="AJ58">
        <v>29</v>
      </c>
      <c r="AK58">
        <v>34138.800000000003</v>
      </c>
      <c r="AL58">
        <v>32</v>
      </c>
      <c r="AM58">
        <v>37670.400000000001</v>
      </c>
      <c r="AN58">
        <v>50</v>
      </c>
      <c r="AO58">
        <v>58860</v>
      </c>
      <c r="AP58">
        <v>49</v>
      </c>
      <c r="AQ58">
        <v>57682.8</v>
      </c>
      <c r="AR58">
        <v>11</v>
      </c>
      <c r="AS58">
        <v>12949.2</v>
      </c>
      <c r="AT58">
        <v>13</v>
      </c>
      <c r="AU58">
        <v>15303.6</v>
      </c>
      <c r="AV58">
        <v>14</v>
      </c>
      <c r="AW58">
        <v>16480.8</v>
      </c>
      <c r="AX58">
        <v>13</v>
      </c>
      <c r="AY58">
        <v>15303.6</v>
      </c>
      <c r="AZ58">
        <v>54</v>
      </c>
      <c r="BA58">
        <v>63568.800000000003</v>
      </c>
      <c r="BB58">
        <v>50</v>
      </c>
      <c r="BC58">
        <v>58860</v>
      </c>
      <c r="BD58">
        <v>36</v>
      </c>
      <c r="BE58">
        <v>42379.200000000004</v>
      </c>
      <c r="BF58">
        <v>44</v>
      </c>
      <c r="BG58">
        <v>51796.800000000003</v>
      </c>
      <c r="BH58">
        <v>3</v>
      </c>
      <c r="BI58">
        <v>3531.6000000000004</v>
      </c>
      <c r="BJ58">
        <v>5</v>
      </c>
      <c r="BK58">
        <v>5886</v>
      </c>
      <c r="BL58">
        <v>3</v>
      </c>
      <c r="BM58">
        <v>3531.6000000000004</v>
      </c>
      <c r="BN58">
        <v>5</v>
      </c>
      <c r="BO58">
        <v>5886</v>
      </c>
      <c r="BP58">
        <v>15</v>
      </c>
      <c r="BQ58">
        <v>17658</v>
      </c>
      <c r="BR58">
        <v>15</v>
      </c>
      <c r="BS58">
        <v>17658</v>
      </c>
      <c r="BT58">
        <v>11</v>
      </c>
      <c r="BU58">
        <v>12949.2</v>
      </c>
      <c r="BV58">
        <v>10</v>
      </c>
      <c r="BW58">
        <v>11772</v>
      </c>
      <c r="BX58">
        <v>5</v>
      </c>
      <c r="BY58">
        <v>5886</v>
      </c>
      <c r="BZ58">
        <v>2</v>
      </c>
      <c r="CA58">
        <v>2354.4</v>
      </c>
      <c r="CB58">
        <v>3</v>
      </c>
      <c r="CC58">
        <v>3531.6000000000004</v>
      </c>
      <c r="CD58">
        <v>5</v>
      </c>
      <c r="CE58">
        <v>5886</v>
      </c>
      <c r="CF58">
        <v>8</v>
      </c>
      <c r="CG58">
        <v>9417.6</v>
      </c>
      <c r="CH58">
        <v>7</v>
      </c>
      <c r="CI58">
        <v>8240.4</v>
      </c>
      <c r="CJ58">
        <v>7</v>
      </c>
      <c r="CK58">
        <v>8240.4</v>
      </c>
      <c r="CL58">
        <v>7</v>
      </c>
      <c r="CM58">
        <v>8240.4</v>
      </c>
      <c r="CN58">
        <v>21</v>
      </c>
      <c r="CO58">
        <v>24721.200000000001</v>
      </c>
      <c r="CP58">
        <v>21</v>
      </c>
      <c r="CQ58">
        <v>24721.200000000001</v>
      </c>
      <c r="CR58">
        <v>18</v>
      </c>
      <c r="CS58">
        <v>21189.600000000002</v>
      </c>
      <c r="CT58">
        <v>14</v>
      </c>
      <c r="CU58">
        <v>16480.8</v>
      </c>
    </row>
    <row r="59" spans="2:99" x14ac:dyDescent="0.2">
      <c r="C59" s="118" t="s">
        <v>225</v>
      </c>
      <c r="D59">
        <v>0</v>
      </c>
      <c r="E59">
        <v>0</v>
      </c>
      <c r="F59">
        <v>48</v>
      </c>
      <c r="G59">
        <v>14572.8</v>
      </c>
      <c r="H59">
        <v>38.398668048998928</v>
      </c>
      <c r="I59">
        <v>11657.835619676074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8" t="s">
        <v>226</v>
      </c>
      <c r="D60">
        <v>0</v>
      </c>
      <c r="E60">
        <v>0</v>
      </c>
      <c r="F60">
        <v>43</v>
      </c>
      <c r="G60">
        <v>28018.799999999999</v>
      </c>
      <c r="H60">
        <v>34.776152195319789</v>
      </c>
      <c r="I60">
        <v>22660.140770470374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8" t="s">
        <v>227</v>
      </c>
      <c r="D61">
        <v>0</v>
      </c>
      <c r="E61">
        <v>0</v>
      </c>
      <c r="F61">
        <v>38</v>
      </c>
      <c r="G61">
        <v>36160.799999999996</v>
      </c>
      <c r="H61">
        <v>32.6026426831123</v>
      </c>
      <c r="I61">
        <v>31024.674777249664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8" t="s">
        <v>228</v>
      </c>
      <c r="D62">
        <v>0</v>
      </c>
      <c r="E62">
        <v>0</v>
      </c>
      <c r="F62">
        <v>35</v>
      </c>
      <c r="G62">
        <v>59682</v>
      </c>
      <c r="H62">
        <v>28.980126829433154</v>
      </c>
      <c r="I62">
        <v>49416.912269549415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8" t="s">
        <v>229</v>
      </c>
      <c r="D63">
        <v>0</v>
      </c>
      <c r="E63">
        <v>0</v>
      </c>
      <c r="F63">
        <v>40</v>
      </c>
      <c r="G63">
        <v>31824</v>
      </c>
      <c r="H63">
        <v>29.704630000168979</v>
      </c>
      <c r="I63">
        <v>23633.00362813444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8" t="s">
        <v>230</v>
      </c>
      <c r="D64">
        <v>0</v>
      </c>
      <c r="E64">
        <v>0</v>
      </c>
      <c r="F64">
        <v>42</v>
      </c>
      <c r="G64">
        <v>42386.399999999994</v>
      </c>
      <c r="H64">
        <v>29.704630000168979</v>
      </c>
      <c r="I64">
        <v>29977.912596170529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8" t="s">
        <v>231</v>
      </c>
      <c r="D65">
        <v>0</v>
      </c>
      <c r="E65">
        <v>0</v>
      </c>
      <c r="F65">
        <v>40</v>
      </c>
      <c r="G65">
        <v>41040</v>
      </c>
      <c r="H65">
        <v>29.704630000168979</v>
      </c>
      <c r="I65">
        <v>30476.950380173374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8" t="s">
        <v>232</v>
      </c>
      <c r="D66">
        <v>0</v>
      </c>
      <c r="E66">
        <v>0</v>
      </c>
      <c r="F66">
        <v>36</v>
      </c>
      <c r="G66">
        <v>42854.399999999994</v>
      </c>
      <c r="H66">
        <v>33.32714585384813</v>
      </c>
      <c r="I66">
        <v>39672.634424420809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8" t="s">
        <v>233</v>
      </c>
      <c r="D67">
        <v>0</v>
      </c>
      <c r="E67">
        <v>0</v>
      </c>
      <c r="F67">
        <v>38</v>
      </c>
      <c r="G67">
        <v>42681.599999999999</v>
      </c>
      <c r="H67">
        <v>28.980126829433154</v>
      </c>
      <c r="I67">
        <v>32550.47845481932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8" t="s">
        <v>234</v>
      </c>
      <c r="D68">
        <v>0</v>
      </c>
      <c r="E68">
        <v>0</v>
      </c>
      <c r="F68">
        <v>37</v>
      </c>
      <c r="G68">
        <v>38228.400000000001</v>
      </c>
      <c r="H68">
        <v>32.6026426831123</v>
      </c>
      <c r="I68">
        <v>33685.050420191634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8" t="s">
        <v>235</v>
      </c>
      <c r="D69">
        <v>0</v>
      </c>
      <c r="E69">
        <v>0</v>
      </c>
      <c r="F69">
        <v>43</v>
      </c>
      <c r="G69">
        <v>32611.200000000001</v>
      </c>
      <c r="H69">
        <v>34.776152195319789</v>
      </c>
      <c r="I69">
        <v>26374.233824930528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8" t="s">
        <v>236</v>
      </c>
      <c r="D70">
        <v>0</v>
      </c>
      <c r="E70">
        <v>0</v>
      </c>
      <c r="F70">
        <v>44</v>
      </c>
      <c r="G70">
        <v>23548.799999999996</v>
      </c>
      <c r="H70">
        <v>34.051649024583959</v>
      </c>
      <c r="I70">
        <v>18224.442557957333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8" t="s">
        <v>130</v>
      </c>
      <c r="C71" s="118" t="s">
        <v>237</v>
      </c>
      <c r="D71">
        <v>0</v>
      </c>
      <c r="E71">
        <v>0</v>
      </c>
      <c r="F71">
        <v>42</v>
      </c>
      <c r="G71">
        <v>23688</v>
      </c>
      <c r="H71">
        <v>40</v>
      </c>
      <c r="I71">
        <v>22560</v>
      </c>
      <c r="J71">
        <v>54</v>
      </c>
      <c r="K71">
        <v>30456</v>
      </c>
      <c r="L71">
        <v>40</v>
      </c>
      <c r="M71">
        <v>22560</v>
      </c>
      <c r="N71">
        <v>33</v>
      </c>
      <c r="O71">
        <v>18612</v>
      </c>
      <c r="P71">
        <v>31</v>
      </c>
      <c r="Q71">
        <v>17484</v>
      </c>
      <c r="R71">
        <v>31</v>
      </c>
      <c r="S71">
        <v>17484</v>
      </c>
      <c r="T71">
        <v>7</v>
      </c>
      <c r="U71">
        <v>3948</v>
      </c>
      <c r="V71">
        <v>5</v>
      </c>
      <c r="W71">
        <v>2820</v>
      </c>
      <c r="X71">
        <v>6</v>
      </c>
      <c r="Y71">
        <v>3384</v>
      </c>
      <c r="Z71">
        <v>6</v>
      </c>
      <c r="AA71">
        <v>3384</v>
      </c>
      <c r="AB71">
        <v>5</v>
      </c>
      <c r="AC71">
        <v>2820</v>
      </c>
      <c r="AD71">
        <v>8</v>
      </c>
      <c r="AE71">
        <v>4512</v>
      </c>
      <c r="AF71">
        <v>6</v>
      </c>
      <c r="AG71">
        <v>3384</v>
      </c>
      <c r="AH71">
        <v>6</v>
      </c>
      <c r="AI71">
        <v>3384</v>
      </c>
      <c r="AJ71">
        <v>4</v>
      </c>
      <c r="AK71">
        <v>2256</v>
      </c>
      <c r="AL71">
        <v>5</v>
      </c>
      <c r="AM71">
        <v>2820</v>
      </c>
      <c r="AN71">
        <v>3</v>
      </c>
      <c r="AO71">
        <v>1692</v>
      </c>
      <c r="AP71">
        <v>5</v>
      </c>
      <c r="AQ71">
        <v>2820</v>
      </c>
      <c r="AR71">
        <v>34</v>
      </c>
      <c r="AS71">
        <v>19176</v>
      </c>
      <c r="AT71">
        <v>49</v>
      </c>
      <c r="AU71">
        <v>27636</v>
      </c>
      <c r="AV71">
        <v>49</v>
      </c>
      <c r="AW71">
        <v>27636</v>
      </c>
      <c r="AX71">
        <v>27</v>
      </c>
      <c r="AY71">
        <v>15228</v>
      </c>
      <c r="AZ71">
        <v>3</v>
      </c>
      <c r="BA71">
        <v>1692</v>
      </c>
      <c r="BB71">
        <v>4</v>
      </c>
      <c r="BC71">
        <v>2256</v>
      </c>
      <c r="BD71">
        <v>6</v>
      </c>
      <c r="BE71">
        <v>3384</v>
      </c>
      <c r="BF71">
        <v>6</v>
      </c>
      <c r="BG71">
        <v>3384</v>
      </c>
      <c r="BH71">
        <v>4</v>
      </c>
      <c r="BI71">
        <v>2256</v>
      </c>
      <c r="BJ71">
        <v>5</v>
      </c>
      <c r="BK71">
        <v>2820</v>
      </c>
      <c r="BL71">
        <v>5</v>
      </c>
      <c r="BM71">
        <v>2820</v>
      </c>
      <c r="BN71">
        <v>5</v>
      </c>
      <c r="BO71">
        <v>2820</v>
      </c>
      <c r="BP71">
        <v>8</v>
      </c>
      <c r="BQ71">
        <v>4512</v>
      </c>
      <c r="BR71">
        <v>6</v>
      </c>
      <c r="BS71">
        <v>3384</v>
      </c>
      <c r="BT71">
        <v>6</v>
      </c>
      <c r="BU71">
        <v>3384</v>
      </c>
      <c r="BV71">
        <v>5</v>
      </c>
      <c r="BW71">
        <v>2820</v>
      </c>
      <c r="BX71">
        <v>42</v>
      </c>
      <c r="BY71">
        <v>23688</v>
      </c>
      <c r="BZ71">
        <v>45</v>
      </c>
      <c r="CA71">
        <v>25380</v>
      </c>
      <c r="CB71">
        <v>30</v>
      </c>
      <c r="CC71">
        <v>16920</v>
      </c>
      <c r="CD71">
        <v>53</v>
      </c>
      <c r="CE71">
        <v>29892</v>
      </c>
      <c r="CF71">
        <v>5</v>
      </c>
      <c r="CG71">
        <v>2820</v>
      </c>
      <c r="CH71">
        <v>5</v>
      </c>
      <c r="CI71">
        <v>2820</v>
      </c>
      <c r="CJ71">
        <v>5</v>
      </c>
      <c r="CK71">
        <v>2820</v>
      </c>
      <c r="CL71">
        <v>6</v>
      </c>
      <c r="CM71">
        <v>3384</v>
      </c>
      <c r="CN71">
        <v>7</v>
      </c>
      <c r="CO71">
        <v>3948</v>
      </c>
      <c r="CP71">
        <v>5</v>
      </c>
      <c r="CQ71">
        <v>2820</v>
      </c>
      <c r="CR71">
        <v>6</v>
      </c>
      <c r="CS71">
        <v>3384</v>
      </c>
      <c r="CT71">
        <v>4</v>
      </c>
      <c r="CU71">
        <v>2256</v>
      </c>
    </row>
    <row r="72" spans="2:99" x14ac:dyDescent="0.2">
      <c r="C72" s="118" t="s">
        <v>238</v>
      </c>
      <c r="D72">
        <v>0</v>
      </c>
      <c r="E72">
        <v>0</v>
      </c>
      <c r="F72">
        <v>46</v>
      </c>
      <c r="G72">
        <v>3422.3999999999996</v>
      </c>
      <c r="H72">
        <v>42</v>
      </c>
      <c r="I72">
        <v>3124.7999999999997</v>
      </c>
      <c r="J72">
        <v>61</v>
      </c>
      <c r="K72">
        <v>4538.3999999999996</v>
      </c>
      <c r="L72">
        <v>46</v>
      </c>
      <c r="M72">
        <v>3422.3999999999996</v>
      </c>
      <c r="N72">
        <v>37</v>
      </c>
      <c r="O72">
        <v>2752.7999999999997</v>
      </c>
      <c r="P72">
        <v>39</v>
      </c>
      <c r="Q72">
        <v>2901.5999999999995</v>
      </c>
      <c r="R72">
        <v>36</v>
      </c>
      <c r="S72">
        <v>2678.3999999999996</v>
      </c>
      <c r="T72">
        <v>8</v>
      </c>
      <c r="U72">
        <v>595.19999999999993</v>
      </c>
      <c r="V72">
        <v>5</v>
      </c>
      <c r="W72">
        <v>371.99999999999994</v>
      </c>
      <c r="X72">
        <v>7</v>
      </c>
      <c r="Y72">
        <v>520.79999999999995</v>
      </c>
      <c r="Z72">
        <v>6</v>
      </c>
      <c r="AA72">
        <v>446.4</v>
      </c>
      <c r="AB72">
        <v>6</v>
      </c>
      <c r="AC72">
        <v>446.4</v>
      </c>
      <c r="AD72">
        <v>8</v>
      </c>
      <c r="AE72">
        <v>595.19999999999993</v>
      </c>
      <c r="AF72">
        <v>7</v>
      </c>
      <c r="AG72">
        <v>520.79999999999995</v>
      </c>
      <c r="AH72">
        <v>6</v>
      </c>
      <c r="AI72">
        <v>446.4</v>
      </c>
      <c r="AJ72">
        <v>4</v>
      </c>
      <c r="AK72">
        <v>297.59999999999997</v>
      </c>
      <c r="AL72">
        <v>5</v>
      </c>
      <c r="AM72">
        <v>371.99999999999994</v>
      </c>
      <c r="AN72">
        <v>3</v>
      </c>
      <c r="AO72">
        <v>223.2</v>
      </c>
      <c r="AP72">
        <v>5</v>
      </c>
      <c r="AQ72">
        <v>371.99999999999994</v>
      </c>
      <c r="AR72">
        <v>37</v>
      </c>
      <c r="AS72">
        <v>2752.7999999999997</v>
      </c>
      <c r="AT72">
        <v>50</v>
      </c>
      <c r="AU72">
        <v>3719.9999999999995</v>
      </c>
      <c r="AV72">
        <v>50</v>
      </c>
      <c r="AW72">
        <v>3719.9999999999995</v>
      </c>
      <c r="AX72">
        <v>30</v>
      </c>
      <c r="AY72">
        <v>2231.9999999999995</v>
      </c>
      <c r="AZ72">
        <v>3</v>
      </c>
      <c r="BA72">
        <v>223.2</v>
      </c>
      <c r="BB72">
        <v>4</v>
      </c>
      <c r="BC72">
        <v>297.59999999999997</v>
      </c>
      <c r="BD72">
        <v>7</v>
      </c>
      <c r="BE72">
        <v>520.79999999999995</v>
      </c>
      <c r="BF72">
        <v>7</v>
      </c>
      <c r="BG72">
        <v>520.79999999999995</v>
      </c>
      <c r="BH72">
        <v>4</v>
      </c>
      <c r="BI72">
        <v>297.59999999999997</v>
      </c>
      <c r="BJ72">
        <v>5</v>
      </c>
      <c r="BK72">
        <v>371.99999999999994</v>
      </c>
      <c r="BL72">
        <v>5</v>
      </c>
      <c r="BM72">
        <v>371.99999999999994</v>
      </c>
      <c r="BN72">
        <v>4</v>
      </c>
      <c r="BO72">
        <v>297.59999999999997</v>
      </c>
      <c r="BP72">
        <v>7</v>
      </c>
      <c r="BQ72">
        <v>520.79999999999995</v>
      </c>
      <c r="BR72">
        <v>6</v>
      </c>
      <c r="BS72">
        <v>446.4</v>
      </c>
      <c r="BT72">
        <v>8</v>
      </c>
      <c r="BU72">
        <v>595.19999999999993</v>
      </c>
      <c r="BV72">
        <v>5</v>
      </c>
      <c r="BW72">
        <v>371.99999999999994</v>
      </c>
      <c r="BX72">
        <v>53</v>
      </c>
      <c r="BY72">
        <v>3943.1999999999994</v>
      </c>
      <c r="BZ72">
        <v>43</v>
      </c>
      <c r="CA72">
        <v>3199.2</v>
      </c>
      <c r="CB72">
        <v>33</v>
      </c>
      <c r="CC72">
        <v>2455.1999999999998</v>
      </c>
      <c r="CD72">
        <v>62</v>
      </c>
      <c r="CE72">
        <v>4612.7999999999993</v>
      </c>
      <c r="CF72">
        <v>4</v>
      </c>
      <c r="CG72">
        <v>297.59999999999997</v>
      </c>
      <c r="CH72">
        <v>5</v>
      </c>
      <c r="CI72">
        <v>371.99999999999994</v>
      </c>
      <c r="CJ72">
        <v>5</v>
      </c>
      <c r="CK72">
        <v>371.99999999999994</v>
      </c>
      <c r="CL72">
        <v>6</v>
      </c>
      <c r="CM72">
        <v>446.4</v>
      </c>
      <c r="CN72">
        <v>6</v>
      </c>
      <c r="CO72">
        <v>446.4</v>
      </c>
      <c r="CP72">
        <v>5</v>
      </c>
      <c r="CQ72">
        <v>371.99999999999994</v>
      </c>
      <c r="CR72">
        <v>6</v>
      </c>
      <c r="CS72">
        <v>446.4</v>
      </c>
      <c r="CT72">
        <v>4</v>
      </c>
      <c r="CU72">
        <v>297.59999999999997</v>
      </c>
    </row>
    <row r="73" spans="2:99" x14ac:dyDescent="0.2">
      <c r="C73" s="118" t="s">
        <v>239</v>
      </c>
      <c r="D73">
        <v>0</v>
      </c>
      <c r="E73">
        <v>0</v>
      </c>
      <c r="F73">
        <v>42</v>
      </c>
      <c r="G73">
        <v>23486.399999999998</v>
      </c>
      <c r="H73">
        <v>38</v>
      </c>
      <c r="I73">
        <v>21249.599999999999</v>
      </c>
      <c r="J73">
        <v>59</v>
      </c>
      <c r="K73">
        <v>32992.799999999996</v>
      </c>
      <c r="L73">
        <v>38</v>
      </c>
      <c r="M73">
        <v>21249.599999999999</v>
      </c>
      <c r="N73">
        <v>36</v>
      </c>
      <c r="O73">
        <v>20131.199999999997</v>
      </c>
      <c r="P73">
        <v>36</v>
      </c>
      <c r="Q73">
        <v>20131.199999999997</v>
      </c>
      <c r="R73">
        <v>30</v>
      </c>
      <c r="S73">
        <v>16775.999999999996</v>
      </c>
      <c r="T73">
        <v>8</v>
      </c>
      <c r="U73">
        <v>4473.5999999999995</v>
      </c>
      <c r="V73">
        <v>4</v>
      </c>
      <c r="W73">
        <v>2236.7999999999997</v>
      </c>
      <c r="X73">
        <v>6</v>
      </c>
      <c r="Y73">
        <v>3355.2</v>
      </c>
      <c r="Z73">
        <v>5</v>
      </c>
      <c r="AA73">
        <v>2795.9999999999995</v>
      </c>
      <c r="AB73">
        <v>6</v>
      </c>
      <c r="AC73">
        <v>3355.2</v>
      </c>
      <c r="AD73">
        <v>8</v>
      </c>
      <c r="AE73">
        <v>4473.5999999999995</v>
      </c>
      <c r="AF73">
        <v>7</v>
      </c>
      <c r="AG73">
        <v>3914.3999999999996</v>
      </c>
      <c r="AH73">
        <v>5</v>
      </c>
      <c r="AI73">
        <v>2795.9999999999995</v>
      </c>
      <c r="AJ73">
        <v>4</v>
      </c>
      <c r="AK73">
        <v>2236.7999999999997</v>
      </c>
      <c r="AL73">
        <v>4</v>
      </c>
      <c r="AM73">
        <v>2236.7999999999997</v>
      </c>
      <c r="AN73">
        <v>3</v>
      </c>
      <c r="AO73">
        <v>1677.6</v>
      </c>
      <c r="AP73">
        <v>5</v>
      </c>
      <c r="AQ73">
        <v>2795.9999999999995</v>
      </c>
      <c r="AR73">
        <v>33</v>
      </c>
      <c r="AS73">
        <v>18453.599999999999</v>
      </c>
      <c r="AT73">
        <v>52</v>
      </c>
      <c r="AU73">
        <v>29078.399999999998</v>
      </c>
      <c r="AV73">
        <v>48</v>
      </c>
      <c r="AW73">
        <v>26841.599999999999</v>
      </c>
      <c r="AX73">
        <v>30</v>
      </c>
      <c r="AY73">
        <v>16775.999999999996</v>
      </c>
      <c r="AZ73">
        <v>3</v>
      </c>
      <c r="BA73">
        <v>1677.6</v>
      </c>
      <c r="BB73">
        <v>4</v>
      </c>
      <c r="BC73">
        <v>2236.7999999999997</v>
      </c>
      <c r="BD73">
        <v>6</v>
      </c>
      <c r="BE73">
        <v>3355.2</v>
      </c>
      <c r="BF73">
        <v>5</v>
      </c>
      <c r="BG73">
        <v>2795.9999999999995</v>
      </c>
      <c r="BH73">
        <v>4</v>
      </c>
      <c r="BI73">
        <v>2236.7999999999997</v>
      </c>
      <c r="BJ73">
        <v>4</v>
      </c>
      <c r="BK73">
        <v>2236.7999999999997</v>
      </c>
      <c r="BL73">
        <v>5</v>
      </c>
      <c r="BM73">
        <v>2795.9999999999995</v>
      </c>
      <c r="BN73">
        <v>4</v>
      </c>
      <c r="BO73">
        <v>2236.7999999999997</v>
      </c>
      <c r="BP73">
        <v>7</v>
      </c>
      <c r="BQ73">
        <v>3914.3999999999996</v>
      </c>
      <c r="BR73">
        <v>6</v>
      </c>
      <c r="BS73">
        <v>3355.2</v>
      </c>
      <c r="BT73">
        <v>6</v>
      </c>
      <c r="BU73">
        <v>3355.2</v>
      </c>
      <c r="BV73">
        <v>5</v>
      </c>
      <c r="BW73">
        <v>2795.9999999999995</v>
      </c>
      <c r="BX73">
        <v>45</v>
      </c>
      <c r="BY73">
        <v>25163.999999999996</v>
      </c>
      <c r="BZ73">
        <v>41</v>
      </c>
      <c r="CA73">
        <v>22927.199999999997</v>
      </c>
      <c r="CB73">
        <v>33</v>
      </c>
      <c r="CC73">
        <v>18453.599999999999</v>
      </c>
      <c r="CD73">
        <v>55</v>
      </c>
      <c r="CE73">
        <v>30755.999999999996</v>
      </c>
      <c r="CF73">
        <v>5</v>
      </c>
      <c r="CG73">
        <v>2795.9999999999995</v>
      </c>
      <c r="CH73">
        <v>6</v>
      </c>
      <c r="CI73">
        <v>3355.2</v>
      </c>
      <c r="CJ73">
        <v>5</v>
      </c>
      <c r="CK73">
        <v>2795.9999999999995</v>
      </c>
      <c r="CL73">
        <v>6</v>
      </c>
      <c r="CM73">
        <v>3355.2</v>
      </c>
      <c r="CN73">
        <v>7</v>
      </c>
      <c r="CO73">
        <v>3914.3999999999996</v>
      </c>
      <c r="CP73">
        <v>5</v>
      </c>
      <c r="CQ73">
        <v>2795.9999999999995</v>
      </c>
      <c r="CR73">
        <v>6</v>
      </c>
      <c r="CS73">
        <v>3355.2</v>
      </c>
      <c r="CT73">
        <v>4</v>
      </c>
      <c r="CU73">
        <v>2236.7999999999997</v>
      </c>
    </row>
    <row r="74" spans="2:99" x14ac:dyDescent="0.2">
      <c r="C74" s="118" t="s">
        <v>240</v>
      </c>
      <c r="D74">
        <v>0</v>
      </c>
      <c r="E74">
        <v>0</v>
      </c>
      <c r="F74">
        <v>46</v>
      </c>
      <c r="G74">
        <v>18547.2</v>
      </c>
      <c r="H74">
        <v>40</v>
      </c>
      <c r="I74">
        <v>16128</v>
      </c>
      <c r="J74">
        <v>55</v>
      </c>
      <c r="K74">
        <v>22176</v>
      </c>
      <c r="L74">
        <v>44</v>
      </c>
      <c r="M74">
        <v>17740.8</v>
      </c>
      <c r="N74">
        <v>30</v>
      </c>
      <c r="O74">
        <v>12096</v>
      </c>
      <c r="P74">
        <v>38</v>
      </c>
      <c r="Q74">
        <v>15321.6</v>
      </c>
      <c r="R74">
        <v>36</v>
      </c>
      <c r="S74">
        <v>14515.199999999999</v>
      </c>
      <c r="T74">
        <v>7</v>
      </c>
      <c r="U74">
        <v>2822.4</v>
      </c>
      <c r="V74">
        <v>5</v>
      </c>
      <c r="W74">
        <v>2016</v>
      </c>
      <c r="X74">
        <v>6</v>
      </c>
      <c r="Y74">
        <v>2419.1999999999998</v>
      </c>
      <c r="Z74">
        <v>6</v>
      </c>
      <c r="AA74">
        <v>2419.1999999999998</v>
      </c>
      <c r="AB74">
        <v>6</v>
      </c>
      <c r="AC74">
        <v>2419.1999999999998</v>
      </c>
      <c r="AD74">
        <v>8</v>
      </c>
      <c r="AE74">
        <v>3225.6</v>
      </c>
      <c r="AF74">
        <v>6</v>
      </c>
      <c r="AG74">
        <v>2419.1999999999998</v>
      </c>
      <c r="AH74">
        <v>5</v>
      </c>
      <c r="AI74">
        <v>2016</v>
      </c>
      <c r="AJ74">
        <v>5</v>
      </c>
      <c r="AK74">
        <v>2016</v>
      </c>
      <c r="AL74">
        <v>5</v>
      </c>
      <c r="AM74">
        <v>2016</v>
      </c>
      <c r="AN74">
        <v>3</v>
      </c>
      <c r="AO74">
        <v>1209.5999999999999</v>
      </c>
      <c r="AP74">
        <v>5</v>
      </c>
      <c r="AQ74">
        <v>2016</v>
      </c>
      <c r="AR74">
        <v>36</v>
      </c>
      <c r="AS74">
        <v>14515.199999999999</v>
      </c>
      <c r="AT74">
        <v>46</v>
      </c>
      <c r="AU74">
        <v>18547.2</v>
      </c>
      <c r="AV74">
        <v>44</v>
      </c>
      <c r="AW74">
        <v>17740.8</v>
      </c>
      <c r="AX74">
        <v>32</v>
      </c>
      <c r="AY74">
        <v>12902.4</v>
      </c>
      <c r="AZ74">
        <v>4</v>
      </c>
      <c r="BA74">
        <v>1612.8</v>
      </c>
      <c r="BB74">
        <v>5</v>
      </c>
      <c r="BC74">
        <v>2016</v>
      </c>
      <c r="BD74">
        <v>6</v>
      </c>
      <c r="BE74">
        <v>2419.1999999999998</v>
      </c>
      <c r="BF74">
        <v>6</v>
      </c>
      <c r="BG74">
        <v>2419.1999999999998</v>
      </c>
      <c r="BH74">
        <v>4</v>
      </c>
      <c r="BI74">
        <v>1612.8</v>
      </c>
      <c r="BJ74">
        <v>5</v>
      </c>
      <c r="BK74">
        <v>2016</v>
      </c>
      <c r="BL74">
        <v>4</v>
      </c>
      <c r="BM74">
        <v>1612.8</v>
      </c>
      <c r="BN74">
        <v>4</v>
      </c>
      <c r="BO74">
        <v>1612.8</v>
      </c>
      <c r="BP74">
        <v>7</v>
      </c>
      <c r="BQ74">
        <v>2822.4</v>
      </c>
      <c r="BR74">
        <v>7</v>
      </c>
      <c r="BS74">
        <v>2822.4</v>
      </c>
      <c r="BT74">
        <v>7</v>
      </c>
      <c r="BU74">
        <v>2822.4</v>
      </c>
      <c r="BV74">
        <v>5</v>
      </c>
      <c r="BW74">
        <v>2016</v>
      </c>
      <c r="BX74">
        <v>47</v>
      </c>
      <c r="BY74">
        <v>18950.399999999998</v>
      </c>
      <c r="BZ74">
        <v>43</v>
      </c>
      <c r="CA74">
        <v>17337.599999999999</v>
      </c>
      <c r="CB74">
        <v>31</v>
      </c>
      <c r="CC74">
        <v>12499.199999999999</v>
      </c>
      <c r="CD74">
        <v>58</v>
      </c>
      <c r="CE74">
        <v>23385.599999999999</v>
      </c>
      <c r="CF74">
        <v>4</v>
      </c>
      <c r="CG74">
        <v>1612.8</v>
      </c>
      <c r="CH74">
        <v>6</v>
      </c>
      <c r="CI74">
        <v>2419.1999999999998</v>
      </c>
      <c r="CJ74">
        <v>5</v>
      </c>
      <c r="CK74">
        <v>2016</v>
      </c>
      <c r="CL74">
        <v>6</v>
      </c>
      <c r="CM74">
        <v>2419.1999999999998</v>
      </c>
      <c r="CN74">
        <v>6</v>
      </c>
      <c r="CO74">
        <v>2419.1999999999998</v>
      </c>
      <c r="CP74">
        <v>5</v>
      </c>
      <c r="CQ74">
        <v>2016</v>
      </c>
      <c r="CR74">
        <v>6</v>
      </c>
      <c r="CS74">
        <v>2419.1999999999998</v>
      </c>
      <c r="CT74">
        <v>4</v>
      </c>
      <c r="CU74">
        <v>1612.8</v>
      </c>
    </row>
    <row r="75" spans="2:99" x14ac:dyDescent="0.2">
      <c r="C75" s="118" t="s">
        <v>241</v>
      </c>
      <c r="D75">
        <v>0</v>
      </c>
      <c r="E75">
        <v>0</v>
      </c>
      <c r="F75">
        <v>45</v>
      </c>
      <c r="G75">
        <v>28943.999999999996</v>
      </c>
      <c r="H75">
        <v>41</v>
      </c>
      <c r="I75">
        <v>26371.199999999997</v>
      </c>
      <c r="J75">
        <v>61</v>
      </c>
      <c r="K75">
        <v>39235.199999999997</v>
      </c>
      <c r="L75">
        <v>44</v>
      </c>
      <c r="M75">
        <v>28300.799999999996</v>
      </c>
      <c r="N75">
        <v>34</v>
      </c>
      <c r="O75">
        <v>21868.799999999999</v>
      </c>
      <c r="P75">
        <v>34</v>
      </c>
      <c r="Q75">
        <v>21868.799999999999</v>
      </c>
      <c r="R75">
        <v>33</v>
      </c>
      <c r="S75">
        <v>21225.599999999999</v>
      </c>
      <c r="T75">
        <v>8</v>
      </c>
      <c r="U75">
        <v>5145.5999999999995</v>
      </c>
      <c r="V75">
        <v>4</v>
      </c>
      <c r="W75">
        <v>2572.7999999999997</v>
      </c>
      <c r="X75">
        <v>6</v>
      </c>
      <c r="Y75">
        <v>3859.2</v>
      </c>
      <c r="Z75">
        <v>5</v>
      </c>
      <c r="AA75">
        <v>3215.9999999999995</v>
      </c>
      <c r="AB75">
        <v>6</v>
      </c>
      <c r="AC75">
        <v>3859.2</v>
      </c>
      <c r="AD75">
        <v>8</v>
      </c>
      <c r="AE75">
        <v>5145.5999999999995</v>
      </c>
      <c r="AF75">
        <v>6</v>
      </c>
      <c r="AG75">
        <v>3859.2</v>
      </c>
      <c r="AH75">
        <v>5</v>
      </c>
      <c r="AI75">
        <v>3215.9999999999995</v>
      </c>
      <c r="AJ75">
        <v>4</v>
      </c>
      <c r="AK75">
        <v>2572.7999999999997</v>
      </c>
      <c r="AL75">
        <v>5</v>
      </c>
      <c r="AM75">
        <v>3215.9999999999995</v>
      </c>
      <c r="AN75">
        <v>3</v>
      </c>
      <c r="AO75">
        <v>1929.6</v>
      </c>
      <c r="AP75">
        <v>5</v>
      </c>
      <c r="AQ75">
        <v>3215.9999999999995</v>
      </c>
      <c r="AR75">
        <v>29</v>
      </c>
      <c r="AS75">
        <v>18652.8</v>
      </c>
      <c r="AT75">
        <v>47</v>
      </c>
      <c r="AU75">
        <v>30230.399999999998</v>
      </c>
      <c r="AV75">
        <v>42</v>
      </c>
      <c r="AW75">
        <v>27014.399999999998</v>
      </c>
      <c r="AX75">
        <v>28</v>
      </c>
      <c r="AY75">
        <v>18009.599999999999</v>
      </c>
      <c r="AZ75">
        <v>4</v>
      </c>
      <c r="BA75">
        <v>2572.7999999999997</v>
      </c>
      <c r="BB75">
        <v>4</v>
      </c>
      <c r="BC75">
        <v>2572.7999999999997</v>
      </c>
      <c r="BD75">
        <v>6</v>
      </c>
      <c r="BE75">
        <v>3859.2</v>
      </c>
      <c r="BF75">
        <v>6</v>
      </c>
      <c r="BG75">
        <v>3859.2</v>
      </c>
      <c r="BH75">
        <v>4</v>
      </c>
      <c r="BI75">
        <v>2572.7999999999997</v>
      </c>
      <c r="BJ75">
        <v>5</v>
      </c>
      <c r="BK75">
        <v>3215.9999999999995</v>
      </c>
      <c r="BL75">
        <v>4</v>
      </c>
      <c r="BM75">
        <v>2572.7999999999997</v>
      </c>
      <c r="BN75">
        <v>5</v>
      </c>
      <c r="BO75">
        <v>3215.9999999999995</v>
      </c>
      <c r="BP75">
        <v>7</v>
      </c>
      <c r="BQ75">
        <v>4502.3999999999996</v>
      </c>
      <c r="BR75">
        <v>6</v>
      </c>
      <c r="BS75">
        <v>3859.2</v>
      </c>
      <c r="BT75">
        <v>7</v>
      </c>
      <c r="BU75">
        <v>4502.3999999999996</v>
      </c>
      <c r="BV75">
        <v>5</v>
      </c>
      <c r="BW75">
        <v>3215.9999999999995</v>
      </c>
      <c r="BX75">
        <v>45</v>
      </c>
      <c r="BY75">
        <v>28943.999999999996</v>
      </c>
      <c r="BZ75">
        <v>45</v>
      </c>
      <c r="CA75">
        <v>28943.999999999996</v>
      </c>
      <c r="CB75">
        <v>34</v>
      </c>
      <c r="CC75">
        <v>21868.799999999999</v>
      </c>
      <c r="CD75">
        <v>52</v>
      </c>
      <c r="CE75">
        <v>33446.399999999994</v>
      </c>
      <c r="CF75">
        <v>4</v>
      </c>
      <c r="CG75">
        <v>2572.7999999999997</v>
      </c>
      <c r="CH75">
        <v>6</v>
      </c>
      <c r="CI75">
        <v>3859.2</v>
      </c>
      <c r="CJ75">
        <v>5</v>
      </c>
      <c r="CK75">
        <v>3215.9999999999995</v>
      </c>
      <c r="CL75">
        <v>6</v>
      </c>
      <c r="CM75">
        <v>3859.2</v>
      </c>
      <c r="CN75">
        <v>6</v>
      </c>
      <c r="CO75">
        <v>3859.2</v>
      </c>
      <c r="CP75">
        <v>5</v>
      </c>
      <c r="CQ75">
        <v>3215.9999999999995</v>
      </c>
      <c r="CR75">
        <v>6</v>
      </c>
      <c r="CS75">
        <v>3859.2</v>
      </c>
      <c r="CT75">
        <v>4</v>
      </c>
      <c r="CU75">
        <v>2572.7999999999997</v>
      </c>
    </row>
    <row r="76" spans="2:99" x14ac:dyDescent="0.2">
      <c r="C76" s="118" t="s">
        <v>242</v>
      </c>
      <c r="D76">
        <v>0</v>
      </c>
      <c r="E76">
        <v>0</v>
      </c>
      <c r="F76">
        <v>45</v>
      </c>
      <c r="G76">
        <v>35046</v>
      </c>
      <c r="H76">
        <v>38</v>
      </c>
      <c r="I76">
        <v>29594.399999999998</v>
      </c>
      <c r="J76">
        <v>56</v>
      </c>
      <c r="K76">
        <v>43612.799999999996</v>
      </c>
      <c r="L76">
        <v>43</v>
      </c>
      <c r="M76">
        <v>33488.400000000001</v>
      </c>
      <c r="N76">
        <v>31</v>
      </c>
      <c r="O76">
        <v>24142.799999999999</v>
      </c>
      <c r="P76">
        <v>32</v>
      </c>
      <c r="Q76">
        <v>24921.599999999999</v>
      </c>
      <c r="R76">
        <v>31</v>
      </c>
      <c r="S76">
        <v>24142.799999999999</v>
      </c>
      <c r="T76">
        <v>7</v>
      </c>
      <c r="U76">
        <v>5451.5999999999995</v>
      </c>
      <c r="V76">
        <v>5</v>
      </c>
      <c r="W76">
        <v>3894</v>
      </c>
      <c r="X76">
        <v>6</v>
      </c>
      <c r="Y76">
        <v>4672.7999999999993</v>
      </c>
      <c r="Z76">
        <v>6</v>
      </c>
      <c r="AA76">
        <v>4672.7999999999993</v>
      </c>
      <c r="AB76">
        <v>6</v>
      </c>
      <c r="AC76">
        <v>4672.7999999999993</v>
      </c>
      <c r="AD76">
        <v>8</v>
      </c>
      <c r="AE76">
        <v>6230.4</v>
      </c>
      <c r="AF76">
        <v>6</v>
      </c>
      <c r="AG76">
        <v>4672.7999999999993</v>
      </c>
      <c r="AH76">
        <v>6</v>
      </c>
      <c r="AI76">
        <v>4672.7999999999993</v>
      </c>
      <c r="AJ76">
        <v>5</v>
      </c>
      <c r="AK76">
        <v>3894</v>
      </c>
      <c r="AL76">
        <v>5</v>
      </c>
      <c r="AM76">
        <v>3894</v>
      </c>
      <c r="AN76">
        <v>3</v>
      </c>
      <c r="AO76">
        <v>2336.3999999999996</v>
      </c>
      <c r="AP76">
        <v>5</v>
      </c>
      <c r="AQ76">
        <v>3894</v>
      </c>
      <c r="AR76">
        <v>30</v>
      </c>
      <c r="AS76">
        <v>23364</v>
      </c>
      <c r="AT76">
        <v>49</v>
      </c>
      <c r="AU76">
        <v>38161.199999999997</v>
      </c>
      <c r="AV76">
        <v>44</v>
      </c>
      <c r="AW76">
        <v>34267.199999999997</v>
      </c>
      <c r="AX76">
        <v>29</v>
      </c>
      <c r="AY76">
        <v>22585.199999999997</v>
      </c>
      <c r="AZ76">
        <v>4</v>
      </c>
      <c r="BA76">
        <v>3115.2</v>
      </c>
      <c r="BB76">
        <v>4</v>
      </c>
      <c r="BC76">
        <v>3115.2</v>
      </c>
      <c r="BD76">
        <v>6</v>
      </c>
      <c r="BE76">
        <v>4672.7999999999993</v>
      </c>
      <c r="BF76">
        <v>6</v>
      </c>
      <c r="BG76">
        <v>4672.7999999999993</v>
      </c>
      <c r="BH76">
        <v>4</v>
      </c>
      <c r="BI76">
        <v>3115.2</v>
      </c>
      <c r="BJ76">
        <v>4</v>
      </c>
      <c r="BK76">
        <v>3115.2</v>
      </c>
      <c r="BL76">
        <v>5</v>
      </c>
      <c r="BM76">
        <v>3894</v>
      </c>
      <c r="BN76">
        <v>5</v>
      </c>
      <c r="BO76">
        <v>3894</v>
      </c>
      <c r="BP76">
        <v>7</v>
      </c>
      <c r="BQ76">
        <v>5451.5999999999995</v>
      </c>
      <c r="BR76">
        <v>7</v>
      </c>
      <c r="BS76">
        <v>5451.5999999999995</v>
      </c>
      <c r="BT76">
        <v>6</v>
      </c>
      <c r="BU76">
        <v>4672.7999999999993</v>
      </c>
      <c r="BV76">
        <v>5</v>
      </c>
      <c r="BW76">
        <v>3894</v>
      </c>
      <c r="BX76">
        <v>43</v>
      </c>
      <c r="BY76">
        <v>33488.400000000001</v>
      </c>
      <c r="BZ76">
        <v>42</v>
      </c>
      <c r="CA76">
        <v>32709.599999999999</v>
      </c>
      <c r="CB76">
        <v>31</v>
      </c>
      <c r="CC76">
        <v>24142.799999999999</v>
      </c>
      <c r="CD76">
        <v>51</v>
      </c>
      <c r="CE76">
        <v>39718.799999999996</v>
      </c>
      <c r="CF76">
        <v>4</v>
      </c>
      <c r="CG76">
        <v>3115.2</v>
      </c>
      <c r="CH76">
        <v>5</v>
      </c>
      <c r="CI76">
        <v>3894</v>
      </c>
      <c r="CJ76">
        <v>5</v>
      </c>
      <c r="CK76">
        <v>3894</v>
      </c>
      <c r="CL76">
        <v>7</v>
      </c>
      <c r="CM76">
        <v>5451.5999999999995</v>
      </c>
      <c r="CN76">
        <v>6</v>
      </c>
      <c r="CO76">
        <v>4672.7999999999993</v>
      </c>
      <c r="CP76">
        <v>5</v>
      </c>
      <c r="CQ76">
        <v>3894</v>
      </c>
      <c r="CR76">
        <v>6</v>
      </c>
      <c r="CS76">
        <v>4672.7999999999993</v>
      </c>
      <c r="CT76">
        <v>4</v>
      </c>
      <c r="CU76">
        <v>3115.2</v>
      </c>
    </row>
    <row r="77" spans="2:99" x14ac:dyDescent="0.2">
      <c r="C77" s="118" t="s">
        <v>243</v>
      </c>
      <c r="D77">
        <v>0</v>
      </c>
      <c r="E77">
        <v>0</v>
      </c>
      <c r="F77">
        <v>50</v>
      </c>
      <c r="G77">
        <v>13919.999999999998</v>
      </c>
      <c r="H77">
        <v>41</v>
      </c>
      <c r="I77">
        <v>11414.4</v>
      </c>
      <c r="J77">
        <v>66</v>
      </c>
      <c r="K77">
        <v>18374.399999999998</v>
      </c>
      <c r="L77">
        <v>43</v>
      </c>
      <c r="M77">
        <v>11971.199999999999</v>
      </c>
      <c r="N77">
        <v>32</v>
      </c>
      <c r="O77">
        <v>8908.7999999999993</v>
      </c>
      <c r="P77">
        <v>33</v>
      </c>
      <c r="Q77">
        <v>9187.1999999999989</v>
      </c>
      <c r="R77">
        <v>37</v>
      </c>
      <c r="S77">
        <v>10300.799999999999</v>
      </c>
      <c r="T77">
        <v>8</v>
      </c>
      <c r="U77">
        <v>2227.1999999999998</v>
      </c>
      <c r="V77">
        <v>4</v>
      </c>
      <c r="W77">
        <v>1113.5999999999999</v>
      </c>
      <c r="X77">
        <v>6</v>
      </c>
      <c r="Y77">
        <v>1670.3999999999999</v>
      </c>
      <c r="Z77">
        <v>6</v>
      </c>
      <c r="AA77">
        <v>1670.3999999999999</v>
      </c>
      <c r="AB77">
        <v>6</v>
      </c>
      <c r="AC77">
        <v>1670.3999999999999</v>
      </c>
      <c r="AD77">
        <v>9</v>
      </c>
      <c r="AE77">
        <v>2505.6</v>
      </c>
      <c r="AF77">
        <v>7</v>
      </c>
      <c r="AG77">
        <v>1948.7999999999997</v>
      </c>
      <c r="AH77">
        <v>6</v>
      </c>
      <c r="AI77">
        <v>1670.3999999999999</v>
      </c>
      <c r="AJ77">
        <v>4</v>
      </c>
      <c r="AK77">
        <v>1113.5999999999999</v>
      </c>
      <c r="AL77">
        <v>5</v>
      </c>
      <c r="AM77">
        <v>1392</v>
      </c>
      <c r="AN77">
        <v>3</v>
      </c>
      <c r="AO77">
        <v>835.19999999999993</v>
      </c>
      <c r="AP77">
        <v>5</v>
      </c>
      <c r="AQ77">
        <v>1392</v>
      </c>
      <c r="AR77">
        <v>36</v>
      </c>
      <c r="AS77">
        <v>10022.4</v>
      </c>
      <c r="AT77">
        <v>53</v>
      </c>
      <c r="AU77">
        <v>14755.199999999999</v>
      </c>
      <c r="AV77">
        <v>50</v>
      </c>
      <c r="AW77">
        <v>13919.999999999998</v>
      </c>
      <c r="AX77">
        <v>33</v>
      </c>
      <c r="AY77">
        <v>9187.1999999999989</v>
      </c>
      <c r="AZ77">
        <v>3</v>
      </c>
      <c r="BA77">
        <v>835.19999999999993</v>
      </c>
      <c r="BB77">
        <v>4</v>
      </c>
      <c r="BC77">
        <v>1113.5999999999999</v>
      </c>
      <c r="BD77">
        <v>6</v>
      </c>
      <c r="BE77">
        <v>1670.3999999999999</v>
      </c>
      <c r="BF77">
        <v>6</v>
      </c>
      <c r="BG77">
        <v>1670.3999999999999</v>
      </c>
      <c r="BH77">
        <v>4</v>
      </c>
      <c r="BI77">
        <v>1113.5999999999999</v>
      </c>
      <c r="BJ77">
        <v>5</v>
      </c>
      <c r="BK77">
        <v>1392</v>
      </c>
      <c r="BL77">
        <v>4</v>
      </c>
      <c r="BM77">
        <v>1113.5999999999999</v>
      </c>
      <c r="BN77">
        <v>5</v>
      </c>
      <c r="BO77">
        <v>1392</v>
      </c>
      <c r="BP77">
        <v>7</v>
      </c>
      <c r="BQ77">
        <v>1948.7999999999997</v>
      </c>
      <c r="BR77">
        <v>6</v>
      </c>
      <c r="BS77">
        <v>1670.3999999999999</v>
      </c>
      <c r="BT77">
        <v>7</v>
      </c>
      <c r="BU77">
        <v>1948.7999999999997</v>
      </c>
      <c r="BV77">
        <v>5</v>
      </c>
      <c r="BW77">
        <v>1392</v>
      </c>
      <c r="BX77">
        <v>43</v>
      </c>
      <c r="BY77">
        <v>11971.199999999999</v>
      </c>
      <c r="BZ77">
        <v>42</v>
      </c>
      <c r="CA77">
        <v>11692.8</v>
      </c>
      <c r="CB77">
        <v>35</v>
      </c>
      <c r="CC77">
        <v>9744</v>
      </c>
      <c r="CD77">
        <v>57</v>
      </c>
      <c r="CE77">
        <v>15868.8</v>
      </c>
      <c r="CF77">
        <v>4</v>
      </c>
      <c r="CG77">
        <v>1113.5999999999999</v>
      </c>
      <c r="CH77">
        <v>6</v>
      </c>
      <c r="CI77">
        <v>1670.3999999999999</v>
      </c>
      <c r="CJ77">
        <v>4</v>
      </c>
      <c r="CK77">
        <v>1113.5999999999999</v>
      </c>
      <c r="CL77">
        <v>7</v>
      </c>
      <c r="CM77">
        <v>1948.7999999999997</v>
      </c>
      <c r="CN77">
        <v>6</v>
      </c>
      <c r="CO77">
        <v>1670.3999999999999</v>
      </c>
      <c r="CP77">
        <v>5</v>
      </c>
      <c r="CQ77">
        <v>1392</v>
      </c>
      <c r="CR77">
        <v>6</v>
      </c>
      <c r="CS77">
        <v>1670.3999999999999</v>
      </c>
      <c r="CT77">
        <v>4</v>
      </c>
      <c r="CU77">
        <v>1113.5999999999999</v>
      </c>
    </row>
    <row r="78" spans="2:99" x14ac:dyDescent="0.2">
      <c r="C78" s="118" t="s">
        <v>244</v>
      </c>
      <c r="D78">
        <v>0</v>
      </c>
      <c r="E78">
        <v>0</v>
      </c>
      <c r="F78">
        <v>48</v>
      </c>
      <c r="G78">
        <v>26496</v>
      </c>
      <c r="H78">
        <v>42</v>
      </c>
      <c r="I78">
        <v>23184</v>
      </c>
      <c r="J78">
        <v>64</v>
      </c>
      <c r="K78">
        <v>35328</v>
      </c>
      <c r="L78">
        <v>38</v>
      </c>
      <c r="M78">
        <v>20976</v>
      </c>
      <c r="N78">
        <v>30</v>
      </c>
      <c r="O78">
        <v>16560</v>
      </c>
      <c r="P78">
        <v>37</v>
      </c>
      <c r="Q78">
        <v>20424</v>
      </c>
      <c r="R78">
        <v>36</v>
      </c>
      <c r="S78">
        <v>19872</v>
      </c>
      <c r="T78">
        <v>7</v>
      </c>
      <c r="U78">
        <v>3864</v>
      </c>
      <c r="V78">
        <v>4</v>
      </c>
      <c r="W78">
        <v>2208</v>
      </c>
      <c r="X78">
        <v>6</v>
      </c>
      <c r="Y78">
        <v>3312</v>
      </c>
      <c r="Z78">
        <v>6</v>
      </c>
      <c r="AA78">
        <v>3312</v>
      </c>
      <c r="AB78">
        <v>5</v>
      </c>
      <c r="AC78">
        <v>2760</v>
      </c>
      <c r="AD78">
        <v>9</v>
      </c>
      <c r="AE78">
        <v>4968</v>
      </c>
      <c r="AF78">
        <v>6</v>
      </c>
      <c r="AG78">
        <v>3312</v>
      </c>
      <c r="AH78">
        <v>6</v>
      </c>
      <c r="AI78">
        <v>3312</v>
      </c>
      <c r="AJ78">
        <v>4</v>
      </c>
      <c r="AK78">
        <v>2208</v>
      </c>
      <c r="AL78">
        <v>5</v>
      </c>
      <c r="AM78">
        <v>2760</v>
      </c>
      <c r="AN78">
        <v>3</v>
      </c>
      <c r="AO78">
        <v>1656</v>
      </c>
      <c r="AP78">
        <v>5</v>
      </c>
      <c r="AQ78">
        <v>2760</v>
      </c>
      <c r="AR78">
        <v>34</v>
      </c>
      <c r="AS78">
        <v>18768</v>
      </c>
      <c r="AT78">
        <v>52</v>
      </c>
      <c r="AU78">
        <v>28704</v>
      </c>
      <c r="AV78">
        <v>48</v>
      </c>
      <c r="AW78">
        <v>26496</v>
      </c>
      <c r="AX78">
        <v>32</v>
      </c>
      <c r="AY78">
        <v>17664</v>
      </c>
      <c r="AZ78">
        <v>3</v>
      </c>
      <c r="BA78">
        <v>1656</v>
      </c>
      <c r="BB78">
        <v>4</v>
      </c>
      <c r="BC78">
        <v>2208</v>
      </c>
      <c r="BD78">
        <v>6</v>
      </c>
      <c r="BE78">
        <v>3312</v>
      </c>
      <c r="BF78">
        <v>6</v>
      </c>
      <c r="BG78">
        <v>3312</v>
      </c>
      <c r="BH78">
        <v>4</v>
      </c>
      <c r="BI78">
        <v>2208</v>
      </c>
      <c r="BJ78">
        <v>4</v>
      </c>
      <c r="BK78">
        <v>2208</v>
      </c>
      <c r="BL78">
        <v>4</v>
      </c>
      <c r="BM78">
        <v>2208</v>
      </c>
      <c r="BN78">
        <v>4</v>
      </c>
      <c r="BO78">
        <v>2208</v>
      </c>
      <c r="BP78">
        <v>6</v>
      </c>
      <c r="BQ78">
        <v>3312</v>
      </c>
      <c r="BR78">
        <v>7</v>
      </c>
      <c r="BS78">
        <v>3864</v>
      </c>
      <c r="BT78">
        <v>6</v>
      </c>
      <c r="BU78">
        <v>3312</v>
      </c>
      <c r="BV78">
        <v>5</v>
      </c>
      <c r="BW78">
        <v>2760</v>
      </c>
      <c r="BX78">
        <v>42</v>
      </c>
      <c r="BY78">
        <v>23184</v>
      </c>
      <c r="BZ78">
        <v>42</v>
      </c>
      <c r="CA78">
        <v>23184</v>
      </c>
      <c r="CB78">
        <v>34</v>
      </c>
      <c r="CC78">
        <v>18768</v>
      </c>
      <c r="CD78">
        <v>56</v>
      </c>
      <c r="CE78">
        <v>30912</v>
      </c>
      <c r="CF78">
        <v>4</v>
      </c>
      <c r="CG78">
        <v>2208</v>
      </c>
      <c r="CH78">
        <v>5</v>
      </c>
      <c r="CI78">
        <v>2760</v>
      </c>
      <c r="CJ78">
        <v>5</v>
      </c>
      <c r="CK78">
        <v>2760</v>
      </c>
      <c r="CL78">
        <v>6</v>
      </c>
      <c r="CM78">
        <v>3312</v>
      </c>
      <c r="CN78">
        <v>6</v>
      </c>
      <c r="CO78">
        <v>3312</v>
      </c>
      <c r="CP78">
        <v>5</v>
      </c>
      <c r="CQ78">
        <v>2760</v>
      </c>
      <c r="CR78">
        <v>6</v>
      </c>
      <c r="CS78">
        <v>3312</v>
      </c>
      <c r="CT78">
        <v>4</v>
      </c>
      <c r="CU78">
        <v>2208</v>
      </c>
    </row>
    <row r="79" spans="2:99" x14ac:dyDescent="0.2">
      <c r="C79" s="118" t="s">
        <v>245</v>
      </c>
      <c r="D79">
        <v>0</v>
      </c>
      <c r="E79">
        <v>0</v>
      </c>
      <c r="F79">
        <v>41</v>
      </c>
      <c r="G79">
        <v>31045.199999999997</v>
      </c>
      <c r="H79">
        <v>35</v>
      </c>
      <c r="I79">
        <v>26501.999999999996</v>
      </c>
      <c r="J79">
        <v>61</v>
      </c>
      <c r="K79">
        <v>46189.2</v>
      </c>
      <c r="L79">
        <v>39</v>
      </c>
      <c r="M79">
        <v>29530.799999999996</v>
      </c>
      <c r="N79">
        <v>29</v>
      </c>
      <c r="O79">
        <v>21958.799999999999</v>
      </c>
      <c r="P79">
        <v>36</v>
      </c>
      <c r="Q79">
        <v>27259.199999999997</v>
      </c>
      <c r="R79">
        <v>31</v>
      </c>
      <c r="S79">
        <v>23473.199999999997</v>
      </c>
      <c r="T79">
        <v>7</v>
      </c>
      <c r="U79">
        <v>5300.4</v>
      </c>
      <c r="V79">
        <v>5</v>
      </c>
      <c r="W79">
        <v>3785.9999999999995</v>
      </c>
      <c r="X79">
        <v>6</v>
      </c>
      <c r="Y79">
        <v>4543.2</v>
      </c>
      <c r="Z79">
        <v>5</v>
      </c>
      <c r="AA79">
        <v>3785.9999999999995</v>
      </c>
      <c r="AB79">
        <v>5</v>
      </c>
      <c r="AC79">
        <v>3785.9999999999995</v>
      </c>
      <c r="AD79">
        <v>8</v>
      </c>
      <c r="AE79">
        <v>6057.5999999999995</v>
      </c>
      <c r="AF79">
        <v>6</v>
      </c>
      <c r="AG79">
        <v>4543.2</v>
      </c>
      <c r="AH79">
        <v>6</v>
      </c>
      <c r="AI79">
        <v>4543.2</v>
      </c>
      <c r="AJ79">
        <v>4</v>
      </c>
      <c r="AK79">
        <v>3028.7999999999997</v>
      </c>
      <c r="AL79">
        <v>4</v>
      </c>
      <c r="AM79">
        <v>3028.7999999999997</v>
      </c>
      <c r="AN79">
        <v>3</v>
      </c>
      <c r="AO79">
        <v>2271.6</v>
      </c>
      <c r="AP79">
        <v>4</v>
      </c>
      <c r="AQ79">
        <v>3028.7999999999997</v>
      </c>
      <c r="AR79">
        <v>30</v>
      </c>
      <c r="AS79">
        <v>22715.999999999996</v>
      </c>
      <c r="AT79">
        <v>45</v>
      </c>
      <c r="AU79">
        <v>34074</v>
      </c>
      <c r="AV79">
        <v>44</v>
      </c>
      <c r="AW79">
        <v>33316.799999999996</v>
      </c>
      <c r="AX79">
        <v>26</v>
      </c>
      <c r="AY79">
        <v>19687.199999999997</v>
      </c>
      <c r="AZ79">
        <v>4</v>
      </c>
      <c r="BA79">
        <v>3028.7999999999997</v>
      </c>
      <c r="BB79">
        <v>5</v>
      </c>
      <c r="BC79">
        <v>3785.9999999999995</v>
      </c>
      <c r="BD79">
        <v>6</v>
      </c>
      <c r="BE79">
        <v>4543.2</v>
      </c>
      <c r="BF79">
        <v>5</v>
      </c>
      <c r="BG79">
        <v>3785.9999999999995</v>
      </c>
      <c r="BH79">
        <v>4</v>
      </c>
      <c r="BI79">
        <v>3028.7999999999997</v>
      </c>
      <c r="BJ79">
        <v>5</v>
      </c>
      <c r="BK79">
        <v>3785.9999999999995</v>
      </c>
      <c r="BL79">
        <v>5</v>
      </c>
      <c r="BM79">
        <v>3785.9999999999995</v>
      </c>
      <c r="BN79">
        <v>5</v>
      </c>
      <c r="BO79">
        <v>3785.9999999999995</v>
      </c>
      <c r="BP79">
        <v>7</v>
      </c>
      <c r="BQ79">
        <v>5300.4</v>
      </c>
      <c r="BR79">
        <v>7</v>
      </c>
      <c r="BS79">
        <v>5300.4</v>
      </c>
      <c r="BT79">
        <v>7</v>
      </c>
      <c r="BU79">
        <v>5300.4</v>
      </c>
      <c r="BV79">
        <v>5</v>
      </c>
      <c r="BW79">
        <v>3785.9999999999995</v>
      </c>
      <c r="BX79">
        <v>40</v>
      </c>
      <c r="BY79">
        <v>30287.999999999996</v>
      </c>
      <c r="BZ79">
        <v>38</v>
      </c>
      <c r="CA79">
        <v>28773.599999999999</v>
      </c>
      <c r="CB79">
        <v>31</v>
      </c>
      <c r="CC79">
        <v>23473.199999999997</v>
      </c>
      <c r="CD79">
        <v>47</v>
      </c>
      <c r="CE79">
        <v>35588.399999999994</v>
      </c>
      <c r="CF79">
        <v>4</v>
      </c>
      <c r="CG79">
        <v>3028.7999999999997</v>
      </c>
      <c r="CH79">
        <v>5</v>
      </c>
      <c r="CI79">
        <v>3785.9999999999995</v>
      </c>
      <c r="CJ79">
        <v>5</v>
      </c>
      <c r="CK79">
        <v>3785.9999999999995</v>
      </c>
      <c r="CL79">
        <v>6</v>
      </c>
      <c r="CM79">
        <v>4543.2</v>
      </c>
      <c r="CN79">
        <v>6</v>
      </c>
      <c r="CO79">
        <v>4543.2</v>
      </c>
      <c r="CP79">
        <v>5</v>
      </c>
      <c r="CQ79">
        <v>3785.9999999999995</v>
      </c>
      <c r="CR79">
        <v>6</v>
      </c>
      <c r="CS79">
        <v>4543.2</v>
      </c>
      <c r="CT79">
        <v>4</v>
      </c>
      <c r="CU79">
        <v>3028.7999999999997</v>
      </c>
    </row>
    <row r="80" spans="2:99" x14ac:dyDescent="0.2">
      <c r="C80" s="118" t="s">
        <v>246</v>
      </c>
      <c r="D80">
        <v>0</v>
      </c>
      <c r="E80">
        <v>0</v>
      </c>
      <c r="F80">
        <v>45</v>
      </c>
      <c r="G80">
        <v>36234</v>
      </c>
      <c r="H80">
        <v>37</v>
      </c>
      <c r="I80">
        <v>29792.399999999998</v>
      </c>
      <c r="J80">
        <v>53</v>
      </c>
      <c r="K80">
        <v>42675.6</v>
      </c>
      <c r="L80">
        <v>36</v>
      </c>
      <c r="M80">
        <v>28987.199999999997</v>
      </c>
      <c r="N80">
        <v>31</v>
      </c>
      <c r="O80">
        <v>24961.199999999997</v>
      </c>
      <c r="P80">
        <v>34</v>
      </c>
      <c r="Q80">
        <v>27376.799999999999</v>
      </c>
      <c r="R80">
        <v>29</v>
      </c>
      <c r="S80">
        <v>23350.799999999999</v>
      </c>
      <c r="T80">
        <v>7</v>
      </c>
      <c r="U80">
        <v>5636.4</v>
      </c>
      <c r="V80">
        <v>4</v>
      </c>
      <c r="W80">
        <v>3220.7999999999997</v>
      </c>
      <c r="X80">
        <v>5</v>
      </c>
      <c r="Y80">
        <v>4025.9999999999995</v>
      </c>
      <c r="Z80">
        <v>5</v>
      </c>
      <c r="AA80">
        <v>4025.9999999999995</v>
      </c>
      <c r="AB80">
        <v>6</v>
      </c>
      <c r="AC80">
        <v>4831.2</v>
      </c>
      <c r="AD80">
        <v>8</v>
      </c>
      <c r="AE80">
        <v>6441.5999999999995</v>
      </c>
      <c r="AF80">
        <v>7</v>
      </c>
      <c r="AG80">
        <v>5636.4</v>
      </c>
      <c r="AH80">
        <v>6</v>
      </c>
      <c r="AI80">
        <v>4831.2</v>
      </c>
      <c r="AJ80">
        <v>4</v>
      </c>
      <c r="AK80">
        <v>3220.7999999999997</v>
      </c>
      <c r="AL80">
        <v>4</v>
      </c>
      <c r="AM80">
        <v>3220.7999999999997</v>
      </c>
      <c r="AN80">
        <v>3</v>
      </c>
      <c r="AO80">
        <v>2415.6</v>
      </c>
      <c r="AP80">
        <v>5</v>
      </c>
      <c r="AQ80">
        <v>4025.9999999999995</v>
      </c>
      <c r="AR80">
        <v>29</v>
      </c>
      <c r="AS80">
        <v>23350.799999999999</v>
      </c>
      <c r="AT80">
        <v>43</v>
      </c>
      <c r="AU80">
        <v>34623.599999999999</v>
      </c>
      <c r="AV80">
        <v>47</v>
      </c>
      <c r="AW80">
        <v>37844.399999999994</v>
      </c>
      <c r="AX80">
        <v>27</v>
      </c>
      <c r="AY80">
        <v>21740.399999999998</v>
      </c>
      <c r="AZ80">
        <v>3</v>
      </c>
      <c r="BA80">
        <v>2415.6</v>
      </c>
      <c r="BB80">
        <v>4</v>
      </c>
      <c r="BC80">
        <v>3220.7999999999997</v>
      </c>
      <c r="BD80">
        <v>6</v>
      </c>
      <c r="BE80">
        <v>4831.2</v>
      </c>
      <c r="BF80">
        <v>6</v>
      </c>
      <c r="BG80">
        <v>4831.2</v>
      </c>
      <c r="BH80">
        <v>4</v>
      </c>
      <c r="BI80">
        <v>3220.7999999999997</v>
      </c>
      <c r="BJ80">
        <v>5</v>
      </c>
      <c r="BK80">
        <v>4025.9999999999995</v>
      </c>
      <c r="BL80">
        <v>4</v>
      </c>
      <c r="BM80">
        <v>3220.7999999999997</v>
      </c>
      <c r="BN80">
        <v>5</v>
      </c>
      <c r="BO80">
        <v>4025.9999999999995</v>
      </c>
      <c r="BP80">
        <v>6</v>
      </c>
      <c r="BQ80">
        <v>4831.2</v>
      </c>
      <c r="BR80">
        <v>6</v>
      </c>
      <c r="BS80">
        <v>4831.2</v>
      </c>
      <c r="BT80">
        <v>8</v>
      </c>
      <c r="BU80">
        <v>6441.5999999999995</v>
      </c>
      <c r="BV80">
        <v>5</v>
      </c>
      <c r="BW80">
        <v>4025.9999999999995</v>
      </c>
      <c r="BX80">
        <v>47</v>
      </c>
      <c r="BY80">
        <v>37844.399999999994</v>
      </c>
      <c r="BZ80">
        <v>37</v>
      </c>
      <c r="CA80">
        <v>29792.399999999998</v>
      </c>
      <c r="CB80">
        <v>31</v>
      </c>
      <c r="CC80">
        <v>24961.199999999997</v>
      </c>
      <c r="CD80">
        <v>52</v>
      </c>
      <c r="CE80">
        <v>41870.399999999994</v>
      </c>
      <c r="CF80">
        <v>4</v>
      </c>
      <c r="CG80">
        <v>3220.7999999999997</v>
      </c>
      <c r="CH80">
        <v>5</v>
      </c>
      <c r="CI80">
        <v>4025.9999999999995</v>
      </c>
      <c r="CJ80">
        <v>5</v>
      </c>
      <c r="CK80">
        <v>4025.9999999999995</v>
      </c>
      <c r="CL80">
        <v>6</v>
      </c>
      <c r="CM80">
        <v>4831.2</v>
      </c>
      <c r="CN80">
        <v>6</v>
      </c>
      <c r="CO80">
        <v>4831.2</v>
      </c>
      <c r="CP80">
        <v>5</v>
      </c>
      <c r="CQ80">
        <v>4025.9999999999995</v>
      </c>
      <c r="CR80">
        <v>6</v>
      </c>
      <c r="CS80">
        <v>4831.2</v>
      </c>
      <c r="CT80">
        <v>4</v>
      </c>
      <c r="CU80">
        <v>3220.7999999999997</v>
      </c>
    </row>
    <row r="81" spans="2:99" x14ac:dyDescent="0.2">
      <c r="C81" s="118" t="s">
        <v>247</v>
      </c>
      <c r="D81">
        <v>0</v>
      </c>
      <c r="E81">
        <v>0</v>
      </c>
      <c r="F81">
        <v>47</v>
      </c>
      <c r="G81">
        <v>35419.200000000004</v>
      </c>
      <c r="H81">
        <v>40</v>
      </c>
      <c r="I81">
        <v>30144</v>
      </c>
      <c r="J81">
        <v>62</v>
      </c>
      <c r="K81">
        <v>46723.200000000004</v>
      </c>
      <c r="L81">
        <v>37</v>
      </c>
      <c r="M81">
        <v>27883.200000000001</v>
      </c>
      <c r="N81">
        <v>31</v>
      </c>
      <c r="O81">
        <v>23361.600000000002</v>
      </c>
      <c r="P81">
        <v>33</v>
      </c>
      <c r="Q81">
        <v>24868.799999999999</v>
      </c>
      <c r="R81">
        <v>34</v>
      </c>
      <c r="S81">
        <v>25622.400000000001</v>
      </c>
      <c r="T81">
        <v>7</v>
      </c>
      <c r="U81">
        <v>5275.2</v>
      </c>
      <c r="V81">
        <v>5</v>
      </c>
      <c r="W81">
        <v>3768</v>
      </c>
      <c r="X81">
        <v>5</v>
      </c>
      <c r="Y81">
        <v>3768</v>
      </c>
      <c r="Z81">
        <v>5</v>
      </c>
      <c r="AA81">
        <v>3768</v>
      </c>
      <c r="AB81">
        <v>6</v>
      </c>
      <c r="AC81">
        <v>4521.6000000000004</v>
      </c>
      <c r="AD81">
        <v>8</v>
      </c>
      <c r="AE81">
        <v>6028.8</v>
      </c>
      <c r="AF81">
        <v>6</v>
      </c>
      <c r="AG81">
        <v>4521.6000000000004</v>
      </c>
      <c r="AH81">
        <v>5</v>
      </c>
      <c r="AI81">
        <v>3768</v>
      </c>
      <c r="AJ81">
        <v>5</v>
      </c>
      <c r="AK81">
        <v>3768</v>
      </c>
      <c r="AL81">
        <v>5</v>
      </c>
      <c r="AM81">
        <v>3768</v>
      </c>
      <c r="AN81">
        <v>3</v>
      </c>
      <c r="AO81">
        <v>2260.8000000000002</v>
      </c>
      <c r="AP81">
        <v>5</v>
      </c>
      <c r="AQ81">
        <v>3768</v>
      </c>
      <c r="AR81">
        <v>34</v>
      </c>
      <c r="AS81">
        <v>25622.400000000001</v>
      </c>
      <c r="AT81">
        <v>47</v>
      </c>
      <c r="AU81">
        <v>35419.200000000004</v>
      </c>
      <c r="AV81">
        <v>45</v>
      </c>
      <c r="AW81">
        <v>33912</v>
      </c>
      <c r="AX81">
        <v>29</v>
      </c>
      <c r="AY81">
        <v>21854.400000000001</v>
      </c>
      <c r="AZ81">
        <v>4</v>
      </c>
      <c r="BA81">
        <v>3014.4</v>
      </c>
      <c r="BB81">
        <v>5</v>
      </c>
      <c r="BC81">
        <v>3768</v>
      </c>
      <c r="BD81">
        <v>6</v>
      </c>
      <c r="BE81">
        <v>4521.6000000000004</v>
      </c>
      <c r="BF81">
        <v>6</v>
      </c>
      <c r="BG81">
        <v>4521.6000000000004</v>
      </c>
      <c r="BH81">
        <v>4</v>
      </c>
      <c r="BI81">
        <v>3014.4</v>
      </c>
      <c r="BJ81">
        <v>5</v>
      </c>
      <c r="BK81">
        <v>3768</v>
      </c>
      <c r="BL81">
        <v>4</v>
      </c>
      <c r="BM81">
        <v>3014.4</v>
      </c>
      <c r="BN81">
        <v>4</v>
      </c>
      <c r="BO81">
        <v>3014.4</v>
      </c>
      <c r="BP81">
        <v>7</v>
      </c>
      <c r="BQ81">
        <v>5275.2</v>
      </c>
      <c r="BR81">
        <v>6</v>
      </c>
      <c r="BS81">
        <v>4521.6000000000004</v>
      </c>
      <c r="BT81">
        <v>8</v>
      </c>
      <c r="BU81">
        <v>6028.8</v>
      </c>
      <c r="BV81">
        <v>5</v>
      </c>
      <c r="BW81">
        <v>3768</v>
      </c>
      <c r="BX81">
        <v>45</v>
      </c>
      <c r="BY81">
        <v>33912</v>
      </c>
      <c r="BZ81">
        <v>43</v>
      </c>
      <c r="CA81">
        <v>32404.799999999999</v>
      </c>
      <c r="CB81">
        <v>32</v>
      </c>
      <c r="CC81">
        <v>24115.200000000001</v>
      </c>
      <c r="CD81">
        <v>48</v>
      </c>
      <c r="CE81">
        <v>36172.800000000003</v>
      </c>
      <c r="CF81">
        <v>4</v>
      </c>
      <c r="CG81">
        <v>3014.4</v>
      </c>
      <c r="CH81">
        <v>5</v>
      </c>
      <c r="CI81">
        <v>3768</v>
      </c>
      <c r="CJ81">
        <v>5</v>
      </c>
      <c r="CK81">
        <v>3768</v>
      </c>
      <c r="CL81">
        <v>6</v>
      </c>
      <c r="CM81">
        <v>4521.6000000000004</v>
      </c>
      <c r="CN81">
        <v>6</v>
      </c>
      <c r="CO81">
        <v>4521.6000000000004</v>
      </c>
      <c r="CP81">
        <v>5</v>
      </c>
      <c r="CQ81">
        <v>3768</v>
      </c>
      <c r="CR81">
        <v>5</v>
      </c>
      <c r="CS81">
        <v>3768</v>
      </c>
      <c r="CT81">
        <v>4</v>
      </c>
      <c r="CU81">
        <v>3014.4</v>
      </c>
    </row>
    <row r="82" spans="2:99" x14ac:dyDescent="0.2">
      <c r="C82" s="118" t="s">
        <v>248</v>
      </c>
      <c r="D82">
        <v>0</v>
      </c>
      <c r="E82">
        <v>0</v>
      </c>
      <c r="F82">
        <v>42</v>
      </c>
      <c r="G82">
        <v>21369.599999999995</v>
      </c>
      <c r="H82">
        <v>40</v>
      </c>
      <c r="I82">
        <v>20351.999999999996</v>
      </c>
      <c r="J82">
        <v>65</v>
      </c>
      <c r="K82">
        <v>33071.999999999993</v>
      </c>
      <c r="L82">
        <v>40</v>
      </c>
      <c r="M82">
        <v>20351.999999999996</v>
      </c>
      <c r="N82">
        <v>31</v>
      </c>
      <c r="O82">
        <v>15772.799999999997</v>
      </c>
      <c r="P82">
        <v>36</v>
      </c>
      <c r="Q82">
        <v>18316.799999999996</v>
      </c>
      <c r="R82">
        <v>32</v>
      </c>
      <c r="S82">
        <v>16281.599999999997</v>
      </c>
      <c r="T82">
        <v>8</v>
      </c>
      <c r="U82">
        <v>4070.3999999999992</v>
      </c>
      <c r="V82">
        <v>5</v>
      </c>
      <c r="W82">
        <v>2543.9999999999995</v>
      </c>
      <c r="X82">
        <v>7</v>
      </c>
      <c r="Y82">
        <v>3561.5999999999995</v>
      </c>
      <c r="Z82">
        <v>6</v>
      </c>
      <c r="AA82">
        <v>3052.7999999999993</v>
      </c>
      <c r="AB82">
        <v>6</v>
      </c>
      <c r="AC82">
        <v>3052.7999999999993</v>
      </c>
      <c r="AD82">
        <v>8</v>
      </c>
      <c r="AE82">
        <v>4070.3999999999992</v>
      </c>
      <c r="AF82">
        <v>6</v>
      </c>
      <c r="AG82">
        <v>3052.7999999999993</v>
      </c>
      <c r="AH82">
        <v>6</v>
      </c>
      <c r="AI82">
        <v>3052.7999999999993</v>
      </c>
      <c r="AJ82">
        <v>4</v>
      </c>
      <c r="AK82">
        <v>2035.1999999999996</v>
      </c>
      <c r="AL82">
        <v>5</v>
      </c>
      <c r="AM82">
        <v>2543.9999999999995</v>
      </c>
      <c r="AN82">
        <v>3</v>
      </c>
      <c r="AO82">
        <v>1526.3999999999996</v>
      </c>
      <c r="AP82">
        <v>5</v>
      </c>
      <c r="AQ82">
        <v>2543.9999999999995</v>
      </c>
      <c r="AR82">
        <v>34</v>
      </c>
      <c r="AS82">
        <v>17299.199999999997</v>
      </c>
      <c r="AT82">
        <v>49</v>
      </c>
      <c r="AU82">
        <v>24931.199999999993</v>
      </c>
      <c r="AV82">
        <v>45</v>
      </c>
      <c r="AW82">
        <v>22895.999999999996</v>
      </c>
      <c r="AX82">
        <v>31</v>
      </c>
      <c r="AY82">
        <v>15772.799999999997</v>
      </c>
      <c r="AZ82">
        <v>4</v>
      </c>
      <c r="BA82">
        <v>2035.1999999999996</v>
      </c>
      <c r="BB82">
        <v>5</v>
      </c>
      <c r="BC82">
        <v>2543.9999999999995</v>
      </c>
      <c r="BD82">
        <v>6</v>
      </c>
      <c r="BE82">
        <v>3052.7999999999993</v>
      </c>
      <c r="BF82">
        <v>6</v>
      </c>
      <c r="BG82">
        <v>3052.7999999999993</v>
      </c>
      <c r="BH82">
        <v>4</v>
      </c>
      <c r="BI82">
        <v>2035.1999999999996</v>
      </c>
      <c r="BJ82">
        <v>4</v>
      </c>
      <c r="BK82">
        <v>2035.1999999999996</v>
      </c>
      <c r="BL82">
        <v>4</v>
      </c>
      <c r="BM82">
        <v>2035.1999999999996</v>
      </c>
      <c r="BN82">
        <v>4</v>
      </c>
      <c r="BO82">
        <v>2035.1999999999996</v>
      </c>
      <c r="BP82">
        <v>7</v>
      </c>
      <c r="BQ82">
        <v>3561.5999999999995</v>
      </c>
      <c r="BR82">
        <v>6</v>
      </c>
      <c r="BS82">
        <v>3052.7999999999993</v>
      </c>
      <c r="BT82">
        <v>7</v>
      </c>
      <c r="BU82">
        <v>3561.5999999999995</v>
      </c>
      <c r="BV82">
        <v>5</v>
      </c>
      <c r="BW82">
        <v>2543.9999999999995</v>
      </c>
      <c r="BX82">
        <v>45</v>
      </c>
      <c r="BY82">
        <v>22895.999999999996</v>
      </c>
      <c r="BZ82">
        <v>46</v>
      </c>
      <c r="CA82">
        <v>23404.799999999996</v>
      </c>
      <c r="CB82">
        <v>31</v>
      </c>
      <c r="CC82">
        <v>15772.799999999997</v>
      </c>
      <c r="CD82">
        <v>58</v>
      </c>
      <c r="CE82">
        <v>29510.399999999994</v>
      </c>
      <c r="CF82">
        <v>4</v>
      </c>
      <c r="CG82">
        <v>2035.1999999999996</v>
      </c>
      <c r="CH82">
        <v>5</v>
      </c>
      <c r="CI82">
        <v>2543.9999999999995</v>
      </c>
      <c r="CJ82">
        <v>5</v>
      </c>
      <c r="CK82">
        <v>2543.9999999999995</v>
      </c>
      <c r="CL82">
        <v>6</v>
      </c>
      <c r="CM82">
        <v>3052.7999999999993</v>
      </c>
      <c r="CN82">
        <v>6</v>
      </c>
      <c r="CO82">
        <v>3052.7999999999993</v>
      </c>
      <c r="CP82">
        <v>5</v>
      </c>
      <c r="CQ82">
        <v>2543.9999999999995</v>
      </c>
      <c r="CR82">
        <v>6</v>
      </c>
      <c r="CS82">
        <v>3052.7999999999993</v>
      </c>
      <c r="CT82">
        <v>4</v>
      </c>
      <c r="CU82">
        <v>2035.1999999999996</v>
      </c>
    </row>
    <row r="83" spans="2:99" x14ac:dyDescent="0.2">
      <c r="C83" s="118" t="s">
        <v>249</v>
      </c>
      <c r="D83">
        <v>0</v>
      </c>
      <c r="E83">
        <v>0</v>
      </c>
      <c r="F83">
        <v>43</v>
      </c>
      <c r="G83">
        <v>36997.199999999997</v>
      </c>
      <c r="H83">
        <v>39</v>
      </c>
      <c r="I83">
        <v>33555.599999999999</v>
      </c>
      <c r="J83">
        <v>53</v>
      </c>
      <c r="K83">
        <v>45601.2</v>
      </c>
      <c r="L83">
        <v>39</v>
      </c>
      <c r="M83">
        <v>33555.599999999999</v>
      </c>
      <c r="N83">
        <v>30</v>
      </c>
      <c r="O83">
        <v>25812</v>
      </c>
      <c r="P83">
        <v>33</v>
      </c>
      <c r="Q83">
        <v>28393.200000000001</v>
      </c>
      <c r="R83">
        <v>29</v>
      </c>
      <c r="S83">
        <v>24951.599999999999</v>
      </c>
      <c r="T83">
        <v>8</v>
      </c>
      <c r="U83">
        <v>6883.2</v>
      </c>
      <c r="V83">
        <v>5</v>
      </c>
      <c r="W83">
        <v>4302</v>
      </c>
      <c r="X83">
        <v>6</v>
      </c>
      <c r="Y83">
        <v>5162.3999999999996</v>
      </c>
      <c r="Z83">
        <v>5</v>
      </c>
      <c r="AA83">
        <v>4302</v>
      </c>
      <c r="AB83">
        <v>6</v>
      </c>
      <c r="AC83">
        <v>5162.3999999999996</v>
      </c>
      <c r="AD83">
        <v>9</v>
      </c>
      <c r="AE83">
        <v>7743.5999999999995</v>
      </c>
      <c r="AF83">
        <v>6</v>
      </c>
      <c r="AG83">
        <v>5162.3999999999996</v>
      </c>
      <c r="AH83">
        <v>6</v>
      </c>
      <c r="AI83">
        <v>5162.3999999999996</v>
      </c>
      <c r="AJ83">
        <v>4</v>
      </c>
      <c r="AK83">
        <v>3441.6</v>
      </c>
      <c r="AL83">
        <v>4</v>
      </c>
      <c r="AM83">
        <v>3441.6</v>
      </c>
      <c r="AN83">
        <v>3</v>
      </c>
      <c r="AO83">
        <v>2581.1999999999998</v>
      </c>
      <c r="AP83">
        <v>4</v>
      </c>
      <c r="AQ83">
        <v>3441.6</v>
      </c>
      <c r="AR83">
        <v>34</v>
      </c>
      <c r="AS83">
        <v>29253.599999999999</v>
      </c>
      <c r="AT83">
        <v>45</v>
      </c>
      <c r="AU83">
        <v>38718</v>
      </c>
      <c r="AV83">
        <v>40</v>
      </c>
      <c r="AW83">
        <v>34416</v>
      </c>
      <c r="AX83">
        <v>25</v>
      </c>
      <c r="AY83">
        <v>21510</v>
      </c>
      <c r="AZ83">
        <v>3</v>
      </c>
      <c r="BA83">
        <v>2581.1999999999998</v>
      </c>
      <c r="BB83">
        <v>4</v>
      </c>
      <c r="BC83">
        <v>3441.6</v>
      </c>
      <c r="BD83">
        <v>7</v>
      </c>
      <c r="BE83">
        <v>6022.8</v>
      </c>
      <c r="BF83">
        <v>6</v>
      </c>
      <c r="BG83">
        <v>5162.3999999999996</v>
      </c>
      <c r="BH83">
        <v>4</v>
      </c>
      <c r="BI83">
        <v>3441.6</v>
      </c>
      <c r="BJ83">
        <v>4</v>
      </c>
      <c r="BK83">
        <v>3441.6</v>
      </c>
      <c r="BL83">
        <v>4</v>
      </c>
      <c r="BM83">
        <v>3441.6</v>
      </c>
      <c r="BN83">
        <v>4</v>
      </c>
      <c r="BO83">
        <v>3441.6</v>
      </c>
      <c r="BP83">
        <v>7</v>
      </c>
      <c r="BQ83">
        <v>6022.8</v>
      </c>
      <c r="BR83">
        <v>6</v>
      </c>
      <c r="BS83">
        <v>5162.3999999999996</v>
      </c>
      <c r="BT83">
        <v>7</v>
      </c>
      <c r="BU83">
        <v>6022.8</v>
      </c>
      <c r="BV83">
        <v>5</v>
      </c>
      <c r="BW83">
        <v>4302</v>
      </c>
      <c r="BX83">
        <v>40</v>
      </c>
      <c r="BY83">
        <v>34416</v>
      </c>
      <c r="BZ83">
        <v>39</v>
      </c>
      <c r="CA83">
        <v>33555.599999999999</v>
      </c>
      <c r="CB83">
        <v>32</v>
      </c>
      <c r="CC83">
        <v>27532.799999999999</v>
      </c>
      <c r="CD83">
        <v>48</v>
      </c>
      <c r="CE83">
        <v>41299.199999999997</v>
      </c>
      <c r="CF83">
        <v>4</v>
      </c>
      <c r="CG83">
        <v>3441.6</v>
      </c>
      <c r="CH83">
        <v>5</v>
      </c>
      <c r="CI83">
        <v>4302</v>
      </c>
      <c r="CJ83">
        <v>5</v>
      </c>
      <c r="CK83">
        <v>4302</v>
      </c>
      <c r="CL83">
        <v>6</v>
      </c>
      <c r="CM83">
        <v>5162.3999999999996</v>
      </c>
      <c r="CN83">
        <v>5</v>
      </c>
      <c r="CO83">
        <v>4302</v>
      </c>
      <c r="CP83">
        <v>5</v>
      </c>
      <c r="CQ83">
        <v>4302</v>
      </c>
      <c r="CR83">
        <v>6</v>
      </c>
      <c r="CS83">
        <v>5162.3999999999996</v>
      </c>
      <c r="CT83">
        <v>4</v>
      </c>
      <c r="CU83">
        <v>3441.6</v>
      </c>
    </row>
    <row r="84" spans="2:99" x14ac:dyDescent="0.2">
      <c r="C84" s="118" t="s">
        <v>250</v>
      </c>
      <c r="D84">
        <v>0</v>
      </c>
      <c r="E84">
        <v>0</v>
      </c>
      <c r="F84">
        <v>46</v>
      </c>
      <c r="G84">
        <v>35935.199999999997</v>
      </c>
      <c r="H84">
        <v>37</v>
      </c>
      <c r="I84">
        <v>28904.399999999998</v>
      </c>
      <c r="J84">
        <v>62</v>
      </c>
      <c r="K84">
        <v>48434.399999999994</v>
      </c>
      <c r="L84">
        <v>40</v>
      </c>
      <c r="M84">
        <v>31247.999999999996</v>
      </c>
      <c r="N84">
        <v>32</v>
      </c>
      <c r="O84">
        <v>24998.399999999998</v>
      </c>
      <c r="P84">
        <v>36</v>
      </c>
      <c r="Q84">
        <v>28123.199999999997</v>
      </c>
      <c r="R84">
        <v>31</v>
      </c>
      <c r="S84">
        <v>24217.199999999997</v>
      </c>
      <c r="T84">
        <v>8</v>
      </c>
      <c r="U84">
        <v>6249.5999999999995</v>
      </c>
      <c r="V84">
        <v>5</v>
      </c>
      <c r="W84">
        <v>3905.9999999999995</v>
      </c>
      <c r="X84">
        <v>6</v>
      </c>
      <c r="Y84">
        <v>4687.2</v>
      </c>
      <c r="Z84">
        <v>6</v>
      </c>
      <c r="AA84">
        <v>4687.2</v>
      </c>
      <c r="AB84">
        <v>6</v>
      </c>
      <c r="AC84">
        <v>4687.2</v>
      </c>
      <c r="AD84">
        <v>8</v>
      </c>
      <c r="AE84">
        <v>6249.5999999999995</v>
      </c>
      <c r="AF84">
        <v>7</v>
      </c>
      <c r="AG84">
        <v>5468.4</v>
      </c>
      <c r="AH84">
        <v>5</v>
      </c>
      <c r="AI84">
        <v>3905.9999999999995</v>
      </c>
      <c r="AJ84">
        <v>4</v>
      </c>
      <c r="AK84">
        <v>3124.7999999999997</v>
      </c>
      <c r="AL84">
        <v>4</v>
      </c>
      <c r="AM84">
        <v>3124.7999999999997</v>
      </c>
      <c r="AN84">
        <v>3</v>
      </c>
      <c r="AO84">
        <v>2343.6</v>
      </c>
      <c r="AP84">
        <v>5</v>
      </c>
      <c r="AQ84">
        <v>3905.9999999999995</v>
      </c>
      <c r="AR84">
        <v>28</v>
      </c>
      <c r="AS84">
        <v>21873.599999999999</v>
      </c>
      <c r="AT84">
        <v>42</v>
      </c>
      <c r="AU84">
        <v>32810.399999999994</v>
      </c>
      <c r="AV84">
        <v>45</v>
      </c>
      <c r="AW84">
        <v>35154</v>
      </c>
      <c r="AX84">
        <v>26</v>
      </c>
      <c r="AY84">
        <v>20311.199999999997</v>
      </c>
      <c r="AZ84">
        <v>4</v>
      </c>
      <c r="BA84">
        <v>3124.7999999999997</v>
      </c>
      <c r="BB84">
        <v>4</v>
      </c>
      <c r="BC84">
        <v>3124.7999999999997</v>
      </c>
      <c r="BD84">
        <v>6</v>
      </c>
      <c r="BE84">
        <v>4687.2</v>
      </c>
      <c r="BF84">
        <v>6</v>
      </c>
      <c r="BG84">
        <v>4687.2</v>
      </c>
      <c r="BH84">
        <v>4</v>
      </c>
      <c r="BI84">
        <v>3124.7999999999997</v>
      </c>
      <c r="BJ84">
        <v>5</v>
      </c>
      <c r="BK84">
        <v>3905.9999999999995</v>
      </c>
      <c r="BL84">
        <v>4</v>
      </c>
      <c r="BM84">
        <v>3124.7999999999997</v>
      </c>
      <c r="BN84">
        <v>4</v>
      </c>
      <c r="BO84">
        <v>3124.7999999999997</v>
      </c>
      <c r="BP84">
        <v>7</v>
      </c>
      <c r="BQ84">
        <v>5468.4</v>
      </c>
      <c r="BR84">
        <v>6</v>
      </c>
      <c r="BS84">
        <v>4687.2</v>
      </c>
      <c r="BT84">
        <v>7</v>
      </c>
      <c r="BU84">
        <v>5468.4</v>
      </c>
      <c r="BV84">
        <v>5</v>
      </c>
      <c r="BW84">
        <v>3905.9999999999995</v>
      </c>
      <c r="BX84">
        <v>39</v>
      </c>
      <c r="BY84">
        <v>30466.799999999996</v>
      </c>
      <c r="BZ84">
        <v>43</v>
      </c>
      <c r="CA84">
        <v>33591.599999999999</v>
      </c>
      <c r="CB84">
        <v>32</v>
      </c>
      <c r="CC84">
        <v>24998.399999999998</v>
      </c>
      <c r="CD84">
        <v>48</v>
      </c>
      <c r="CE84">
        <v>37497.599999999999</v>
      </c>
      <c r="CF84">
        <v>4</v>
      </c>
      <c r="CG84">
        <v>3124.7999999999997</v>
      </c>
      <c r="CH84">
        <v>5</v>
      </c>
      <c r="CI84">
        <v>3905.9999999999995</v>
      </c>
      <c r="CJ84">
        <v>5</v>
      </c>
      <c r="CK84">
        <v>3905.9999999999995</v>
      </c>
      <c r="CL84">
        <v>6</v>
      </c>
      <c r="CM84">
        <v>4687.2</v>
      </c>
      <c r="CN84">
        <v>6</v>
      </c>
      <c r="CO84">
        <v>4687.2</v>
      </c>
      <c r="CP84">
        <v>5</v>
      </c>
      <c r="CQ84">
        <v>3905.9999999999995</v>
      </c>
      <c r="CR84">
        <v>6</v>
      </c>
      <c r="CS84">
        <v>4687.2</v>
      </c>
      <c r="CT84">
        <v>4</v>
      </c>
      <c r="CU84">
        <v>3124.7999999999997</v>
      </c>
    </row>
    <row r="85" spans="2:99" x14ac:dyDescent="0.2">
      <c r="C85" s="118" t="s">
        <v>251</v>
      </c>
      <c r="D85">
        <v>0</v>
      </c>
      <c r="E85">
        <v>0</v>
      </c>
      <c r="F85">
        <v>45</v>
      </c>
      <c r="G85">
        <v>6750</v>
      </c>
      <c r="H85">
        <v>44</v>
      </c>
      <c r="I85">
        <v>6600</v>
      </c>
      <c r="J85">
        <v>70</v>
      </c>
      <c r="K85">
        <v>10500</v>
      </c>
      <c r="L85">
        <v>43</v>
      </c>
      <c r="M85">
        <v>6450</v>
      </c>
      <c r="N85">
        <v>37</v>
      </c>
      <c r="O85">
        <v>5550</v>
      </c>
      <c r="P85">
        <v>38</v>
      </c>
      <c r="Q85">
        <v>5700</v>
      </c>
      <c r="R85">
        <v>39</v>
      </c>
      <c r="S85">
        <v>5850</v>
      </c>
      <c r="T85">
        <v>8</v>
      </c>
      <c r="U85">
        <v>1200</v>
      </c>
      <c r="V85">
        <v>5</v>
      </c>
      <c r="W85">
        <v>750</v>
      </c>
      <c r="X85">
        <v>6</v>
      </c>
      <c r="Y85">
        <v>900</v>
      </c>
      <c r="Z85">
        <v>5</v>
      </c>
      <c r="AA85">
        <v>750</v>
      </c>
      <c r="AB85">
        <v>6</v>
      </c>
      <c r="AC85">
        <v>900</v>
      </c>
      <c r="AD85">
        <v>9</v>
      </c>
      <c r="AE85">
        <v>1350</v>
      </c>
      <c r="AF85">
        <v>7</v>
      </c>
      <c r="AG85">
        <v>1050</v>
      </c>
      <c r="AH85">
        <v>6</v>
      </c>
      <c r="AI85">
        <v>900</v>
      </c>
      <c r="AJ85">
        <v>4</v>
      </c>
      <c r="AK85">
        <v>600</v>
      </c>
      <c r="AL85">
        <v>5</v>
      </c>
      <c r="AM85">
        <v>750</v>
      </c>
      <c r="AN85">
        <v>4</v>
      </c>
      <c r="AO85">
        <v>600</v>
      </c>
      <c r="AP85">
        <v>5</v>
      </c>
      <c r="AQ85">
        <v>750</v>
      </c>
      <c r="AR85">
        <v>32</v>
      </c>
      <c r="AS85">
        <v>4800</v>
      </c>
      <c r="AT85">
        <v>53</v>
      </c>
      <c r="AU85">
        <v>7950</v>
      </c>
      <c r="AV85">
        <v>45</v>
      </c>
      <c r="AW85">
        <v>6750</v>
      </c>
      <c r="AX85">
        <v>30</v>
      </c>
      <c r="AY85">
        <v>4500</v>
      </c>
      <c r="AZ85">
        <v>3</v>
      </c>
      <c r="BA85">
        <v>450</v>
      </c>
      <c r="BB85">
        <v>5</v>
      </c>
      <c r="BC85">
        <v>750</v>
      </c>
      <c r="BD85">
        <v>6</v>
      </c>
      <c r="BE85">
        <v>900</v>
      </c>
      <c r="BF85">
        <v>6</v>
      </c>
      <c r="BG85">
        <v>900</v>
      </c>
      <c r="BH85">
        <v>4</v>
      </c>
      <c r="BI85">
        <v>600</v>
      </c>
      <c r="BJ85">
        <v>5</v>
      </c>
      <c r="BK85">
        <v>750</v>
      </c>
      <c r="BL85">
        <v>4</v>
      </c>
      <c r="BM85">
        <v>600</v>
      </c>
      <c r="BN85">
        <v>4</v>
      </c>
      <c r="BO85">
        <v>600</v>
      </c>
      <c r="BP85">
        <v>7</v>
      </c>
      <c r="BQ85">
        <v>1050</v>
      </c>
      <c r="BR85">
        <v>6</v>
      </c>
      <c r="BS85">
        <v>900</v>
      </c>
      <c r="BT85">
        <v>8</v>
      </c>
      <c r="BU85">
        <v>1200</v>
      </c>
      <c r="BV85">
        <v>6</v>
      </c>
      <c r="BW85">
        <v>900</v>
      </c>
      <c r="BX85">
        <v>51</v>
      </c>
      <c r="BY85">
        <v>7650</v>
      </c>
      <c r="BZ85">
        <v>49</v>
      </c>
      <c r="CA85">
        <v>7350</v>
      </c>
      <c r="CB85">
        <v>34</v>
      </c>
      <c r="CC85">
        <v>5100</v>
      </c>
      <c r="CD85">
        <v>54</v>
      </c>
      <c r="CE85">
        <v>8100</v>
      </c>
      <c r="CF85">
        <v>4</v>
      </c>
      <c r="CG85">
        <v>600</v>
      </c>
      <c r="CH85">
        <v>5</v>
      </c>
      <c r="CI85">
        <v>750</v>
      </c>
      <c r="CJ85">
        <v>5</v>
      </c>
      <c r="CK85">
        <v>750</v>
      </c>
      <c r="CL85">
        <v>7</v>
      </c>
      <c r="CM85">
        <v>1050</v>
      </c>
      <c r="CN85">
        <v>6</v>
      </c>
      <c r="CO85">
        <v>900</v>
      </c>
      <c r="CP85">
        <v>5</v>
      </c>
      <c r="CQ85">
        <v>750</v>
      </c>
      <c r="CR85">
        <v>6</v>
      </c>
      <c r="CS85">
        <v>900</v>
      </c>
      <c r="CT85">
        <v>4</v>
      </c>
      <c r="CU85">
        <v>600</v>
      </c>
    </row>
    <row r="86" spans="2:99" x14ac:dyDescent="0.2">
      <c r="C86" s="118" t="s">
        <v>252</v>
      </c>
      <c r="D86">
        <v>0</v>
      </c>
      <c r="E86">
        <v>0</v>
      </c>
      <c r="F86">
        <v>42</v>
      </c>
      <c r="G86">
        <v>22680</v>
      </c>
      <c r="H86">
        <v>41</v>
      </c>
      <c r="I86">
        <v>22140</v>
      </c>
      <c r="J86">
        <v>60</v>
      </c>
      <c r="K86">
        <v>32400</v>
      </c>
      <c r="L86">
        <v>37</v>
      </c>
      <c r="M86">
        <v>19980</v>
      </c>
      <c r="N86">
        <v>34</v>
      </c>
      <c r="O86">
        <v>18360</v>
      </c>
      <c r="P86">
        <v>35</v>
      </c>
      <c r="Q86">
        <v>18900</v>
      </c>
      <c r="R86">
        <v>35</v>
      </c>
      <c r="S86">
        <v>18900</v>
      </c>
      <c r="T86">
        <v>7</v>
      </c>
      <c r="U86">
        <v>3780</v>
      </c>
      <c r="V86">
        <v>5</v>
      </c>
      <c r="W86">
        <v>2700</v>
      </c>
      <c r="X86">
        <v>6</v>
      </c>
      <c r="Y86">
        <v>3240</v>
      </c>
      <c r="Z86">
        <v>5</v>
      </c>
      <c r="AA86">
        <v>2700</v>
      </c>
      <c r="AB86">
        <v>6</v>
      </c>
      <c r="AC86">
        <v>3240</v>
      </c>
      <c r="AD86">
        <v>8</v>
      </c>
      <c r="AE86">
        <v>4320</v>
      </c>
      <c r="AF86">
        <v>7</v>
      </c>
      <c r="AG86">
        <v>3780</v>
      </c>
      <c r="AH86">
        <v>6</v>
      </c>
      <c r="AI86">
        <v>3240</v>
      </c>
      <c r="AJ86">
        <v>4</v>
      </c>
      <c r="AK86">
        <v>2160</v>
      </c>
      <c r="AL86">
        <v>5</v>
      </c>
      <c r="AM86">
        <v>2700</v>
      </c>
      <c r="AN86">
        <v>3</v>
      </c>
      <c r="AO86">
        <v>1620</v>
      </c>
      <c r="AP86">
        <v>5</v>
      </c>
      <c r="AQ86">
        <v>2700</v>
      </c>
      <c r="AR86">
        <v>33</v>
      </c>
      <c r="AS86">
        <v>17820</v>
      </c>
      <c r="AT86">
        <v>43</v>
      </c>
      <c r="AU86">
        <v>23220</v>
      </c>
      <c r="AV86">
        <v>45</v>
      </c>
      <c r="AW86">
        <v>24300</v>
      </c>
      <c r="AX86">
        <v>29</v>
      </c>
      <c r="AY86">
        <v>15660</v>
      </c>
      <c r="AZ86">
        <v>3</v>
      </c>
      <c r="BA86">
        <v>1620</v>
      </c>
      <c r="BB86">
        <v>5</v>
      </c>
      <c r="BC86">
        <v>2700</v>
      </c>
      <c r="BD86">
        <v>6</v>
      </c>
      <c r="BE86">
        <v>3240</v>
      </c>
      <c r="BF86">
        <v>6</v>
      </c>
      <c r="BG86">
        <v>3240</v>
      </c>
      <c r="BH86">
        <v>4</v>
      </c>
      <c r="BI86">
        <v>2160</v>
      </c>
      <c r="BJ86">
        <v>5</v>
      </c>
      <c r="BK86">
        <v>2700</v>
      </c>
      <c r="BL86">
        <v>5</v>
      </c>
      <c r="BM86">
        <v>2700</v>
      </c>
      <c r="BN86">
        <v>5</v>
      </c>
      <c r="BO86">
        <v>2700</v>
      </c>
      <c r="BP86">
        <v>6</v>
      </c>
      <c r="BQ86">
        <v>3240</v>
      </c>
      <c r="BR86">
        <v>7</v>
      </c>
      <c r="BS86">
        <v>3780</v>
      </c>
      <c r="BT86">
        <v>7</v>
      </c>
      <c r="BU86">
        <v>3780</v>
      </c>
      <c r="BV86">
        <v>5</v>
      </c>
      <c r="BW86">
        <v>2700</v>
      </c>
      <c r="BX86">
        <v>44</v>
      </c>
      <c r="BY86">
        <v>23760</v>
      </c>
      <c r="BZ86">
        <v>42</v>
      </c>
      <c r="CA86">
        <v>22680</v>
      </c>
      <c r="CB86">
        <v>32</v>
      </c>
      <c r="CC86">
        <v>17280</v>
      </c>
      <c r="CD86">
        <v>58</v>
      </c>
      <c r="CE86">
        <v>31320</v>
      </c>
      <c r="CF86">
        <v>4</v>
      </c>
      <c r="CG86">
        <v>2160</v>
      </c>
      <c r="CH86">
        <v>5</v>
      </c>
      <c r="CI86">
        <v>2700</v>
      </c>
      <c r="CJ86">
        <v>5</v>
      </c>
      <c r="CK86">
        <v>2700</v>
      </c>
      <c r="CL86">
        <v>6</v>
      </c>
      <c r="CM86">
        <v>3240</v>
      </c>
      <c r="CN86">
        <v>6</v>
      </c>
      <c r="CO86">
        <v>3240</v>
      </c>
      <c r="CP86">
        <v>5</v>
      </c>
      <c r="CQ86">
        <v>2700</v>
      </c>
      <c r="CR86">
        <v>5</v>
      </c>
      <c r="CS86">
        <v>2700</v>
      </c>
      <c r="CT86">
        <v>4</v>
      </c>
      <c r="CU86">
        <v>2160</v>
      </c>
    </row>
    <row r="87" spans="2:99" x14ac:dyDescent="0.2">
      <c r="B87" s="118" t="s">
        <v>131</v>
      </c>
      <c r="C87" s="118" t="s">
        <v>253</v>
      </c>
      <c r="D87">
        <v>0</v>
      </c>
      <c r="E87">
        <v>0</v>
      </c>
      <c r="F87">
        <v>6</v>
      </c>
      <c r="G87">
        <v>11728.8</v>
      </c>
      <c r="H87">
        <v>10</v>
      </c>
      <c r="I87">
        <v>19548</v>
      </c>
      <c r="J87">
        <v>9</v>
      </c>
      <c r="K87">
        <v>17593.2</v>
      </c>
      <c r="L87">
        <v>6</v>
      </c>
      <c r="M87">
        <v>11728.8</v>
      </c>
      <c r="N87">
        <v>5</v>
      </c>
      <c r="O87">
        <v>9774</v>
      </c>
      <c r="P87">
        <v>6</v>
      </c>
      <c r="Q87">
        <v>11728.8</v>
      </c>
      <c r="R87">
        <v>4</v>
      </c>
      <c r="S87">
        <v>7819.2</v>
      </c>
      <c r="T87">
        <v>18</v>
      </c>
      <c r="U87">
        <v>35186.400000000001</v>
      </c>
      <c r="V87">
        <v>21</v>
      </c>
      <c r="W87">
        <v>41050.799999999996</v>
      </c>
      <c r="X87">
        <v>21</v>
      </c>
      <c r="Y87">
        <v>41050.799999999996</v>
      </c>
      <c r="Z87">
        <v>20</v>
      </c>
      <c r="AA87">
        <v>39096</v>
      </c>
      <c r="AB87">
        <v>24</v>
      </c>
      <c r="AC87">
        <v>46915.199999999997</v>
      </c>
      <c r="AD87">
        <v>25</v>
      </c>
      <c r="AE87">
        <v>48870</v>
      </c>
      <c r="AF87">
        <v>39</v>
      </c>
      <c r="AG87">
        <v>76237.2</v>
      </c>
      <c r="AH87">
        <v>32</v>
      </c>
      <c r="AI87">
        <v>62553.599999999999</v>
      </c>
      <c r="AJ87">
        <v>6</v>
      </c>
      <c r="AK87">
        <v>11728.8</v>
      </c>
      <c r="AL87">
        <v>4</v>
      </c>
      <c r="AM87">
        <v>7819.2</v>
      </c>
      <c r="AN87">
        <v>4</v>
      </c>
      <c r="AO87">
        <v>7819.2</v>
      </c>
      <c r="AP87">
        <v>4</v>
      </c>
      <c r="AQ87">
        <v>7819.2</v>
      </c>
      <c r="AR87">
        <v>6</v>
      </c>
      <c r="AS87">
        <v>11728.8</v>
      </c>
      <c r="AT87">
        <v>7</v>
      </c>
      <c r="AU87">
        <v>13683.6</v>
      </c>
      <c r="AV87">
        <v>9</v>
      </c>
      <c r="AW87">
        <v>17593.2</v>
      </c>
      <c r="AX87">
        <v>7</v>
      </c>
      <c r="AY87">
        <v>13683.6</v>
      </c>
      <c r="AZ87">
        <v>5</v>
      </c>
      <c r="BA87">
        <v>9774</v>
      </c>
      <c r="BB87">
        <v>5</v>
      </c>
      <c r="BC87">
        <v>9774</v>
      </c>
      <c r="BD87">
        <v>3</v>
      </c>
      <c r="BE87">
        <v>5864.4</v>
      </c>
      <c r="BF87">
        <v>3</v>
      </c>
      <c r="BG87">
        <v>5864.4</v>
      </c>
      <c r="BH87">
        <v>48</v>
      </c>
      <c r="BI87">
        <v>93830.399999999994</v>
      </c>
      <c r="BJ87">
        <v>35</v>
      </c>
      <c r="BK87">
        <v>68418</v>
      </c>
      <c r="BL87">
        <v>41</v>
      </c>
      <c r="BM87">
        <v>80146.8</v>
      </c>
      <c r="BN87">
        <v>64</v>
      </c>
      <c r="BO87">
        <v>125107.2</v>
      </c>
      <c r="BP87">
        <v>11</v>
      </c>
      <c r="BQ87">
        <v>21502.799999999999</v>
      </c>
      <c r="BR87">
        <v>15</v>
      </c>
      <c r="BS87">
        <v>29322</v>
      </c>
      <c r="BT87">
        <v>12</v>
      </c>
      <c r="BU87">
        <v>23457.599999999999</v>
      </c>
      <c r="BV87">
        <v>14</v>
      </c>
      <c r="BW87">
        <v>27367.200000000001</v>
      </c>
      <c r="BX87">
        <v>13</v>
      </c>
      <c r="BY87">
        <v>25412.399999999998</v>
      </c>
      <c r="BZ87">
        <v>10</v>
      </c>
      <c r="CA87">
        <v>19548</v>
      </c>
      <c r="CB87">
        <v>15</v>
      </c>
      <c r="CC87">
        <v>29322</v>
      </c>
      <c r="CD87">
        <v>17</v>
      </c>
      <c r="CE87">
        <v>33231.599999999999</v>
      </c>
      <c r="CF87">
        <v>4</v>
      </c>
      <c r="CG87">
        <v>7819.2</v>
      </c>
      <c r="CH87">
        <v>5</v>
      </c>
      <c r="CI87">
        <v>9774</v>
      </c>
      <c r="CJ87">
        <v>4</v>
      </c>
      <c r="CK87">
        <v>7819.2</v>
      </c>
      <c r="CL87">
        <v>4</v>
      </c>
      <c r="CM87">
        <v>7819.2</v>
      </c>
      <c r="CN87">
        <v>10</v>
      </c>
      <c r="CO87">
        <v>19548</v>
      </c>
      <c r="CP87">
        <v>8</v>
      </c>
      <c r="CQ87">
        <v>15638.4</v>
      </c>
      <c r="CR87">
        <v>12</v>
      </c>
      <c r="CS87">
        <v>23457.599999999999</v>
      </c>
      <c r="CT87">
        <v>8</v>
      </c>
      <c r="CU87">
        <v>15638.4</v>
      </c>
    </row>
    <row r="88" spans="2:99" x14ac:dyDescent="0.2">
      <c r="C88" s="118" t="s">
        <v>254</v>
      </c>
      <c r="D88">
        <v>0</v>
      </c>
      <c r="E88">
        <v>0</v>
      </c>
      <c r="F88">
        <v>7</v>
      </c>
      <c r="G88">
        <v>13246.8</v>
      </c>
      <c r="H88">
        <v>10</v>
      </c>
      <c r="I88">
        <v>18924</v>
      </c>
      <c r="J88">
        <v>9</v>
      </c>
      <c r="K88">
        <v>17031.599999999999</v>
      </c>
      <c r="L88">
        <v>6</v>
      </c>
      <c r="M88">
        <v>11354.4</v>
      </c>
      <c r="N88">
        <v>5</v>
      </c>
      <c r="O88">
        <v>9462</v>
      </c>
      <c r="P88">
        <v>6</v>
      </c>
      <c r="Q88">
        <v>11354.4</v>
      </c>
      <c r="R88">
        <v>4</v>
      </c>
      <c r="S88">
        <v>7569.5999999999995</v>
      </c>
      <c r="T88">
        <v>18</v>
      </c>
      <c r="U88">
        <v>34063.199999999997</v>
      </c>
      <c r="V88">
        <v>20</v>
      </c>
      <c r="W88">
        <v>37848</v>
      </c>
      <c r="X88">
        <v>20</v>
      </c>
      <c r="Y88">
        <v>37848</v>
      </c>
      <c r="Z88">
        <v>22</v>
      </c>
      <c r="AA88">
        <v>41632.799999999996</v>
      </c>
      <c r="AB88">
        <v>24</v>
      </c>
      <c r="AC88">
        <v>45417.599999999999</v>
      </c>
      <c r="AD88">
        <v>26</v>
      </c>
      <c r="AE88">
        <v>49202.399999999994</v>
      </c>
      <c r="AF88">
        <v>42</v>
      </c>
      <c r="AG88">
        <v>79480.799999999988</v>
      </c>
      <c r="AH88">
        <v>34</v>
      </c>
      <c r="AI88">
        <v>64341.599999999999</v>
      </c>
      <c r="AJ88">
        <v>5</v>
      </c>
      <c r="AK88">
        <v>9462</v>
      </c>
      <c r="AL88">
        <v>4</v>
      </c>
      <c r="AM88">
        <v>7569.5999999999995</v>
      </c>
      <c r="AN88">
        <v>4</v>
      </c>
      <c r="AO88">
        <v>7569.5999999999995</v>
      </c>
      <c r="AP88">
        <v>5</v>
      </c>
      <c r="AQ88">
        <v>9462</v>
      </c>
      <c r="AR88">
        <v>6</v>
      </c>
      <c r="AS88">
        <v>11354.4</v>
      </c>
      <c r="AT88">
        <v>6</v>
      </c>
      <c r="AU88">
        <v>11354.4</v>
      </c>
      <c r="AV88">
        <v>9</v>
      </c>
      <c r="AW88">
        <v>17031.599999999999</v>
      </c>
      <c r="AX88">
        <v>6</v>
      </c>
      <c r="AY88">
        <v>11354.4</v>
      </c>
      <c r="AZ88">
        <v>5</v>
      </c>
      <c r="BA88">
        <v>9462</v>
      </c>
      <c r="BB88">
        <v>5</v>
      </c>
      <c r="BC88">
        <v>9462</v>
      </c>
      <c r="BD88">
        <v>3</v>
      </c>
      <c r="BE88">
        <v>5677.2</v>
      </c>
      <c r="BF88">
        <v>3</v>
      </c>
      <c r="BG88">
        <v>5677.2</v>
      </c>
      <c r="BH88">
        <v>50</v>
      </c>
      <c r="BI88">
        <v>94620</v>
      </c>
      <c r="BJ88">
        <v>36</v>
      </c>
      <c r="BK88">
        <v>68126.399999999994</v>
      </c>
      <c r="BL88">
        <v>44</v>
      </c>
      <c r="BM88">
        <v>83265.599999999991</v>
      </c>
      <c r="BN88">
        <v>56</v>
      </c>
      <c r="BO88">
        <v>105974.39999999999</v>
      </c>
      <c r="BP88">
        <v>10</v>
      </c>
      <c r="BQ88">
        <v>18924</v>
      </c>
      <c r="BR88">
        <v>17</v>
      </c>
      <c r="BS88">
        <v>32170.799999999999</v>
      </c>
      <c r="BT88">
        <v>11</v>
      </c>
      <c r="BU88">
        <v>20816.399999999998</v>
      </c>
      <c r="BV88">
        <v>15</v>
      </c>
      <c r="BW88">
        <v>28385.999999999996</v>
      </c>
      <c r="BX88">
        <v>14</v>
      </c>
      <c r="BY88">
        <v>26493.599999999999</v>
      </c>
      <c r="BZ88">
        <v>12</v>
      </c>
      <c r="CA88">
        <v>22708.799999999999</v>
      </c>
      <c r="CB88">
        <v>15</v>
      </c>
      <c r="CC88">
        <v>28385.999999999996</v>
      </c>
      <c r="CD88">
        <v>17</v>
      </c>
      <c r="CE88">
        <v>32170.799999999999</v>
      </c>
      <c r="CF88">
        <v>4</v>
      </c>
      <c r="CG88">
        <v>7569.5999999999995</v>
      </c>
      <c r="CH88">
        <v>6</v>
      </c>
      <c r="CI88">
        <v>11354.4</v>
      </c>
      <c r="CJ88">
        <v>4</v>
      </c>
      <c r="CK88">
        <v>7569.5999999999995</v>
      </c>
      <c r="CL88">
        <v>4</v>
      </c>
      <c r="CM88">
        <v>7569.5999999999995</v>
      </c>
      <c r="CN88">
        <v>12</v>
      </c>
      <c r="CO88">
        <v>22708.799999999999</v>
      </c>
      <c r="CP88">
        <v>9</v>
      </c>
      <c r="CQ88">
        <v>17031.599999999999</v>
      </c>
      <c r="CR88">
        <v>13</v>
      </c>
      <c r="CS88">
        <v>24601.199999999997</v>
      </c>
      <c r="CT88">
        <v>8</v>
      </c>
      <c r="CU88">
        <v>15139.199999999999</v>
      </c>
    </row>
    <row r="89" spans="2:99" x14ac:dyDescent="0.2">
      <c r="C89" s="118" t="s">
        <v>255</v>
      </c>
      <c r="D89">
        <v>0</v>
      </c>
      <c r="E89">
        <v>0</v>
      </c>
      <c r="F89">
        <v>6</v>
      </c>
      <c r="G89">
        <v>14385.599999999999</v>
      </c>
      <c r="H89">
        <v>8</v>
      </c>
      <c r="I89">
        <v>19180.8</v>
      </c>
      <c r="J89">
        <v>8</v>
      </c>
      <c r="K89">
        <v>19180.8</v>
      </c>
      <c r="L89">
        <v>6</v>
      </c>
      <c r="M89">
        <v>14385.599999999999</v>
      </c>
      <c r="N89">
        <v>5</v>
      </c>
      <c r="O89">
        <v>11988</v>
      </c>
      <c r="P89">
        <v>5</v>
      </c>
      <c r="Q89">
        <v>11988</v>
      </c>
      <c r="R89">
        <v>4</v>
      </c>
      <c r="S89">
        <v>9590.4</v>
      </c>
      <c r="T89">
        <v>19</v>
      </c>
      <c r="U89">
        <v>45554.400000000001</v>
      </c>
      <c r="V89">
        <v>23</v>
      </c>
      <c r="W89">
        <v>55144.799999999996</v>
      </c>
      <c r="X89">
        <v>19</v>
      </c>
      <c r="Y89">
        <v>45554.400000000001</v>
      </c>
      <c r="Z89">
        <v>19</v>
      </c>
      <c r="AA89">
        <v>45554.400000000001</v>
      </c>
      <c r="AB89">
        <v>26</v>
      </c>
      <c r="AC89">
        <v>62337.599999999999</v>
      </c>
      <c r="AD89">
        <v>23</v>
      </c>
      <c r="AE89">
        <v>55144.799999999996</v>
      </c>
      <c r="AF89">
        <v>34</v>
      </c>
      <c r="AG89">
        <v>81518.399999999994</v>
      </c>
      <c r="AH89">
        <v>30</v>
      </c>
      <c r="AI89">
        <v>71928</v>
      </c>
      <c r="AJ89">
        <v>6</v>
      </c>
      <c r="AK89">
        <v>14385.599999999999</v>
      </c>
      <c r="AL89">
        <v>4</v>
      </c>
      <c r="AM89">
        <v>9590.4</v>
      </c>
      <c r="AN89">
        <v>4</v>
      </c>
      <c r="AO89">
        <v>9590.4</v>
      </c>
      <c r="AP89">
        <v>4</v>
      </c>
      <c r="AQ89">
        <v>9590.4</v>
      </c>
      <c r="AR89">
        <v>6</v>
      </c>
      <c r="AS89">
        <v>14385.599999999999</v>
      </c>
      <c r="AT89">
        <v>7</v>
      </c>
      <c r="AU89">
        <v>16783.2</v>
      </c>
      <c r="AV89">
        <v>8</v>
      </c>
      <c r="AW89">
        <v>19180.8</v>
      </c>
      <c r="AX89">
        <v>7</v>
      </c>
      <c r="AY89">
        <v>16783.2</v>
      </c>
      <c r="AZ89">
        <v>5</v>
      </c>
      <c r="BA89">
        <v>11988</v>
      </c>
      <c r="BB89">
        <v>5</v>
      </c>
      <c r="BC89">
        <v>11988</v>
      </c>
      <c r="BD89">
        <v>3</v>
      </c>
      <c r="BE89">
        <v>7192.7999999999993</v>
      </c>
      <c r="BF89">
        <v>3</v>
      </c>
      <c r="BG89">
        <v>7192.7999999999993</v>
      </c>
      <c r="BH89">
        <v>47</v>
      </c>
      <c r="BI89">
        <v>112687.2</v>
      </c>
      <c r="BJ89">
        <v>39</v>
      </c>
      <c r="BK89">
        <v>93506.4</v>
      </c>
      <c r="BL89">
        <v>41</v>
      </c>
      <c r="BM89">
        <v>98301.599999999991</v>
      </c>
      <c r="BN89">
        <v>51</v>
      </c>
      <c r="BO89">
        <v>122277.59999999999</v>
      </c>
      <c r="BP89">
        <v>9</v>
      </c>
      <c r="BQ89">
        <v>21578.399999999998</v>
      </c>
      <c r="BR89">
        <v>15</v>
      </c>
      <c r="BS89">
        <v>35964</v>
      </c>
      <c r="BT89">
        <v>12</v>
      </c>
      <c r="BU89">
        <v>28771.199999999997</v>
      </c>
      <c r="BV89">
        <v>14</v>
      </c>
      <c r="BW89">
        <v>33566.400000000001</v>
      </c>
      <c r="BX89">
        <v>14</v>
      </c>
      <c r="BY89">
        <v>33566.400000000001</v>
      </c>
      <c r="BZ89">
        <v>11</v>
      </c>
      <c r="CA89">
        <v>26373.599999999999</v>
      </c>
      <c r="CB89">
        <v>14</v>
      </c>
      <c r="CC89">
        <v>33566.400000000001</v>
      </c>
      <c r="CD89">
        <v>16</v>
      </c>
      <c r="CE89">
        <v>38361.599999999999</v>
      </c>
      <c r="CF89">
        <v>4</v>
      </c>
      <c r="CG89">
        <v>9590.4</v>
      </c>
      <c r="CH89">
        <v>5</v>
      </c>
      <c r="CI89">
        <v>11988</v>
      </c>
      <c r="CJ89">
        <v>3</v>
      </c>
      <c r="CK89">
        <v>7192.7999999999993</v>
      </c>
      <c r="CL89">
        <v>4</v>
      </c>
      <c r="CM89">
        <v>9590.4</v>
      </c>
      <c r="CN89">
        <v>12</v>
      </c>
      <c r="CO89">
        <v>28771.199999999997</v>
      </c>
      <c r="CP89">
        <v>7</v>
      </c>
      <c r="CQ89">
        <v>16783.2</v>
      </c>
      <c r="CR89">
        <v>13</v>
      </c>
      <c r="CS89">
        <v>31168.799999999999</v>
      </c>
      <c r="CT89">
        <v>8</v>
      </c>
      <c r="CU89">
        <v>19180.8</v>
      </c>
    </row>
    <row r="90" spans="2:99" x14ac:dyDescent="0.2">
      <c r="C90" s="118" t="s">
        <v>256</v>
      </c>
      <c r="D90">
        <v>0</v>
      </c>
      <c r="E90">
        <v>0</v>
      </c>
      <c r="F90">
        <v>6</v>
      </c>
      <c r="G90">
        <v>13183.199999999999</v>
      </c>
      <c r="H90">
        <v>9</v>
      </c>
      <c r="I90">
        <v>19774.8</v>
      </c>
      <c r="J90">
        <v>9</v>
      </c>
      <c r="K90">
        <v>19774.8</v>
      </c>
      <c r="L90">
        <v>6</v>
      </c>
      <c r="M90">
        <v>13183.199999999999</v>
      </c>
      <c r="N90">
        <v>5</v>
      </c>
      <c r="O90">
        <v>10986</v>
      </c>
      <c r="P90">
        <v>5</v>
      </c>
      <c r="Q90">
        <v>10986</v>
      </c>
      <c r="R90">
        <v>4</v>
      </c>
      <c r="S90">
        <v>8788.7999999999993</v>
      </c>
      <c r="T90">
        <v>19</v>
      </c>
      <c r="U90">
        <v>41746.799999999996</v>
      </c>
      <c r="V90">
        <v>22</v>
      </c>
      <c r="W90">
        <v>48338.399999999994</v>
      </c>
      <c r="X90">
        <v>21</v>
      </c>
      <c r="Y90">
        <v>46141.2</v>
      </c>
      <c r="Z90">
        <v>19</v>
      </c>
      <c r="AA90">
        <v>41746.799999999996</v>
      </c>
      <c r="AB90">
        <v>26</v>
      </c>
      <c r="AC90">
        <v>57127.199999999997</v>
      </c>
      <c r="AD90">
        <v>25</v>
      </c>
      <c r="AE90">
        <v>54929.999999999993</v>
      </c>
      <c r="AF90">
        <v>33</v>
      </c>
      <c r="AG90">
        <v>72507.599999999991</v>
      </c>
      <c r="AH90">
        <v>31</v>
      </c>
      <c r="AI90">
        <v>68113.2</v>
      </c>
      <c r="AJ90">
        <v>5</v>
      </c>
      <c r="AK90">
        <v>10986</v>
      </c>
      <c r="AL90">
        <v>4</v>
      </c>
      <c r="AM90">
        <v>8788.7999999999993</v>
      </c>
      <c r="AN90">
        <v>4</v>
      </c>
      <c r="AO90">
        <v>8788.7999999999993</v>
      </c>
      <c r="AP90">
        <v>5</v>
      </c>
      <c r="AQ90">
        <v>10986</v>
      </c>
      <c r="AR90">
        <v>6</v>
      </c>
      <c r="AS90">
        <v>13183.199999999999</v>
      </c>
      <c r="AT90">
        <v>6</v>
      </c>
      <c r="AU90">
        <v>13183.199999999999</v>
      </c>
      <c r="AV90">
        <v>9</v>
      </c>
      <c r="AW90">
        <v>19774.8</v>
      </c>
      <c r="AX90">
        <v>7</v>
      </c>
      <c r="AY90">
        <v>15380.399999999998</v>
      </c>
      <c r="AZ90">
        <v>5</v>
      </c>
      <c r="BA90">
        <v>10986</v>
      </c>
      <c r="BB90">
        <v>5</v>
      </c>
      <c r="BC90">
        <v>10986</v>
      </c>
      <c r="BD90">
        <v>3</v>
      </c>
      <c r="BE90">
        <v>6591.5999999999995</v>
      </c>
      <c r="BF90">
        <v>3</v>
      </c>
      <c r="BG90">
        <v>6591.5999999999995</v>
      </c>
      <c r="BH90">
        <v>42</v>
      </c>
      <c r="BI90">
        <v>92282.4</v>
      </c>
      <c r="BJ90">
        <v>35</v>
      </c>
      <c r="BK90">
        <v>76902</v>
      </c>
      <c r="BL90">
        <v>40</v>
      </c>
      <c r="BM90">
        <v>87888</v>
      </c>
      <c r="BN90">
        <v>55</v>
      </c>
      <c r="BO90">
        <v>120845.99999999999</v>
      </c>
      <c r="BP90">
        <v>9</v>
      </c>
      <c r="BQ90">
        <v>19774.8</v>
      </c>
      <c r="BR90">
        <v>16</v>
      </c>
      <c r="BS90">
        <v>35155.199999999997</v>
      </c>
      <c r="BT90">
        <v>13</v>
      </c>
      <c r="BU90">
        <v>28563.599999999999</v>
      </c>
      <c r="BV90">
        <v>15</v>
      </c>
      <c r="BW90">
        <v>32958</v>
      </c>
      <c r="BX90">
        <v>13</v>
      </c>
      <c r="BY90">
        <v>28563.599999999999</v>
      </c>
      <c r="BZ90">
        <v>10</v>
      </c>
      <c r="CA90">
        <v>21972</v>
      </c>
      <c r="CB90">
        <v>15</v>
      </c>
      <c r="CC90">
        <v>32958</v>
      </c>
      <c r="CD90">
        <v>16</v>
      </c>
      <c r="CE90">
        <v>35155.199999999997</v>
      </c>
      <c r="CF90">
        <v>3</v>
      </c>
      <c r="CG90">
        <v>6591.5999999999995</v>
      </c>
      <c r="CH90">
        <v>5</v>
      </c>
      <c r="CI90">
        <v>10986</v>
      </c>
      <c r="CJ90">
        <v>4</v>
      </c>
      <c r="CK90">
        <v>8788.7999999999993</v>
      </c>
      <c r="CL90">
        <v>3</v>
      </c>
      <c r="CM90">
        <v>6591.5999999999995</v>
      </c>
      <c r="CN90">
        <v>12</v>
      </c>
      <c r="CO90">
        <v>26366.399999999998</v>
      </c>
      <c r="CP90">
        <v>9</v>
      </c>
      <c r="CQ90">
        <v>19774.8</v>
      </c>
      <c r="CR90">
        <v>11</v>
      </c>
      <c r="CS90">
        <v>24169.199999999997</v>
      </c>
      <c r="CT90">
        <v>7</v>
      </c>
      <c r="CU90">
        <v>15380.399999999998</v>
      </c>
    </row>
    <row r="91" spans="2:99" x14ac:dyDescent="0.2">
      <c r="C91" s="118" t="s">
        <v>257</v>
      </c>
      <c r="D91">
        <v>0</v>
      </c>
      <c r="E91">
        <v>0</v>
      </c>
      <c r="F91">
        <v>7</v>
      </c>
      <c r="G91">
        <v>16077.599999999999</v>
      </c>
      <c r="H91">
        <v>10</v>
      </c>
      <c r="I91">
        <v>22967.999999999996</v>
      </c>
      <c r="J91">
        <v>9</v>
      </c>
      <c r="K91">
        <v>20671.199999999997</v>
      </c>
      <c r="L91">
        <v>6</v>
      </c>
      <c r="M91">
        <v>13780.8</v>
      </c>
      <c r="N91">
        <v>5</v>
      </c>
      <c r="O91">
        <v>11483.999999999998</v>
      </c>
      <c r="P91">
        <v>5</v>
      </c>
      <c r="Q91">
        <v>11483.999999999998</v>
      </c>
      <c r="R91">
        <v>3</v>
      </c>
      <c r="S91">
        <v>6890.4</v>
      </c>
      <c r="T91">
        <v>17</v>
      </c>
      <c r="U91">
        <v>39045.599999999999</v>
      </c>
      <c r="V91">
        <v>22</v>
      </c>
      <c r="W91">
        <v>50529.599999999991</v>
      </c>
      <c r="X91">
        <v>19</v>
      </c>
      <c r="Y91">
        <v>43639.199999999997</v>
      </c>
      <c r="Z91">
        <v>20</v>
      </c>
      <c r="AA91">
        <v>45935.999999999993</v>
      </c>
      <c r="AB91">
        <v>23</v>
      </c>
      <c r="AC91">
        <v>52826.399999999994</v>
      </c>
      <c r="AD91">
        <v>25</v>
      </c>
      <c r="AE91">
        <v>57419.999999999993</v>
      </c>
      <c r="AF91">
        <v>36</v>
      </c>
      <c r="AG91">
        <v>82684.799999999988</v>
      </c>
      <c r="AH91">
        <v>31</v>
      </c>
      <c r="AI91">
        <v>71200.799999999988</v>
      </c>
      <c r="AJ91">
        <v>5</v>
      </c>
      <c r="AK91">
        <v>11483.999999999998</v>
      </c>
      <c r="AL91">
        <v>5</v>
      </c>
      <c r="AM91">
        <v>11483.999999999998</v>
      </c>
      <c r="AN91">
        <v>4</v>
      </c>
      <c r="AO91">
        <v>9187.1999999999989</v>
      </c>
      <c r="AP91">
        <v>4</v>
      </c>
      <c r="AQ91">
        <v>9187.1999999999989</v>
      </c>
      <c r="AR91">
        <v>6</v>
      </c>
      <c r="AS91">
        <v>13780.8</v>
      </c>
      <c r="AT91">
        <v>6</v>
      </c>
      <c r="AU91">
        <v>13780.8</v>
      </c>
      <c r="AV91">
        <v>10</v>
      </c>
      <c r="AW91">
        <v>22967.999999999996</v>
      </c>
      <c r="AX91">
        <v>7</v>
      </c>
      <c r="AY91">
        <v>16077.599999999999</v>
      </c>
      <c r="AZ91">
        <v>5</v>
      </c>
      <c r="BA91">
        <v>11483.999999999998</v>
      </c>
      <c r="BB91">
        <v>5</v>
      </c>
      <c r="BC91">
        <v>11483.999999999998</v>
      </c>
      <c r="BD91">
        <v>3</v>
      </c>
      <c r="BE91">
        <v>6890.4</v>
      </c>
      <c r="BF91">
        <v>3</v>
      </c>
      <c r="BG91">
        <v>6890.4</v>
      </c>
      <c r="BH91">
        <v>44</v>
      </c>
      <c r="BI91">
        <v>101059.19999999998</v>
      </c>
      <c r="BJ91">
        <v>38</v>
      </c>
      <c r="BK91">
        <v>87278.399999999994</v>
      </c>
      <c r="BL91">
        <v>39</v>
      </c>
      <c r="BM91">
        <v>89575.199999999983</v>
      </c>
      <c r="BN91">
        <v>57</v>
      </c>
      <c r="BO91">
        <v>130917.59999999999</v>
      </c>
      <c r="BP91">
        <v>10</v>
      </c>
      <c r="BQ91">
        <v>22967.999999999996</v>
      </c>
      <c r="BR91">
        <v>16</v>
      </c>
      <c r="BS91">
        <v>36748.799999999996</v>
      </c>
      <c r="BT91">
        <v>11</v>
      </c>
      <c r="BU91">
        <v>25264.799999999996</v>
      </c>
      <c r="BV91">
        <v>14</v>
      </c>
      <c r="BW91">
        <v>32155.199999999997</v>
      </c>
      <c r="BX91">
        <v>14</v>
      </c>
      <c r="BY91">
        <v>32155.199999999997</v>
      </c>
      <c r="BZ91">
        <v>11</v>
      </c>
      <c r="CA91">
        <v>25264.799999999996</v>
      </c>
      <c r="CB91">
        <v>16</v>
      </c>
      <c r="CC91">
        <v>36748.799999999996</v>
      </c>
      <c r="CD91">
        <v>17</v>
      </c>
      <c r="CE91">
        <v>39045.599999999999</v>
      </c>
      <c r="CF91">
        <v>4</v>
      </c>
      <c r="CG91">
        <v>9187.1999999999989</v>
      </c>
      <c r="CH91">
        <v>5</v>
      </c>
      <c r="CI91">
        <v>11483.999999999998</v>
      </c>
      <c r="CJ91">
        <v>3</v>
      </c>
      <c r="CK91">
        <v>6890.4</v>
      </c>
      <c r="CL91">
        <v>4</v>
      </c>
      <c r="CM91">
        <v>9187.1999999999989</v>
      </c>
      <c r="CN91">
        <v>11</v>
      </c>
      <c r="CO91">
        <v>25264.799999999996</v>
      </c>
      <c r="CP91">
        <v>8</v>
      </c>
      <c r="CQ91">
        <v>18374.399999999998</v>
      </c>
      <c r="CR91">
        <v>11</v>
      </c>
      <c r="CS91">
        <v>25264.799999999996</v>
      </c>
      <c r="CT91">
        <v>7</v>
      </c>
      <c r="CU91">
        <v>16077.599999999999</v>
      </c>
    </row>
    <row r="92" spans="2:99" x14ac:dyDescent="0.2">
      <c r="C92" s="118" t="s">
        <v>258</v>
      </c>
      <c r="D92">
        <v>0</v>
      </c>
      <c r="E92">
        <v>0</v>
      </c>
      <c r="F92">
        <v>7</v>
      </c>
      <c r="G92">
        <v>9945.6</v>
      </c>
      <c r="H92">
        <v>10</v>
      </c>
      <c r="I92">
        <v>14208</v>
      </c>
      <c r="J92">
        <v>9</v>
      </c>
      <c r="K92">
        <v>12787.199999999999</v>
      </c>
      <c r="L92">
        <v>6</v>
      </c>
      <c r="M92">
        <v>8524.7999999999993</v>
      </c>
      <c r="N92">
        <v>5</v>
      </c>
      <c r="O92">
        <v>7104</v>
      </c>
      <c r="P92">
        <v>5</v>
      </c>
      <c r="Q92">
        <v>7104</v>
      </c>
      <c r="R92">
        <v>4</v>
      </c>
      <c r="S92">
        <v>5683.2</v>
      </c>
      <c r="T92">
        <v>22</v>
      </c>
      <c r="U92">
        <v>31257.599999999999</v>
      </c>
      <c r="V92">
        <v>22</v>
      </c>
      <c r="W92">
        <v>31257.599999999999</v>
      </c>
      <c r="X92">
        <v>22</v>
      </c>
      <c r="Y92">
        <v>31257.599999999999</v>
      </c>
      <c r="Z92">
        <v>23</v>
      </c>
      <c r="AA92">
        <v>32678.399999999998</v>
      </c>
      <c r="AB92">
        <v>26</v>
      </c>
      <c r="AC92">
        <v>36940.799999999996</v>
      </c>
      <c r="AD92">
        <v>28</v>
      </c>
      <c r="AE92">
        <v>39782.400000000001</v>
      </c>
      <c r="AF92">
        <v>43</v>
      </c>
      <c r="AG92">
        <v>61094.400000000001</v>
      </c>
      <c r="AH92">
        <v>32</v>
      </c>
      <c r="AI92">
        <v>45465.599999999999</v>
      </c>
      <c r="AJ92">
        <v>5</v>
      </c>
      <c r="AK92">
        <v>7104</v>
      </c>
      <c r="AL92">
        <v>5</v>
      </c>
      <c r="AM92">
        <v>7104</v>
      </c>
      <c r="AN92">
        <v>4</v>
      </c>
      <c r="AO92">
        <v>5683.2</v>
      </c>
      <c r="AP92">
        <v>4</v>
      </c>
      <c r="AQ92">
        <v>5683.2</v>
      </c>
      <c r="AR92">
        <v>6</v>
      </c>
      <c r="AS92">
        <v>8524.7999999999993</v>
      </c>
      <c r="AT92">
        <v>7</v>
      </c>
      <c r="AU92">
        <v>9945.6</v>
      </c>
      <c r="AV92">
        <v>9</v>
      </c>
      <c r="AW92">
        <v>12787.199999999999</v>
      </c>
      <c r="AX92">
        <v>8</v>
      </c>
      <c r="AY92">
        <v>11366.4</v>
      </c>
      <c r="AZ92">
        <v>5</v>
      </c>
      <c r="BA92">
        <v>7104</v>
      </c>
      <c r="BB92">
        <v>5</v>
      </c>
      <c r="BC92">
        <v>7104</v>
      </c>
      <c r="BD92">
        <v>3</v>
      </c>
      <c r="BE92">
        <v>4262.3999999999996</v>
      </c>
      <c r="BF92">
        <v>4</v>
      </c>
      <c r="BG92">
        <v>5683.2</v>
      </c>
      <c r="BH92">
        <v>51</v>
      </c>
      <c r="BI92">
        <v>72460.800000000003</v>
      </c>
      <c r="BJ92">
        <v>40</v>
      </c>
      <c r="BK92">
        <v>56832</v>
      </c>
      <c r="BL92">
        <v>47</v>
      </c>
      <c r="BM92">
        <v>66777.599999999991</v>
      </c>
      <c r="BN92">
        <v>73</v>
      </c>
      <c r="BO92">
        <v>103718.39999999999</v>
      </c>
      <c r="BP92">
        <v>12</v>
      </c>
      <c r="BQ92">
        <v>17049.599999999999</v>
      </c>
      <c r="BR92">
        <v>17</v>
      </c>
      <c r="BS92">
        <v>24153.599999999999</v>
      </c>
      <c r="BT92">
        <v>12</v>
      </c>
      <c r="BU92">
        <v>17049.599999999999</v>
      </c>
      <c r="BV92">
        <v>15</v>
      </c>
      <c r="BW92">
        <v>21312</v>
      </c>
      <c r="BX92">
        <v>14</v>
      </c>
      <c r="BY92">
        <v>19891.2</v>
      </c>
      <c r="BZ92">
        <v>10</v>
      </c>
      <c r="CA92">
        <v>14208</v>
      </c>
      <c r="CB92">
        <v>16</v>
      </c>
      <c r="CC92">
        <v>22732.799999999999</v>
      </c>
      <c r="CD92">
        <v>21</v>
      </c>
      <c r="CE92">
        <v>29836.799999999999</v>
      </c>
      <c r="CF92">
        <v>4</v>
      </c>
      <c r="CG92">
        <v>5683.2</v>
      </c>
      <c r="CH92">
        <v>5</v>
      </c>
      <c r="CI92">
        <v>7104</v>
      </c>
      <c r="CJ92">
        <v>4</v>
      </c>
      <c r="CK92">
        <v>5683.2</v>
      </c>
      <c r="CL92">
        <v>4</v>
      </c>
      <c r="CM92">
        <v>5683.2</v>
      </c>
      <c r="CN92">
        <v>12</v>
      </c>
      <c r="CO92">
        <v>17049.599999999999</v>
      </c>
      <c r="CP92">
        <v>8</v>
      </c>
      <c r="CQ92">
        <v>11366.4</v>
      </c>
      <c r="CR92">
        <v>15</v>
      </c>
      <c r="CS92">
        <v>21312</v>
      </c>
      <c r="CT92">
        <v>8</v>
      </c>
      <c r="CU92">
        <v>11366.4</v>
      </c>
    </row>
    <row r="93" spans="2:99" x14ac:dyDescent="0.2">
      <c r="C93" s="118" t="s">
        <v>259</v>
      </c>
      <c r="D93">
        <v>0</v>
      </c>
      <c r="E93">
        <v>0</v>
      </c>
      <c r="F93">
        <v>7</v>
      </c>
      <c r="G93">
        <v>12406.8</v>
      </c>
      <c r="H93">
        <v>9</v>
      </c>
      <c r="I93">
        <v>15951.599999999999</v>
      </c>
      <c r="J93">
        <v>9</v>
      </c>
      <c r="K93">
        <v>15951.599999999999</v>
      </c>
      <c r="L93">
        <v>6</v>
      </c>
      <c r="M93">
        <v>10634.4</v>
      </c>
      <c r="N93">
        <v>5</v>
      </c>
      <c r="O93">
        <v>8862</v>
      </c>
      <c r="P93">
        <v>5</v>
      </c>
      <c r="Q93">
        <v>8862</v>
      </c>
      <c r="R93">
        <v>3</v>
      </c>
      <c r="S93">
        <v>5317.2</v>
      </c>
      <c r="T93">
        <v>18</v>
      </c>
      <c r="U93">
        <v>31903.199999999997</v>
      </c>
      <c r="V93">
        <v>21</v>
      </c>
      <c r="W93">
        <v>37220.399999999994</v>
      </c>
      <c r="X93">
        <v>20</v>
      </c>
      <c r="Y93">
        <v>35448</v>
      </c>
      <c r="Z93">
        <v>20</v>
      </c>
      <c r="AA93">
        <v>35448</v>
      </c>
      <c r="AB93">
        <v>29</v>
      </c>
      <c r="AC93">
        <v>51399.6</v>
      </c>
      <c r="AD93">
        <v>28</v>
      </c>
      <c r="AE93">
        <v>49627.199999999997</v>
      </c>
      <c r="AF93">
        <v>42</v>
      </c>
      <c r="AG93">
        <v>74440.799999999988</v>
      </c>
      <c r="AH93">
        <v>33</v>
      </c>
      <c r="AI93">
        <v>58489.2</v>
      </c>
      <c r="AJ93">
        <v>5</v>
      </c>
      <c r="AK93">
        <v>8862</v>
      </c>
      <c r="AL93">
        <v>5</v>
      </c>
      <c r="AM93">
        <v>8862</v>
      </c>
      <c r="AN93">
        <v>4</v>
      </c>
      <c r="AO93">
        <v>7089.5999999999995</v>
      </c>
      <c r="AP93">
        <v>5</v>
      </c>
      <c r="AQ93">
        <v>8862</v>
      </c>
      <c r="AR93">
        <v>5</v>
      </c>
      <c r="AS93">
        <v>8862</v>
      </c>
      <c r="AT93">
        <v>7</v>
      </c>
      <c r="AU93">
        <v>12406.8</v>
      </c>
      <c r="AV93">
        <v>9</v>
      </c>
      <c r="AW93">
        <v>15951.599999999999</v>
      </c>
      <c r="AX93">
        <v>7</v>
      </c>
      <c r="AY93">
        <v>12406.8</v>
      </c>
      <c r="AZ93">
        <v>5</v>
      </c>
      <c r="BA93">
        <v>8862</v>
      </c>
      <c r="BB93">
        <v>5</v>
      </c>
      <c r="BC93">
        <v>8862</v>
      </c>
      <c r="BD93">
        <v>3</v>
      </c>
      <c r="BE93">
        <v>5317.2</v>
      </c>
      <c r="BF93">
        <v>4</v>
      </c>
      <c r="BG93">
        <v>7089.5999999999995</v>
      </c>
      <c r="BH93">
        <v>52</v>
      </c>
      <c r="BI93">
        <v>92164.799999999988</v>
      </c>
      <c r="BJ93">
        <v>41</v>
      </c>
      <c r="BK93">
        <v>72668.399999999994</v>
      </c>
      <c r="BL93">
        <v>47</v>
      </c>
      <c r="BM93">
        <v>83302.799999999988</v>
      </c>
      <c r="BN93">
        <v>65</v>
      </c>
      <c r="BO93">
        <v>115205.99999999999</v>
      </c>
      <c r="BP93">
        <v>9</v>
      </c>
      <c r="BQ93">
        <v>15951.599999999999</v>
      </c>
      <c r="BR93">
        <v>16</v>
      </c>
      <c r="BS93">
        <v>28358.399999999998</v>
      </c>
      <c r="BT93">
        <v>11</v>
      </c>
      <c r="BU93">
        <v>19496.399999999998</v>
      </c>
      <c r="BV93">
        <v>15</v>
      </c>
      <c r="BW93">
        <v>26585.999999999996</v>
      </c>
      <c r="BX93">
        <v>13</v>
      </c>
      <c r="BY93">
        <v>23041.199999999997</v>
      </c>
      <c r="BZ93">
        <v>11</v>
      </c>
      <c r="CA93">
        <v>19496.399999999998</v>
      </c>
      <c r="CB93">
        <v>18</v>
      </c>
      <c r="CC93">
        <v>31903.199999999997</v>
      </c>
      <c r="CD93">
        <v>17</v>
      </c>
      <c r="CE93">
        <v>30130.799999999999</v>
      </c>
      <c r="CF93">
        <v>4</v>
      </c>
      <c r="CG93">
        <v>7089.5999999999995</v>
      </c>
      <c r="CH93">
        <v>5</v>
      </c>
      <c r="CI93">
        <v>8862</v>
      </c>
      <c r="CJ93">
        <v>4</v>
      </c>
      <c r="CK93">
        <v>7089.5999999999995</v>
      </c>
      <c r="CL93">
        <v>4</v>
      </c>
      <c r="CM93">
        <v>7089.5999999999995</v>
      </c>
      <c r="CN93">
        <v>11</v>
      </c>
      <c r="CO93">
        <v>19496.399999999998</v>
      </c>
      <c r="CP93">
        <v>8</v>
      </c>
      <c r="CQ93">
        <v>14179.199999999999</v>
      </c>
      <c r="CR93">
        <v>12</v>
      </c>
      <c r="CS93">
        <v>21268.799999999999</v>
      </c>
      <c r="CT93">
        <v>8</v>
      </c>
      <c r="CU93">
        <v>14179.199999999999</v>
      </c>
    </row>
    <row r="94" spans="2:99" x14ac:dyDescent="0.2">
      <c r="C94" s="118" t="s">
        <v>260</v>
      </c>
      <c r="D94">
        <v>0</v>
      </c>
      <c r="E94">
        <v>0</v>
      </c>
      <c r="F94">
        <v>6</v>
      </c>
      <c r="G94">
        <v>14371.199999999999</v>
      </c>
      <c r="H94">
        <v>10</v>
      </c>
      <c r="I94">
        <v>23952</v>
      </c>
      <c r="J94">
        <v>9</v>
      </c>
      <c r="K94">
        <v>21556.799999999999</v>
      </c>
      <c r="L94">
        <v>6</v>
      </c>
      <c r="M94">
        <v>14371.199999999999</v>
      </c>
      <c r="N94">
        <v>5</v>
      </c>
      <c r="O94">
        <v>11976</v>
      </c>
      <c r="P94">
        <v>5</v>
      </c>
      <c r="Q94">
        <v>11976</v>
      </c>
      <c r="R94">
        <v>4</v>
      </c>
      <c r="S94">
        <v>9580.7999999999993</v>
      </c>
      <c r="T94">
        <v>18</v>
      </c>
      <c r="U94">
        <v>43113.599999999999</v>
      </c>
      <c r="V94">
        <v>22</v>
      </c>
      <c r="W94">
        <v>52694.399999999994</v>
      </c>
      <c r="X94">
        <v>20</v>
      </c>
      <c r="Y94">
        <v>47904</v>
      </c>
      <c r="Z94">
        <v>19</v>
      </c>
      <c r="AA94">
        <v>45508.799999999996</v>
      </c>
      <c r="AB94">
        <v>24</v>
      </c>
      <c r="AC94">
        <v>57484.799999999996</v>
      </c>
      <c r="AD94">
        <v>26</v>
      </c>
      <c r="AE94">
        <v>62275.199999999997</v>
      </c>
      <c r="AF94">
        <v>32</v>
      </c>
      <c r="AG94">
        <v>76646.399999999994</v>
      </c>
      <c r="AH94">
        <v>27</v>
      </c>
      <c r="AI94">
        <v>64670.399999999994</v>
      </c>
      <c r="AJ94">
        <v>5</v>
      </c>
      <c r="AK94">
        <v>11976</v>
      </c>
      <c r="AL94">
        <v>4</v>
      </c>
      <c r="AM94">
        <v>9580.7999999999993</v>
      </c>
      <c r="AN94">
        <v>3</v>
      </c>
      <c r="AO94">
        <v>7185.5999999999995</v>
      </c>
      <c r="AP94">
        <v>5</v>
      </c>
      <c r="AQ94">
        <v>11976</v>
      </c>
      <c r="AR94">
        <v>6</v>
      </c>
      <c r="AS94">
        <v>14371.199999999999</v>
      </c>
      <c r="AT94">
        <v>7</v>
      </c>
      <c r="AU94">
        <v>16766.399999999998</v>
      </c>
      <c r="AV94">
        <v>10</v>
      </c>
      <c r="AW94">
        <v>23952</v>
      </c>
      <c r="AX94">
        <v>7</v>
      </c>
      <c r="AY94">
        <v>16766.399999999998</v>
      </c>
      <c r="AZ94">
        <v>5</v>
      </c>
      <c r="BA94">
        <v>11976</v>
      </c>
      <c r="BB94">
        <v>5</v>
      </c>
      <c r="BC94">
        <v>11976</v>
      </c>
      <c r="BD94">
        <v>3</v>
      </c>
      <c r="BE94">
        <v>7185.5999999999995</v>
      </c>
      <c r="BF94">
        <v>3</v>
      </c>
      <c r="BG94">
        <v>7185.5999999999995</v>
      </c>
      <c r="BH94">
        <v>47</v>
      </c>
      <c r="BI94">
        <v>112574.39999999999</v>
      </c>
      <c r="BJ94">
        <v>39</v>
      </c>
      <c r="BK94">
        <v>93412.799999999988</v>
      </c>
      <c r="BL94">
        <v>45</v>
      </c>
      <c r="BM94">
        <v>107783.99999999999</v>
      </c>
      <c r="BN94">
        <v>58</v>
      </c>
      <c r="BO94">
        <v>138921.59999999998</v>
      </c>
      <c r="BP94">
        <v>9</v>
      </c>
      <c r="BQ94">
        <v>21556.799999999999</v>
      </c>
      <c r="BR94">
        <v>16</v>
      </c>
      <c r="BS94">
        <v>38323.199999999997</v>
      </c>
      <c r="BT94">
        <v>11</v>
      </c>
      <c r="BU94">
        <v>26347.199999999997</v>
      </c>
      <c r="BV94">
        <v>14</v>
      </c>
      <c r="BW94">
        <v>33532.799999999996</v>
      </c>
      <c r="BX94">
        <v>12</v>
      </c>
      <c r="BY94">
        <v>28742.399999999998</v>
      </c>
      <c r="BZ94">
        <v>10</v>
      </c>
      <c r="CA94">
        <v>23952</v>
      </c>
      <c r="CB94">
        <v>15</v>
      </c>
      <c r="CC94">
        <v>35928</v>
      </c>
      <c r="CD94">
        <v>17</v>
      </c>
      <c r="CE94">
        <v>40718.399999999994</v>
      </c>
      <c r="CF94">
        <v>4</v>
      </c>
      <c r="CG94">
        <v>9580.7999999999993</v>
      </c>
      <c r="CH94">
        <v>5</v>
      </c>
      <c r="CI94">
        <v>11976</v>
      </c>
      <c r="CJ94">
        <v>4</v>
      </c>
      <c r="CK94">
        <v>9580.7999999999993</v>
      </c>
      <c r="CL94">
        <v>4</v>
      </c>
      <c r="CM94">
        <v>9580.7999999999993</v>
      </c>
      <c r="CN94">
        <v>12</v>
      </c>
      <c r="CO94">
        <v>28742.399999999998</v>
      </c>
      <c r="CP94">
        <v>9</v>
      </c>
      <c r="CQ94">
        <v>21556.799999999999</v>
      </c>
      <c r="CR94">
        <v>14</v>
      </c>
      <c r="CS94">
        <v>33532.799999999996</v>
      </c>
      <c r="CT94">
        <v>7</v>
      </c>
      <c r="CU94">
        <v>16766.399999999998</v>
      </c>
    </row>
    <row r="95" spans="2:99" x14ac:dyDescent="0.2">
      <c r="B95" s="118" t="s">
        <v>132</v>
      </c>
      <c r="C95" s="118" t="s">
        <v>261</v>
      </c>
      <c r="D95">
        <v>0</v>
      </c>
      <c r="E95">
        <v>0</v>
      </c>
      <c r="F95">
        <v>10</v>
      </c>
      <c r="G95">
        <v>17328</v>
      </c>
      <c r="H95">
        <v>10</v>
      </c>
      <c r="I95">
        <v>17328</v>
      </c>
      <c r="J95">
        <v>15</v>
      </c>
      <c r="K95">
        <v>25992</v>
      </c>
      <c r="L95">
        <v>8</v>
      </c>
      <c r="M95">
        <v>13862.4</v>
      </c>
      <c r="N95">
        <v>11</v>
      </c>
      <c r="O95">
        <v>19060.8</v>
      </c>
      <c r="P95">
        <v>10</v>
      </c>
      <c r="Q95">
        <v>17328</v>
      </c>
      <c r="R95">
        <v>10</v>
      </c>
      <c r="S95">
        <v>17328</v>
      </c>
      <c r="T95">
        <v>11</v>
      </c>
      <c r="U95">
        <v>19060.8</v>
      </c>
      <c r="V95">
        <v>8</v>
      </c>
      <c r="W95">
        <v>13862.4</v>
      </c>
      <c r="X95">
        <v>7</v>
      </c>
      <c r="Y95">
        <v>12129.6</v>
      </c>
      <c r="Z95">
        <v>7</v>
      </c>
      <c r="AA95">
        <v>12129.6</v>
      </c>
      <c r="AB95">
        <v>7</v>
      </c>
      <c r="AC95">
        <v>12129.6</v>
      </c>
      <c r="AD95">
        <v>12</v>
      </c>
      <c r="AE95">
        <v>20793.599999999999</v>
      </c>
      <c r="AF95">
        <v>10</v>
      </c>
      <c r="AG95">
        <v>17328</v>
      </c>
      <c r="AH95">
        <v>10</v>
      </c>
      <c r="AI95">
        <v>17328</v>
      </c>
      <c r="AJ95">
        <v>38</v>
      </c>
      <c r="AK95">
        <v>65846.399999999994</v>
      </c>
      <c r="AL95">
        <v>35</v>
      </c>
      <c r="AM95">
        <v>60648</v>
      </c>
      <c r="AN95">
        <v>33</v>
      </c>
      <c r="AO95">
        <v>57182.400000000001</v>
      </c>
      <c r="AP95">
        <v>19</v>
      </c>
      <c r="AQ95">
        <v>32923.199999999997</v>
      </c>
      <c r="AR95">
        <v>7</v>
      </c>
      <c r="AS95">
        <v>12129.6</v>
      </c>
      <c r="AT95">
        <v>6</v>
      </c>
      <c r="AU95">
        <v>10396.799999999999</v>
      </c>
      <c r="AV95">
        <v>8</v>
      </c>
      <c r="AW95">
        <v>13862.4</v>
      </c>
      <c r="AX95">
        <v>8</v>
      </c>
      <c r="AY95">
        <v>13862.4</v>
      </c>
      <c r="AZ95">
        <v>30</v>
      </c>
      <c r="BA95">
        <v>51984</v>
      </c>
      <c r="BB95">
        <v>32</v>
      </c>
      <c r="BC95">
        <v>55449.599999999999</v>
      </c>
      <c r="BD95">
        <v>26</v>
      </c>
      <c r="BE95">
        <v>45052.799999999996</v>
      </c>
      <c r="BF95">
        <v>46</v>
      </c>
      <c r="BG95">
        <v>79708.800000000003</v>
      </c>
      <c r="BH95">
        <v>12</v>
      </c>
      <c r="BI95">
        <v>20793.599999999999</v>
      </c>
      <c r="BJ95">
        <v>14</v>
      </c>
      <c r="BK95">
        <v>24259.200000000001</v>
      </c>
      <c r="BL95">
        <v>13</v>
      </c>
      <c r="BM95">
        <v>22526.399999999998</v>
      </c>
      <c r="BN95">
        <v>11</v>
      </c>
      <c r="BO95">
        <v>19060.8</v>
      </c>
      <c r="BP95">
        <v>69</v>
      </c>
      <c r="BQ95">
        <v>119563.2</v>
      </c>
      <c r="BR95">
        <v>68</v>
      </c>
      <c r="BS95">
        <v>117830.39999999999</v>
      </c>
      <c r="BT95">
        <v>60</v>
      </c>
      <c r="BU95">
        <v>103968</v>
      </c>
      <c r="BV95">
        <v>60</v>
      </c>
      <c r="BW95">
        <v>103968</v>
      </c>
      <c r="BX95">
        <v>14</v>
      </c>
      <c r="BY95">
        <v>24259.200000000001</v>
      </c>
      <c r="BZ95">
        <v>20</v>
      </c>
      <c r="CA95">
        <v>34656</v>
      </c>
      <c r="CB95">
        <v>15</v>
      </c>
      <c r="CC95">
        <v>25992</v>
      </c>
      <c r="CD95">
        <v>16</v>
      </c>
      <c r="CE95">
        <v>27724.799999999999</v>
      </c>
      <c r="CF95">
        <v>29</v>
      </c>
      <c r="CG95">
        <v>50251.199999999997</v>
      </c>
      <c r="CH95">
        <v>22</v>
      </c>
      <c r="CI95">
        <v>38121.599999999999</v>
      </c>
      <c r="CJ95">
        <v>26</v>
      </c>
      <c r="CK95">
        <v>45052.799999999996</v>
      </c>
      <c r="CL95">
        <v>19</v>
      </c>
      <c r="CM95">
        <v>32923.199999999997</v>
      </c>
      <c r="CN95">
        <v>8</v>
      </c>
      <c r="CO95">
        <v>13862.4</v>
      </c>
      <c r="CP95">
        <v>8</v>
      </c>
      <c r="CQ95">
        <v>13862.4</v>
      </c>
      <c r="CR95">
        <v>7</v>
      </c>
      <c r="CS95">
        <v>12129.6</v>
      </c>
      <c r="CT95">
        <v>4</v>
      </c>
      <c r="CU95">
        <v>6931.2</v>
      </c>
    </row>
    <row r="96" spans="2:99" x14ac:dyDescent="0.2">
      <c r="C96" s="118" t="s">
        <v>262</v>
      </c>
      <c r="D96">
        <v>0</v>
      </c>
      <c r="E96">
        <v>0</v>
      </c>
      <c r="F96">
        <v>10</v>
      </c>
      <c r="G96">
        <v>8232</v>
      </c>
      <c r="H96">
        <v>11</v>
      </c>
      <c r="I96">
        <v>9055.1999999999989</v>
      </c>
      <c r="J96">
        <v>17</v>
      </c>
      <c r="K96">
        <v>13994.4</v>
      </c>
      <c r="L96">
        <v>9</v>
      </c>
      <c r="M96">
        <v>7408.7999999999993</v>
      </c>
      <c r="N96">
        <v>11</v>
      </c>
      <c r="O96">
        <v>9055.1999999999989</v>
      </c>
      <c r="P96">
        <v>11</v>
      </c>
      <c r="Q96">
        <v>9055.1999999999989</v>
      </c>
      <c r="R96">
        <v>9</v>
      </c>
      <c r="S96">
        <v>7408.7999999999993</v>
      </c>
      <c r="T96">
        <v>11</v>
      </c>
      <c r="U96">
        <v>9055.1999999999989</v>
      </c>
      <c r="V96">
        <v>11</v>
      </c>
      <c r="W96">
        <v>9055.1999999999989</v>
      </c>
      <c r="X96">
        <v>7</v>
      </c>
      <c r="Y96">
        <v>5762.4</v>
      </c>
      <c r="Z96">
        <v>8</v>
      </c>
      <c r="AA96">
        <v>6585.5999999999995</v>
      </c>
      <c r="AB96">
        <v>7</v>
      </c>
      <c r="AC96">
        <v>5762.4</v>
      </c>
      <c r="AD96">
        <v>11</v>
      </c>
      <c r="AE96">
        <v>9055.1999999999989</v>
      </c>
      <c r="AF96">
        <v>11</v>
      </c>
      <c r="AG96">
        <v>9055.1999999999989</v>
      </c>
      <c r="AH96">
        <v>10</v>
      </c>
      <c r="AI96">
        <v>8232</v>
      </c>
      <c r="AJ96">
        <v>38</v>
      </c>
      <c r="AK96">
        <v>31281.599999999999</v>
      </c>
      <c r="AL96">
        <v>32</v>
      </c>
      <c r="AM96">
        <v>26342.399999999998</v>
      </c>
      <c r="AN96">
        <v>42</v>
      </c>
      <c r="AO96">
        <v>34574.399999999994</v>
      </c>
      <c r="AP96">
        <v>20</v>
      </c>
      <c r="AQ96">
        <v>16464</v>
      </c>
      <c r="AR96">
        <v>8</v>
      </c>
      <c r="AS96">
        <v>6585.5999999999995</v>
      </c>
      <c r="AT96">
        <v>6</v>
      </c>
      <c r="AU96">
        <v>4939.2</v>
      </c>
      <c r="AV96">
        <v>7</v>
      </c>
      <c r="AW96">
        <v>5762.4</v>
      </c>
      <c r="AX96">
        <v>8</v>
      </c>
      <c r="AY96">
        <v>6585.5999999999995</v>
      </c>
      <c r="AZ96">
        <v>33</v>
      </c>
      <c r="BA96">
        <v>27165.599999999999</v>
      </c>
      <c r="BB96">
        <v>32</v>
      </c>
      <c r="BC96">
        <v>26342.399999999998</v>
      </c>
      <c r="BD96">
        <v>32</v>
      </c>
      <c r="BE96">
        <v>26342.399999999998</v>
      </c>
      <c r="BF96">
        <v>46</v>
      </c>
      <c r="BG96">
        <v>37867.199999999997</v>
      </c>
      <c r="BH96">
        <v>13</v>
      </c>
      <c r="BI96">
        <v>10701.599999999999</v>
      </c>
      <c r="BJ96">
        <v>15</v>
      </c>
      <c r="BK96">
        <v>12347.999999999998</v>
      </c>
      <c r="BL96">
        <v>13</v>
      </c>
      <c r="BM96">
        <v>10701.599999999999</v>
      </c>
      <c r="BN96">
        <v>10</v>
      </c>
      <c r="BO96">
        <v>8232</v>
      </c>
      <c r="BP96">
        <v>85</v>
      </c>
      <c r="BQ96">
        <v>69972</v>
      </c>
      <c r="BR96">
        <v>82</v>
      </c>
      <c r="BS96">
        <v>67502.399999999994</v>
      </c>
      <c r="BT96">
        <v>78</v>
      </c>
      <c r="BU96">
        <v>64209.599999999991</v>
      </c>
      <c r="BV96">
        <v>78</v>
      </c>
      <c r="BW96">
        <v>64209.599999999991</v>
      </c>
      <c r="BX96">
        <v>15</v>
      </c>
      <c r="BY96">
        <v>12347.999999999998</v>
      </c>
      <c r="BZ96">
        <v>21</v>
      </c>
      <c r="CA96">
        <v>17287.199999999997</v>
      </c>
      <c r="CB96">
        <v>18</v>
      </c>
      <c r="CC96">
        <v>14817.599999999999</v>
      </c>
      <c r="CD96">
        <v>17</v>
      </c>
      <c r="CE96">
        <v>13994.4</v>
      </c>
      <c r="CF96">
        <v>31</v>
      </c>
      <c r="CG96">
        <v>25519.199999999997</v>
      </c>
      <c r="CH96">
        <v>25</v>
      </c>
      <c r="CI96">
        <v>20580</v>
      </c>
      <c r="CJ96">
        <v>27</v>
      </c>
      <c r="CK96">
        <v>22226.399999999998</v>
      </c>
      <c r="CL96">
        <v>19</v>
      </c>
      <c r="CM96">
        <v>15640.8</v>
      </c>
      <c r="CN96">
        <v>9</v>
      </c>
      <c r="CO96">
        <v>7408.7999999999993</v>
      </c>
      <c r="CP96">
        <v>9</v>
      </c>
      <c r="CQ96">
        <v>7408.7999999999993</v>
      </c>
      <c r="CR96">
        <v>8</v>
      </c>
      <c r="CS96">
        <v>6585.5999999999995</v>
      </c>
      <c r="CT96">
        <v>6</v>
      </c>
      <c r="CU96">
        <v>4939.2</v>
      </c>
    </row>
    <row r="97" spans="2:99" x14ac:dyDescent="0.2">
      <c r="C97" s="118" t="s">
        <v>263</v>
      </c>
      <c r="D97">
        <v>0</v>
      </c>
      <c r="E97">
        <v>0</v>
      </c>
      <c r="F97">
        <v>9</v>
      </c>
      <c r="G97">
        <v>16459.2</v>
      </c>
      <c r="H97">
        <v>11</v>
      </c>
      <c r="I97">
        <v>20116.8</v>
      </c>
      <c r="J97">
        <v>16</v>
      </c>
      <c r="K97">
        <v>29260.799999999999</v>
      </c>
      <c r="L97">
        <v>9</v>
      </c>
      <c r="M97">
        <v>16459.2</v>
      </c>
      <c r="N97">
        <v>11</v>
      </c>
      <c r="O97">
        <v>20116.8</v>
      </c>
      <c r="P97">
        <v>9</v>
      </c>
      <c r="Q97">
        <v>16459.2</v>
      </c>
      <c r="R97">
        <v>10</v>
      </c>
      <c r="S97">
        <v>18288</v>
      </c>
      <c r="T97">
        <v>11</v>
      </c>
      <c r="U97">
        <v>20116.8</v>
      </c>
      <c r="V97">
        <v>10</v>
      </c>
      <c r="W97">
        <v>18288</v>
      </c>
      <c r="X97">
        <v>6</v>
      </c>
      <c r="Y97">
        <v>10972.8</v>
      </c>
      <c r="Z97">
        <v>7</v>
      </c>
      <c r="AA97">
        <v>12801.6</v>
      </c>
      <c r="AB97">
        <v>7</v>
      </c>
      <c r="AC97">
        <v>12801.6</v>
      </c>
      <c r="AD97">
        <v>12</v>
      </c>
      <c r="AE97">
        <v>21945.599999999999</v>
      </c>
      <c r="AF97">
        <v>10</v>
      </c>
      <c r="AG97">
        <v>18288</v>
      </c>
      <c r="AH97">
        <v>10</v>
      </c>
      <c r="AI97">
        <v>18288</v>
      </c>
      <c r="AJ97">
        <v>35</v>
      </c>
      <c r="AK97">
        <v>64008</v>
      </c>
      <c r="AL97">
        <v>29</v>
      </c>
      <c r="AM97">
        <v>53035.199999999997</v>
      </c>
      <c r="AN97">
        <v>31</v>
      </c>
      <c r="AO97">
        <v>56692.799999999996</v>
      </c>
      <c r="AP97">
        <v>21</v>
      </c>
      <c r="AQ97">
        <v>38404.799999999996</v>
      </c>
      <c r="AR97">
        <v>6</v>
      </c>
      <c r="AS97">
        <v>10972.8</v>
      </c>
      <c r="AT97">
        <v>5</v>
      </c>
      <c r="AU97">
        <v>9144</v>
      </c>
      <c r="AV97">
        <v>8</v>
      </c>
      <c r="AW97">
        <v>14630.4</v>
      </c>
      <c r="AX97">
        <v>8</v>
      </c>
      <c r="AY97">
        <v>14630.4</v>
      </c>
      <c r="AZ97">
        <v>32</v>
      </c>
      <c r="BA97">
        <v>58521.599999999999</v>
      </c>
      <c r="BB97">
        <v>28</v>
      </c>
      <c r="BC97">
        <v>51206.400000000001</v>
      </c>
      <c r="BD97">
        <v>28</v>
      </c>
      <c r="BE97">
        <v>51206.400000000001</v>
      </c>
      <c r="BF97">
        <v>48</v>
      </c>
      <c r="BG97">
        <v>87782.399999999994</v>
      </c>
      <c r="BH97">
        <v>13</v>
      </c>
      <c r="BI97">
        <v>23774.399999999998</v>
      </c>
      <c r="BJ97">
        <v>13</v>
      </c>
      <c r="BK97">
        <v>23774.399999999998</v>
      </c>
      <c r="BL97">
        <v>13</v>
      </c>
      <c r="BM97">
        <v>23774.399999999998</v>
      </c>
      <c r="BN97">
        <v>10</v>
      </c>
      <c r="BO97">
        <v>18288</v>
      </c>
      <c r="BP97">
        <v>74</v>
      </c>
      <c r="BQ97">
        <v>135331.19999999998</v>
      </c>
      <c r="BR97">
        <v>61</v>
      </c>
      <c r="BS97">
        <v>111556.8</v>
      </c>
      <c r="BT97">
        <v>67</v>
      </c>
      <c r="BU97">
        <v>122529.59999999999</v>
      </c>
      <c r="BV97">
        <v>65</v>
      </c>
      <c r="BW97">
        <v>118872</v>
      </c>
      <c r="BX97">
        <v>13</v>
      </c>
      <c r="BY97">
        <v>23774.399999999998</v>
      </c>
      <c r="BZ97">
        <v>18</v>
      </c>
      <c r="CA97">
        <v>32918.400000000001</v>
      </c>
      <c r="CB97">
        <v>18</v>
      </c>
      <c r="CC97">
        <v>32918.400000000001</v>
      </c>
      <c r="CD97">
        <v>16</v>
      </c>
      <c r="CE97">
        <v>29260.799999999999</v>
      </c>
      <c r="CF97">
        <v>30</v>
      </c>
      <c r="CG97">
        <v>54864</v>
      </c>
      <c r="CH97">
        <v>21</v>
      </c>
      <c r="CI97">
        <v>38404.799999999996</v>
      </c>
      <c r="CJ97">
        <v>26</v>
      </c>
      <c r="CK97">
        <v>47548.799999999996</v>
      </c>
      <c r="CL97">
        <v>20</v>
      </c>
      <c r="CM97">
        <v>36576</v>
      </c>
      <c r="CN97">
        <v>7</v>
      </c>
      <c r="CO97">
        <v>12801.6</v>
      </c>
      <c r="CP97">
        <v>7</v>
      </c>
      <c r="CQ97">
        <v>12801.6</v>
      </c>
      <c r="CR97">
        <v>8</v>
      </c>
      <c r="CS97">
        <v>14630.4</v>
      </c>
      <c r="CT97">
        <v>5</v>
      </c>
      <c r="CU97">
        <v>9144</v>
      </c>
    </row>
    <row r="98" spans="2:99" x14ac:dyDescent="0.2">
      <c r="C98" s="118" t="s">
        <v>264</v>
      </c>
      <c r="D98">
        <v>0</v>
      </c>
      <c r="E98">
        <v>0</v>
      </c>
      <c r="F98">
        <v>10</v>
      </c>
      <c r="G98">
        <v>12636</v>
      </c>
      <c r="H98">
        <v>10</v>
      </c>
      <c r="I98">
        <v>12636</v>
      </c>
      <c r="J98">
        <v>15</v>
      </c>
      <c r="K98">
        <v>18954</v>
      </c>
      <c r="L98">
        <v>8</v>
      </c>
      <c r="M98">
        <v>10108.799999999999</v>
      </c>
      <c r="N98">
        <v>12</v>
      </c>
      <c r="O98">
        <v>15163.199999999999</v>
      </c>
      <c r="P98">
        <v>11</v>
      </c>
      <c r="Q98">
        <v>13899.599999999999</v>
      </c>
      <c r="R98">
        <v>9</v>
      </c>
      <c r="S98">
        <v>11372.4</v>
      </c>
      <c r="T98">
        <v>11</v>
      </c>
      <c r="U98">
        <v>13899.599999999999</v>
      </c>
      <c r="V98">
        <v>10</v>
      </c>
      <c r="W98">
        <v>12636</v>
      </c>
      <c r="X98">
        <v>6</v>
      </c>
      <c r="Y98">
        <v>7581.5999999999995</v>
      </c>
      <c r="Z98">
        <v>7</v>
      </c>
      <c r="AA98">
        <v>8845.1999999999989</v>
      </c>
      <c r="AB98">
        <v>8</v>
      </c>
      <c r="AC98">
        <v>10108.799999999999</v>
      </c>
      <c r="AD98">
        <v>12</v>
      </c>
      <c r="AE98">
        <v>15163.199999999999</v>
      </c>
      <c r="AF98">
        <v>10</v>
      </c>
      <c r="AG98">
        <v>12636</v>
      </c>
      <c r="AH98">
        <v>11</v>
      </c>
      <c r="AI98">
        <v>13899.599999999999</v>
      </c>
      <c r="AJ98">
        <v>43</v>
      </c>
      <c r="AK98">
        <v>54334.799999999996</v>
      </c>
      <c r="AL98">
        <v>35</v>
      </c>
      <c r="AM98">
        <v>44226</v>
      </c>
      <c r="AN98">
        <v>34</v>
      </c>
      <c r="AO98">
        <v>42962.399999999994</v>
      </c>
      <c r="AP98">
        <v>22</v>
      </c>
      <c r="AQ98">
        <v>27799.199999999997</v>
      </c>
      <c r="AR98">
        <v>6</v>
      </c>
      <c r="AS98">
        <v>7581.5999999999995</v>
      </c>
      <c r="AT98">
        <v>6</v>
      </c>
      <c r="AU98">
        <v>7581.5999999999995</v>
      </c>
      <c r="AV98">
        <v>8</v>
      </c>
      <c r="AW98">
        <v>10108.799999999999</v>
      </c>
      <c r="AX98">
        <v>8</v>
      </c>
      <c r="AY98">
        <v>10108.799999999999</v>
      </c>
      <c r="AZ98">
        <v>32</v>
      </c>
      <c r="BA98">
        <v>40435.199999999997</v>
      </c>
      <c r="BB98">
        <v>28</v>
      </c>
      <c r="BC98">
        <v>35380.799999999996</v>
      </c>
      <c r="BD98">
        <v>27</v>
      </c>
      <c r="BE98">
        <v>34117.199999999997</v>
      </c>
      <c r="BF98">
        <v>49</v>
      </c>
      <c r="BG98">
        <v>61916.399999999994</v>
      </c>
      <c r="BH98">
        <v>12</v>
      </c>
      <c r="BI98">
        <v>15163.199999999999</v>
      </c>
      <c r="BJ98">
        <v>16</v>
      </c>
      <c r="BK98">
        <v>20217.599999999999</v>
      </c>
      <c r="BL98">
        <v>12</v>
      </c>
      <c r="BM98">
        <v>15163.199999999999</v>
      </c>
      <c r="BN98">
        <v>10</v>
      </c>
      <c r="BO98">
        <v>12636</v>
      </c>
      <c r="BP98">
        <v>88</v>
      </c>
      <c r="BQ98">
        <v>111196.79999999999</v>
      </c>
      <c r="BR98">
        <v>73</v>
      </c>
      <c r="BS98">
        <v>92242.799999999988</v>
      </c>
      <c r="BT98">
        <v>71</v>
      </c>
      <c r="BU98">
        <v>89715.599999999991</v>
      </c>
      <c r="BV98">
        <v>72</v>
      </c>
      <c r="BW98">
        <v>90979.199999999997</v>
      </c>
      <c r="BX98">
        <v>17</v>
      </c>
      <c r="BY98">
        <v>21481.199999999997</v>
      </c>
      <c r="BZ98">
        <v>21</v>
      </c>
      <c r="CA98">
        <v>26535.599999999999</v>
      </c>
      <c r="CB98">
        <v>17</v>
      </c>
      <c r="CC98">
        <v>21481.199999999997</v>
      </c>
      <c r="CD98">
        <v>18</v>
      </c>
      <c r="CE98">
        <v>22744.799999999999</v>
      </c>
      <c r="CF98">
        <v>29</v>
      </c>
      <c r="CG98">
        <v>36644.399999999994</v>
      </c>
      <c r="CH98">
        <v>23</v>
      </c>
      <c r="CI98">
        <v>29062.799999999999</v>
      </c>
      <c r="CJ98">
        <v>28</v>
      </c>
      <c r="CK98">
        <v>35380.799999999996</v>
      </c>
      <c r="CL98">
        <v>21</v>
      </c>
      <c r="CM98">
        <v>26535.599999999999</v>
      </c>
      <c r="CN98">
        <v>7</v>
      </c>
      <c r="CO98">
        <v>8845.1999999999989</v>
      </c>
      <c r="CP98">
        <v>8</v>
      </c>
      <c r="CQ98">
        <v>10108.799999999999</v>
      </c>
      <c r="CR98">
        <v>8</v>
      </c>
      <c r="CS98">
        <v>10108.799999999999</v>
      </c>
      <c r="CT98">
        <v>5</v>
      </c>
      <c r="CU98">
        <v>6318</v>
      </c>
    </row>
    <row r="99" spans="2:99" x14ac:dyDescent="0.2">
      <c r="C99" s="118" t="s">
        <v>265</v>
      </c>
      <c r="D99">
        <v>0</v>
      </c>
      <c r="E99">
        <v>0</v>
      </c>
      <c r="F99">
        <v>6</v>
      </c>
      <c r="G99">
        <v>32889.599999999999</v>
      </c>
      <c r="H99">
        <v>8</v>
      </c>
      <c r="I99">
        <v>43852.799999999996</v>
      </c>
      <c r="J99">
        <v>12</v>
      </c>
      <c r="K99">
        <v>65779.199999999997</v>
      </c>
      <c r="L99">
        <v>6</v>
      </c>
      <c r="M99">
        <v>32889.599999999999</v>
      </c>
      <c r="N99">
        <v>9</v>
      </c>
      <c r="O99">
        <v>49334.399999999994</v>
      </c>
      <c r="P99">
        <v>8</v>
      </c>
      <c r="Q99">
        <v>43852.799999999996</v>
      </c>
      <c r="R99">
        <v>8</v>
      </c>
      <c r="S99">
        <v>43852.799999999996</v>
      </c>
      <c r="T99">
        <v>8</v>
      </c>
      <c r="U99">
        <v>43852.799999999996</v>
      </c>
      <c r="V99">
        <v>7</v>
      </c>
      <c r="W99">
        <v>38371.199999999997</v>
      </c>
      <c r="X99">
        <v>5</v>
      </c>
      <c r="Y99">
        <v>27407.999999999996</v>
      </c>
      <c r="Z99">
        <v>6</v>
      </c>
      <c r="AA99">
        <v>32889.599999999999</v>
      </c>
      <c r="AB99">
        <v>6</v>
      </c>
      <c r="AC99">
        <v>32889.599999999999</v>
      </c>
      <c r="AD99">
        <v>9</v>
      </c>
      <c r="AE99">
        <v>49334.399999999994</v>
      </c>
      <c r="AF99">
        <v>8</v>
      </c>
      <c r="AG99">
        <v>43852.799999999996</v>
      </c>
      <c r="AH99">
        <v>9</v>
      </c>
      <c r="AI99">
        <v>49334.399999999994</v>
      </c>
      <c r="AJ99">
        <v>25</v>
      </c>
      <c r="AK99">
        <v>137040</v>
      </c>
      <c r="AL99">
        <v>22</v>
      </c>
      <c r="AM99">
        <v>120595.19999999998</v>
      </c>
      <c r="AN99">
        <v>21</v>
      </c>
      <c r="AO99">
        <v>115113.59999999999</v>
      </c>
      <c r="AP99">
        <v>12</v>
      </c>
      <c r="AQ99">
        <v>65779.199999999997</v>
      </c>
      <c r="AR99">
        <v>5</v>
      </c>
      <c r="AS99">
        <v>27407.999999999996</v>
      </c>
      <c r="AT99">
        <v>4</v>
      </c>
      <c r="AU99">
        <v>21926.399999999998</v>
      </c>
      <c r="AV99">
        <v>6</v>
      </c>
      <c r="AW99">
        <v>32889.599999999999</v>
      </c>
      <c r="AX99">
        <v>6</v>
      </c>
      <c r="AY99">
        <v>32889.599999999999</v>
      </c>
      <c r="AZ99">
        <v>19</v>
      </c>
      <c r="BA99">
        <v>104150.39999999999</v>
      </c>
      <c r="BB99">
        <v>17</v>
      </c>
      <c r="BC99">
        <v>93187.199999999997</v>
      </c>
      <c r="BD99">
        <v>16</v>
      </c>
      <c r="BE99">
        <v>87705.599999999991</v>
      </c>
      <c r="BF99">
        <v>29</v>
      </c>
      <c r="BG99">
        <v>158966.39999999999</v>
      </c>
      <c r="BH99">
        <v>10</v>
      </c>
      <c r="BI99">
        <v>54815.999999999993</v>
      </c>
      <c r="BJ99">
        <v>10</v>
      </c>
      <c r="BK99">
        <v>54815.999999999993</v>
      </c>
      <c r="BL99">
        <v>9</v>
      </c>
      <c r="BM99">
        <v>49334.399999999994</v>
      </c>
      <c r="BN99">
        <v>7</v>
      </c>
      <c r="BO99">
        <v>38371.199999999997</v>
      </c>
      <c r="BP99">
        <v>39</v>
      </c>
      <c r="BQ99">
        <v>213782.39999999997</v>
      </c>
      <c r="BR99">
        <v>37</v>
      </c>
      <c r="BS99">
        <v>202819.19999999998</v>
      </c>
      <c r="BT99">
        <v>36</v>
      </c>
      <c r="BU99">
        <v>197337.59999999998</v>
      </c>
      <c r="BV99">
        <v>34</v>
      </c>
      <c r="BW99">
        <v>186374.39999999999</v>
      </c>
      <c r="BX99">
        <v>10</v>
      </c>
      <c r="BY99">
        <v>54815.999999999993</v>
      </c>
      <c r="BZ99">
        <v>15</v>
      </c>
      <c r="CA99">
        <v>82223.999999999985</v>
      </c>
      <c r="CB99">
        <v>12</v>
      </c>
      <c r="CC99">
        <v>65779.199999999997</v>
      </c>
      <c r="CD99">
        <v>13</v>
      </c>
      <c r="CE99">
        <v>71260.799999999988</v>
      </c>
      <c r="CF99">
        <v>20</v>
      </c>
      <c r="CG99">
        <v>109631.99999999999</v>
      </c>
      <c r="CH99">
        <v>17</v>
      </c>
      <c r="CI99">
        <v>93187.199999999997</v>
      </c>
      <c r="CJ99">
        <v>18</v>
      </c>
      <c r="CK99">
        <v>98668.799999999988</v>
      </c>
      <c r="CL99">
        <v>14</v>
      </c>
      <c r="CM99">
        <v>76742.399999999994</v>
      </c>
      <c r="CN99">
        <v>6</v>
      </c>
      <c r="CO99">
        <v>32889.599999999999</v>
      </c>
      <c r="CP99">
        <v>7</v>
      </c>
      <c r="CQ99">
        <v>38371.199999999997</v>
      </c>
      <c r="CR99">
        <v>7</v>
      </c>
      <c r="CS99">
        <v>38371.199999999997</v>
      </c>
      <c r="CT99">
        <v>4</v>
      </c>
      <c r="CU99">
        <v>21926.399999999998</v>
      </c>
    </row>
    <row r="100" spans="2:99" x14ac:dyDescent="0.2">
      <c r="C100" s="118" t="s">
        <v>266</v>
      </c>
      <c r="D100">
        <v>0</v>
      </c>
      <c r="E100">
        <v>0</v>
      </c>
      <c r="F100">
        <v>9</v>
      </c>
      <c r="G100">
        <v>14601.599999999999</v>
      </c>
      <c r="H100">
        <v>11</v>
      </c>
      <c r="I100">
        <v>17846.399999999998</v>
      </c>
      <c r="J100">
        <v>15</v>
      </c>
      <c r="K100">
        <v>24335.999999999996</v>
      </c>
      <c r="L100">
        <v>9</v>
      </c>
      <c r="M100">
        <v>14601.599999999999</v>
      </c>
      <c r="N100">
        <v>11</v>
      </c>
      <c r="O100">
        <v>17846.399999999998</v>
      </c>
      <c r="P100">
        <v>10</v>
      </c>
      <c r="Q100">
        <v>16223.999999999998</v>
      </c>
      <c r="R100">
        <v>9</v>
      </c>
      <c r="S100">
        <v>14601.599999999999</v>
      </c>
      <c r="T100">
        <v>11</v>
      </c>
      <c r="U100">
        <v>17846.399999999998</v>
      </c>
      <c r="V100">
        <v>8</v>
      </c>
      <c r="W100">
        <v>12979.199999999999</v>
      </c>
      <c r="X100">
        <v>6</v>
      </c>
      <c r="Y100">
        <v>9734.4</v>
      </c>
      <c r="Z100">
        <v>7</v>
      </c>
      <c r="AA100">
        <v>11356.8</v>
      </c>
      <c r="AB100">
        <v>8</v>
      </c>
      <c r="AC100">
        <v>12979.199999999999</v>
      </c>
      <c r="AD100">
        <v>11</v>
      </c>
      <c r="AE100">
        <v>17846.399999999998</v>
      </c>
      <c r="AF100">
        <v>10</v>
      </c>
      <c r="AG100">
        <v>16223.999999999998</v>
      </c>
      <c r="AH100">
        <v>10</v>
      </c>
      <c r="AI100">
        <v>16223.999999999998</v>
      </c>
      <c r="AJ100">
        <v>41</v>
      </c>
      <c r="AK100">
        <v>66518.399999999994</v>
      </c>
      <c r="AL100">
        <v>29</v>
      </c>
      <c r="AM100">
        <v>47049.599999999999</v>
      </c>
      <c r="AN100">
        <v>35</v>
      </c>
      <c r="AO100">
        <v>56783.999999999993</v>
      </c>
      <c r="AP100">
        <v>21</v>
      </c>
      <c r="AQ100">
        <v>34070.399999999994</v>
      </c>
      <c r="AR100">
        <v>6</v>
      </c>
      <c r="AS100">
        <v>9734.4</v>
      </c>
      <c r="AT100">
        <v>5</v>
      </c>
      <c r="AU100">
        <v>8111.9999999999991</v>
      </c>
      <c r="AV100">
        <v>7</v>
      </c>
      <c r="AW100">
        <v>11356.8</v>
      </c>
      <c r="AX100">
        <v>8</v>
      </c>
      <c r="AY100">
        <v>12979.199999999999</v>
      </c>
      <c r="AZ100">
        <v>30</v>
      </c>
      <c r="BA100">
        <v>48671.999999999993</v>
      </c>
      <c r="BB100">
        <v>27</v>
      </c>
      <c r="BC100">
        <v>43804.799999999996</v>
      </c>
      <c r="BD100">
        <v>28</v>
      </c>
      <c r="BE100">
        <v>45427.199999999997</v>
      </c>
      <c r="BF100">
        <v>45</v>
      </c>
      <c r="BG100">
        <v>73008</v>
      </c>
      <c r="BH100">
        <v>13</v>
      </c>
      <c r="BI100">
        <v>21091.199999999997</v>
      </c>
      <c r="BJ100">
        <v>14</v>
      </c>
      <c r="BK100">
        <v>22713.599999999999</v>
      </c>
      <c r="BL100">
        <v>13</v>
      </c>
      <c r="BM100">
        <v>21091.199999999997</v>
      </c>
      <c r="BN100">
        <v>9</v>
      </c>
      <c r="BO100">
        <v>14601.599999999999</v>
      </c>
      <c r="BP100">
        <v>72</v>
      </c>
      <c r="BQ100">
        <v>116812.79999999999</v>
      </c>
      <c r="BR100">
        <v>65</v>
      </c>
      <c r="BS100">
        <v>105455.99999999999</v>
      </c>
      <c r="BT100">
        <v>65</v>
      </c>
      <c r="BU100">
        <v>105455.99999999999</v>
      </c>
      <c r="BV100">
        <v>67</v>
      </c>
      <c r="BW100">
        <v>108700.79999999999</v>
      </c>
      <c r="BX100">
        <v>16</v>
      </c>
      <c r="BY100">
        <v>25958.399999999998</v>
      </c>
      <c r="BZ100">
        <v>20</v>
      </c>
      <c r="CA100">
        <v>32447.999999999996</v>
      </c>
      <c r="CB100">
        <v>15</v>
      </c>
      <c r="CC100">
        <v>24335.999999999996</v>
      </c>
      <c r="CD100">
        <v>16</v>
      </c>
      <c r="CE100">
        <v>25958.399999999998</v>
      </c>
      <c r="CF100">
        <v>30</v>
      </c>
      <c r="CG100">
        <v>48671.999999999993</v>
      </c>
      <c r="CH100">
        <v>24</v>
      </c>
      <c r="CI100">
        <v>38937.599999999999</v>
      </c>
      <c r="CJ100">
        <v>28</v>
      </c>
      <c r="CK100">
        <v>45427.199999999997</v>
      </c>
      <c r="CL100">
        <v>20</v>
      </c>
      <c r="CM100">
        <v>32447.999999999996</v>
      </c>
      <c r="CN100">
        <v>8</v>
      </c>
      <c r="CO100">
        <v>12979.199999999999</v>
      </c>
      <c r="CP100">
        <v>8</v>
      </c>
      <c r="CQ100">
        <v>12979.199999999999</v>
      </c>
      <c r="CR100">
        <v>8</v>
      </c>
      <c r="CS100">
        <v>12979.199999999999</v>
      </c>
      <c r="CT100">
        <v>5</v>
      </c>
      <c r="CU100">
        <v>8111.9999999999991</v>
      </c>
    </row>
    <row r="101" spans="2:99" x14ac:dyDescent="0.2">
      <c r="C101" s="118" t="s">
        <v>267</v>
      </c>
      <c r="D101">
        <v>0</v>
      </c>
      <c r="E101">
        <v>0</v>
      </c>
      <c r="F101">
        <v>9</v>
      </c>
      <c r="G101">
        <v>10713.599999999999</v>
      </c>
      <c r="H101">
        <v>12</v>
      </c>
      <c r="I101">
        <v>14284.8</v>
      </c>
      <c r="J101">
        <v>14</v>
      </c>
      <c r="K101">
        <v>16665.599999999999</v>
      </c>
      <c r="L101">
        <v>9</v>
      </c>
      <c r="M101">
        <v>10713.599999999999</v>
      </c>
      <c r="N101">
        <v>10</v>
      </c>
      <c r="O101">
        <v>11903.999999999998</v>
      </c>
      <c r="P101">
        <v>10</v>
      </c>
      <c r="Q101">
        <v>11903.999999999998</v>
      </c>
      <c r="R101">
        <v>9</v>
      </c>
      <c r="S101">
        <v>10713.599999999999</v>
      </c>
      <c r="T101">
        <v>10</v>
      </c>
      <c r="U101">
        <v>11903.999999999998</v>
      </c>
      <c r="V101">
        <v>9</v>
      </c>
      <c r="W101">
        <v>10713.599999999999</v>
      </c>
      <c r="X101">
        <v>6</v>
      </c>
      <c r="Y101">
        <v>7142.4</v>
      </c>
      <c r="Z101">
        <v>8</v>
      </c>
      <c r="AA101">
        <v>9523.1999999999989</v>
      </c>
      <c r="AB101">
        <v>8</v>
      </c>
      <c r="AC101">
        <v>9523.1999999999989</v>
      </c>
      <c r="AD101">
        <v>13</v>
      </c>
      <c r="AE101">
        <v>15475.199999999999</v>
      </c>
      <c r="AF101">
        <v>11</v>
      </c>
      <c r="AG101">
        <v>13094.399999999998</v>
      </c>
      <c r="AH101">
        <v>11</v>
      </c>
      <c r="AI101">
        <v>13094.399999999998</v>
      </c>
      <c r="AJ101">
        <v>39</v>
      </c>
      <c r="AK101">
        <v>46425.599999999991</v>
      </c>
      <c r="AL101">
        <v>37</v>
      </c>
      <c r="AM101">
        <v>44044.799999999996</v>
      </c>
      <c r="AN101">
        <v>40</v>
      </c>
      <c r="AO101">
        <v>47615.999999999993</v>
      </c>
      <c r="AP101">
        <v>20</v>
      </c>
      <c r="AQ101">
        <v>23807.999999999996</v>
      </c>
      <c r="AR101">
        <v>7</v>
      </c>
      <c r="AS101">
        <v>8332.7999999999993</v>
      </c>
      <c r="AT101">
        <v>6</v>
      </c>
      <c r="AU101">
        <v>7142.4</v>
      </c>
      <c r="AV101">
        <v>8</v>
      </c>
      <c r="AW101">
        <v>9523.1999999999989</v>
      </c>
      <c r="AX101">
        <v>8</v>
      </c>
      <c r="AY101">
        <v>9523.1999999999989</v>
      </c>
      <c r="AZ101">
        <v>31</v>
      </c>
      <c r="BA101">
        <v>36902.399999999994</v>
      </c>
      <c r="BB101">
        <v>30</v>
      </c>
      <c r="BC101">
        <v>35711.999999999993</v>
      </c>
      <c r="BD101">
        <v>27</v>
      </c>
      <c r="BE101">
        <v>32140.799999999996</v>
      </c>
      <c r="BF101">
        <v>50</v>
      </c>
      <c r="BG101">
        <v>59519.999999999993</v>
      </c>
      <c r="BH101">
        <v>13</v>
      </c>
      <c r="BI101">
        <v>15475.199999999999</v>
      </c>
      <c r="BJ101">
        <v>14</v>
      </c>
      <c r="BK101">
        <v>16665.599999999999</v>
      </c>
      <c r="BL101">
        <v>12</v>
      </c>
      <c r="BM101">
        <v>14284.8</v>
      </c>
      <c r="BN101">
        <v>11</v>
      </c>
      <c r="BO101">
        <v>13094.399999999998</v>
      </c>
      <c r="BP101">
        <v>86</v>
      </c>
      <c r="BQ101">
        <v>102374.39999999999</v>
      </c>
      <c r="BR101">
        <v>80</v>
      </c>
      <c r="BS101">
        <v>95231.999999999985</v>
      </c>
      <c r="BT101">
        <v>76</v>
      </c>
      <c r="BU101">
        <v>90470.399999999994</v>
      </c>
      <c r="BV101">
        <v>73</v>
      </c>
      <c r="BW101">
        <v>86899.199999999997</v>
      </c>
      <c r="BX101">
        <v>16</v>
      </c>
      <c r="BY101">
        <v>19046.399999999998</v>
      </c>
      <c r="BZ101">
        <v>19</v>
      </c>
      <c r="CA101">
        <v>22617.599999999999</v>
      </c>
      <c r="CB101">
        <v>17</v>
      </c>
      <c r="CC101">
        <v>20236.8</v>
      </c>
      <c r="CD101">
        <v>18</v>
      </c>
      <c r="CE101">
        <v>21427.199999999997</v>
      </c>
      <c r="CF101">
        <v>31</v>
      </c>
      <c r="CG101">
        <v>36902.399999999994</v>
      </c>
      <c r="CH101">
        <v>24</v>
      </c>
      <c r="CI101">
        <v>28569.599999999999</v>
      </c>
      <c r="CJ101">
        <v>25</v>
      </c>
      <c r="CK101">
        <v>29759.999999999996</v>
      </c>
      <c r="CL101">
        <v>22</v>
      </c>
      <c r="CM101">
        <v>26188.799999999996</v>
      </c>
      <c r="CN101">
        <v>8</v>
      </c>
      <c r="CO101">
        <v>9523.1999999999989</v>
      </c>
      <c r="CP101">
        <v>9</v>
      </c>
      <c r="CQ101">
        <v>10713.599999999999</v>
      </c>
      <c r="CR101">
        <v>8</v>
      </c>
      <c r="CS101">
        <v>9523.1999999999989</v>
      </c>
      <c r="CT101">
        <v>5</v>
      </c>
      <c r="CU101">
        <v>5951.9999999999991</v>
      </c>
    </row>
    <row r="102" spans="2:99" x14ac:dyDescent="0.2">
      <c r="C102" s="118" t="s">
        <v>268</v>
      </c>
      <c r="D102">
        <v>0</v>
      </c>
      <c r="E102">
        <v>0</v>
      </c>
      <c r="F102">
        <v>9</v>
      </c>
      <c r="G102">
        <v>17452.8</v>
      </c>
      <c r="H102">
        <v>11</v>
      </c>
      <c r="I102">
        <v>21331.199999999997</v>
      </c>
      <c r="J102">
        <v>15</v>
      </c>
      <c r="K102">
        <v>29087.999999999996</v>
      </c>
      <c r="L102">
        <v>8</v>
      </c>
      <c r="M102">
        <v>15513.599999999999</v>
      </c>
      <c r="N102">
        <v>10</v>
      </c>
      <c r="O102">
        <v>19392</v>
      </c>
      <c r="P102">
        <v>10</v>
      </c>
      <c r="Q102">
        <v>19392</v>
      </c>
      <c r="R102">
        <v>9</v>
      </c>
      <c r="S102">
        <v>17452.8</v>
      </c>
      <c r="T102">
        <v>9</v>
      </c>
      <c r="U102">
        <v>17452.8</v>
      </c>
      <c r="V102">
        <v>9</v>
      </c>
      <c r="W102">
        <v>17452.8</v>
      </c>
      <c r="X102">
        <v>7</v>
      </c>
      <c r="Y102">
        <v>13574.399999999998</v>
      </c>
      <c r="Z102">
        <v>8</v>
      </c>
      <c r="AA102">
        <v>15513.599999999999</v>
      </c>
      <c r="AB102">
        <v>8</v>
      </c>
      <c r="AC102">
        <v>15513.599999999999</v>
      </c>
      <c r="AD102">
        <v>10</v>
      </c>
      <c r="AE102">
        <v>19392</v>
      </c>
      <c r="AF102">
        <v>10</v>
      </c>
      <c r="AG102">
        <v>19392</v>
      </c>
      <c r="AH102">
        <v>11</v>
      </c>
      <c r="AI102">
        <v>21331.199999999997</v>
      </c>
      <c r="AJ102">
        <v>33</v>
      </c>
      <c r="AK102">
        <v>63993.599999999991</v>
      </c>
      <c r="AL102">
        <v>33</v>
      </c>
      <c r="AM102">
        <v>63993.599999999991</v>
      </c>
      <c r="AN102">
        <v>31</v>
      </c>
      <c r="AO102">
        <v>60115.199999999997</v>
      </c>
      <c r="AP102">
        <v>20</v>
      </c>
      <c r="AQ102">
        <v>38784</v>
      </c>
      <c r="AR102">
        <v>7</v>
      </c>
      <c r="AS102">
        <v>13574.399999999998</v>
      </c>
      <c r="AT102">
        <v>6</v>
      </c>
      <c r="AU102">
        <v>11635.199999999999</v>
      </c>
      <c r="AV102">
        <v>8</v>
      </c>
      <c r="AW102">
        <v>15513.599999999999</v>
      </c>
      <c r="AX102">
        <v>9</v>
      </c>
      <c r="AY102">
        <v>17452.8</v>
      </c>
      <c r="AZ102">
        <v>31</v>
      </c>
      <c r="BA102">
        <v>60115.199999999997</v>
      </c>
      <c r="BB102">
        <v>30</v>
      </c>
      <c r="BC102">
        <v>58175.999999999993</v>
      </c>
      <c r="BD102">
        <v>27</v>
      </c>
      <c r="BE102">
        <v>52358.399999999994</v>
      </c>
      <c r="BF102">
        <v>44</v>
      </c>
      <c r="BG102">
        <v>85324.799999999988</v>
      </c>
      <c r="BH102">
        <v>13</v>
      </c>
      <c r="BI102">
        <v>25209.599999999999</v>
      </c>
      <c r="BJ102">
        <v>13</v>
      </c>
      <c r="BK102">
        <v>25209.599999999999</v>
      </c>
      <c r="BL102">
        <v>13</v>
      </c>
      <c r="BM102">
        <v>25209.599999999999</v>
      </c>
      <c r="BN102">
        <v>9</v>
      </c>
      <c r="BO102">
        <v>17452.8</v>
      </c>
      <c r="BP102">
        <v>76</v>
      </c>
      <c r="BQ102">
        <v>147379.19999999998</v>
      </c>
      <c r="BR102">
        <v>61</v>
      </c>
      <c r="BS102">
        <v>118291.19999999998</v>
      </c>
      <c r="BT102">
        <v>56</v>
      </c>
      <c r="BU102">
        <v>108595.19999999998</v>
      </c>
      <c r="BV102">
        <v>65</v>
      </c>
      <c r="BW102">
        <v>126047.99999999999</v>
      </c>
      <c r="BX102">
        <v>14</v>
      </c>
      <c r="BY102">
        <v>27148.799999999996</v>
      </c>
      <c r="BZ102">
        <v>20</v>
      </c>
      <c r="CA102">
        <v>38784</v>
      </c>
      <c r="CB102">
        <v>16</v>
      </c>
      <c r="CC102">
        <v>31027.199999999997</v>
      </c>
      <c r="CD102">
        <v>14</v>
      </c>
      <c r="CE102">
        <v>27148.799999999996</v>
      </c>
      <c r="CF102">
        <v>30</v>
      </c>
      <c r="CG102">
        <v>58175.999999999993</v>
      </c>
      <c r="CH102">
        <v>20</v>
      </c>
      <c r="CI102">
        <v>38784</v>
      </c>
      <c r="CJ102">
        <v>26</v>
      </c>
      <c r="CK102">
        <v>50419.199999999997</v>
      </c>
      <c r="CL102">
        <v>17</v>
      </c>
      <c r="CM102">
        <v>32966.399999999994</v>
      </c>
      <c r="CN102">
        <v>8</v>
      </c>
      <c r="CO102">
        <v>15513.599999999999</v>
      </c>
      <c r="CP102">
        <v>8</v>
      </c>
      <c r="CQ102">
        <v>15513.599999999999</v>
      </c>
      <c r="CR102">
        <v>8</v>
      </c>
      <c r="CS102">
        <v>15513.599999999999</v>
      </c>
      <c r="CT102">
        <v>5</v>
      </c>
      <c r="CU102">
        <v>9696</v>
      </c>
    </row>
    <row r="103" spans="2:99" x14ac:dyDescent="0.2">
      <c r="C103" s="118" t="s">
        <v>269</v>
      </c>
      <c r="D103">
        <v>0</v>
      </c>
      <c r="E103">
        <v>0</v>
      </c>
      <c r="F103">
        <v>8</v>
      </c>
      <c r="G103">
        <v>16224</v>
      </c>
      <c r="H103">
        <v>11</v>
      </c>
      <c r="I103">
        <v>22308</v>
      </c>
      <c r="J103">
        <v>15</v>
      </c>
      <c r="K103">
        <v>30420</v>
      </c>
      <c r="L103">
        <v>9</v>
      </c>
      <c r="M103">
        <v>18252</v>
      </c>
      <c r="N103">
        <v>11</v>
      </c>
      <c r="O103">
        <v>22308</v>
      </c>
      <c r="P103">
        <v>11</v>
      </c>
      <c r="Q103">
        <v>22308</v>
      </c>
      <c r="R103">
        <v>10</v>
      </c>
      <c r="S103">
        <v>20280</v>
      </c>
      <c r="T103">
        <v>10</v>
      </c>
      <c r="U103">
        <v>20280</v>
      </c>
      <c r="V103">
        <v>10</v>
      </c>
      <c r="W103">
        <v>20280</v>
      </c>
      <c r="X103">
        <v>7</v>
      </c>
      <c r="Y103">
        <v>14196</v>
      </c>
      <c r="Z103">
        <v>7</v>
      </c>
      <c r="AA103">
        <v>14196</v>
      </c>
      <c r="AB103">
        <v>7</v>
      </c>
      <c r="AC103">
        <v>14196</v>
      </c>
      <c r="AD103">
        <v>11</v>
      </c>
      <c r="AE103">
        <v>22308</v>
      </c>
      <c r="AF103">
        <v>10</v>
      </c>
      <c r="AG103">
        <v>20280</v>
      </c>
      <c r="AH103">
        <v>10</v>
      </c>
      <c r="AI103">
        <v>20280</v>
      </c>
      <c r="AJ103">
        <v>36</v>
      </c>
      <c r="AK103">
        <v>73008</v>
      </c>
      <c r="AL103">
        <v>34</v>
      </c>
      <c r="AM103">
        <v>68952</v>
      </c>
      <c r="AN103">
        <v>34</v>
      </c>
      <c r="AO103">
        <v>68952</v>
      </c>
      <c r="AP103">
        <v>21</v>
      </c>
      <c r="AQ103">
        <v>42588</v>
      </c>
      <c r="AR103">
        <v>7</v>
      </c>
      <c r="AS103">
        <v>14196</v>
      </c>
      <c r="AT103">
        <v>6</v>
      </c>
      <c r="AU103">
        <v>12168</v>
      </c>
      <c r="AV103">
        <v>7</v>
      </c>
      <c r="AW103">
        <v>14196</v>
      </c>
      <c r="AX103">
        <v>8</v>
      </c>
      <c r="AY103">
        <v>16224</v>
      </c>
      <c r="AZ103">
        <v>31</v>
      </c>
      <c r="BA103">
        <v>62868</v>
      </c>
      <c r="BB103">
        <v>28</v>
      </c>
      <c r="BC103">
        <v>56784</v>
      </c>
      <c r="BD103">
        <v>25</v>
      </c>
      <c r="BE103">
        <v>50700</v>
      </c>
      <c r="BF103">
        <v>47</v>
      </c>
      <c r="BG103">
        <v>95316</v>
      </c>
      <c r="BH103">
        <v>13</v>
      </c>
      <c r="BI103">
        <v>26364</v>
      </c>
      <c r="BJ103">
        <v>14</v>
      </c>
      <c r="BK103">
        <v>28392</v>
      </c>
      <c r="BL103">
        <v>13</v>
      </c>
      <c r="BM103">
        <v>26364</v>
      </c>
      <c r="BN103">
        <v>9</v>
      </c>
      <c r="BO103">
        <v>18252</v>
      </c>
      <c r="BP103">
        <v>68</v>
      </c>
      <c r="BQ103">
        <v>137904</v>
      </c>
      <c r="BR103">
        <v>70</v>
      </c>
      <c r="BS103">
        <v>141960</v>
      </c>
      <c r="BT103">
        <v>61</v>
      </c>
      <c r="BU103">
        <v>123708</v>
      </c>
      <c r="BV103">
        <v>64</v>
      </c>
      <c r="BW103">
        <v>129792</v>
      </c>
      <c r="BX103">
        <v>14</v>
      </c>
      <c r="BY103">
        <v>28392</v>
      </c>
      <c r="BZ103">
        <v>20</v>
      </c>
      <c r="CA103">
        <v>40560</v>
      </c>
      <c r="CB103">
        <v>16</v>
      </c>
      <c r="CC103">
        <v>32448</v>
      </c>
      <c r="CD103">
        <v>15</v>
      </c>
      <c r="CE103">
        <v>30420</v>
      </c>
      <c r="CF103">
        <v>29</v>
      </c>
      <c r="CG103">
        <v>58812</v>
      </c>
      <c r="CH103">
        <v>22</v>
      </c>
      <c r="CI103">
        <v>44616</v>
      </c>
      <c r="CJ103">
        <v>26</v>
      </c>
      <c r="CK103">
        <v>52728</v>
      </c>
      <c r="CL103">
        <v>18</v>
      </c>
      <c r="CM103">
        <v>36504</v>
      </c>
      <c r="CN103">
        <v>8</v>
      </c>
      <c r="CO103">
        <v>16224</v>
      </c>
      <c r="CP103">
        <v>8</v>
      </c>
      <c r="CQ103">
        <v>16224</v>
      </c>
      <c r="CR103">
        <v>8</v>
      </c>
      <c r="CS103">
        <v>16224</v>
      </c>
      <c r="CT103">
        <v>4</v>
      </c>
      <c r="CU103">
        <v>8112</v>
      </c>
    </row>
    <row r="104" spans="2:99" x14ac:dyDescent="0.2">
      <c r="C104" s="118" t="s">
        <v>270</v>
      </c>
      <c r="D104">
        <v>0</v>
      </c>
      <c r="E104">
        <v>0</v>
      </c>
      <c r="F104">
        <v>9</v>
      </c>
      <c r="G104">
        <v>18651.600000000002</v>
      </c>
      <c r="H104">
        <v>11</v>
      </c>
      <c r="I104">
        <v>22796.400000000001</v>
      </c>
      <c r="J104">
        <v>15</v>
      </c>
      <c r="K104">
        <v>31086</v>
      </c>
      <c r="L104">
        <v>9</v>
      </c>
      <c r="M104">
        <v>18651.600000000002</v>
      </c>
      <c r="N104">
        <v>10</v>
      </c>
      <c r="O104">
        <v>20724</v>
      </c>
      <c r="P104">
        <v>11</v>
      </c>
      <c r="Q104">
        <v>22796.400000000001</v>
      </c>
      <c r="R104">
        <v>9</v>
      </c>
      <c r="S104">
        <v>18651.600000000002</v>
      </c>
      <c r="T104">
        <v>10</v>
      </c>
      <c r="U104">
        <v>20724</v>
      </c>
      <c r="V104">
        <v>9</v>
      </c>
      <c r="W104">
        <v>18651.600000000002</v>
      </c>
      <c r="X104">
        <v>7</v>
      </c>
      <c r="Y104">
        <v>14506.800000000001</v>
      </c>
      <c r="Z104">
        <v>7</v>
      </c>
      <c r="AA104">
        <v>14506.800000000001</v>
      </c>
      <c r="AB104">
        <v>7</v>
      </c>
      <c r="AC104">
        <v>14506.800000000001</v>
      </c>
      <c r="AD104">
        <v>10</v>
      </c>
      <c r="AE104">
        <v>20724</v>
      </c>
      <c r="AF104">
        <v>9</v>
      </c>
      <c r="AG104">
        <v>18651.600000000002</v>
      </c>
      <c r="AH104">
        <v>11</v>
      </c>
      <c r="AI104">
        <v>22796.400000000001</v>
      </c>
      <c r="AJ104">
        <v>33</v>
      </c>
      <c r="AK104">
        <v>68389.2</v>
      </c>
      <c r="AL104">
        <v>29</v>
      </c>
      <c r="AM104">
        <v>60099.600000000006</v>
      </c>
      <c r="AN104">
        <v>35</v>
      </c>
      <c r="AO104">
        <v>72534</v>
      </c>
      <c r="AP104">
        <v>19</v>
      </c>
      <c r="AQ104">
        <v>39375.599999999999</v>
      </c>
      <c r="AR104">
        <v>6</v>
      </c>
      <c r="AS104">
        <v>12434.400000000001</v>
      </c>
      <c r="AT104">
        <v>5</v>
      </c>
      <c r="AU104">
        <v>10362</v>
      </c>
      <c r="AV104">
        <v>7</v>
      </c>
      <c r="AW104">
        <v>14506.800000000001</v>
      </c>
      <c r="AX104">
        <v>7</v>
      </c>
      <c r="AY104">
        <v>14506.800000000001</v>
      </c>
      <c r="AZ104">
        <v>27</v>
      </c>
      <c r="BA104">
        <v>55954.8</v>
      </c>
      <c r="BB104">
        <v>25</v>
      </c>
      <c r="BC104">
        <v>51810</v>
      </c>
      <c r="BD104">
        <v>28</v>
      </c>
      <c r="BE104">
        <v>58027.200000000004</v>
      </c>
      <c r="BF104">
        <v>40</v>
      </c>
      <c r="BG104">
        <v>82896</v>
      </c>
      <c r="BH104">
        <v>13</v>
      </c>
      <c r="BI104">
        <v>26941.200000000001</v>
      </c>
      <c r="BJ104">
        <v>13</v>
      </c>
      <c r="BK104">
        <v>26941.200000000001</v>
      </c>
      <c r="BL104">
        <v>13</v>
      </c>
      <c r="BM104">
        <v>26941.200000000001</v>
      </c>
      <c r="BN104">
        <v>9</v>
      </c>
      <c r="BO104">
        <v>18651.600000000002</v>
      </c>
      <c r="BP104">
        <v>73</v>
      </c>
      <c r="BQ104">
        <v>151285.20000000001</v>
      </c>
      <c r="BR104">
        <v>69</v>
      </c>
      <c r="BS104">
        <v>142995.6</v>
      </c>
      <c r="BT104">
        <v>65</v>
      </c>
      <c r="BU104">
        <v>134706</v>
      </c>
      <c r="BV104">
        <v>63</v>
      </c>
      <c r="BW104">
        <v>130561.20000000001</v>
      </c>
      <c r="BX104">
        <v>13</v>
      </c>
      <c r="BY104">
        <v>26941.200000000001</v>
      </c>
      <c r="BZ104">
        <v>19</v>
      </c>
      <c r="CA104">
        <v>39375.599999999999</v>
      </c>
      <c r="CB104">
        <v>18</v>
      </c>
      <c r="CC104">
        <v>37303.200000000004</v>
      </c>
      <c r="CD104">
        <v>17</v>
      </c>
      <c r="CE104">
        <v>35230.800000000003</v>
      </c>
      <c r="CF104">
        <v>26</v>
      </c>
      <c r="CG104">
        <v>53882.400000000001</v>
      </c>
      <c r="CH104">
        <v>19</v>
      </c>
      <c r="CI104">
        <v>39375.599999999999</v>
      </c>
      <c r="CJ104">
        <v>27</v>
      </c>
      <c r="CK104">
        <v>55954.8</v>
      </c>
      <c r="CL104">
        <v>19</v>
      </c>
      <c r="CM104">
        <v>39375.599999999999</v>
      </c>
      <c r="CN104">
        <v>8</v>
      </c>
      <c r="CO104">
        <v>16579.2</v>
      </c>
      <c r="CP104">
        <v>7</v>
      </c>
      <c r="CQ104">
        <v>14506.800000000001</v>
      </c>
      <c r="CR104">
        <v>7</v>
      </c>
      <c r="CS104">
        <v>14506.800000000001</v>
      </c>
      <c r="CT104">
        <v>4</v>
      </c>
      <c r="CU104">
        <v>8289.6</v>
      </c>
    </row>
    <row r="105" spans="2:99" x14ac:dyDescent="0.2">
      <c r="C105" s="118" t="s">
        <v>271</v>
      </c>
      <c r="D105">
        <v>0</v>
      </c>
      <c r="E105">
        <v>0</v>
      </c>
      <c r="F105">
        <v>9</v>
      </c>
      <c r="G105">
        <v>17982</v>
      </c>
      <c r="H105">
        <v>11</v>
      </c>
      <c r="I105">
        <v>21978</v>
      </c>
      <c r="J105">
        <v>14</v>
      </c>
      <c r="K105">
        <v>27972</v>
      </c>
      <c r="L105">
        <v>8</v>
      </c>
      <c r="M105">
        <v>15984</v>
      </c>
      <c r="N105">
        <v>11</v>
      </c>
      <c r="O105">
        <v>21978</v>
      </c>
      <c r="P105">
        <v>10</v>
      </c>
      <c r="Q105">
        <v>19980</v>
      </c>
      <c r="R105">
        <v>10</v>
      </c>
      <c r="S105">
        <v>19980</v>
      </c>
      <c r="T105">
        <v>11</v>
      </c>
      <c r="U105">
        <v>21978</v>
      </c>
      <c r="V105">
        <v>9</v>
      </c>
      <c r="W105">
        <v>17982</v>
      </c>
      <c r="X105">
        <v>7</v>
      </c>
      <c r="Y105">
        <v>13986</v>
      </c>
      <c r="Z105">
        <v>8</v>
      </c>
      <c r="AA105">
        <v>15984</v>
      </c>
      <c r="AB105">
        <v>8</v>
      </c>
      <c r="AC105">
        <v>15984</v>
      </c>
      <c r="AD105">
        <v>11</v>
      </c>
      <c r="AE105">
        <v>21978</v>
      </c>
      <c r="AF105">
        <v>9</v>
      </c>
      <c r="AG105">
        <v>17982</v>
      </c>
      <c r="AH105">
        <v>10</v>
      </c>
      <c r="AI105">
        <v>19980</v>
      </c>
      <c r="AJ105">
        <v>35</v>
      </c>
      <c r="AK105">
        <v>69930</v>
      </c>
      <c r="AL105">
        <v>30</v>
      </c>
      <c r="AM105">
        <v>59940</v>
      </c>
      <c r="AN105">
        <v>32</v>
      </c>
      <c r="AO105">
        <v>63936</v>
      </c>
      <c r="AP105">
        <v>17</v>
      </c>
      <c r="AQ105">
        <v>33966</v>
      </c>
      <c r="AR105">
        <v>6</v>
      </c>
      <c r="AS105">
        <v>11988</v>
      </c>
      <c r="AT105">
        <v>6</v>
      </c>
      <c r="AU105">
        <v>11988</v>
      </c>
      <c r="AV105">
        <v>7</v>
      </c>
      <c r="AW105">
        <v>13986</v>
      </c>
      <c r="AX105">
        <v>8</v>
      </c>
      <c r="AY105">
        <v>15984</v>
      </c>
      <c r="AZ105">
        <v>31</v>
      </c>
      <c r="BA105">
        <v>61938</v>
      </c>
      <c r="BB105">
        <v>30</v>
      </c>
      <c r="BC105">
        <v>59940</v>
      </c>
      <c r="BD105">
        <v>27</v>
      </c>
      <c r="BE105">
        <v>53946</v>
      </c>
      <c r="BF105">
        <v>42</v>
      </c>
      <c r="BG105">
        <v>83916</v>
      </c>
      <c r="BH105">
        <v>13</v>
      </c>
      <c r="BI105">
        <v>25974</v>
      </c>
      <c r="BJ105">
        <v>13</v>
      </c>
      <c r="BK105">
        <v>25974</v>
      </c>
      <c r="BL105">
        <v>12</v>
      </c>
      <c r="BM105">
        <v>23976</v>
      </c>
      <c r="BN105">
        <v>10</v>
      </c>
      <c r="BO105">
        <v>19980</v>
      </c>
      <c r="BP105">
        <v>67</v>
      </c>
      <c r="BQ105">
        <v>133866</v>
      </c>
      <c r="BR105">
        <v>62</v>
      </c>
      <c r="BS105">
        <v>123876</v>
      </c>
      <c r="BT105">
        <v>59</v>
      </c>
      <c r="BU105">
        <v>117882</v>
      </c>
      <c r="BV105">
        <v>59</v>
      </c>
      <c r="BW105">
        <v>117882</v>
      </c>
      <c r="BX105">
        <v>13</v>
      </c>
      <c r="BY105">
        <v>25974</v>
      </c>
      <c r="BZ105">
        <v>19</v>
      </c>
      <c r="CA105">
        <v>37962</v>
      </c>
      <c r="CB105">
        <v>15</v>
      </c>
      <c r="CC105">
        <v>29970</v>
      </c>
      <c r="CD105">
        <v>15</v>
      </c>
      <c r="CE105">
        <v>29970</v>
      </c>
      <c r="CF105">
        <v>30</v>
      </c>
      <c r="CG105">
        <v>59940</v>
      </c>
      <c r="CH105">
        <v>20</v>
      </c>
      <c r="CI105">
        <v>39960</v>
      </c>
      <c r="CJ105">
        <v>23</v>
      </c>
      <c r="CK105">
        <v>45954</v>
      </c>
      <c r="CL105">
        <v>18</v>
      </c>
      <c r="CM105">
        <v>35964</v>
      </c>
      <c r="CN105">
        <v>8</v>
      </c>
      <c r="CO105">
        <v>15984</v>
      </c>
      <c r="CP105">
        <v>7</v>
      </c>
      <c r="CQ105">
        <v>13986</v>
      </c>
      <c r="CR105">
        <v>7</v>
      </c>
      <c r="CS105">
        <v>13986</v>
      </c>
      <c r="CT105">
        <v>5</v>
      </c>
      <c r="CU105">
        <v>9990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1501.8488790281326</v>
      </c>
      <c r="E109">
        <f>SUM(L$6:L$19)+SUM(N$6:N$19)+SUM(P$6:P$19)+SUM(R$6:R$19)</f>
        <v>0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8" t="s">
        <v>127</v>
      </c>
      <c r="D110">
        <f>SUM(D$20:D$36)+SUM(F$20:F$36)+SUM(H$20:H$36)+SUM(J$20:J$36)</f>
        <v>242.47150097626098</v>
      </c>
      <c r="E110">
        <f>SUM(L$20:L$36)+SUM(N$20:N$36)+SUM(P$20:P$36)+SUM(R$20:R$36)</f>
        <v>0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8" t="s">
        <v>128</v>
      </c>
      <c r="D111">
        <f>SUM(D$37:D$48)+SUM(F$37:F$48)+SUM(H$37:H$48)+SUM(J$37:J$48)</f>
        <v>134.51124731739466</v>
      </c>
      <c r="E111">
        <f>SUM(L$37:L$48)+SUM(N$37:N$48)+SUM(P$37:P$48)+SUM(R$37:R$48)</f>
        <v>0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8" t="s">
        <v>129</v>
      </c>
      <c r="D112">
        <f>SUM(D$49:D$70)+SUM(F$49:F$70)+SUM(H$49:H$70)+SUM(J$49:J$70)</f>
        <v>1749.797230003549</v>
      </c>
      <c r="E112">
        <f>SUM(L$49:L$70)+SUM(N$49:N$70)+SUM(P$49:P$70)+SUM(R$49:R$70)</f>
        <v>88</v>
      </c>
      <c r="F112">
        <f>SUM(T$49:T$70)+SUM(V$49:V$70)+SUM(X$49:X$70)+SUM(Z$49:Z$70)</f>
        <v>55</v>
      </c>
      <c r="G112">
        <f>SUM(AB$49:AB$70)+SUM(AD$49:AD$70)+SUM(AF$49:AF$70)+SUM(AH$49:AH$70)</f>
        <v>59</v>
      </c>
      <c r="H112">
        <f>SUM(AJ$49:AJ$70)+SUM(AL$49:AL$70)+SUM(AN$49:AN$70)+SUM(AP$49:AP$70)</f>
        <v>506</v>
      </c>
      <c r="I112">
        <f>SUM(AR$49:AR$70)+SUM(AT$49:AT$70)+SUM(AV$49:AV$70)+SUM(AX$49:AX$70)</f>
        <v>160</v>
      </c>
      <c r="J112">
        <f>SUM(AZ$49:AZ$70)+SUM(BB$49:BB$70)+SUM(BD$49:BD$70)+SUM(BF$49:BF$70)</f>
        <v>549</v>
      </c>
      <c r="K112">
        <f>SUM(BH$49:BH$70)+SUM(BJ$49:BJ$70)+SUM(BL$49:BL$70)+SUM(BN$49:BN$70)</f>
        <v>49</v>
      </c>
      <c r="L112">
        <f>SUM(BP$49:BP$70)+SUM(BR$49:BR$70)+SUM(BT$49:BT$70)+SUM(BV$49:BV$70)</f>
        <v>152</v>
      </c>
      <c r="M112">
        <f>SUM(BX$49:BX$70)+SUM(BZ$49:BZ$70)+SUM(CB$49:CB$70)+SUM(CD$49:CD$70)</f>
        <v>45</v>
      </c>
      <c r="N112">
        <f>SUM(CF$49:CF$70)+SUM(CH$49:CH$70)+SUM(CJ$49:CJ$70)+SUM(CL$49:CL$70)</f>
        <v>88</v>
      </c>
      <c r="O112">
        <f>SUM(CN$49:CN$70)+SUM(CP$49:CP$70)+SUM(CR$49:CR$70)+SUM(CT$49:CT$70)</f>
        <v>224</v>
      </c>
    </row>
    <row r="113" spans="2:15" x14ac:dyDescent="0.2">
      <c r="C113" s="118" t="s">
        <v>130</v>
      </c>
      <c r="D113">
        <f>SUM(D$71:D$86)+SUM(F$71:F$86)+SUM(H$71:H$86)+SUM(J$71:J$86)</f>
        <v>2312</v>
      </c>
      <c r="E113">
        <f>SUM(L$71:L$86)+SUM(N$71:N$86)+SUM(P$71:P$86)+SUM(R$71:R$86)</f>
        <v>2256</v>
      </c>
      <c r="F113">
        <f>SUM(T$71:T$86)+SUM(V$71:V$86)+SUM(X$71:X$86)+SUM(Z$71:Z$86)</f>
        <v>379</v>
      </c>
      <c r="G113">
        <f>SUM(AB$71:AB$86)+SUM(AD$71:AD$86)+SUM(AF$71:AF$86)+SUM(AH$71:AH$86)</f>
        <v>419</v>
      </c>
      <c r="H113">
        <f>SUM(AJ$71:AJ$86)+SUM(AL$71:AL$86)+SUM(AN$71:AN$86)+SUM(AP$71:AP$86)</f>
        <v>269</v>
      </c>
      <c r="I113">
        <f>SUM(AR$71:AR$86)+SUM(AT$71:AT$86)+SUM(AV$71:AV$86)+SUM(AX$71:AX$86)</f>
        <v>2483</v>
      </c>
      <c r="J113">
        <f>SUM(AZ$71:AZ$86)+SUM(BB$71:BB$86)+SUM(BD$71:BD$86)+SUM(BF$71:BF$86)</f>
        <v>318</v>
      </c>
      <c r="K113">
        <f>SUM(BH$71:BH$86)+SUM(BJ$71:BJ$86)+SUM(BL$71:BL$86)+SUM(BN$71:BN$86)</f>
        <v>280</v>
      </c>
      <c r="L113">
        <f>SUM(BP$71:BP$86)+SUM(BR$71:BR$86)+SUM(BT$71:BT$86)+SUM(BV$71:BV$86)</f>
        <v>404</v>
      </c>
      <c r="M113">
        <f>SUM(BX$71:BX$86)+SUM(BZ$71:BZ$86)+SUM(CB$71:CB$86)+SUM(CD$71:CD$86)</f>
        <v>2764</v>
      </c>
      <c r="N113">
        <f>SUM(CF$71:CF$86)+SUM(CH$71:CH$86)+SUM(CJ$71:CJ$86)+SUM(CL$71:CL$86)</f>
        <v>328</v>
      </c>
      <c r="O113">
        <f>SUM(CN$71:CN$86)+SUM(CP$71:CP$86)+SUM(CR$71:CR$86)+SUM(CT$71:CT$86)</f>
        <v>335</v>
      </c>
    </row>
    <row r="114" spans="2:15" x14ac:dyDescent="0.2">
      <c r="C114" s="118" t="s">
        <v>131</v>
      </c>
      <c r="D114">
        <f>SUM(D$87:D$94)+SUM(F$87:F$94)+SUM(H$87:H$94)+SUM(J$87:J$94)</f>
        <v>199</v>
      </c>
      <c r="E114">
        <f>SUM(L$87:L$94)+SUM(N$87:N$94)+SUM(P$87:P$94)+SUM(R$87:R$94)</f>
        <v>160</v>
      </c>
      <c r="F114">
        <f>SUM(T$87:T$94)+SUM(V$87:V$94)+SUM(X$87:X$94)+SUM(Z$87:Z$94)</f>
        <v>646</v>
      </c>
      <c r="G114">
        <f>SUM(AB$87:AB$94)+SUM(AD$87:AD$94)+SUM(AF$87:AF$94)+SUM(AH$87:AH$94)</f>
        <v>959</v>
      </c>
      <c r="H114">
        <f>SUM(AJ$87:AJ$94)+SUM(AL$87:AL$94)+SUM(AN$87:AN$94)+SUM(AP$87:AP$94)</f>
        <v>144</v>
      </c>
      <c r="I114">
        <f>SUM(AR$87:AR$94)+SUM(AT$87:AT$94)+SUM(AV$87:AV$94)+SUM(AX$87:AX$94)</f>
        <v>229</v>
      </c>
      <c r="J114">
        <f>SUM(AZ$87:AZ$94)+SUM(BB$87:BB$94)+SUM(BD$87:BD$94)+SUM(BF$87:BF$94)</f>
        <v>130</v>
      </c>
      <c r="K114">
        <f>SUM(BH$87:BH$94)+SUM(BJ$87:BJ$94)+SUM(BL$87:BL$94)+SUM(BN$87:BN$94)</f>
        <v>1507</v>
      </c>
      <c r="L114">
        <f>SUM(BP$87:BP$94)+SUM(BR$87:BR$94)+SUM(BT$87:BT$94)+SUM(BV$87:BV$94)</f>
        <v>416</v>
      </c>
      <c r="M114">
        <f>SUM(BX$87:BX$94)+SUM(BZ$87:BZ$94)+SUM(CB$87:CB$94)+SUM(CD$87:CD$94)</f>
        <v>454</v>
      </c>
      <c r="N114">
        <f>SUM(CF$87:CF$94)+SUM(CH$87:CH$94)+SUM(CJ$87:CJ$94)+SUM(CL$87:CL$94)</f>
        <v>133</v>
      </c>
      <c r="O114">
        <f>SUM(CN$87:CN$94)+SUM(CP$87:CP$94)+SUM(CR$87:CR$94)+SUM(CT$87:CT$94)</f>
        <v>320</v>
      </c>
    </row>
    <row r="115" spans="2:15" x14ac:dyDescent="0.2">
      <c r="C115" s="118" t="s">
        <v>132</v>
      </c>
      <c r="D115">
        <f>SUM(D$95:D$105)+SUM(F$95:F$105)+SUM(H$95:H$105)+SUM(J$95:J$105)</f>
        <v>378</v>
      </c>
      <c r="E115">
        <f>SUM(L$95:L$105)+SUM(N$95:N$105)+SUM(P$95:P$105)+SUM(R$95:R$105)</f>
        <v>422</v>
      </c>
      <c r="F115">
        <f>SUM(T$95:T$105)+SUM(V$95:V$105)+SUM(X$95:X$105)+SUM(Z$95:Z$105)</f>
        <v>364</v>
      </c>
      <c r="G115">
        <f>SUM(AB$95:AB$105)+SUM(AD$95:AD$105)+SUM(AF$95:AF$105)+SUM(AH$95:AH$105)</f>
        <v>424</v>
      </c>
      <c r="H115">
        <f>SUM(AJ$95:AJ$105)+SUM(AL$95:AL$105)+SUM(AN$95:AN$105)+SUM(AP$95:AP$105)</f>
        <v>1321</v>
      </c>
      <c r="I115">
        <f>SUM(AR$95:AR$105)+SUM(AT$95:AT$105)+SUM(AV$95:AV$105)+SUM(AX$95:AX$105)</f>
        <v>299</v>
      </c>
      <c r="J115">
        <f>SUM(AZ$95:AZ$105)+SUM(BB$95:BB$105)+SUM(BD$95:BD$105)+SUM(BF$95:BF$105)</f>
        <v>1411</v>
      </c>
      <c r="K115">
        <f>SUM(BH$95:BH$105)+SUM(BJ$95:BJ$105)+SUM(BL$95:BL$105)+SUM(BN$95:BN$105)</f>
        <v>528</v>
      </c>
      <c r="L115">
        <f>SUM(BP$95:BP$105)+SUM(BR$95:BR$105)+SUM(BT$95:BT$105)+SUM(BV$95:BV$105)</f>
        <v>2919</v>
      </c>
      <c r="M115">
        <f>SUM(BX$95:BX$105)+SUM(BZ$95:BZ$105)+SUM(CB$95:CB$105)+SUM(CD$95:CD$105)</f>
        <v>719</v>
      </c>
      <c r="N115">
        <f>SUM(CF$95:CF$105)+SUM(CH$95:CH$105)+SUM(CJ$95:CJ$105)+SUM(CL$95:CL$105)</f>
        <v>1039</v>
      </c>
      <c r="O115">
        <f>SUM(CN$95:CN$105)+SUM(CP$95:CP$105)+SUM(CR$95:CR$105)+SUM(CT$95:CT$105)</f>
        <v>307</v>
      </c>
    </row>
    <row r="116" spans="2:15" x14ac:dyDescent="0.2">
      <c r="C116" s="118" t="s">
        <v>278</v>
      </c>
      <c r="D116">
        <f t="shared" ref="D116:O116" si="0">SUM(D$109:D$115)</f>
        <v>6517.6288573253369</v>
      </c>
      <c r="E116">
        <f t="shared" si="0"/>
        <v>2926</v>
      </c>
      <c r="F116">
        <f t="shared" si="0"/>
        <v>1444</v>
      </c>
      <c r="G116">
        <f t="shared" si="0"/>
        <v>1861</v>
      </c>
      <c r="H116">
        <f t="shared" si="0"/>
        <v>2240</v>
      </c>
      <c r="I116">
        <f t="shared" si="0"/>
        <v>3171</v>
      </c>
      <c r="J116">
        <f t="shared" si="0"/>
        <v>2408</v>
      </c>
      <c r="K116">
        <f t="shared" si="0"/>
        <v>2364</v>
      </c>
      <c r="L116">
        <f t="shared" si="0"/>
        <v>3891</v>
      </c>
      <c r="M116">
        <f t="shared" si="0"/>
        <v>3982</v>
      </c>
      <c r="N116">
        <f t="shared" si="0"/>
        <v>1588</v>
      </c>
      <c r="O116">
        <f t="shared" si="0"/>
        <v>1186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D109*pricing!D24*2000</f>
        <v>3136550.8814377757</v>
      </c>
      <c r="E120">
        <f>E109*pricing!E24*2000</f>
        <v>0</v>
      </c>
      <c r="F120">
        <f>F109*pricing!F24*2000</f>
        <v>0</v>
      </c>
      <c r="G120">
        <f>G109*pricing!G24*2000</f>
        <v>0</v>
      </c>
      <c r="H120">
        <f>H109*pricing!H24*2000</f>
        <v>0</v>
      </c>
      <c r="I120">
        <f>I109*pricing!I24*2000</f>
        <v>0</v>
      </c>
      <c r="J120">
        <f>J109*pricing!J24*2000</f>
        <v>0</v>
      </c>
      <c r="K120">
        <f>K109*pricing!K24*2000</f>
        <v>0</v>
      </c>
      <c r="L120">
        <f>L109*pricing!L24*2000</f>
        <v>0</v>
      </c>
      <c r="M120">
        <f>M109*pricing!M24*2000</f>
        <v>0</v>
      </c>
      <c r="N120">
        <f>N109*pricing!N24*2000</f>
        <v>0</v>
      </c>
      <c r="O120">
        <f>O109*pricing!O24*2000</f>
        <v>0</v>
      </c>
    </row>
    <row r="121" spans="2:15" x14ac:dyDescent="0.2">
      <c r="C121" s="118" t="s">
        <v>127</v>
      </c>
      <c r="D121">
        <f>D110*pricing!D25*2000</f>
        <v>1565233.6047487468</v>
      </c>
      <c r="E121">
        <f>E110*pricing!E25*2000</f>
        <v>0</v>
      </c>
      <c r="F121">
        <f>F110*pricing!F25*2000</f>
        <v>0</v>
      </c>
      <c r="G121">
        <f>G110*pricing!G25*2000</f>
        <v>0</v>
      </c>
      <c r="H121">
        <f>H110*pricing!H25*2000</f>
        <v>0</v>
      </c>
      <c r="I121">
        <f>I110*pricing!I25*2000</f>
        <v>0</v>
      </c>
      <c r="J121">
        <f>J110*pricing!J25*2000</f>
        <v>0</v>
      </c>
      <c r="K121">
        <f>K110*pricing!K25*2000</f>
        <v>0</v>
      </c>
      <c r="L121">
        <f>L110*pricing!L25*2000</f>
        <v>0</v>
      </c>
      <c r="M121">
        <f>M110*pricing!M25*2000</f>
        <v>0</v>
      </c>
      <c r="N121">
        <f>N110*pricing!N25*2000</f>
        <v>0</v>
      </c>
      <c r="O121">
        <f>O110*pricing!O25*2000</f>
        <v>0</v>
      </c>
    </row>
    <row r="122" spans="2:15" x14ac:dyDescent="0.2">
      <c r="C122" s="118" t="s">
        <v>128</v>
      </c>
      <c r="D122">
        <f>D111*pricing!D26*2000</f>
        <v>933478.17531607253</v>
      </c>
      <c r="E122">
        <f>E111*pricing!E26*2000</f>
        <v>0</v>
      </c>
      <c r="F122">
        <f>F111*pricing!F26*2000</f>
        <v>0</v>
      </c>
      <c r="G122">
        <f>G111*pricing!G26*2000</f>
        <v>0</v>
      </c>
      <c r="H122">
        <f>H111*pricing!H26*2000</f>
        <v>0</v>
      </c>
      <c r="I122">
        <f>I111*pricing!I26*2000</f>
        <v>0</v>
      </c>
      <c r="J122">
        <f>J111*pricing!J26*2000</f>
        <v>0</v>
      </c>
      <c r="K122">
        <f>K111*pricing!K26*2000</f>
        <v>0</v>
      </c>
      <c r="L122">
        <f>L111*pricing!L26*2000</f>
        <v>0</v>
      </c>
      <c r="M122">
        <f>M111*pricing!M26*2000</f>
        <v>0</v>
      </c>
      <c r="N122">
        <f>N111*pricing!N26*2000</f>
        <v>0</v>
      </c>
      <c r="O122">
        <f>O111*pricing!O26*2000</f>
        <v>0</v>
      </c>
    </row>
    <row r="123" spans="2:15" x14ac:dyDescent="0.2">
      <c r="C123" s="118" t="s">
        <v>129</v>
      </c>
      <c r="D123">
        <f>D112*pricing!D27*2000</f>
        <v>4422473.8323518122</v>
      </c>
      <c r="E123">
        <f>E112*pricing!E27*2000</f>
        <v>487646.96301369771</v>
      </c>
      <c r="F123">
        <f>F112*pricing!F27*2000</f>
        <v>383921.80616184784</v>
      </c>
      <c r="G123">
        <f>G112*pricing!G27*2000</f>
        <v>396258.39551518415</v>
      </c>
      <c r="H123">
        <f>H112*pricing!H27*2000</f>
        <v>1219864.8438538937</v>
      </c>
      <c r="I123">
        <f>I112*pricing!I27*2000</f>
        <v>706180.4683449273</v>
      </c>
      <c r="J123">
        <f>J112*pricing!J27*2000</f>
        <v>1344581.05410991</v>
      </c>
      <c r="K123">
        <f>K112*pricing!K27*2000</f>
        <v>339121.92985688994</v>
      </c>
      <c r="L123">
        <f>L112*pricing!L27*2000</f>
        <v>644248.43042077345</v>
      </c>
      <c r="M123">
        <f>M112*pricing!M27*2000</f>
        <v>323387.30914429383</v>
      </c>
      <c r="N123">
        <f>N112*pricing!N27*2000</f>
        <v>521552.07514205278</v>
      </c>
      <c r="O123">
        <f>O112*pricing!O27*2000</f>
        <v>811255.9995330961</v>
      </c>
    </row>
    <row r="124" spans="2:15" x14ac:dyDescent="0.2">
      <c r="C124" s="118" t="s">
        <v>130</v>
      </c>
      <c r="D124">
        <f>D113*pricing!D28*2000</f>
        <v>4890241.1266687261</v>
      </c>
      <c r="E124">
        <f>E113*pricing!E28*2000</f>
        <v>6009519.2731956206</v>
      </c>
      <c r="F124">
        <f>F113*pricing!F28*2000</f>
        <v>2171541.1061606267</v>
      </c>
      <c r="G124">
        <f>G113*pricing!G28*2000</f>
        <v>2266743.0191499977</v>
      </c>
      <c r="H124">
        <f>H113*pricing!H28*2000</f>
        <v>1713564.242271662</v>
      </c>
      <c r="I124">
        <f>I113*pricing!I28*2000</f>
        <v>5952745.6669535944</v>
      </c>
      <c r="J124">
        <f>J113*pricing!J28*2000</f>
        <v>1964195.183561238</v>
      </c>
      <c r="K124">
        <f>K113*pricing!K28*2000</f>
        <v>1885444.8688055801</v>
      </c>
      <c r="L124">
        <f>L113*pricing!L28*2000</f>
        <v>2418584.3987669386</v>
      </c>
      <c r="M124">
        <f>M113*pricing!M28*2000</f>
        <v>6451907.6122550331</v>
      </c>
      <c r="N124">
        <f>N113*pricing!N28*2000</f>
        <v>2039495.6531129596</v>
      </c>
      <c r="O124">
        <f>O113*pricing!O28*2000</f>
        <v>2206699.5662538307</v>
      </c>
    </row>
    <row r="125" spans="2:15" x14ac:dyDescent="0.2">
      <c r="C125" s="118" t="s">
        <v>131</v>
      </c>
      <c r="D125">
        <f>D114*pricing!D29*2000</f>
        <v>920156.09056708671</v>
      </c>
      <c r="E125">
        <f>E114*pricing!E29*2000</f>
        <v>956164.29258694116</v>
      </c>
      <c r="F125">
        <f>F114*pricing!F29*2000</f>
        <v>2152934.9779747683</v>
      </c>
      <c r="G125">
        <f>G114*pricing!G29*2000</f>
        <v>2490664.7854970586</v>
      </c>
      <c r="H125">
        <f>H114*pricing!H29*2000</f>
        <v>958897.95069429791</v>
      </c>
      <c r="I125">
        <f>I114*pricing!I29*2000</f>
        <v>1217681.0824649178</v>
      </c>
      <c r="J125">
        <f>J114*pricing!J29*2000</f>
        <v>879961.74977777887</v>
      </c>
      <c r="K125">
        <f>K114*pricing!K29*2000</f>
        <v>3317669.5767521313</v>
      </c>
      <c r="L125">
        <f>L114*pricing!L29*2000</f>
        <v>1692738.6978538232</v>
      </c>
      <c r="M125">
        <f>M114*pricing!M29*2000</f>
        <v>1755458.7643029846</v>
      </c>
      <c r="N125">
        <f>N114*pricing!N29*2000</f>
        <v>862284.5959549112</v>
      </c>
      <c r="O125">
        <f>O114*pricing!O29*2000</f>
        <v>1463786.6310126071</v>
      </c>
    </row>
    <row r="126" spans="2:15" x14ac:dyDescent="0.2">
      <c r="C126" s="118" t="s">
        <v>132</v>
      </c>
      <c r="D126">
        <f>D115*pricing!D30*2000</f>
        <v>1986714.808349746</v>
      </c>
      <c r="E126">
        <f>E115*pricing!E30*2000</f>
        <v>2547865.0483867601</v>
      </c>
      <c r="F126">
        <f>F115*pricing!F30*2000</f>
        <v>2318698.1500393767</v>
      </c>
      <c r="G126">
        <f>G115*pricing!G30*2000</f>
        <v>2544552.8323735418</v>
      </c>
      <c r="H126">
        <f>H115*pricing!H30*2000</f>
        <v>4595674.5873429803</v>
      </c>
      <c r="I126">
        <f>I115*pricing!I30*2000</f>
        <v>2069999.7914783652</v>
      </c>
      <c r="J126">
        <f>J115*pricing!J30*2000</f>
        <v>4431262.1910100169</v>
      </c>
      <c r="K126">
        <f>K115*pricing!K30*2000</f>
        <v>2586285.2671180116</v>
      </c>
      <c r="L126">
        <f>L115*pricing!L30*2000</f>
        <v>6513460.2663091263</v>
      </c>
      <c r="M126">
        <f>M115*pricing!M30*2000</f>
        <v>3452793.9580558077</v>
      </c>
      <c r="N126">
        <f>N115*pricing!N30*2000</f>
        <v>4161694.7511929427</v>
      </c>
      <c r="O126">
        <f>O115*pricing!O30*2000</f>
        <v>2184997.9586610124</v>
      </c>
    </row>
    <row r="127" spans="2:15" x14ac:dyDescent="0.2">
      <c r="C127" s="118" t="s">
        <v>278</v>
      </c>
      <c r="D127">
        <f t="shared" ref="D127:O127" si="1">SUM(D$120:D$126)</f>
        <v>17854848.519439965</v>
      </c>
      <c r="E127">
        <f t="shared" si="1"/>
        <v>10001195.577183019</v>
      </c>
      <c r="F127">
        <f t="shared" si="1"/>
        <v>7027096.0403366201</v>
      </c>
      <c r="G127">
        <f t="shared" si="1"/>
        <v>7698219.032535783</v>
      </c>
      <c r="H127">
        <f t="shared" si="1"/>
        <v>8488001.6241628341</v>
      </c>
      <c r="I127">
        <f t="shared" si="1"/>
        <v>9946607.0092418045</v>
      </c>
      <c r="J127">
        <f t="shared" si="1"/>
        <v>8620000.178458944</v>
      </c>
      <c r="K127">
        <f t="shared" si="1"/>
        <v>8128521.6425326131</v>
      </c>
      <c r="L127">
        <f t="shared" si="1"/>
        <v>11269031.793350663</v>
      </c>
      <c r="M127">
        <f t="shared" si="1"/>
        <v>11983547.643758118</v>
      </c>
      <c r="N127">
        <f t="shared" si="1"/>
        <v>7585027.075402867</v>
      </c>
      <c r="O127">
        <f t="shared" si="1"/>
        <v>6666740.1554605467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745338.70759209956</v>
      </c>
      <c r="E131" s="123">
        <f>SUM(M$6:M$19)+SUM(O$6:O$19)+SUM(Q$6:Q$19)+SUM(S$6:S$19)</f>
        <v>0</v>
      </c>
      <c r="F131" s="123">
        <f>SUM(U$6:U$19)+SUM(W$6:W$19)+SUM(Y$6:Y$19)+SUM(AA$6:AA$19)</f>
        <v>0</v>
      </c>
      <c r="G131" s="123">
        <f>SUM(AC$6:AC$19)+SUM(AE$6:AE$19)+SUM(AG$6:AG$19)+SUM(AI$6:AI$19)</f>
        <v>0</v>
      </c>
      <c r="H131" s="123">
        <f>SUM(AK$6:AK$19)+SUM(AM$6:AM$19)+SUM(AO$6:AO$19)+SUM(AQ$6:AQ$19)</f>
        <v>0</v>
      </c>
      <c r="I131" s="123">
        <f>SUM(AS$6:AS$19)+SUM(AU$6:AU$19)+SUM(AW$6:AW$19)+SUM(AY$6:AY$19)</f>
        <v>0</v>
      </c>
      <c r="J131" s="123">
        <f>SUM(BA$6:BA$19)+SUM(BC$6:BC$19)+SUM(BE$6:BE$19)+SUM(BG$6:BG$19)</f>
        <v>0</v>
      </c>
      <c r="K131" s="123">
        <f>SUM(BI$6:BI$19)+SUM(BK$6:BK$19)+SUM(BM$6:BM$19)+SUM(BO$6:BO$19)</f>
        <v>0</v>
      </c>
      <c r="L131" s="123">
        <f>SUM(BQ$6:BQ$19)+SUM(BS$6:BS$19)+SUM(BU$6:BU$19)+SUM(BW$6:BW$19)</f>
        <v>0</v>
      </c>
      <c r="M131" s="123">
        <f>SUM(BY$6:BY$19)+SUM(CA$6:CA$19)+SUM(CC$6:CC$19)+SUM(CE$6:CE$19)</f>
        <v>0</v>
      </c>
      <c r="N131" s="123">
        <f>SUM(CG$6:CG$19)+SUM(CI$6:CI$19)+SUM(CK$6:CK$19)+SUM(CM$6:CM$19)</f>
        <v>0</v>
      </c>
      <c r="O131" s="123">
        <f>SUM(CO$6:CO$19)+SUM(CQ$6:CQ$19)+SUM(CS$6:CS$19)+SUM(CU$6:CU$19)</f>
        <v>0</v>
      </c>
    </row>
    <row r="132" spans="2:15" x14ac:dyDescent="0.2">
      <c r="C132" s="122" t="s">
        <v>127</v>
      </c>
      <c r="D132" s="123">
        <f>SUM(E$20:E$36)+SUM(G$20:G$36)+SUM(I$20:I$36)+SUM(K$20:K$36)</f>
        <v>104466.26064174372</v>
      </c>
      <c r="E132" s="123">
        <f>SUM(M$20:M$36)+SUM(O$20:O$36)+SUM(Q$20:Q$36)+SUM(S$20:S$36)</f>
        <v>0</v>
      </c>
      <c r="F132" s="123">
        <f>SUM(U$20:U$36)+SUM(W$20:W$36)+SUM(Y$20:Y$36)+SUM(AA$20:AA$36)</f>
        <v>0</v>
      </c>
      <c r="G132" s="123">
        <f>SUM(AC$20:AC$36)+SUM(AE$20:AE$36)+SUM(AG$20:AG$36)+SUM(AI$20:AI$36)</f>
        <v>0</v>
      </c>
      <c r="H132" s="123">
        <f>SUM(AK$20:AK$36)+SUM(AM$20:AM$36)+SUM(AO$20:AO$36)+SUM(AQ$20:AQ$36)</f>
        <v>0</v>
      </c>
      <c r="I132" s="123">
        <f>SUM(AS$20:AS$36)+SUM(AU$20:AU$36)+SUM(AW$20:AW$36)+SUM(AY$20:AY$36)</f>
        <v>0</v>
      </c>
      <c r="J132" s="123">
        <f>SUM(BA$20:BA$36)+SUM(BC$20:BC$36)+SUM(BE$20:BE$36)+SUM(BG$20:BG$36)</f>
        <v>0</v>
      </c>
      <c r="K132" s="123">
        <f>SUM(BI$20:BI$36)+SUM(BK$20:BK$36)+SUM(BM$20:BM$36)+SUM(BO$20:BO$36)</f>
        <v>0</v>
      </c>
      <c r="L132" s="123">
        <f>SUM(BQ$20:BQ$36)+SUM(BS$20:BS$36)+SUM(BU$20:BU$36)+SUM(BW$20:BW$36)</f>
        <v>0</v>
      </c>
      <c r="M132" s="123">
        <f>SUM(BY$20:BY$36)+SUM(CA$20:CA$36)+SUM(CC$20:CC$36)+SUM(CE$20:CE$36)</f>
        <v>0</v>
      </c>
      <c r="N132" s="123">
        <f>SUM(CG$20:CG$36)+SUM(CI$20:CI$36)+SUM(CK$20:CK$36)+SUM(CM$20:CM$36)</f>
        <v>0</v>
      </c>
      <c r="O132" s="123">
        <f>SUM(CO$20:CO$36)+SUM(CQ$20:CQ$36)+SUM(CS$20:CS$36)+SUM(CU$20:CU$36)</f>
        <v>0</v>
      </c>
    </row>
    <row r="133" spans="2:15" x14ac:dyDescent="0.2">
      <c r="C133" s="122" t="s">
        <v>128</v>
      </c>
      <c r="D133" s="123">
        <f>SUM(E$37:E$48)+SUM(G$37:G$48)+SUM(I$37:I$48)+SUM(K$37:K$48)</f>
        <v>141326.98290941128</v>
      </c>
      <c r="E133" s="123">
        <f>SUM(M$37:M$48)+SUM(O$37:O$48)+SUM(Q$37:Q$48)+SUM(S$37:S$48)</f>
        <v>0</v>
      </c>
      <c r="F133" s="123">
        <f>SUM(U$37:U$48)+SUM(W$37:W$48)+SUM(Y$37:Y$48)+SUM(AA$37:AA$48)</f>
        <v>0</v>
      </c>
      <c r="G133" s="123">
        <f>SUM(AC$37:AC$48)+SUM(AE$37:AE$48)+SUM(AG$37:AG$48)+SUM(AI$37:AI$48)</f>
        <v>0</v>
      </c>
      <c r="H133" s="123">
        <f>SUM(AK$37:AK$48)+SUM(AM$37:AM$48)+SUM(AO$37:AO$48)+SUM(AQ$37:AQ$48)</f>
        <v>0</v>
      </c>
      <c r="I133" s="123">
        <f>SUM(AS$37:AS$48)+SUM(AU$37:AU$48)+SUM(AW$37:AW$48)+SUM(AY$37:AY$48)</f>
        <v>0</v>
      </c>
      <c r="J133" s="123">
        <f>SUM(BA$37:BA$48)+SUM(BC$37:BC$48)+SUM(BE$37:BE$48)+SUM(BG$37:BG$48)</f>
        <v>0</v>
      </c>
      <c r="K133" s="123">
        <f>SUM(BI$37:BI$48)+SUM(BK$37:BK$48)+SUM(BM$37:BM$48)+SUM(BO$37:BO$48)</f>
        <v>0</v>
      </c>
      <c r="L133" s="123">
        <f>SUM(BQ$37:BQ$48)+SUM(BS$37:BS$48)+SUM(BU$37:BU$48)+SUM(BW$37:BW$48)</f>
        <v>0</v>
      </c>
      <c r="M133" s="123">
        <f>SUM(BY$37:BY$48)+SUM(CA$37:CA$48)+SUM(CC$37:CC$48)+SUM(CE$37:CE$48)</f>
        <v>0</v>
      </c>
      <c r="N133" s="123">
        <f>SUM(CG$37:CG$48)+SUM(CI$37:CI$48)+SUM(CK$37:CK$48)+SUM(CM$37:CM$48)</f>
        <v>0</v>
      </c>
      <c r="O133" s="123">
        <f>SUM(CO$37:CO$48)+SUM(CQ$37:CQ$48)+SUM(CS$37:CS$48)+SUM(CU$37:CU$48)</f>
        <v>0</v>
      </c>
    </row>
    <row r="134" spans="2:15" x14ac:dyDescent="0.2">
      <c r="C134" s="122" t="s">
        <v>129</v>
      </c>
      <c r="D134" s="123">
        <f>SUM(E$49:E$70)+SUM(G$49:G$70)+SUM(I$49:I$70)+SUM(K$49:K$70)</f>
        <v>1490554.6103147154</v>
      </c>
      <c r="E134" s="123">
        <f>SUM(M$49:M$70)+SUM(O$49:O$70)+SUM(Q$49:Q$70)+SUM(S$49:S$70)</f>
        <v>96876</v>
      </c>
      <c r="F134" s="123">
        <f>SUM(U$49:U$70)+SUM(W$49:W$70)+SUM(Y$49:Y$70)+SUM(AA$49:AA$70)</f>
        <v>60814.8</v>
      </c>
      <c r="G134" s="123">
        <f>SUM(AC$49:AC$70)+SUM(AE$49:AE$70)+SUM(AG$49:AG$70)+SUM(AI$49:AI$70)</f>
        <v>65113.200000000004</v>
      </c>
      <c r="H134" s="123">
        <f>SUM(AK$49:AK$70)+SUM(AM$49:AM$70)+SUM(AO$49:AO$70)+SUM(AQ$49:AQ$70)</f>
        <v>556389.6</v>
      </c>
      <c r="I134" s="123">
        <f>SUM(AS$49:AS$70)+SUM(AU$49:AU$70)+SUM(AW$49:AW$70)+SUM(AY$49:AY$70)</f>
        <v>176035.19999999998</v>
      </c>
      <c r="J134" s="123">
        <f>SUM(BA$49:BA$70)+SUM(BC$49:BC$70)+SUM(BE$49:BE$70)+SUM(BG$49:BG$70)</f>
        <v>606838.80000000005</v>
      </c>
      <c r="K134" s="123">
        <f>SUM(BI$49:BI$70)+SUM(BK$49:BK$70)+SUM(BM$49:BM$70)+SUM(BO$49:BO$70)</f>
        <v>54162</v>
      </c>
      <c r="L134" s="123">
        <f>SUM(BQ$49:BQ$70)+SUM(BS$49:BS$70)+SUM(BU$49:BU$70)+SUM(BW$49:BW$70)</f>
        <v>167988</v>
      </c>
      <c r="M134" s="123">
        <f>SUM(BY$49:BY$70)+SUM(CA$49:CA$70)+SUM(CC$49:CC$70)+SUM(CE$49:CE$70)</f>
        <v>49698</v>
      </c>
      <c r="N134" s="123">
        <f>SUM(CG$49:CG$70)+SUM(CI$49:CI$70)+SUM(CK$49:CK$70)+SUM(CM$49:CM$70)</f>
        <v>97233.599999999991</v>
      </c>
      <c r="O134" s="123">
        <f>SUM(CO$49:CO$70)+SUM(CQ$49:CQ$70)+SUM(CS$49:CS$70)+SUM(CU$49:CU$70)</f>
        <v>246981.59999999998</v>
      </c>
    </row>
    <row r="135" spans="2:15" x14ac:dyDescent="0.2">
      <c r="C135" s="122" t="s">
        <v>130</v>
      </c>
      <c r="D135" s="123">
        <f>SUM(E$71:E$86)+SUM(G$71:G$86)+SUM(I$71:I$86)+SUM(K$71:K$86)</f>
        <v>1283906.3999999999</v>
      </c>
      <c r="E135" s="123">
        <f>SUM(M$71:M$86)+SUM(O$71:O$86)+SUM(Q$71:Q$86)+SUM(S$71:S$86)</f>
        <v>1244362.7999999998</v>
      </c>
      <c r="F135" s="123">
        <f>SUM(U$71:U$86)+SUM(W$71:W$86)+SUM(Y$71:Y$86)+SUM(AA$71:AA$86)</f>
        <v>211203.59999999998</v>
      </c>
      <c r="G135" s="123">
        <f>SUM(AC$71:AC$86)+SUM(AE$71:AE$86)+SUM(AG$71:AG$86)+SUM(AI$71:AI$86)</f>
        <v>234265.2</v>
      </c>
      <c r="H135" s="123">
        <f>SUM(AK$71:AK$86)+SUM(AM$71:AM$86)+SUM(AO$71:AO$86)+SUM(AQ$71:AQ$86)</f>
        <v>149868</v>
      </c>
      <c r="I135" s="123">
        <f>SUM(AS$71:AS$86)+SUM(AU$71:AU$86)+SUM(AW$71:AW$86)+SUM(AY$71:AY$86)</f>
        <v>1372864.7999999998</v>
      </c>
      <c r="J135" s="123">
        <f>SUM(BA$71:BA$86)+SUM(BC$71:BC$86)+SUM(BE$71:BE$86)+SUM(BG$71:BG$86)</f>
        <v>178614</v>
      </c>
      <c r="K135" s="123">
        <f>SUM(BI$71:BI$86)+SUM(BK$71:BK$86)+SUM(BM$71:BM$86)+SUM(BO$71:BO$86)</f>
        <v>157544.40000000002</v>
      </c>
      <c r="L135" s="123">
        <f>SUM(BQ$71:BQ$86)+SUM(BS$71:BS$86)+SUM(BU$71:BU$86)+SUM(BW$71:BW$86)</f>
        <v>226417.19999999998</v>
      </c>
      <c r="M135" s="123">
        <f>SUM(BY$71:BY$86)+SUM(CA$71:CA$86)+SUM(CC$71:CC$86)+SUM(CE$71:CE$86)</f>
        <v>1525529.9999999998</v>
      </c>
      <c r="N135" s="123">
        <f>SUM(CG$71:CG$86)+SUM(CI$71:CI$86)+SUM(CK$71:CK$86)+SUM(CM$71:CM$86)</f>
        <v>184128</v>
      </c>
      <c r="O135" s="123">
        <f>SUM(CO$71:CO$86)+SUM(CQ$71:CQ$86)+SUM(CS$71:CS$86)+SUM(CU$71:CU$86)</f>
        <v>188170.8</v>
      </c>
    </row>
    <row r="136" spans="2:15" x14ac:dyDescent="0.2">
      <c r="C136" s="122" t="s">
        <v>131</v>
      </c>
      <c r="D136" s="123">
        <f>SUM(E$87:E$94)+SUM(G$87:G$94)+SUM(I$87:I$94)+SUM(K$87:K$94)</f>
        <v>404400</v>
      </c>
      <c r="E136" s="123">
        <f>SUM(M$87:M$94)+SUM(O$87:O$94)+SUM(Q$87:Q$94)+SUM(S$87:S$94)</f>
        <v>326321.99999999994</v>
      </c>
      <c r="F136" s="123">
        <f>SUM(U$87:U$94)+SUM(W$87:W$94)+SUM(Y$87:Y$94)+SUM(AA$87:AA$94)</f>
        <v>1312399.2</v>
      </c>
      <c r="G136" s="123">
        <f>SUM(AC$87:AC$94)+SUM(AE$87:AE$94)+SUM(AG$87:AG$94)+SUM(AI$87:AI$94)</f>
        <v>1939074</v>
      </c>
      <c r="H136" s="123">
        <f>SUM(AK$87:AK$94)+SUM(AM$87:AM$94)+SUM(AO$87:AO$94)+SUM(AQ$87:AQ$94)</f>
        <v>293266.8</v>
      </c>
      <c r="I136" s="123">
        <f>SUM(AS$87:AS$94)+SUM(AU$87:AU$94)+SUM(AW$87:AW$94)+SUM(AY$87:AY$94)</f>
        <v>467152.8</v>
      </c>
      <c r="J136" s="123">
        <f>SUM(BA$87:BA$94)+SUM(BC$87:BC$94)+SUM(BE$87:BE$94)+SUM(BG$87:BG$94)</f>
        <v>264428.39999999997</v>
      </c>
      <c r="K136" s="123">
        <f>SUM(BI$87:BI$94)+SUM(BK$87:BK$94)+SUM(BM$87:BM$94)+SUM(BO$87:BO$94)</f>
        <v>3048834</v>
      </c>
      <c r="L136" s="123">
        <f>SUM(BQ$87:BQ$94)+SUM(BS$87:BS$94)+SUM(BU$87:BU$94)+SUM(BW$87:BW$94)</f>
        <v>845132.4</v>
      </c>
      <c r="M136" s="123">
        <f>SUM(BY$87:BY$94)+SUM(CA$87:CA$94)+SUM(CC$87:CC$94)+SUM(CE$87:CE$94)</f>
        <v>921585.59999999986</v>
      </c>
      <c r="N136" s="123">
        <f>SUM(CG$87:CG$94)+SUM(CI$87:CI$94)+SUM(CK$87:CK$94)+SUM(CM$87:CM$94)</f>
        <v>270366</v>
      </c>
      <c r="O136" s="123">
        <f>SUM(CO$87:CO$94)+SUM(CQ$87:CQ$94)+SUM(CS$87:CS$94)+SUM(CU$87:CU$94)</f>
        <v>651155.99999999988</v>
      </c>
    </row>
    <row r="137" spans="2:15" x14ac:dyDescent="0.2">
      <c r="C137" s="122" t="s">
        <v>132</v>
      </c>
      <c r="D137" s="123">
        <f>SUM(E$95:E$105)+SUM(G$95:G$105)+SUM(I$95:I$105)+SUM(K$95:K$105)</f>
        <v>720252</v>
      </c>
      <c r="E137" s="123">
        <f>SUM(M$95:M$105)+SUM(O$95:O$105)+SUM(Q$95:Q$105)+SUM(S$95:S$105)</f>
        <v>814456.79999999993</v>
      </c>
      <c r="F137" s="123">
        <f>SUM(U$95:U$105)+SUM(W$95:W$105)+SUM(Y$95:Y$105)+SUM(AA$95:AA$105)</f>
        <v>697768.79999999981</v>
      </c>
      <c r="G137" s="123">
        <f>SUM(AC$95:AC$105)+SUM(AE$95:AE$105)+SUM(AG$95:AG$105)+SUM(AI$95:AI$105)</f>
        <v>817982.4</v>
      </c>
      <c r="H137" s="123">
        <f>SUM(AK$95:AK$105)+SUM(AM$95:AM$105)+SUM(AO$95:AO$105)+SUM(AQ$95:AQ$105)</f>
        <v>2460127.1999999997</v>
      </c>
      <c r="I137" s="123">
        <f>SUM(AS$95:AS$105)+SUM(AU$95:AU$105)+SUM(AW$95:AW$105)+SUM(AY$95:AY$105)</f>
        <v>571416</v>
      </c>
      <c r="J137" s="123">
        <f>SUM(BA$95:BA$105)+SUM(BC$95:BC$105)+SUM(BE$95:BE$105)+SUM(BG$95:BG$105)</f>
        <v>2619746.4</v>
      </c>
      <c r="K137" s="123">
        <f>SUM(BI$95:BI$105)+SUM(BK$95:BK$105)+SUM(BM$95:BM$105)+SUM(BO$95:BO$105)</f>
        <v>1005602.4</v>
      </c>
      <c r="L137" s="123">
        <f>SUM(BQ$95:BQ$105)+SUM(BS$95:BS$105)+SUM(BU$95:BU$105)+SUM(BW$95:BW$105)</f>
        <v>5282094</v>
      </c>
      <c r="M137" s="123">
        <f>SUM(BY$95:BY$105)+SUM(CA$95:CA$105)+SUM(CC$95:CC$105)+SUM(CE$95:CE$105)</f>
        <v>1366958.4</v>
      </c>
      <c r="N137" s="123">
        <f>SUM(CG$95:CG$105)+SUM(CI$95:CI$105)+SUM(CK$95:CK$105)+SUM(CM$95:CM$105)</f>
        <v>1963880.4</v>
      </c>
      <c r="O137" s="123">
        <f>SUM(CO$95:CO$105)+SUM(CQ$95:CQ$105)+SUM(CS$95:CS$105)+SUM(CU$95:CU$105)</f>
        <v>593055.59999999986</v>
      </c>
    </row>
    <row r="138" spans="2:15" x14ac:dyDescent="0.2">
      <c r="C138" s="122" t="s">
        <v>278</v>
      </c>
      <c r="D138">
        <f t="shared" ref="D138:O138" si="2">SUM(D$131:D$137)</f>
        <v>4890244.9614579696</v>
      </c>
      <c r="E138">
        <f t="shared" si="2"/>
        <v>2482017.5999999996</v>
      </c>
      <c r="F138">
        <f t="shared" si="2"/>
        <v>2282186.3999999994</v>
      </c>
      <c r="G138">
        <f t="shared" si="2"/>
        <v>3056434.8</v>
      </c>
      <c r="H138">
        <f t="shared" si="2"/>
        <v>3459651.5999999996</v>
      </c>
      <c r="I138">
        <f t="shared" si="2"/>
        <v>2587468.7999999998</v>
      </c>
      <c r="J138">
        <f t="shared" si="2"/>
        <v>3669627.5999999996</v>
      </c>
      <c r="K138">
        <f t="shared" si="2"/>
        <v>4266142.8</v>
      </c>
      <c r="L138">
        <f t="shared" si="2"/>
        <v>6521631.5999999996</v>
      </c>
      <c r="M138">
        <f t="shared" si="2"/>
        <v>3863771.9999999995</v>
      </c>
      <c r="N138">
        <f t="shared" si="2"/>
        <v>2515608</v>
      </c>
      <c r="O138">
        <f t="shared" si="2"/>
        <v>1679363.9999999998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19"/>
    </row>
    <row r="2" spans="1:99" x14ac:dyDescent="0.2">
      <c r="B2" s="1" t="s">
        <v>272</v>
      </c>
    </row>
    <row r="3" spans="1:99" x14ac:dyDescent="0.2">
      <c r="B3" s="120" t="s">
        <v>273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13</v>
      </c>
      <c r="E6">
        <v>7519.2</v>
      </c>
      <c r="F6">
        <v>17</v>
      </c>
      <c r="G6">
        <v>9832.7999999999993</v>
      </c>
      <c r="H6">
        <v>18</v>
      </c>
      <c r="I6">
        <v>10411.199999999999</v>
      </c>
      <c r="J6">
        <v>17</v>
      </c>
      <c r="K6">
        <v>9832.7999999999993</v>
      </c>
      <c r="L6">
        <v>8</v>
      </c>
      <c r="M6">
        <v>4627.2</v>
      </c>
      <c r="N6">
        <v>17</v>
      </c>
      <c r="O6">
        <v>9832.7999999999993</v>
      </c>
      <c r="P6">
        <v>13</v>
      </c>
      <c r="Q6">
        <v>7519.2</v>
      </c>
      <c r="R6">
        <v>13</v>
      </c>
      <c r="S6">
        <v>7519.2</v>
      </c>
      <c r="T6">
        <v>39</v>
      </c>
      <c r="U6">
        <v>22557.599999999999</v>
      </c>
      <c r="V6">
        <v>48</v>
      </c>
      <c r="W6">
        <v>27763.199999999997</v>
      </c>
      <c r="X6">
        <v>62</v>
      </c>
      <c r="Y6">
        <v>35860.799999999996</v>
      </c>
      <c r="Z6">
        <v>37</v>
      </c>
      <c r="AA6">
        <v>21400.799999999999</v>
      </c>
      <c r="AB6">
        <v>9</v>
      </c>
      <c r="AC6">
        <v>5205.5999999999995</v>
      </c>
      <c r="AD6">
        <v>8</v>
      </c>
      <c r="AE6">
        <v>4627.2</v>
      </c>
      <c r="AF6">
        <v>8</v>
      </c>
      <c r="AG6">
        <v>4627.2</v>
      </c>
      <c r="AH6">
        <v>9</v>
      </c>
      <c r="AI6">
        <v>5205.5999999999995</v>
      </c>
      <c r="AJ6">
        <v>6</v>
      </c>
      <c r="AK6">
        <v>3470.3999999999996</v>
      </c>
      <c r="AL6">
        <v>6</v>
      </c>
      <c r="AM6">
        <v>3470.3999999999996</v>
      </c>
      <c r="AN6">
        <v>3</v>
      </c>
      <c r="AO6">
        <v>1735.1999999999998</v>
      </c>
      <c r="AP6">
        <v>4</v>
      </c>
      <c r="AQ6">
        <v>2313.6</v>
      </c>
      <c r="AR6">
        <v>7</v>
      </c>
      <c r="AS6">
        <v>4048.7999999999997</v>
      </c>
      <c r="AT6">
        <v>6</v>
      </c>
      <c r="AU6">
        <v>3470.3999999999996</v>
      </c>
      <c r="AV6">
        <v>7</v>
      </c>
      <c r="AW6">
        <v>4048.7999999999997</v>
      </c>
      <c r="AX6">
        <v>8</v>
      </c>
      <c r="AY6">
        <v>4627.2</v>
      </c>
      <c r="AZ6">
        <v>12</v>
      </c>
      <c r="BA6">
        <v>6940.7999999999993</v>
      </c>
      <c r="BB6">
        <v>7</v>
      </c>
      <c r="BC6">
        <v>4048.7999999999997</v>
      </c>
      <c r="BD6">
        <v>10</v>
      </c>
      <c r="BE6">
        <v>5784</v>
      </c>
      <c r="BF6">
        <v>7</v>
      </c>
      <c r="BG6">
        <v>4048.7999999999997</v>
      </c>
      <c r="BH6">
        <v>34</v>
      </c>
      <c r="BI6">
        <v>19665.599999999999</v>
      </c>
      <c r="BJ6">
        <v>25</v>
      </c>
      <c r="BK6">
        <v>14460</v>
      </c>
      <c r="BL6">
        <v>36</v>
      </c>
      <c r="BM6">
        <v>20822.399999999998</v>
      </c>
      <c r="BN6">
        <v>34</v>
      </c>
      <c r="BO6">
        <v>19665.599999999999</v>
      </c>
      <c r="BP6">
        <v>41</v>
      </c>
      <c r="BQ6">
        <v>23714.399999999998</v>
      </c>
      <c r="BR6">
        <v>40</v>
      </c>
      <c r="BS6">
        <v>23136</v>
      </c>
      <c r="BT6">
        <v>41</v>
      </c>
      <c r="BU6">
        <v>23714.399999999998</v>
      </c>
      <c r="BV6">
        <v>46</v>
      </c>
      <c r="BW6">
        <v>26606.399999999998</v>
      </c>
      <c r="BX6">
        <v>6</v>
      </c>
      <c r="BY6">
        <v>3470.3999999999996</v>
      </c>
      <c r="BZ6">
        <v>7</v>
      </c>
      <c r="CA6">
        <v>4048.7999999999997</v>
      </c>
      <c r="CB6">
        <v>5</v>
      </c>
      <c r="CC6">
        <v>2892</v>
      </c>
      <c r="CD6">
        <v>6</v>
      </c>
      <c r="CE6">
        <v>3470.3999999999996</v>
      </c>
      <c r="CF6">
        <v>15</v>
      </c>
      <c r="CG6">
        <v>8676</v>
      </c>
      <c r="CH6">
        <v>14</v>
      </c>
      <c r="CI6">
        <v>8097.5999999999995</v>
      </c>
      <c r="CJ6">
        <v>9</v>
      </c>
      <c r="CK6">
        <v>5205.5999999999995</v>
      </c>
      <c r="CL6">
        <v>15</v>
      </c>
      <c r="CM6">
        <v>8676</v>
      </c>
      <c r="CN6">
        <v>19</v>
      </c>
      <c r="CO6">
        <v>10989.6</v>
      </c>
      <c r="CP6">
        <v>15</v>
      </c>
      <c r="CQ6">
        <v>8676</v>
      </c>
      <c r="CR6">
        <v>20</v>
      </c>
      <c r="CS6">
        <v>11568</v>
      </c>
      <c r="CT6">
        <v>20</v>
      </c>
      <c r="CU6">
        <v>11568</v>
      </c>
    </row>
    <row r="7" spans="1:99" x14ac:dyDescent="0.2">
      <c r="C7" s="118" t="s">
        <v>173</v>
      </c>
      <c r="D7">
        <v>12</v>
      </c>
      <c r="E7">
        <v>9460.7999999999993</v>
      </c>
      <c r="F7">
        <v>17</v>
      </c>
      <c r="G7">
        <v>13402.8</v>
      </c>
      <c r="H7">
        <v>19</v>
      </c>
      <c r="I7">
        <v>14979.6</v>
      </c>
      <c r="J7">
        <v>18</v>
      </c>
      <c r="K7">
        <v>14191.199999999999</v>
      </c>
      <c r="L7">
        <v>7</v>
      </c>
      <c r="M7">
        <v>5518.8</v>
      </c>
      <c r="N7">
        <v>17</v>
      </c>
      <c r="O7">
        <v>13402.8</v>
      </c>
      <c r="P7">
        <v>15</v>
      </c>
      <c r="Q7">
        <v>11826</v>
      </c>
      <c r="R7">
        <v>11</v>
      </c>
      <c r="S7">
        <v>8672.4</v>
      </c>
      <c r="T7">
        <v>42</v>
      </c>
      <c r="U7">
        <v>33112.799999999996</v>
      </c>
      <c r="V7">
        <v>45</v>
      </c>
      <c r="W7">
        <v>35478</v>
      </c>
      <c r="X7">
        <v>59</v>
      </c>
      <c r="Y7">
        <v>46515.6</v>
      </c>
      <c r="Z7">
        <v>33</v>
      </c>
      <c r="AA7">
        <v>26017.200000000001</v>
      </c>
      <c r="AB7">
        <v>7</v>
      </c>
      <c r="AC7">
        <v>5518.8</v>
      </c>
      <c r="AD7">
        <v>9</v>
      </c>
      <c r="AE7">
        <v>7095.5999999999995</v>
      </c>
      <c r="AF7">
        <v>7</v>
      </c>
      <c r="AG7">
        <v>5518.8</v>
      </c>
      <c r="AH7">
        <v>10</v>
      </c>
      <c r="AI7">
        <v>7884</v>
      </c>
      <c r="AJ7">
        <v>6</v>
      </c>
      <c r="AK7">
        <v>4730.3999999999996</v>
      </c>
      <c r="AL7">
        <v>6</v>
      </c>
      <c r="AM7">
        <v>4730.3999999999996</v>
      </c>
      <c r="AN7">
        <v>3</v>
      </c>
      <c r="AO7">
        <v>2365.1999999999998</v>
      </c>
      <c r="AP7">
        <v>5</v>
      </c>
      <c r="AQ7">
        <v>3942</v>
      </c>
      <c r="AR7">
        <v>6</v>
      </c>
      <c r="AS7">
        <v>4730.3999999999996</v>
      </c>
      <c r="AT7">
        <v>5</v>
      </c>
      <c r="AU7">
        <v>3942</v>
      </c>
      <c r="AV7">
        <v>7</v>
      </c>
      <c r="AW7">
        <v>5518.8</v>
      </c>
      <c r="AX7">
        <v>7</v>
      </c>
      <c r="AY7">
        <v>5518.8</v>
      </c>
      <c r="AZ7">
        <v>11</v>
      </c>
      <c r="BA7">
        <v>8672.4</v>
      </c>
      <c r="BB7">
        <v>7</v>
      </c>
      <c r="BC7">
        <v>5518.8</v>
      </c>
      <c r="BD7">
        <v>11</v>
      </c>
      <c r="BE7">
        <v>8672.4</v>
      </c>
      <c r="BF7">
        <v>7</v>
      </c>
      <c r="BG7">
        <v>5518.8</v>
      </c>
      <c r="BH7">
        <v>29</v>
      </c>
      <c r="BI7">
        <v>22863.599999999999</v>
      </c>
      <c r="BJ7">
        <v>24</v>
      </c>
      <c r="BK7">
        <v>18921.599999999999</v>
      </c>
      <c r="BL7">
        <v>34</v>
      </c>
      <c r="BM7">
        <v>26805.599999999999</v>
      </c>
      <c r="BN7">
        <v>38</v>
      </c>
      <c r="BO7">
        <v>29959.200000000001</v>
      </c>
      <c r="BP7">
        <v>35</v>
      </c>
      <c r="BQ7">
        <v>27594</v>
      </c>
      <c r="BR7">
        <v>41</v>
      </c>
      <c r="BS7">
        <v>32324.399999999998</v>
      </c>
      <c r="BT7">
        <v>44</v>
      </c>
      <c r="BU7">
        <v>34689.599999999999</v>
      </c>
      <c r="BV7">
        <v>45</v>
      </c>
      <c r="BW7">
        <v>35478</v>
      </c>
      <c r="BX7">
        <v>6</v>
      </c>
      <c r="BY7">
        <v>4730.3999999999996</v>
      </c>
      <c r="BZ7">
        <v>6</v>
      </c>
      <c r="CA7">
        <v>4730.3999999999996</v>
      </c>
      <c r="CB7">
        <v>5</v>
      </c>
      <c r="CC7">
        <v>3942</v>
      </c>
      <c r="CD7">
        <v>6</v>
      </c>
      <c r="CE7">
        <v>4730.3999999999996</v>
      </c>
      <c r="CF7">
        <v>16</v>
      </c>
      <c r="CG7">
        <v>12614.4</v>
      </c>
      <c r="CH7">
        <v>14</v>
      </c>
      <c r="CI7">
        <v>11037.6</v>
      </c>
      <c r="CJ7">
        <v>9</v>
      </c>
      <c r="CK7">
        <v>7095.5999999999995</v>
      </c>
      <c r="CL7">
        <v>17</v>
      </c>
      <c r="CM7">
        <v>13402.8</v>
      </c>
      <c r="CN7">
        <v>17</v>
      </c>
      <c r="CO7">
        <v>13402.8</v>
      </c>
      <c r="CP7">
        <v>14</v>
      </c>
      <c r="CQ7">
        <v>11037.6</v>
      </c>
      <c r="CR7">
        <v>18</v>
      </c>
      <c r="CS7">
        <v>14191.199999999999</v>
      </c>
      <c r="CT7">
        <v>19</v>
      </c>
      <c r="CU7">
        <v>14979.6</v>
      </c>
    </row>
    <row r="8" spans="1:99" x14ac:dyDescent="0.2">
      <c r="C8" s="118" t="s">
        <v>174</v>
      </c>
      <c r="D8">
        <v>12</v>
      </c>
      <c r="E8">
        <v>3715.2</v>
      </c>
      <c r="F8">
        <v>19</v>
      </c>
      <c r="G8">
        <v>5882.4</v>
      </c>
      <c r="H8">
        <v>19</v>
      </c>
      <c r="I8">
        <v>5882.4</v>
      </c>
      <c r="J8">
        <v>18</v>
      </c>
      <c r="K8">
        <v>5572.7999999999993</v>
      </c>
      <c r="L8">
        <v>9</v>
      </c>
      <c r="M8">
        <v>2786.3999999999996</v>
      </c>
      <c r="N8">
        <v>16</v>
      </c>
      <c r="O8">
        <v>4953.5999999999995</v>
      </c>
      <c r="P8">
        <v>14</v>
      </c>
      <c r="Q8">
        <v>4334.3999999999996</v>
      </c>
      <c r="R8">
        <v>13</v>
      </c>
      <c r="S8">
        <v>4024.7999999999997</v>
      </c>
      <c r="T8">
        <v>41</v>
      </c>
      <c r="U8">
        <v>12693.599999999999</v>
      </c>
      <c r="V8">
        <v>58</v>
      </c>
      <c r="W8">
        <v>17956.8</v>
      </c>
      <c r="X8">
        <v>60</v>
      </c>
      <c r="Y8">
        <v>18575.999999999996</v>
      </c>
      <c r="Z8">
        <v>35</v>
      </c>
      <c r="AA8">
        <v>10835.999999999998</v>
      </c>
      <c r="AB8">
        <v>8</v>
      </c>
      <c r="AC8">
        <v>2476.7999999999997</v>
      </c>
      <c r="AD8">
        <v>9</v>
      </c>
      <c r="AE8">
        <v>2786.3999999999996</v>
      </c>
      <c r="AF8">
        <v>8</v>
      </c>
      <c r="AG8">
        <v>2476.7999999999997</v>
      </c>
      <c r="AH8">
        <v>11</v>
      </c>
      <c r="AI8">
        <v>3405.5999999999995</v>
      </c>
      <c r="AJ8">
        <v>6</v>
      </c>
      <c r="AK8">
        <v>1857.6</v>
      </c>
      <c r="AL8">
        <v>6</v>
      </c>
      <c r="AM8">
        <v>1857.6</v>
      </c>
      <c r="AN8">
        <v>4</v>
      </c>
      <c r="AO8">
        <v>1238.3999999999999</v>
      </c>
      <c r="AP8">
        <v>5</v>
      </c>
      <c r="AQ8">
        <v>1547.9999999999998</v>
      </c>
      <c r="AR8">
        <v>7</v>
      </c>
      <c r="AS8">
        <v>2167.1999999999998</v>
      </c>
      <c r="AT8">
        <v>5</v>
      </c>
      <c r="AU8">
        <v>1547.9999999999998</v>
      </c>
      <c r="AV8">
        <v>8</v>
      </c>
      <c r="AW8">
        <v>2476.7999999999997</v>
      </c>
      <c r="AX8">
        <v>7</v>
      </c>
      <c r="AY8">
        <v>2167.1999999999998</v>
      </c>
      <c r="AZ8">
        <v>12</v>
      </c>
      <c r="BA8">
        <v>3715.2</v>
      </c>
      <c r="BB8">
        <v>8</v>
      </c>
      <c r="BC8">
        <v>2476.7999999999997</v>
      </c>
      <c r="BD8">
        <v>11</v>
      </c>
      <c r="BE8">
        <v>3405.5999999999995</v>
      </c>
      <c r="BF8">
        <v>7</v>
      </c>
      <c r="BG8">
        <v>2167.1999999999998</v>
      </c>
      <c r="BH8">
        <v>34</v>
      </c>
      <c r="BI8">
        <v>10526.4</v>
      </c>
      <c r="BJ8">
        <v>26</v>
      </c>
      <c r="BK8">
        <v>8049.5999999999995</v>
      </c>
      <c r="BL8">
        <v>40</v>
      </c>
      <c r="BM8">
        <v>12383.999999999998</v>
      </c>
      <c r="BN8">
        <v>36</v>
      </c>
      <c r="BO8">
        <v>11145.599999999999</v>
      </c>
      <c r="BP8">
        <v>40</v>
      </c>
      <c r="BQ8">
        <v>12383.999999999998</v>
      </c>
      <c r="BR8">
        <v>42</v>
      </c>
      <c r="BS8">
        <v>13003.199999999999</v>
      </c>
      <c r="BT8">
        <v>42</v>
      </c>
      <c r="BU8">
        <v>13003.199999999999</v>
      </c>
      <c r="BV8">
        <v>49</v>
      </c>
      <c r="BW8">
        <v>15170.399999999998</v>
      </c>
      <c r="BX8">
        <v>7</v>
      </c>
      <c r="BY8">
        <v>2167.1999999999998</v>
      </c>
      <c r="BZ8">
        <v>7</v>
      </c>
      <c r="CA8">
        <v>2167.1999999999998</v>
      </c>
      <c r="CB8">
        <v>5</v>
      </c>
      <c r="CC8">
        <v>1547.9999999999998</v>
      </c>
      <c r="CD8">
        <v>5</v>
      </c>
      <c r="CE8">
        <v>1547.9999999999998</v>
      </c>
      <c r="CF8">
        <v>15</v>
      </c>
      <c r="CG8">
        <v>4643.9999999999991</v>
      </c>
      <c r="CH8">
        <v>16</v>
      </c>
      <c r="CI8">
        <v>4953.5999999999995</v>
      </c>
      <c r="CJ8">
        <v>9</v>
      </c>
      <c r="CK8">
        <v>2786.3999999999996</v>
      </c>
      <c r="CL8">
        <v>16</v>
      </c>
      <c r="CM8">
        <v>4953.5999999999995</v>
      </c>
      <c r="CN8">
        <v>20</v>
      </c>
      <c r="CO8">
        <v>6191.9999999999991</v>
      </c>
      <c r="CP8">
        <v>17</v>
      </c>
      <c r="CQ8">
        <v>5263.2</v>
      </c>
      <c r="CR8">
        <v>20</v>
      </c>
      <c r="CS8">
        <v>6191.9999999999991</v>
      </c>
      <c r="CT8">
        <v>19</v>
      </c>
      <c r="CU8">
        <v>5882.4</v>
      </c>
    </row>
    <row r="9" spans="1:99" x14ac:dyDescent="0.2">
      <c r="C9" s="118" t="s">
        <v>175</v>
      </c>
      <c r="D9">
        <v>12</v>
      </c>
      <c r="E9">
        <v>8424</v>
      </c>
      <c r="F9">
        <v>17</v>
      </c>
      <c r="G9">
        <v>11934</v>
      </c>
      <c r="H9">
        <v>21</v>
      </c>
      <c r="I9">
        <v>14742</v>
      </c>
      <c r="J9">
        <v>18</v>
      </c>
      <c r="K9">
        <v>12636</v>
      </c>
      <c r="L9">
        <v>9</v>
      </c>
      <c r="M9">
        <v>6318</v>
      </c>
      <c r="N9">
        <v>15</v>
      </c>
      <c r="O9">
        <v>10530</v>
      </c>
      <c r="P9">
        <v>14</v>
      </c>
      <c r="Q9">
        <v>9828</v>
      </c>
      <c r="R9">
        <v>11</v>
      </c>
      <c r="S9">
        <v>7722</v>
      </c>
      <c r="T9">
        <v>41</v>
      </c>
      <c r="U9">
        <v>28782</v>
      </c>
      <c r="V9">
        <v>48</v>
      </c>
      <c r="W9">
        <v>33696</v>
      </c>
      <c r="X9">
        <v>57</v>
      </c>
      <c r="Y9">
        <v>40014</v>
      </c>
      <c r="Z9">
        <v>36</v>
      </c>
      <c r="AA9">
        <v>25272</v>
      </c>
      <c r="AB9">
        <v>8</v>
      </c>
      <c r="AC9">
        <v>5616</v>
      </c>
      <c r="AD9">
        <v>9</v>
      </c>
      <c r="AE9">
        <v>6318</v>
      </c>
      <c r="AF9">
        <v>7</v>
      </c>
      <c r="AG9">
        <v>4914</v>
      </c>
      <c r="AH9">
        <v>9</v>
      </c>
      <c r="AI9">
        <v>6318</v>
      </c>
      <c r="AJ9">
        <v>7</v>
      </c>
      <c r="AK9">
        <v>4914</v>
      </c>
      <c r="AL9">
        <v>6</v>
      </c>
      <c r="AM9">
        <v>4212</v>
      </c>
      <c r="AN9">
        <v>4</v>
      </c>
      <c r="AO9">
        <v>2808</v>
      </c>
      <c r="AP9">
        <v>5</v>
      </c>
      <c r="AQ9">
        <v>3510</v>
      </c>
      <c r="AR9">
        <v>7</v>
      </c>
      <c r="AS9">
        <v>4914</v>
      </c>
      <c r="AT9">
        <v>6</v>
      </c>
      <c r="AU9">
        <v>4212</v>
      </c>
      <c r="AV9">
        <v>8</v>
      </c>
      <c r="AW9">
        <v>5616</v>
      </c>
      <c r="AX9">
        <v>8</v>
      </c>
      <c r="AY9">
        <v>5616</v>
      </c>
      <c r="AZ9">
        <v>11</v>
      </c>
      <c r="BA9">
        <v>7722</v>
      </c>
      <c r="BB9">
        <v>7</v>
      </c>
      <c r="BC9">
        <v>4914</v>
      </c>
      <c r="BD9">
        <v>10</v>
      </c>
      <c r="BE9">
        <v>7020</v>
      </c>
      <c r="BF9">
        <v>6</v>
      </c>
      <c r="BG9">
        <v>4212</v>
      </c>
      <c r="BH9">
        <v>31</v>
      </c>
      <c r="BI9">
        <v>21762</v>
      </c>
      <c r="BJ9">
        <v>23</v>
      </c>
      <c r="BK9">
        <v>16146</v>
      </c>
      <c r="BL9">
        <v>39</v>
      </c>
      <c r="BM9">
        <v>27378</v>
      </c>
      <c r="BN9">
        <v>36</v>
      </c>
      <c r="BO9">
        <v>25272</v>
      </c>
      <c r="BP9">
        <v>41</v>
      </c>
      <c r="BQ9">
        <v>28782</v>
      </c>
      <c r="BR9">
        <v>40</v>
      </c>
      <c r="BS9">
        <v>28080</v>
      </c>
      <c r="BT9">
        <v>42</v>
      </c>
      <c r="BU9">
        <v>29484</v>
      </c>
      <c r="BV9">
        <v>44</v>
      </c>
      <c r="BW9">
        <v>30888</v>
      </c>
      <c r="BX9">
        <v>6</v>
      </c>
      <c r="BY9">
        <v>4212</v>
      </c>
      <c r="BZ9">
        <v>6</v>
      </c>
      <c r="CA9">
        <v>4212</v>
      </c>
      <c r="CB9">
        <v>5</v>
      </c>
      <c r="CC9">
        <v>3510</v>
      </c>
      <c r="CD9">
        <v>5</v>
      </c>
      <c r="CE9">
        <v>3510</v>
      </c>
      <c r="CF9">
        <v>14</v>
      </c>
      <c r="CG9">
        <v>9828</v>
      </c>
      <c r="CH9">
        <v>16</v>
      </c>
      <c r="CI9">
        <v>11232</v>
      </c>
      <c r="CJ9">
        <v>9</v>
      </c>
      <c r="CK9">
        <v>6318</v>
      </c>
      <c r="CL9">
        <v>16</v>
      </c>
      <c r="CM9">
        <v>11232</v>
      </c>
      <c r="CN9">
        <v>16</v>
      </c>
      <c r="CO9">
        <v>11232</v>
      </c>
      <c r="CP9">
        <v>15</v>
      </c>
      <c r="CQ9">
        <v>10530</v>
      </c>
      <c r="CR9">
        <v>19</v>
      </c>
      <c r="CS9">
        <v>13338</v>
      </c>
      <c r="CT9">
        <v>20</v>
      </c>
      <c r="CU9">
        <v>14040</v>
      </c>
    </row>
    <row r="10" spans="1:99" x14ac:dyDescent="0.2">
      <c r="C10" s="118" t="s">
        <v>176</v>
      </c>
      <c r="D10">
        <v>12</v>
      </c>
      <c r="E10">
        <v>6537.5999999999995</v>
      </c>
      <c r="F10">
        <v>16</v>
      </c>
      <c r="G10">
        <v>8716.7999999999993</v>
      </c>
      <c r="H10">
        <v>21</v>
      </c>
      <c r="I10">
        <v>11440.8</v>
      </c>
      <c r="J10">
        <v>18</v>
      </c>
      <c r="K10">
        <v>9806.4</v>
      </c>
      <c r="L10">
        <v>8</v>
      </c>
      <c r="M10">
        <v>4358.3999999999996</v>
      </c>
      <c r="N10">
        <v>15</v>
      </c>
      <c r="O10">
        <v>8171.9999999999991</v>
      </c>
      <c r="P10">
        <v>14</v>
      </c>
      <c r="Q10">
        <v>7627.1999999999989</v>
      </c>
      <c r="R10">
        <v>12</v>
      </c>
      <c r="S10">
        <v>6537.5999999999995</v>
      </c>
      <c r="T10">
        <v>38</v>
      </c>
      <c r="U10">
        <v>20702.399999999998</v>
      </c>
      <c r="V10">
        <v>53</v>
      </c>
      <c r="W10">
        <v>28874.399999999998</v>
      </c>
      <c r="X10">
        <v>60</v>
      </c>
      <c r="Y10">
        <v>32687.999999999996</v>
      </c>
      <c r="Z10">
        <v>36</v>
      </c>
      <c r="AA10">
        <v>19612.8</v>
      </c>
      <c r="AB10">
        <v>7</v>
      </c>
      <c r="AC10">
        <v>3813.5999999999995</v>
      </c>
      <c r="AD10">
        <v>10</v>
      </c>
      <c r="AE10">
        <v>5448</v>
      </c>
      <c r="AF10">
        <v>7</v>
      </c>
      <c r="AG10">
        <v>3813.5999999999995</v>
      </c>
      <c r="AH10">
        <v>10</v>
      </c>
      <c r="AI10">
        <v>5448</v>
      </c>
      <c r="AJ10">
        <v>6</v>
      </c>
      <c r="AK10">
        <v>3268.7999999999997</v>
      </c>
      <c r="AL10">
        <v>6</v>
      </c>
      <c r="AM10">
        <v>3268.7999999999997</v>
      </c>
      <c r="AN10">
        <v>4</v>
      </c>
      <c r="AO10">
        <v>2179.1999999999998</v>
      </c>
      <c r="AP10">
        <v>4</v>
      </c>
      <c r="AQ10">
        <v>2179.1999999999998</v>
      </c>
      <c r="AR10">
        <v>7</v>
      </c>
      <c r="AS10">
        <v>3813.5999999999995</v>
      </c>
      <c r="AT10">
        <v>5</v>
      </c>
      <c r="AU10">
        <v>2724</v>
      </c>
      <c r="AV10">
        <v>7</v>
      </c>
      <c r="AW10">
        <v>3813.5999999999995</v>
      </c>
      <c r="AX10">
        <v>7</v>
      </c>
      <c r="AY10">
        <v>3813.5999999999995</v>
      </c>
      <c r="AZ10">
        <v>11</v>
      </c>
      <c r="BA10">
        <v>5992.7999999999993</v>
      </c>
      <c r="BB10">
        <v>7</v>
      </c>
      <c r="BC10">
        <v>3813.5999999999995</v>
      </c>
      <c r="BD10">
        <v>10</v>
      </c>
      <c r="BE10">
        <v>5448</v>
      </c>
      <c r="BF10">
        <v>7</v>
      </c>
      <c r="BG10">
        <v>3813.5999999999995</v>
      </c>
      <c r="BH10">
        <v>35</v>
      </c>
      <c r="BI10">
        <v>19068</v>
      </c>
      <c r="BJ10">
        <v>22</v>
      </c>
      <c r="BK10">
        <v>11985.599999999999</v>
      </c>
      <c r="BL10">
        <v>33</v>
      </c>
      <c r="BM10">
        <v>17978.399999999998</v>
      </c>
      <c r="BN10">
        <v>33</v>
      </c>
      <c r="BO10">
        <v>17978.399999999998</v>
      </c>
      <c r="BP10">
        <v>38</v>
      </c>
      <c r="BQ10">
        <v>20702.399999999998</v>
      </c>
      <c r="BR10">
        <v>40</v>
      </c>
      <c r="BS10">
        <v>21792</v>
      </c>
      <c r="BT10">
        <v>40</v>
      </c>
      <c r="BU10">
        <v>21792</v>
      </c>
      <c r="BV10">
        <v>47</v>
      </c>
      <c r="BW10">
        <v>25605.599999999999</v>
      </c>
      <c r="BX10">
        <v>6</v>
      </c>
      <c r="BY10">
        <v>3268.7999999999997</v>
      </c>
      <c r="BZ10">
        <v>7</v>
      </c>
      <c r="CA10">
        <v>3813.5999999999995</v>
      </c>
      <c r="CB10">
        <v>5</v>
      </c>
      <c r="CC10">
        <v>2724</v>
      </c>
      <c r="CD10">
        <v>5</v>
      </c>
      <c r="CE10">
        <v>2724</v>
      </c>
      <c r="CF10">
        <v>17</v>
      </c>
      <c r="CG10">
        <v>9261.5999999999985</v>
      </c>
      <c r="CH10">
        <v>15</v>
      </c>
      <c r="CI10">
        <v>8171.9999999999991</v>
      </c>
      <c r="CJ10">
        <v>9</v>
      </c>
      <c r="CK10">
        <v>4903.2</v>
      </c>
      <c r="CL10">
        <v>16</v>
      </c>
      <c r="CM10">
        <v>8716.7999999999993</v>
      </c>
      <c r="CN10">
        <v>18</v>
      </c>
      <c r="CO10">
        <v>9806.4</v>
      </c>
      <c r="CP10">
        <v>17</v>
      </c>
      <c r="CQ10">
        <v>9261.5999999999985</v>
      </c>
      <c r="CR10">
        <v>19</v>
      </c>
      <c r="CS10">
        <v>10351.199999999999</v>
      </c>
      <c r="CT10">
        <v>18</v>
      </c>
      <c r="CU10">
        <v>9806.4</v>
      </c>
    </row>
    <row r="11" spans="1:99" x14ac:dyDescent="0.2">
      <c r="C11" s="118" t="s">
        <v>177</v>
      </c>
      <c r="D11">
        <v>12</v>
      </c>
      <c r="E11">
        <v>6393.5999999999995</v>
      </c>
      <c r="F11">
        <v>16</v>
      </c>
      <c r="G11">
        <v>8524.7999999999993</v>
      </c>
      <c r="H11">
        <v>18</v>
      </c>
      <c r="I11">
        <v>9590.4</v>
      </c>
      <c r="J11">
        <v>18</v>
      </c>
      <c r="K11">
        <v>9590.4</v>
      </c>
      <c r="L11">
        <v>9</v>
      </c>
      <c r="M11">
        <v>4795.2</v>
      </c>
      <c r="N11">
        <v>17</v>
      </c>
      <c r="O11">
        <v>9057.5999999999985</v>
      </c>
      <c r="P11">
        <v>14</v>
      </c>
      <c r="Q11">
        <v>7459.1999999999989</v>
      </c>
      <c r="R11">
        <v>13</v>
      </c>
      <c r="S11">
        <v>6926.4</v>
      </c>
      <c r="T11">
        <v>37</v>
      </c>
      <c r="U11">
        <v>19713.599999999999</v>
      </c>
      <c r="V11">
        <v>55</v>
      </c>
      <c r="W11">
        <v>29303.999999999996</v>
      </c>
      <c r="X11">
        <v>59</v>
      </c>
      <c r="Y11">
        <v>31435.199999999997</v>
      </c>
      <c r="Z11">
        <v>38</v>
      </c>
      <c r="AA11">
        <v>20246.399999999998</v>
      </c>
      <c r="AB11">
        <v>8</v>
      </c>
      <c r="AC11">
        <v>4262.3999999999996</v>
      </c>
      <c r="AD11">
        <v>10</v>
      </c>
      <c r="AE11">
        <v>5328</v>
      </c>
      <c r="AF11">
        <v>7</v>
      </c>
      <c r="AG11">
        <v>3729.5999999999995</v>
      </c>
      <c r="AH11">
        <v>10</v>
      </c>
      <c r="AI11">
        <v>5328</v>
      </c>
      <c r="AJ11">
        <v>7</v>
      </c>
      <c r="AK11">
        <v>3729.5999999999995</v>
      </c>
      <c r="AL11">
        <v>6</v>
      </c>
      <c r="AM11">
        <v>3196.7999999999997</v>
      </c>
      <c r="AN11">
        <v>4</v>
      </c>
      <c r="AO11">
        <v>2131.1999999999998</v>
      </c>
      <c r="AP11">
        <v>5</v>
      </c>
      <c r="AQ11">
        <v>2664</v>
      </c>
      <c r="AR11">
        <v>6</v>
      </c>
      <c r="AS11">
        <v>3196.7999999999997</v>
      </c>
      <c r="AT11">
        <v>6</v>
      </c>
      <c r="AU11">
        <v>3196.7999999999997</v>
      </c>
      <c r="AV11">
        <v>7</v>
      </c>
      <c r="AW11">
        <v>3729.5999999999995</v>
      </c>
      <c r="AX11">
        <v>7</v>
      </c>
      <c r="AY11">
        <v>3729.5999999999995</v>
      </c>
      <c r="AZ11">
        <v>12</v>
      </c>
      <c r="BA11">
        <v>6393.5999999999995</v>
      </c>
      <c r="BB11">
        <v>7</v>
      </c>
      <c r="BC11">
        <v>3729.5999999999995</v>
      </c>
      <c r="BD11">
        <v>10</v>
      </c>
      <c r="BE11">
        <v>5328</v>
      </c>
      <c r="BF11">
        <v>7</v>
      </c>
      <c r="BG11">
        <v>3729.5999999999995</v>
      </c>
      <c r="BH11">
        <v>30</v>
      </c>
      <c r="BI11">
        <v>15983.999999999998</v>
      </c>
      <c r="BJ11">
        <v>26</v>
      </c>
      <c r="BK11">
        <v>13852.8</v>
      </c>
      <c r="BL11">
        <v>39</v>
      </c>
      <c r="BM11">
        <v>20779.199999999997</v>
      </c>
      <c r="BN11">
        <v>33</v>
      </c>
      <c r="BO11">
        <v>17582.399999999998</v>
      </c>
      <c r="BP11">
        <v>43</v>
      </c>
      <c r="BQ11">
        <v>22910.399999999998</v>
      </c>
      <c r="BR11">
        <v>40</v>
      </c>
      <c r="BS11">
        <v>21312</v>
      </c>
      <c r="BT11">
        <v>40</v>
      </c>
      <c r="BU11">
        <v>21312</v>
      </c>
      <c r="BV11">
        <v>47</v>
      </c>
      <c r="BW11">
        <v>25041.599999999999</v>
      </c>
      <c r="BX11">
        <v>6</v>
      </c>
      <c r="BY11">
        <v>3196.7999999999997</v>
      </c>
      <c r="BZ11">
        <v>7</v>
      </c>
      <c r="CA11">
        <v>3729.5999999999995</v>
      </c>
      <c r="CB11">
        <v>5</v>
      </c>
      <c r="CC11">
        <v>2664</v>
      </c>
      <c r="CD11">
        <v>6</v>
      </c>
      <c r="CE11">
        <v>3196.7999999999997</v>
      </c>
      <c r="CF11">
        <v>15</v>
      </c>
      <c r="CG11">
        <v>7991.9999999999991</v>
      </c>
      <c r="CH11">
        <v>14</v>
      </c>
      <c r="CI11">
        <v>7459.1999999999989</v>
      </c>
      <c r="CJ11">
        <v>8</v>
      </c>
      <c r="CK11">
        <v>4262.3999999999996</v>
      </c>
      <c r="CL11">
        <v>15</v>
      </c>
      <c r="CM11">
        <v>7991.9999999999991</v>
      </c>
      <c r="CN11">
        <v>19</v>
      </c>
      <c r="CO11">
        <v>10123.199999999999</v>
      </c>
      <c r="CP11">
        <v>16</v>
      </c>
      <c r="CQ11">
        <v>8524.7999999999993</v>
      </c>
      <c r="CR11">
        <v>17</v>
      </c>
      <c r="CS11">
        <v>9057.5999999999985</v>
      </c>
      <c r="CT11">
        <v>19</v>
      </c>
      <c r="CU11">
        <v>10123.199999999999</v>
      </c>
    </row>
    <row r="12" spans="1:99" x14ac:dyDescent="0.2">
      <c r="C12" s="118" t="s">
        <v>178</v>
      </c>
      <c r="D12">
        <v>12</v>
      </c>
      <c r="E12">
        <v>6753.5999999999995</v>
      </c>
      <c r="F12">
        <v>15</v>
      </c>
      <c r="G12">
        <v>8442</v>
      </c>
      <c r="H12">
        <v>18</v>
      </c>
      <c r="I12">
        <v>10130.4</v>
      </c>
      <c r="J12">
        <v>18</v>
      </c>
      <c r="K12">
        <v>10130.4</v>
      </c>
      <c r="L12">
        <v>9</v>
      </c>
      <c r="M12">
        <v>5065.2</v>
      </c>
      <c r="N12">
        <v>15</v>
      </c>
      <c r="O12">
        <v>8442</v>
      </c>
      <c r="P12">
        <v>13</v>
      </c>
      <c r="Q12">
        <v>7316.4</v>
      </c>
      <c r="R12">
        <v>12</v>
      </c>
      <c r="S12">
        <v>6753.5999999999995</v>
      </c>
      <c r="T12">
        <v>41</v>
      </c>
      <c r="U12">
        <v>23074.799999999999</v>
      </c>
      <c r="V12">
        <v>50</v>
      </c>
      <c r="W12">
        <v>28139.999999999996</v>
      </c>
      <c r="X12">
        <v>63</v>
      </c>
      <c r="Y12">
        <v>35456.399999999994</v>
      </c>
      <c r="Z12">
        <v>35</v>
      </c>
      <c r="AA12">
        <v>19698</v>
      </c>
      <c r="AB12">
        <v>8</v>
      </c>
      <c r="AC12">
        <v>4502.3999999999996</v>
      </c>
      <c r="AD12">
        <v>10</v>
      </c>
      <c r="AE12">
        <v>5628</v>
      </c>
      <c r="AF12">
        <v>8</v>
      </c>
      <c r="AG12">
        <v>4502.3999999999996</v>
      </c>
      <c r="AH12">
        <v>10</v>
      </c>
      <c r="AI12">
        <v>5628</v>
      </c>
      <c r="AJ12">
        <v>6</v>
      </c>
      <c r="AK12">
        <v>3376.7999999999997</v>
      </c>
      <c r="AL12">
        <v>6</v>
      </c>
      <c r="AM12">
        <v>3376.7999999999997</v>
      </c>
      <c r="AN12">
        <v>4</v>
      </c>
      <c r="AO12">
        <v>2251.1999999999998</v>
      </c>
      <c r="AP12">
        <v>5</v>
      </c>
      <c r="AQ12">
        <v>2814</v>
      </c>
      <c r="AR12">
        <v>7</v>
      </c>
      <c r="AS12">
        <v>3939.5999999999995</v>
      </c>
      <c r="AT12">
        <v>5</v>
      </c>
      <c r="AU12">
        <v>2814</v>
      </c>
      <c r="AV12">
        <v>8</v>
      </c>
      <c r="AW12">
        <v>4502.3999999999996</v>
      </c>
      <c r="AX12">
        <v>7</v>
      </c>
      <c r="AY12">
        <v>3939.5999999999995</v>
      </c>
      <c r="AZ12">
        <v>12</v>
      </c>
      <c r="BA12">
        <v>6753.5999999999995</v>
      </c>
      <c r="BB12">
        <v>7</v>
      </c>
      <c r="BC12">
        <v>3939.5999999999995</v>
      </c>
      <c r="BD12">
        <v>11</v>
      </c>
      <c r="BE12">
        <v>6190.7999999999993</v>
      </c>
      <c r="BF12">
        <v>6</v>
      </c>
      <c r="BG12">
        <v>3376.7999999999997</v>
      </c>
      <c r="BH12">
        <v>34</v>
      </c>
      <c r="BI12">
        <v>19135.199999999997</v>
      </c>
      <c r="BJ12">
        <v>23</v>
      </c>
      <c r="BK12">
        <v>12944.4</v>
      </c>
      <c r="BL12">
        <v>33</v>
      </c>
      <c r="BM12">
        <v>18572.399999999998</v>
      </c>
      <c r="BN12">
        <v>38</v>
      </c>
      <c r="BO12">
        <v>21386.399999999998</v>
      </c>
      <c r="BP12">
        <v>39</v>
      </c>
      <c r="BQ12">
        <v>21949.199999999997</v>
      </c>
      <c r="BR12">
        <v>38</v>
      </c>
      <c r="BS12">
        <v>21386.399999999998</v>
      </c>
      <c r="BT12">
        <v>46</v>
      </c>
      <c r="BU12">
        <v>25888.799999999999</v>
      </c>
      <c r="BV12">
        <v>51</v>
      </c>
      <c r="BW12">
        <v>28702.799999999999</v>
      </c>
      <c r="BX12">
        <v>7</v>
      </c>
      <c r="BY12">
        <v>3939.5999999999995</v>
      </c>
      <c r="BZ12">
        <v>7</v>
      </c>
      <c r="CA12">
        <v>3939.5999999999995</v>
      </c>
      <c r="CB12">
        <v>5</v>
      </c>
      <c r="CC12">
        <v>2814</v>
      </c>
      <c r="CD12">
        <v>6</v>
      </c>
      <c r="CE12">
        <v>3376.7999999999997</v>
      </c>
      <c r="CF12">
        <v>14</v>
      </c>
      <c r="CG12">
        <v>7879.1999999999989</v>
      </c>
      <c r="CH12">
        <v>16</v>
      </c>
      <c r="CI12">
        <v>9004.7999999999993</v>
      </c>
      <c r="CJ12">
        <v>9</v>
      </c>
      <c r="CK12">
        <v>5065.2</v>
      </c>
      <c r="CL12">
        <v>15</v>
      </c>
      <c r="CM12">
        <v>8442</v>
      </c>
      <c r="CN12">
        <v>19</v>
      </c>
      <c r="CO12">
        <v>10693.199999999999</v>
      </c>
      <c r="CP12">
        <v>15</v>
      </c>
      <c r="CQ12">
        <v>8442</v>
      </c>
      <c r="CR12">
        <v>19</v>
      </c>
      <c r="CS12">
        <v>10693.199999999999</v>
      </c>
      <c r="CT12">
        <v>19</v>
      </c>
      <c r="CU12">
        <v>10693.199999999999</v>
      </c>
    </row>
    <row r="13" spans="1:99" x14ac:dyDescent="0.2">
      <c r="C13" s="118" t="s">
        <v>179</v>
      </c>
      <c r="D13">
        <v>12</v>
      </c>
      <c r="E13">
        <v>1022.4000000000001</v>
      </c>
      <c r="F13">
        <v>16</v>
      </c>
      <c r="G13">
        <v>1363.2</v>
      </c>
      <c r="H13">
        <v>21</v>
      </c>
      <c r="I13">
        <v>1789.2</v>
      </c>
      <c r="J13">
        <v>18</v>
      </c>
      <c r="K13">
        <v>1533.6000000000001</v>
      </c>
      <c r="L13">
        <v>8</v>
      </c>
      <c r="M13">
        <v>681.6</v>
      </c>
      <c r="N13">
        <v>16</v>
      </c>
      <c r="O13">
        <v>1363.2</v>
      </c>
      <c r="P13">
        <v>14</v>
      </c>
      <c r="Q13">
        <v>1192.8</v>
      </c>
      <c r="R13">
        <v>13</v>
      </c>
      <c r="S13">
        <v>1107.6000000000001</v>
      </c>
      <c r="T13">
        <v>41</v>
      </c>
      <c r="U13">
        <v>3493.2000000000003</v>
      </c>
      <c r="V13">
        <v>51</v>
      </c>
      <c r="W13">
        <v>4345.2</v>
      </c>
      <c r="X13">
        <v>71</v>
      </c>
      <c r="Y13">
        <v>6049.2</v>
      </c>
      <c r="Z13">
        <v>36</v>
      </c>
      <c r="AA13">
        <v>3067.2000000000003</v>
      </c>
      <c r="AB13">
        <v>8</v>
      </c>
      <c r="AC13">
        <v>681.6</v>
      </c>
      <c r="AD13">
        <v>9</v>
      </c>
      <c r="AE13">
        <v>766.80000000000007</v>
      </c>
      <c r="AF13">
        <v>8</v>
      </c>
      <c r="AG13">
        <v>681.6</v>
      </c>
      <c r="AH13">
        <v>10</v>
      </c>
      <c r="AI13">
        <v>852</v>
      </c>
      <c r="AJ13">
        <v>6</v>
      </c>
      <c r="AK13">
        <v>511.20000000000005</v>
      </c>
      <c r="AL13">
        <v>7</v>
      </c>
      <c r="AM13">
        <v>596.4</v>
      </c>
      <c r="AN13">
        <v>4</v>
      </c>
      <c r="AO13">
        <v>340.8</v>
      </c>
      <c r="AP13">
        <v>5</v>
      </c>
      <c r="AQ13">
        <v>426</v>
      </c>
      <c r="AR13">
        <v>7</v>
      </c>
      <c r="AS13">
        <v>596.4</v>
      </c>
      <c r="AT13">
        <v>6</v>
      </c>
      <c r="AU13">
        <v>511.20000000000005</v>
      </c>
      <c r="AV13">
        <v>8</v>
      </c>
      <c r="AW13">
        <v>681.6</v>
      </c>
      <c r="AX13">
        <v>7</v>
      </c>
      <c r="AY13">
        <v>596.4</v>
      </c>
      <c r="AZ13">
        <v>11</v>
      </c>
      <c r="BA13">
        <v>937.2</v>
      </c>
      <c r="BB13">
        <v>7</v>
      </c>
      <c r="BC13">
        <v>596.4</v>
      </c>
      <c r="BD13">
        <v>11</v>
      </c>
      <c r="BE13">
        <v>937.2</v>
      </c>
      <c r="BF13">
        <v>7</v>
      </c>
      <c r="BG13">
        <v>596.4</v>
      </c>
      <c r="BH13">
        <v>36</v>
      </c>
      <c r="BI13">
        <v>3067.2000000000003</v>
      </c>
      <c r="BJ13">
        <v>24</v>
      </c>
      <c r="BK13">
        <v>2044.8000000000002</v>
      </c>
      <c r="BL13">
        <v>36</v>
      </c>
      <c r="BM13">
        <v>3067.2000000000003</v>
      </c>
      <c r="BN13">
        <v>35</v>
      </c>
      <c r="BO13">
        <v>2982</v>
      </c>
      <c r="BP13">
        <v>43</v>
      </c>
      <c r="BQ13">
        <v>3663.6</v>
      </c>
      <c r="BR13">
        <v>42</v>
      </c>
      <c r="BS13">
        <v>3578.4</v>
      </c>
      <c r="BT13">
        <v>43</v>
      </c>
      <c r="BU13">
        <v>3663.6</v>
      </c>
      <c r="BV13">
        <v>46</v>
      </c>
      <c r="BW13">
        <v>3919.2000000000003</v>
      </c>
      <c r="BX13">
        <v>6</v>
      </c>
      <c r="BY13">
        <v>511.20000000000005</v>
      </c>
      <c r="BZ13">
        <v>7</v>
      </c>
      <c r="CA13">
        <v>596.4</v>
      </c>
      <c r="CB13">
        <v>6</v>
      </c>
      <c r="CC13">
        <v>511.20000000000005</v>
      </c>
      <c r="CD13">
        <v>6</v>
      </c>
      <c r="CE13">
        <v>511.20000000000005</v>
      </c>
      <c r="CF13">
        <v>16</v>
      </c>
      <c r="CG13">
        <v>1363.2</v>
      </c>
      <c r="CH13">
        <v>16</v>
      </c>
      <c r="CI13">
        <v>1363.2</v>
      </c>
      <c r="CJ13">
        <v>10</v>
      </c>
      <c r="CK13">
        <v>852</v>
      </c>
      <c r="CL13">
        <v>17</v>
      </c>
      <c r="CM13">
        <v>1448.4</v>
      </c>
      <c r="CN13">
        <v>19</v>
      </c>
      <c r="CO13">
        <v>1618.8</v>
      </c>
      <c r="CP13">
        <v>15</v>
      </c>
      <c r="CQ13">
        <v>1278</v>
      </c>
      <c r="CR13">
        <v>20</v>
      </c>
      <c r="CS13">
        <v>1704</v>
      </c>
      <c r="CT13">
        <v>22</v>
      </c>
      <c r="CU13">
        <v>1874.4</v>
      </c>
    </row>
    <row r="14" spans="1:99" x14ac:dyDescent="0.2">
      <c r="C14" s="118" t="s">
        <v>180</v>
      </c>
      <c r="D14">
        <v>12</v>
      </c>
      <c r="E14">
        <v>5860.7999999999993</v>
      </c>
      <c r="F14">
        <v>15</v>
      </c>
      <c r="G14">
        <v>7326</v>
      </c>
      <c r="H14">
        <v>21</v>
      </c>
      <c r="I14">
        <v>10256.4</v>
      </c>
      <c r="J14">
        <v>17</v>
      </c>
      <c r="K14">
        <v>8302.7999999999993</v>
      </c>
      <c r="L14">
        <v>8</v>
      </c>
      <c r="M14">
        <v>3907.2</v>
      </c>
      <c r="N14">
        <v>17</v>
      </c>
      <c r="O14">
        <v>8302.7999999999993</v>
      </c>
      <c r="P14">
        <v>14</v>
      </c>
      <c r="Q14">
        <v>6837.5999999999995</v>
      </c>
      <c r="R14">
        <v>11</v>
      </c>
      <c r="S14">
        <v>5372.4</v>
      </c>
      <c r="T14">
        <v>38</v>
      </c>
      <c r="U14">
        <v>18559.2</v>
      </c>
      <c r="V14">
        <v>56</v>
      </c>
      <c r="W14">
        <v>27350.399999999998</v>
      </c>
      <c r="X14">
        <v>67</v>
      </c>
      <c r="Y14">
        <v>32722.799999999999</v>
      </c>
      <c r="Z14">
        <v>35</v>
      </c>
      <c r="AA14">
        <v>17094</v>
      </c>
      <c r="AB14">
        <v>8</v>
      </c>
      <c r="AC14">
        <v>3907.2</v>
      </c>
      <c r="AD14">
        <v>10</v>
      </c>
      <c r="AE14">
        <v>4884</v>
      </c>
      <c r="AF14">
        <v>7</v>
      </c>
      <c r="AG14">
        <v>3418.7999999999997</v>
      </c>
      <c r="AH14">
        <v>10</v>
      </c>
      <c r="AI14">
        <v>4884</v>
      </c>
      <c r="AJ14">
        <v>7</v>
      </c>
      <c r="AK14">
        <v>3418.7999999999997</v>
      </c>
      <c r="AL14">
        <v>6</v>
      </c>
      <c r="AM14">
        <v>2930.3999999999996</v>
      </c>
      <c r="AN14">
        <v>4</v>
      </c>
      <c r="AO14">
        <v>1953.6</v>
      </c>
      <c r="AP14">
        <v>4</v>
      </c>
      <c r="AQ14">
        <v>1953.6</v>
      </c>
      <c r="AR14">
        <v>6</v>
      </c>
      <c r="AS14">
        <v>2930.3999999999996</v>
      </c>
      <c r="AT14">
        <v>5</v>
      </c>
      <c r="AU14">
        <v>2442</v>
      </c>
      <c r="AV14">
        <v>8</v>
      </c>
      <c r="AW14">
        <v>3907.2</v>
      </c>
      <c r="AX14">
        <v>7</v>
      </c>
      <c r="AY14">
        <v>3418.7999999999997</v>
      </c>
      <c r="AZ14">
        <v>11</v>
      </c>
      <c r="BA14">
        <v>5372.4</v>
      </c>
      <c r="BB14">
        <v>7</v>
      </c>
      <c r="BC14">
        <v>3418.7999999999997</v>
      </c>
      <c r="BD14">
        <v>11</v>
      </c>
      <c r="BE14">
        <v>5372.4</v>
      </c>
      <c r="BF14">
        <v>7</v>
      </c>
      <c r="BG14">
        <v>3418.7999999999997</v>
      </c>
      <c r="BH14">
        <v>36</v>
      </c>
      <c r="BI14">
        <v>17582.399999999998</v>
      </c>
      <c r="BJ14">
        <v>25</v>
      </c>
      <c r="BK14">
        <v>12210</v>
      </c>
      <c r="BL14">
        <v>33</v>
      </c>
      <c r="BM14">
        <v>16117.199999999999</v>
      </c>
      <c r="BN14">
        <v>38</v>
      </c>
      <c r="BO14">
        <v>18559.2</v>
      </c>
      <c r="BP14">
        <v>39</v>
      </c>
      <c r="BQ14">
        <v>19047.599999999999</v>
      </c>
      <c r="BR14">
        <v>44</v>
      </c>
      <c r="BS14">
        <v>21489.599999999999</v>
      </c>
      <c r="BT14">
        <v>39</v>
      </c>
      <c r="BU14">
        <v>19047.599999999999</v>
      </c>
      <c r="BV14">
        <v>43</v>
      </c>
      <c r="BW14">
        <v>21001.200000000001</v>
      </c>
      <c r="BX14">
        <v>6</v>
      </c>
      <c r="BY14">
        <v>2930.3999999999996</v>
      </c>
      <c r="BZ14">
        <v>7</v>
      </c>
      <c r="CA14">
        <v>3418.7999999999997</v>
      </c>
      <c r="CB14">
        <v>5</v>
      </c>
      <c r="CC14">
        <v>2442</v>
      </c>
      <c r="CD14">
        <v>6</v>
      </c>
      <c r="CE14">
        <v>2930.3999999999996</v>
      </c>
      <c r="CF14">
        <v>17</v>
      </c>
      <c r="CG14">
        <v>8302.7999999999993</v>
      </c>
      <c r="CH14">
        <v>14</v>
      </c>
      <c r="CI14">
        <v>6837.5999999999995</v>
      </c>
      <c r="CJ14">
        <v>8</v>
      </c>
      <c r="CK14">
        <v>3907.2</v>
      </c>
      <c r="CL14">
        <v>15</v>
      </c>
      <c r="CM14">
        <v>7326</v>
      </c>
      <c r="CN14">
        <v>18</v>
      </c>
      <c r="CO14">
        <v>8791.1999999999989</v>
      </c>
      <c r="CP14">
        <v>16</v>
      </c>
      <c r="CQ14">
        <v>7814.4</v>
      </c>
      <c r="CR14">
        <v>18</v>
      </c>
      <c r="CS14">
        <v>8791.1999999999989</v>
      </c>
      <c r="CT14">
        <v>19</v>
      </c>
      <c r="CU14">
        <v>9279.6</v>
      </c>
    </row>
    <row r="15" spans="1:99" x14ac:dyDescent="0.2">
      <c r="C15" s="118" t="s">
        <v>181</v>
      </c>
      <c r="D15">
        <v>12</v>
      </c>
      <c r="E15">
        <v>9158.4</v>
      </c>
      <c r="F15">
        <v>16</v>
      </c>
      <c r="G15">
        <v>12211.199999999999</v>
      </c>
      <c r="H15">
        <v>21</v>
      </c>
      <c r="I15">
        <v>16027.199999999999</v>
      </c>
      <c r="J15">
        <v>18</v>
      </c>
      <c r="K15">
        <v>13737.599999999999</v>
      </c>
      <c r="L15">
        <v>9</v>
      </c>
      <c r="M15">
        <v>6868.7999999999993</v>
      </c>
      <c r="N15">
        <v>15</v>
      </c>
      <c r="O15">
        <v>11447.999999999998</v>
      </c>
      <c r="P15">
        <v>12</v>
      </c>
      <c r="Q15">
        <v>9158.4</v>
      </c>
      <c r="R15">
        <v>11</v>
      </c>
      <c r="S15">
        <v>8395.1999999999989</v>
      </c>
      <c r="T15">
        <v>42</v>
      </c>
      <c r="U15">
        <v>32054.399999999998</v>
      </c>
      <c r="V15">
        <v>50</v>
      </c>
      <c r="W15">
        <v>38160</v>
      </c>
      <c r="X15">
        <v>62</v>
      </c>
      <c r="Y15">
        <v>47318.399999999994</v>
      </c>
      <c r="Z15">
        <v>31</v>
      </c>
      <c r="AA15">
        <v>23659.199999999997</v>
      </c>
      <c r="AB15">
        <v>7</v>
      </c>
      <c r="AC15">
        <v>5342.4</v>
      </c>
      <c r="AD15">
        <v>9</v>
      </c>
      <c r="AE15">
        <v>6868.7999999999993</v>
      </c>
      <c r="AF15">
        <v>7</v>
      </c>
      <c r="AG15">
        <v>5342.4</v>
      </c>
      <c r="AH15">
        <v>9</v>
      </c>
      <c r="AI15">
        <v>6868.7999999999993</v>
      </c>
      <c r="AJ15">
        <v>6</v>
      </c>
      <c r="AK15">
        <v>4579.2</v>
      </c>
      <c r="AL15">
        <v>7</v>
      </c>
      <c r="AM15">
        <v>5342.4</v>
      </c>
      <c r="AN15">
        <v>4</v>
      </c>
      <c r="AO15">
        <v>3052.7999999999997</v>
      </c>
      <c r="AP15">
        <v>4</v>
      </c>
      <c r="AQ15">
        <v>3052.7999999999997</v>
      </c>
      <c r="AR15">
        <v>7</v>
      </c>
      <c r="AS15">
        <v>5342.4</v>
      </c>
      <c r="AT15">
        <v>6</v>
      </c>
      <c r="AU15">
        <v>4579.2</v>
      </c>
      <c r="AV15">
        <v>7</v>
      </c>
      <c r="AW15">
        <v>5342.4</v>
      </c>
      <c r="AX15">
        <v>7</v>
      </c>
      <c r="AY15">
        <v>5342.4</v>
      </c>
      <c r="AZ15">
        <v>10</v>
      </c>
      <c r="BA15">
        <v>7631.9999999999991</v>
      </c>
      <c r="BB15">
        <v>6</v>
      </c>
      <c r="BC15">
        <v>4579.2</v>
      </c>
      <c r="BD15">
        <v>10</v>
      </c>
      <c r="BE15">
        <v>7631.9999999999991</v>
      </c>
      <c r="BF15">
        <v>7</v>
      </c>
      <c r="BG15">
        <v>5342.4</v>
      </c>
      <c r="BH15">
        <v>30</v>
      </c>
      <c r="BI15">
        <v>22895.999999999996</v>
      </c>
      <c r="BJ15">
        <v>25</v>
      </c>
      <c r="BK15">
        <v>19080</v>
      </c>
      <c r="BL15">
        <v>37</v>
      </c>
      <c r="BM15">
        <v>28238.399999999998</v>
      </c>
      <c r="BN15">
        <v>35</v>
      </c>
      <c r="BO15">
        <v>26711.999999999996</v>
      </c>
      <c r="BP15">
        <v>42</v>
      </c>
      <c r="BQ15">
        <v>32054.399999999998</v>
      </c>
      <c r="BR15">
        <v>39</v>
      </c>
      <c r="BS15">
        <v>29764.799999999996</v>
      </c>
      <c r="BT15">
        <v>38</v>
      </c>
      <c r="BU15">
        <v>29001.599999999999</v>
      </c>
      <c r="BV15">
        <v>46</v>
      </c>
      <c r="BW15">
        <v>35107.199999999997</v>
      </c>
      <c r="BX15">
        <v>7</v>
      </c>
      <c r="BY15">
        <v>5342.4</v>
      </c>
      <c r="BZ15">
        <v>6</v>
      </c>
      <c r="CA15">
        <v>4579.2</v>
      </c>
      <c r="CB15">
        <v>5</v>
      </c>
      <c r="CC15">
        <v>3815.9999999999995</v>
      </c>
      <c r="CD15">
        <v>6</v>
      </c>
      <c r="CE15">
        <v>4579.2</v>
      </c>
      <c r="CF15">
        <v>16</v>
      </c>
      <c r="CG15">
        <v>12211.199999999999</v>
      </c>
      <c r="CH15">
        <v>13</v>
      </c>
      <c r="CI15">
        <v>9921.5999999999985</v>
      </c>
      <c r="CJ15">
        <v>8</v>
      </c>
      <c r="CK15">
        <v>6105.5999999999995</v>
      </c>
      <c r="CL15">
        <v>15</v>
      </c>
      <c r="CM15">
        <v>11447.999999999998</v>
      </c>
      <c r="CN15">
        <v>16</v>
      </c>
      <c r="CO15">
        <v>12211.199999999999</v>
      </c>
      <c r="CP15">
        <v>16</v>
      </c>
      <c r="CQ15">
        <v>12211.199999999999</v>
      </c>
      <c r="CR15">
        <v>17</v>
      </c>
      <c r="CS15">
        <v>12974.4</v>
      </c>
      <c r="CT15">
        <v>19</v>
      </c>
      <c r="CU15">
        <v>14500.8</v>
      </c>
    </row>
    <row r="16" spans="1:99" x14ac:dyDescent="0.2">
      <c r="C16" s="118" t="s">
        <v>182</v>
      </c>
      <c r="D16">
        <v>14</v>
      </c>
      <c r="E16">
        <v>4771.2</v>
      </c>
      <c r="F16">
        <v>18</v>
      </c>
      <c r="G16">
        <v>6134.4000000000005</v>
      </c>
      <c r="H16">
        <v>19</v>
      </c>
      <c r="I16">
        <v>6475.2</v>
      </c>
      <c r="J16">
        <v>17</v>
      </c>
      <c r="K16">
        <v>5793.6</v>
      </c>
      <c r="L16">
        <v>9</v>
      </c>
      <c r="M16">
        <v>3067.2000000000003</v>
      </c>
      <c r="N16">
        <v>17</v>
      </c>
      <c r="O16">
        <v>5793.6</v>
      </c>
      <c r="P16">
        <v>13</v>
      </c>
      <c r="Q16">
        <v>4430.4000000000005</v>
      </c>
      <c r="R16">
        <v>11</v>
      </c>
      <c r="S16">
        <v>3748.8</v>
      </c>
      <c r="T16">
        <v>40</v>
      </c>
      <c r="U16">
        <v>13632</v>
      </c>
      <c r="V16">
        <v>48</v>
      </c>
      <c r="W16">
        <v>16358.400000000001</v>
      </c>
      <c r="X16">
        <v>66</v>
      </c>
      <c r="Y16">
        <v>22492.799999999999</v>
      </c>
      <c r="Z16">
        <v>34</v>
      </c>
      <c r="AA16">
        <v>11587.2</v>
      </c>
      <c r="AB16">
        <v>8</v>
      </c>
      <c r="AC16">
        <v>2726.4</v>
      </c>
      <c r="AD16">
        <v>9</v>
      </c>
      <c r="AE16">
        <v>3067.2000000000003</v>
      </c>
      <c r="AF16">
        <v>8</v>
      </c>
      <c r="AG16">
        <v>2726.4</v>
      </c>
      <c r="AH16">
        <v>10</v>
      </c>
      <c r="AI16">
        <v>3408</v>
      </c>
      <c r="AJ16">
        <v>6</v>
      </c>
      <c r="AK16">
        <v>2044.8000000000002</v>
      </c>
      <c r="AL16">
        <v>7</v>
      </c>
      <c r="AM16">
        <v>2385.6</v>
      </c>
      <c r="AN16">
        <v>4</v>
      </c>
      <c r="AO16">
        <v>1363.2</v>
      </c>
      <c r="AP16">
        <v>5</v>
      </c>
      <c r="AQ16">
        <v>1704</v>
      </c>
      <c r="AR16">
        <v>6</v>
      </c>
      <c r="AS16">
        <v>2044.8000000000002</v>
      </c>
      <c r="AT16">
        <v>5</v>
      </c>
      <c r="AU16">
        <v>1704</v>
      </c>
      <c r="AV16">
        <v>8</v>
      </c>
      <c r="AW16">
        <v>2726.4</v>
      </c>
      <c r="AX16">
        <v>8</v>
      </c>
      <c r="AY16">
        <v>2726.4</v>
      </c>
      <c r="AZ16">
        <v>11</v>
      </c>
      <c r="BA16">
        <v>3748.8</v>
      </c>
      <c r="BB16">
        <v>6</v>
      </c>
      <c r="BC16">
        <v>2044.8000000000002</v>
      </c>
      <c r="BD16">
        <v>11</v>
      </c>
      <c r="BE16">
        <v>3748.8</v>
      </c>
      <c r="BF16">
        <v>7</v>
      </c>
      <c r="BG16">
        <v>2385.6</v>
      </c>
      <c r="BH16">
        <v>35</v>
      </c>
      <c r="BI16">
        <v>11928</v>
      </c>
      <c r="BJ16">
        <v>26</v>
      </c>
      <c r="BK16">
        <v>8860.8000000000011</v>
      </c>
      <c r="BL16">
        <v>34</v>
      </c>
      <c r="BM16">
        <v>11587.2</v>
      </c>
      <c r="BN16">
        <v>40</v>
      </c>
      <c r="BO16">
        <v>13632</v>
      </c>
      <c r="BP16">
        <v>44</v>
      </c>
      <c r="BQ16">
        <v>14995.2</v>
      </c>
      <c r="BR16">
        <v>45</v>
      </c>
      <c r="BS16">
        <v>15336</v>
      </c>
      <c r="BT16">
        <v>46</v>
      </c>
      <c r="BU16">
        <v>15676.800000000001</v>
      </c>
      <c r="BV16">
        <v>43</v>
      </c>
      <c r="BW16">
        <v>14654.4</v>
      </c>
      <c r="BX16">
        <v>7</v>
      </c>
      <c r="BY16">
        <v>2385.6</v>
      </c>
      <c r="BZ16">
        <v>7</v>
      </c>
      <c r="CA16">
        <v>2385.6</v>
      </c>
      <c r="CB16">
        <v>6</v>
      </c>
      <c r="CC16">
        <v>2044.8000000000002</v>
      </c>
      <c r="CD16">
        <v>6</v>
      </c>
      <c r="CE16">
        <v>2044.8000000000002</v>
      </c>
      <c r="CF16">
        <v>17</v>
      </c>
      <c r="CG16">
        <v>5793.6</v>
      </c>
      <c r="CH16">
        <v>14</v>
      </c>
      <c r="CI16">
        <v>4771.2</v>
      </c>
      <c r="CJ16">
        <v>9</v>
      </c>
      <c r="CK16">
        <v>3067.2000000000003</v>
      </c>
      <c r="CL16">
        <v>15</v>
      </c>
      <c r="CM16">
        <v>5112</v>
      </c>
      <c r="CN16">
        <v>20</v>
      </c>
      <c r="CO16">
        <v>6816</v>
      </c>
      <c r="CP16">
        <v>16</v>
      </c>
      <c r="CQ16">
        <v>5452.8</v>
      </c>
      <c r="CR16">
        <v>18</v>
      </c>
      <c r="CS16">
        <v>6134.4000000000005</v>
      </c>
      <c r="CT16">
        <v>20</v>
      </c>
      <c r="CU16">
        <v>6816</v>
      </c>
    </row>
    <row r="17" spans="2:99" x14ac:dyDescent="0.2">
      <c r="C17" s="118" t="s">
        <v>183</v>
      </c>
      <c r="D17">
        <v>13</v>
      </c>
      <c r="E17">
        <v>5491.2</v>
      </c>
      <c r="F17">
        <v>18</v>
      </c>
      <c r="G17">
        <v>7603.2</v>
      </c>
      <c r="H17">
        <v>19</v>
      </c>
      <c r="I17">
        <v>8025.5999999999995</v>
      </c>
      <c r="J17">
        <v>20</v>
      </c>
      <c r="K17">
        <v>8448</v>
      </c>
      <c r="L17">
        <v>8</v>
      </c>
      <c r="M17">
        <v>3379.2</v>
      </c>
      <c r="N17">
        <v>17</v>
      </c>
      <c r="O17">
        <v>7180.7999999999993</v>
      </c>
      <c r="P17">
        <v>13</v>
      </c>
      <c r="Q17">
        <v>5491.2</v>
      </c>
      <c r="R17">
        <v>12</v>
      </c>
      <c r="S17">
        <v>5068.7999999999993</v>
      </c>
      <c r="T17">
        <v>42</v>
      </c>
      <c r="U17">
        <v>17740.8</v>
      </c>
      <c r="V17">
        <v>55</v>
      </c>
      <c r="W17">
        <v>23232</v>
      </c>
      <c r="X17">
        <v>66</v>
      </c>
      <c r="Y17">
        <v>27878.399999999998</v>
      </c>
      <c r="Z17">
        <v>33</v>
      </c>
      <c r="AA17">
        <v>13939.199999999999</v>
      </c>
      <c r="AB17">
        <v>8</v>
      </c>
      <c r="AC17">
        <v>3379.2</v>
      </c>
      <c r="AD17">
        <v>8</v>
      </c>
      <c r="AE17">
        <v>3379.2</v>
      </c>
      <c r="AF17">
        <v>8</v>
      </c>
      <c r="AG17">
        <v>3379.2</v>
      </c>
      <c r="AH17">
        <v>9</v>
      </c>
      <c r="AI17">
        <v>3801.6</v>
      </c>
      <c r="AJ17">
        <v>6</v>
      </c>
      <c r="AK17">
        <v>2534.3999999999996</v>
      </c>
      <c r="AL17">
        <v>7</v>
      </c>
      <c r="AM17">
        <v>2956.7999999999997</v>
      </c>
      <c r="AN17">
        <v>4</v>
      </c>
      <c r="AO17">
        <v>1689.6</v>
      </c>
      <c r="AP17">
        <v>4</v>
      </c>
      <c r="AQ17">
        <v>1689.6</v>
      </c>
      <c r="AR17">
        <v>6</v>
      </c>
      <c r="AS17">
        <v>2534.3999999999996</v>
      </c>
      <c r="AT17">
        <v>5</v>
      </c>
      <c r="AU17">
        <v>2112</v>
      </c>
      <c r="AV17">
        <v>7</v>
      </c>
      <c r="AW17">
        <v>2956.7999999999997</v>
      </c>
      <c r="AX17">
        <v>8</v>
      </c>
      <c r="AY17">
        <v>3379.2</v>
      </c>
      <c r="AZ17">
        <v>11</v>
      </c>
      <c r="BA17">
        <v>4646.3999999999996</v>
      </c>
      <c r="BB17">
        <v>7</v>
      </c>
      <c r="BC17">
        <v>2956.7999999999997</v>
      </c>
      <c r="BD17">
        <v>11</v>
      </c>
      <c r="BE17">
        <v>4646.3999999999996</v>
      </c>
      <c r="BF17">
        <v>7</v>
      </c>
      <c r="BG17">
        <v>2956.7999999999997</v>
      </c>
      <c r="BH17">
        <v>36</v>
      </c>
      <c r="BI17">
        <v>15206.4</v>
      </c>
      <c r="BJ17">
        <v>25</v>
      </c>
      <c r="BK17">
        <v>10560</v>
      </c>
      <c r="BL17">
        <v>39</v>
      </c>
      <c r="BM17">
        <v>16473.599999999999</v>
      </c>
      <c r="BN17">
        <v>35</v>
      </c>
      <c r="BO17">
        <v>14784</v>
      </c>
      <c r="BP17">
        <v>43</v>
      </c>
      <c r="BQ17">
        <v>18163.2</v>
      </c>
      <c r="BR17">
        <v>40</v>
      </c>
      <c r="BS17">
        <v>16896</v>
      </c>
      <c r="BT17">
        <v>42</v>
      </c>
      <c r="BU17">
        <v>17740.8</v>
      </c>
      <c r="BV17">
        <v>52</v>
      </c>
      <c r="BW17">
        <v>21964.799999999999</v>
      </c>
      <c r="BX17">
        <v>7</v>
      </c>
      <c r="BY17">
        <v>2956.7999999999997</v>
      </c>
      <c r="BZ17">
        <v>7</v>
      </c>
      <c r="CA17">
        <v>2956.7999999999997</v>
      </c>
      <c r="CB17">
        <v>5</v>
      </c>
      <c r="CC17">
        <v>2112</v>
      </c>
      <c r="CD17">
        <v>5</v>
      </c>
      <c r="CE17">
        <v>2112</v>
      </c>
      <c r="CF17">
        <v>15</v>
      </c>
      <c r="CG17">
        <v>6336</v>
      </c>
      <c r="CH17">
        <v>13</v>
      </c>
      <c r="CI17">
        <v>5491.2</v>
      </c>
      <c r="CJ17">
        <v>9</v>
      </c>
      <c r="CK17">
        <v>3801.6</v>
      </c>
      <c r="CL17">
        <v>16</v>
      </c>
      <c r="CM17">
        <v>6758.4</v>
      </c>
      <c r="CN17">
        <v>19</v>
      </c>
      <c r="CO17">
        <v>8025.5999999999995</v>
      </c>
      <c r="CP17">
        <v>17</v>
      </c>
      <c r="CQ17">
        <v>7180.7999999999993</v>
      </c>
      <c r="CR17">
        <v>20</v>
      </c>
      <c r="CS17">
        <v>8448</v>
      </c>
      <c r="CT17">
        <v>20</v>
      </c>
      <c r="CU17">
        <v>8448</v>
      </c>
    </row>
    <row r="18" spans="2:99" x14ac:dyDescent="0.2">
      <c r="C18" s="118" t="s">
        <v>184</v>
      </c>
      <c r="D18">
        <v>13</v>
      </c>
      <c r="E18">
        <v>8486.4</v>
      </c>
      <c r="F18">
        <v>16</v>
      </c>
      <c r="G18">
        <v>10444.799999999999</v>
      </c>
      <c r="H18">
        <v>18</v>
      </c>
      <c r="I18">
        <v>11750.4</v>
      </c>
      <c r="J18">
        <v>19</v>
      </c>
      <c r="K18">
        <v>12403.199999999999</v>
      </c>
      <c r="L18">
        <v>8</v>
      </c>
      <c r="M18">
        <v>5222.3999999999996</v>
      </c>
      <c r="N18">
        <v>17</v>
      </c>
      <c r="O18">
        <v>11097.599999999999</v>
      </c>
      <c r="P18">
        <v>12</v>
      </c>
      <c r="Q18">
        <v>7833.5999999999995</v>
      </c>
      <c r="R18">
        <v>12</v>
      </c>
      <c r="S18">
        <v>7833.5999999999995</v>
      </c>
      <c r="T18">
        <v>39</v>
      </c>
      <c r="U18">
        <v>25459.199999999997</v>
      </c>
      <c r="V18">
        <v>52</v>
      </c>
      <c r="W18">
        <v>33945.599999999999</v>
      </c>
      <c r="X18">
        <v>57</v>
      </c>
      <c r="Y18">
        <v>37209.599999999999</v>
      </c>
      <c r="Z18">
        <v>32</v>
      </c>
      <c r="AA18">
        <v>20889.599999999999</v>
      </c>
      <c r="AB18">
        <v>9</v>
      </c>
      <c r="AC18">
        <v>5875.2</v>
      </c>
      <c r="AD18">
        <v>10</v>
      </c>
      <c r="AE18">
        <v>6528</v>
      </c>
      <c r="AF18">
        <v>8</v>
      </c>
      <c r="AG18">
        <v>5222.3999999999996</v>
      </c>
      <c r="AH18">
        <v>9</v>
      </c>
      <c r="AI18">
        <v>5875.2</v>
      </c>
      <c r="AJ18">
        <v>6</v>
      </c>
      <c r="AK18">
        <v>3916.7999999999997</v>
      </c>
      <c r="AL18">
        <v>6</v>
      </c>
      <c r="AM18">
        <v>3916.7999999999997</v>
      </c>
      <c r="AN18">
        <v>3</v>
      </c>
      <c r="AO18">
        <v>1958.3999999999999</v>
      </c>
      <c r="AP18">
        <v>4</v>
      </c>
      <c r="AQ18">
        <v>2611.1999999999998</v>
      </c>
      <c r="AR18">
        <v>7</v>
      </c>
      <c r="AS18">
        <v>4569.5999999999995</v>
      </c>
      <c r="AT18">
        <v>6</v>
      </c>
      <c r="AU18">
        <v>3916.7999999999997</v>
      </c>
      <c r="AV18">
        <v>8</v>
      </c>
      <c r="AW18">
        <v>5222.3999999999996</v>
      </c>
      <c r="AX18">
        <v>7</v>
      </c>
      <c r="AY18">
        <v>4569.5999999999995</v>
      </c>
      <c r="AZ18">
        <v>11</v>
      </c>
      <c r="BA18">
        <v>7180.7999999999993</v>
      </c>
      <c r="BB18">
        <v>7</v>
      </c>
      <c r="BC18">
        <v>4569.5999999999995</v>
      </c>
      <c r="BD18">
        <v>11</v>
      </c>
      <c r="BE18">
        <v>7180.7999999999993</v>
      </c>
      <c r="BF18">
        <v>6</v>
      </c>
      <c r="BG18">
        <v>3916.7999999999997</v>
      </c>
      <c r="BH18">
        <v>35</v>
      </c>
      <c r="BI18">
        <v>22848</v>
      </c>
      <c r="BJ18">
        <v>25</v>
      </c>
      <c r="BK18">
        <v>16319.999999999998</v>
      </c>
      <c r="BL18">
        <v>38</v>
      </c>
      <c r="BM18">
        <v>24806.399999999998</v>
      </c>
      <c r="BN18">
        <v>37</v>
      </c>
      <c r="BO18">
        <v>24153.599999999999</v>
      </c>
      <c r="BP18">
        <v>40</v>
      </c>
      <c r="BQ18">
        <v>26112</v>
      </c>
      <c r="BR18">
        <v>37</v>
      </c>
      <c r="BS18">
        <v>24153.599999999999</v>
      </c>
      <c r="BT18">
        <v>39</v>
      </c>
      <c r="BU18">
        <v>25459.199999999997</v>
      </c>
      <c r="BV18">
        <v>50</v>
      </c>
      <c r="BW18">
        <v>32639.999999999996</v>
      </c>
      <c r="BX18">
        <v>6</v>
      </c>
      <c r="BY18">
        <v>3916.7999999999997</v>
      </c>
      <c r="BZ18">
        <v>6</v>
      </c>
      <c r="CA18">
        <v>3916.7999999999997</v>
      </c>
      <c r="CB18">
        <v>5</v>
      </c>
      <c r="CC18">
        <v>3264</v>
      </c>
      <c r="CD18">
        <v>6</v>
      </c>
      <c r="CE18">
        <v>3916.7999999999997</v>
      </c>
      <c r="CF18">
        <v>15</v>
      </c>
      <c r="CG18">
        <v>9792</v>
      </c>
      <c r="CH18">
        <v>16</v>
      </c>
      <c r="CI18">
        <v>10444.799999999999</v>
      </c>
      <c r="CJ18">
        <v>9</v>
      </c>
      <c r="CK18">
        <v>5875.2</v>
      </c>
      <c r="CL18">
        <v>17</v>
      </c>
      <c r="CM18">
        <v>11097.599999999999</v>
      </c>
      <c r="CN18">
        <v>19</v>
      </c>
      <c r="CO18">
        <v>12403.199999999999</v>
      </c>
      <c r="CP18">
        <v>14</v>
      </c>
      <c r="CQ18">
        <v>9139.1999999999989</v>
      </c>
      <c r="CR18">
        <v>18</v>
      </c>
      <c r="CS18">
        <v>11750.4</v>
      </c>
      <c r="CT18">
        <v>17</v>
      </c>
      <c r="CU18">
        <v>11097.599999999999</v>
      </c>
    </row>
    <row r="19" spans="2:99" x14ac:dyDescent="0.2">
      <c r="C19" s="118" t="s">
        <v>185</v>
      </c>
      <c r="D19">
        <v>14</v>
      </c>
      <c r="E19">
        <v>4620</v>
      </c>
      <c r="F19">
        <v>16</v>
      </c>
      <c r="G19">
        <v>5280</v>
      </c>
      <c r="H19">
        <v>19</v>
      </c>
      <c r="I19">
        <v>6270</v>
      </c>
      <c r="J19">
        <v>17</v>
      </c>
      <c r="K19">
        <v>5610</v>
      </c>
      <c r="L19">
        <v>8</v>
      </c>
      <c r="M19">
        <v>2640</v>
      </c>
      <c r="N19">
        <v>15</v>
      </c>
      <c r="O19">
        <v>4950</v>
      </c>
      <c r="P19">
        <v>15</v>
      </c>
      <c r="Q19">
        <v>4950</v>
      </c>
      <c r="R19">
        <v>11</v>
      </c>
      <c r="S19">
        <v>3630</v>
      </c>
      <c r="T19">
        <v>39</v>
      </c>
      <c r="U19">
        <v>12870</v>
      </c>
      <c r="V19">
        <v>52</v>
      </c>
      <c r="W19">
        <v>17160</v>
      </c>
      <c r="X19">
        <v>69</v>
      </c>
      <c r="Y19">
        <v>22770</v>
      </c>
      <c r="Z19">
        <v>34</v>
      </c>
      <c r="AA19">
        <v>11220</v>
      </c>
      <c r="AB19">
        <v>8</v>
      </c>
      <c r="AC19">
        <v>2640</v>
      </c>
      <c r="AD19">
        <v>9</v>
      </c>
      <c r="AE19">
        <v>2970</v>
      </c>
      <c r="AF19">
        <v>7</v>
      </c>
      <c r="AG19">
        <v>2310</v>
      </c>
      <c r="AH19">
        <v>9</v>
      </c>
      <c r="AI19">
        <v>2970</v>
      </c>
      <c r="AJ19">
        <v>6</v>
      </c>
      <c r="AK19">
        <v>1980</v>
      </c>
      <c r="AL19">
        <v>6</v>
      </c>
      <c r="AM19">
        <v>1980</v>
      </c>
      <c r="AN19">
        <v>4</v>
      </c>
      <c r="AO19">
        <v>1320</v>
      </c>
      <c r="AP19">
        <v>5</v>
      </c>
      <c r="AQ19">
        <v>1650</v>
      </c>
      <c r="AR19">
        <v>6</v>
      </c>
      <c r="AS19">
        <v>1980</v>
      </c>
      <c r="AT19">
        <v>6</v>
      </c>
      <c r="AU19">
        <v>1980</v>
      </c>
      <c r="AV19">
        <v>8</v>
      </c>
      <c r="AW19">
        <v>2640</v>
      </c>
      <c r="AX19">
        <v>7</v>
      </c>
      <c r="AY19">
        <v>2310</v>
      </c>
      <c r="AZ19">
        <v>12</v>
      </c>
      <c r="BA19">
        <v>3960</v>
      </c>
      <c r="BB19">
        <v>7</v>
      </c>
      <c r="BC19">
        <v>2310</v>
      </c>
      <c r="BD19">
        <v>10</v>
      </c>
      <c r="BE19">
        <v>3300</v>
      </c>
      <c r="BF19">
        <v>8</v>
      </c>
      <c r="BG19">
        <v>2640</v>
      </c>
      <c r="BH19">
        <v>33</v>
      </c>
      <c r="BI19">
        <v>10890</v>
      </c>
      <c r="BJ19">
        <v>25</v>
      </c>
      <c r="BK19">
        <v>8250</v>
      </c>
      <c r="BL19">
        <v>36</v>
      </c>
      <c r="BM19">
        <v>11880</v>
      </c>
      <c r="BN19">
        <v>34</v>
      </c>
      <c r="BO19">
        <v>11220</v>
      </c>
      <c r="BP19">
        <v>45</v>
      </c>
      <c r="BQ19">
        <v>14850</v>
      </c>
      <c r="BR19">
        <v>40</v>
      </c>
      <c r="BS19">
        <v>13200</v>
      </c>
      <c r="BT19">
        <v>40</v>
      </c>
      <c r="BU19">
        <v>13200</v>
      </c>
      <c r="BV19">
        <v>52</v>
      </c>
      <c r="BW19">
        <v>17160</v>
      </c>
      <c r="BX19">
        <v>6</v>
      </c>
      <c r="BY19">
        <v>1980</v>
      </c>
      <c r="BZ19">
        <v>7</v>
      </c>
      <c r="CA19">
        <v>2310</v>
      </c>
      <c r="CB19">
        <v>5</v>
      </c>
      <c r="CC19">
        <v>1650</v>
      </c>
      <c r="CD19">
        <v>6</v>
      </c>
      <c r="CE19">
        <v>1980</v>
      </c>
      <c r="CF19">
        <v>15</v>
      </c>
      <c r="CG19">
        <v>4950</v>
      </c>
      <c r="CH19">
        <v>14</v>
      </c>
      <c r="CI19">
        <v>4620</v>
      </c>
      <c r="CJ19">
        <v>9</v>
      </c>
      <c r="CK19">
        <v>2970</v>
      </c>
      <c r="CL19">
        <v>18</v>
      </c>
      <c r="CM19">
        <v>5940</v>
      </c>
      <c r="CN19">
        <v>17</v>
      </c>
      <c r="CO19">
        <v>5610</v>
      </c>
      <c r="CP19">
        <v>17</v>
      </c>
      <c r="CQ19">
        <v>5610</v>
      </c>
      <c r="CR19">
        <v>20</v>
      </c>
      <c r="CS19">
        <v>6600</v>
      </c>
      <c r="CT19">
        <v>19</v>
      </c>
      <c r="CU19">
        <v>6270</v>
      </c>
    </row>
    <row r="20" spans="2:99" x14ac:dyDescent="0.2">
      <c r="B20" s="118" t="s">
        <v>127</v>
      </c>
      <c r="C20" s="118" t="s">
        <v>186</v>
      </c>
      <c r="D20">
        <v>5</v>
      </c>
      <c r="E20">
        <v>1434</v>
      </c>
      <c r="F20">
        <v>5</v>
      </c>
      <c r="G20">
        <v>1434</v>
      </c>
      <c r="H20">
        <v>5</v>
      </c>
      <c r="I20">
        <v>1434</v>
      </c>
      <c r="J20">
        <v>4</v>
      </c>
      <c r="K20">
        <v>1147.2</v>
      </c>
      <c r="L20">
        <v>7</v>
      </c>
      <c r="M20">
        <v>2007.6000000000001</v>
      </c>
      <c r="N20">
        <v>4</v>
      </c>
      <c r="O20">
        <v>1147.2</v>
      </c>
      <c r="P20">
        <v>6</v>
      </c>
      <c r="Q20">
        <v>1720.8000000000002</v>
      </c>
      <c r="R20">
        <v>4</v>
      </c>
      <c r="S20">
        <v>1147.2</v>
      </c>
      <c r="T20">
        <v>12</v>
      </c>
      <c r="U20">
        <v>3441.6000000000004</v>
      </c>
      <c r="V20">
        <v>6</v>
      </c>
      <c r="W20">
        <v>1720.8000000000002</v>
      </c>
      <c r="X20">
        <v>10</v>
      </c>
      <c r="Y20">
        <v>2868</v>
      </c>
      <c r="Z20">
        <v>11</v>
      </c>
      <c r="AA20">
        <v>3154.8</v>
      </c>
      <c r="AB20">
        <v>16</v>
      </c>
      <c r="AC20">
        <v>4588.8</v>
      </c>
      <c r="AD20">
        <v>29</v>
      </c>
      <c r="AE20">
        <v>8317.2000000000007</v>
      </c>
      <c r="AF20">
        <v>20</v>
      </c>
      <c r="AG20">
        <v>5736</v>
      </c>
      <c r="AH20">
        <v>28</v>
      </c>
      <c r="AI20">
        <v>8030.4000000000005</v>
      </c>
      <c r="AJ20">
        <v>6</v>
      </c>
      <c r="AK20">
        <v>1720.8000000000002</v>
      </c>
      <c r="AL20">
        <v>5</v>
      </c>
      <c r="AM20">
        <v>1434</v>
      </c>
      <c r="AN20">
        <v>3</v>
      </c>
      <c r="AO20">
        <v>860.40000000000009</v>
      </c>
      <c r="AP20">
        <v>4</v>
      </c>
      <c r="AQ20">
        <v>1147.2</v>
      </c>
      <c r="AR20">
        <v>4</v>
      </c>
      <c r="AS20">
        <v>1147.2</v>
      </c>
      <c r="AT20">
        <v>6</v>
      </c>
      <c r="AU20">
        <v>1720.8000000000002</v>
      </c>
      <c r="AV20">
        <v>6</v>
      </c>
      <c r="AW20">
        <v>1720.8000000000002</v>
      </c>
      <c r="AX20">
        <v>4</v>
      </c>
      <c r="AY20">
        <v>1147.2</v>
      </c>
      <c r="AZ20">
        <v>35</v>
      </c>
      <c r="BA20">
        <v>10038</v>
      </c>
      <c r="BB20">
        <v>36</v>
      </c>
      <c r="BC20">
        <v>10324.800000000001</v>
      </c>
      <c r="BD20">
        <v>40</v>
      </c>
      <c r="BE20">
        <v>11472</v>
      </c>
      <c r="BF20">
        <v>31</v>
      </c>
      <c r="BG20">
        <v>8890.8000000000011</v>
      </c>
      <c r="BH20">
        <v>14</v>
      </c>
      <c r="BI20">
        <v>4015.2000000000003</v>
      </c>
      <c r="BJ20">
        <v>9</v>
      </c>
      <c r="BK20">
        <v>2581.2000000000003</v>
      </c>
      <c r="BL20">
        <v>8</v>
      </c>
      <c r="BM20">
        <v>2294.4</v>
      </c>
      <c r="BN20">
        <v>8</v>
      </c>
      <c r="BO20">
        <v>2294.4</v>
      </c>
      <c r="BP20">
        <v>8</v>
      </c>
      <c r="BQ20">
        <v>2294.4</v>
      </c>
      <c r="BR20">
        <v>7</v>
      </c>
      <c r="BS20">
        <v>2007.6000000000001</v>
      </c>
      <c r="BT20">
        <v>10</v>
      </c>
      <c r="BU20">
        <v>2868</v>
      </c>
      <c r="BV20">
        <v>8</v>
      </c>
      <c r="BW20">
        <v>2294.4</v>
      </c>
      <c r="BX20">
        <v>10</v>
      </c>
      <c r="BY20">
        <v>2868</v>
      </c>
      <c r="BZ20">
        <v>9</v>
      </c>
      <c r="CA20">
        <v>2581.2000000000003</v>
      </c>
      <c r="CB20">
        <v>11</v>
      </c>
      <c r="CC20">
        <v>3154.8</v>
      </c>
      <c r="CD20">
        <v>9</v>
      </c>
      <c r="CE20">
        <v>2581.2000000000003</v>
      </c>
      <c r="CF20">
        <v>16</v>
      </c>
      <c r="CG20">
        <v>4588.8</v>
      </c>
      <c r="CH20">
        <v>9</v>
      </c>
      <c r="CI20">
        <v>2581.2000000000003</v>
      </c>
      <c r="CJ20">
        <v>12</v>
      </c>
      <c r="CK20">
        <v>3441.6000000000004</v>
      </c>
      <c r="CL20">
        <v>12</v>
      </c>
      <c r="CM20">
        <v>3441.6000000000004</v>
      </c>
      <c r="CN20">
        <v>37</v>
      </c>
      <c r="CO20">
        <v>10611.6</v>
      </c>
      <c r="CP20">
        <v>38</v>
      </c>
      <c r="CQ20">
        <v>10898.4</v>
      </c>
      <c r="CR20">
        <v>36</v>
      </c>
      <c r="CS20">
        <v>10324.800000000001</v>
      </c>
      <c r="CT20">
        <v>69</v>
      </c>
      <c r="CU20">
        <v>19789.2</v>
      </c>
    </row>
    <row r="21" spans="2:99" x14ac:dyDescent="0.2">
      <c r="C21" s="118" t="s">
        <v>187</v>
      </c>
      <c r="D21">
        <v>5</v>
      </c>
      <c r="E21">
        <v>312</v>
      </c>
      <c r="F21">
        <v>5</v>
      </c>
      <c r="G21">
        <v>312</v>
      </c>
      <c r="H21">
        <v>5</v>
      </c>
      <c r="I21">
        <v>312</v>
      </c>
      <c r="J21">
        <v>4</v>
      </c>
      <c r="K21">
        <v>249.6</v>
      </c>
      <c r="L21">
        <v>7</v>
      </c>
      <c r="M21">
        <v>436.8</v>
      </c>
      <c r="N21">
        <v>4</v>
      </c>
      <c r="O21">
        <v>249.6</v>
      </c>
      <c r="P21">
        <v>7</v>
      </c>
      <c r="Q21">
        <v>436.8</v>
      </c>
      <c r="R21">
        <v>4</v>
      </c>
      <c r="S21">
        <v>249.6</v>
      </c>
      <c r="T21">
        <v>10</v>
      </c>
      <c r="U21">
        <v>624</v>
      </c>
      <c r="V21">
        <v>7</v>
      </c>
      <c r="W21">
        <v>436.8</v>
      </c>
      <c r="X21">
        <v>9</v>
      </c>
      <c r="Y21">
        <v>561.6</v>
      </c>
      <c r="Z21">
        <v>13</v>
      </c>
      <c r="AA21">
        <v>811.19999999999993</v>
      </c>
      <c r="AB21">
        <v>15</v>
      </c>
      <c r="AC21">
        <v>936</v>
      </c>
      <c r="AD21">
        <v>28</v>
      </c>
      <c r="AE21">
        <v>1747.2</v>
      </c>
      <c r="AF21">
        <v>22</v>
      </c>
      <c r="AG21">
        <v>1372.8</v>
      </c>
      <c r="AH21">
        <v>28</v>
      </c>
      <c r="AI21">
        <v>1747.2</v>
      </c>
      <c r="AJ21">
        <v>6</v>
      </c>
      <c r="AK21">
        <v>374.4</v>
      </c>
      <c r="AL21">
        <v>4</v>
      </c>
      <c r="AM21">
        <v>249.6</v>
      </c>
      <c r="AN21">
        <v>4</v>
      </c>
      <c r="AO21">
        <v>249.6</v>
      </c>
      <c r="AP21">
        <v>4</v>
      </c>
      <c r="AQ21">
        <v>249.6</v>
      </c>
      <c r="AR21">
        <v>4</v>
      </c>
      <c r="AS21">
        <v>249.6</v>
      </c>
      <c r="AT21">
        <v>6</v>
      </c>
      <c r="AU21">
        <v>374.4</v>
      </c>
      <c r="AV21">
        <v>6</v>
      </c>
      <c r="AW21">
        <v>374.4</v>
      </c>
      <c r="AX21">
        <v>4</v>
      </c>
      <c r="AY21">
        <v>249.6</v>
      </c>
      <c r="AZ21">
        <v>44</v>
      </c>
      <c r="BA21">
        <v>2745.6</v>
      </c>
      <c r="BB21">
        <v>37</v>
      </c>
      <c r="BC21">
        <v>2308.7999999999997</v>
      </c>
      <c r="BD21">
        <v>43</v>
      </c>
      <c r="BE21">
        <v>2683.2</v>
      </c>
      <c r="BF21">
        <v>36</v>
      </c>
      <c r="BG21">
        <v>2246.4</v>
      </c>
      <c r="BH21">
        <v>14</v>
      </c>
      <c r="BI21">
        <v>873.6</v>
      </c>
      <c r="BJ21">
        <v>10</v>
      </c>
      <c r="BK21">
        <v>624</v>
      </c>
      <c r="BL21">
        <v>8</v>
      </c>
      <c r="BM21">
        <v>499.2</v>
      </c>
      <c r="BN21">
        <v>9</v>
      </c>
      <c r="BO21">
        <v>561.6</v>
      </c>
      <c r="BP21">
        <v>8</v>
      </c>
      <c r="BQ21">
        <v>499.2</v>
      </c>
      <c r="BR21">
        <v>8</v>
      </c>
      <c r="BS21">
        <v>499.2</v>
      </c>
      <c r="BT21">
        <v>10</v>
      </c>
      <c r="BU21">
        <v>624</v>
      </c>
      <c r="BV21">
        <v>8</v>
      </c>
      <c r="BW21">
        <v>499.2</v>
      </c>
      <c r="BX21">
        <v>10</v>
      </c>
      <c r="BY21">
        <v>624</v>
      </c>
      <c r="BZ21">
        <v>9</v>
      </c>
      <c r="CA21">
        <v>561.6</v>
      </c>
      <c r="CB21">
        <v>12</v>
      </c>
      <c r="CC21">
        <v>748.8</v>
      </c>
      <c r="CD21">
        <v>11</v>
      </c>
      <c r="CE21">
        <v>686.4</v>
      </c>
      <c r="CF21">
        <v>15</v>
      </c>
      <c r="CG21">
        <v>936</v>
      </c>
      <c r="CH21">
        <v>10</v>
      </c>
      <c r="CI21">
        <v>624</v>
      </c>
      <c r="CJ21">
        <v>12</v>
      </c>
      <c r="CK21">
        <v>748.8</v>
      </c>
      <c r="CL21">
        <v>11</v>
      </c>
      <c r="CM21">
        <v>686.4</v>
      </c>
      <c r="CN21">
        <v>36</v>
      </c>
      <c r="CO21">
        <v>2246.4</v>
      </c>
      <c r="CP21">
        <v>39</v>
      </c>
      <c r="CQ21">
        <v>2433.6</v>
      </c>
      <c r="CR21">
        <v>38</v>
      </c>
      <c r="CS21">
        <v>2371.1999999999998</v>
      </c>
      <c r="CT21">
        <v>66</v>
      </c>
      <c r="CU21">
        <v>4118.3999999999996</v>
      </c>
    </row>
    <row r="22" spans="2:99" x14ac:dyDescent="0.2">
      <c r="C22" s="118" t="s">
        <v>188</v>
      </c>
      <c r="D22">
        <v>6</v>
      </c>
      <c r="E22">
        <v>1123.1999999999998</v>
      </c>
      <c r="F22">
        <v>5</v>
      </c>
      <c r="G22">
        <v>936</v>
      </c>
      <c r="H22">
        <v>5</v>
      </c>
      <c r="I22">
        <v>936</v>
      </c>
      <c r="J22">
        <v>4</v>
      </c>
      <c r="K22">
        <v>748.8</v>
      </c>
      <c r="L22">
        <v>6</v>
      </c>
      <c r="M22">
        <v>1123.1999999999998</v>
      </c>
      <c r="N22">
        <v>4</v>
      </c>
      <c r="O22">
        <v>748.8</v>
      </c>
      <c r="P22">
        <v>7</v>
      </c>
      <c r="Q22">
        <v>1310.3999999999999</v>
      </c>
      <c r="R22">
        <v>5</v>
      </c>
      <c r="S22">
        <v>936</v>
      </c>
      <c r="T22">
        <v>12</v>
      </c>
      <c r="U22">
        <v>2246.3999999999996</v>
      </c>
      <c r="V22">
        <v>6</v>
      </c>
      <c r="W22">
        <v>1123.1999999999998</v>
      </c>
      <c r="X22">
        <v>10</v>
      </c>
      <c r="Y22">
        <v>1872</v>
      </c>
      <c r="Z22">
        <v>12</v>
      </c>
      <c r="AA22">
        <v>2246.3999999999996</v>
      </c>
      <c r="AB22">
        <v>15</v>
      </c>
      <c r="AC22">
        <v>2808</v>
      </c>
      <c r="AD22">
        <v>28</v>
      </c>
      <c r="AE22">
        <v>5241.5999999999995</v>
      </c>
      <c r="AF22">
        <v>19</v>
      </c>
      <c r="AG22">
        <v>3556.7999999999997</v>
      </c>
      <c r="AH22">
        <v>28</v>
      </c>
      <c r="AI22">
        <v>5241.5999999999995</v>
      </c>
      <c r="AJ22">
        <v>6</v>
      </c>
      <c r="AK22">
        <v>1123.1999999999998</v>
      </c>
      <c r="AL22">
        <v>5</v>
      </c>
      <c r="AM22">
        <v>936</v>
      </c>
      <c r="AN22">
        <v>4</v>
      </c>
      <c r="AO22">
        <v>748.8</v>
      </c>
      <c r="AP22">
        <v>4</v>
      </c>
      <c r="AQ22">
        <v>748.8</v>
      </c>
      <c r="AR22">
        <v>3</v>
      </c>
      <c r="AS22">
        <v>561.59999999999991</v>
      </c>
      <c r="AT22">
        <v>5</v>
      </c>
      <c r="AU22">
        <v>936</v>
      </c>
      <c r="AV22">
        <v>6</v>
      </c>
      <c r="AW22">
        <v>1123.1999999999998</v>
      </c>
      <c r="AX22">
        <v>4</v>
      </c>
      <c r="AY22">
        <v>748.8</v>
      </c>
      <c r="AZ22">
        <v>39</v>
      </c>
      <c r="BA22">
        <v>7300.7999999999993</v>
      </c>
      <c r="BB22">
        <v>38</v>
      </c>
      <c r="BC22">
        <v>7113.5999999999995</v>
      </c>
      <c r="BD22">
        <v>40</v>
      </c>
      <c r="BE22">
        <v>7488</v>
      </c>
      <c r="BF22">
        <v>31</v>
      </c>
      <c r="BG22">
        <v>5803.2</v>
      </c>
      <c r="BH22">
        <v>14</v>
      </c>
      <c r="BI22">
        <v>2620.7999999999997</v>
      </c>
      <c r="BJ22">
        <v>10</v>
      </c>
      <c r="BK22">
        <v>1872</v>
      </c>
      <c r="BL22">
        <v>7</v>
      </c>
      <c r="BM22">
        <v>1310.3999999999999</v>
      </c>
      <c r="BN22">
        <v>10</v>
      </c>
      <c r="BO22">
        <v>1872</v>
      </c>
      <c r="BP22">
        <v>8</v>
      </c>
      <c r="BQ22">
        <v>1497.6</v>
      </c>
      <c r="BR22">
        <v>8</v>
      </c>
      <c r="BS22">
        <v>1497.6</v>
      </c>
      <c r="BT22">
        <v>11</v>
      </c>
      <c r="BU22">
        <v>2059.1999999999998</v>
      </c>
      <c r="BV22">
        <v>8</v>
      </c>
      <c r="BW22">
        <v>1497.6</v>
      </c>
      <c r="BX22">
        <v>10</v>
      </c>
      <c r="BY22">
        <v>1872</v>
      </c>
      <c r="BZ22">
        <v>9</v>
      </c>
      <c r="CA22">
        <v>1684.8</v>
      </c>
      <c r="CB22">
        <v>12</v>
      </c>
      <c r="CC22">
        <v>2246.3999999999996</v>
      </c>
      <c r="CD22">
        <v>10</v>
      </c>
      <c r="CE22">
        <v>1872</v>
      </c>
      <c r="CF22">
        <v>16</v>
      </c>
      <c r="CG22">
        <v>2995.2</v>
      </c>
      <c r="CH22">
        <v>11</v>
      </c>
      <c r="CI22">
        <v>2059.1999999999998</v>
      </c>
      <c r="CJ22">
        <v>11</v>
      </c>
      <c r="CK22">
        <v>2059.1999999999998</v>
      </c>
      <c r="CL22">
        <v>11</v>
      </c>
      <c r="CM22">
        <v>2059.1999999999998</v>
      </c>
      <c r="CN22">
        <v>42</v>
      </c>
      <c r="CO22">
        <v>7862.4</v>
      </c>
      <c r="CP22">
        <v>34</v>
      </c>
      <c r="CQ22">
        <v>6364.7999999999993</v>
      </c>
      <c r="CR22">
        <v>35</v>
      </c>
      <c r="CS22">
        <v>6552</v>
      </c>
      <c r="CT22">
        <v>69</v>
      </c>
      <c r="CU22">
        <v>12916.8</v>
      </c>
    </row>
    <row r="23" spans="2:99" x14ac:dyDescent="0.2">
      <c r="C23" s="118" t="s">
        <v>189</v>
      </c>
      <c r="D23">
        <v>5</v>
      </c>
      <c r="E23">
        <v>1470</v>
      </c>
      <c r="F23">
        <v>5</v>
      </c>
      <c r="G23">
        <v>1470</v>
      </c>
      <c r="H23">
        <v>5</v>
      </c>
      <c r="I23">
        <v>1470</v>
      </c>
      <c r="J23">
        <v>3</v>
      </c>
      <c r="K23">
        <v>882</v>
      </c>
      <c r="L23">
        <v>6</v>
      </c>
      <c r="M23">
        <v>1764</v>
      </c>
      <c r="N23">
        <v>4</v>
      </c>
      <c r="O23">
        <v>1176</v>
      </c>
      <c r="P23">
        <v>6</v>
      </c>
      <c r="Q23">
        <v>1764</v>
      </c>
      <c r="R23">
        <v>4</v>
      </c>
      <c r="S23">
        <v>1176</v>
      </c>
      <c r="T23">
        <v>11</v>
      </c>
      <c r="U23">
        <v>3234</v>
      </c>
      <c r="V23">
        <v>7</v>
      </c>
      <c r="W23">
        <v>2058</v>
      </c>
      <c r="X23">
        <v>10</v>
      </c>
      <c r="Y23">
        <v>2940</v>
      </c>
      <c r="Z23">
        <v>11</v>
      </c>
      <c r="AA23">
        <v>3234</v>
      </c>
      <c r="AB23">
        <v>14</v>
      </c>
      <c r="AC23">
        <v>4116</v>
      </c>
      <c r="AD23">
        <v>29</v>
      </c>
      <c r="AE23">
        <v>8526</v>
      </c>
      <c r="AF23">
        <v>22</v>
      </c>
      <c r="AG23">
        <v>6468</v>
      </c>
      <c r="AH23">
        <v>32</v>
      </c>
      <c r="AI23">
        <v>9408</v>
      </c>
      <c r="AJ23">
        <v>6</v>
      </c>
      <c r="AK23">
        <v>1764</v>
      </c>
      <c r="AL23">
        <v>4</v>
      </c>
      <c r="AM23">
        <v>1176</v>
      </c>
      <c r="AN23">
        <v>4</v>
      </c>
      <c r="AO23">
        <v>1176</v>
      </c>
      <c r="AP23">
        <v>4</v>
      </c>
      <c r="AQ23">
        <v>1176</v>
      </c>
      <c r="AR23">
        <v>4</v>
      </c>
      <c r="AS23">
        <v>1176</v>
      </c>
      <c r="AT23">
        <v>6</v>
      </c>
      <c r="AU23">
        <v>1764</v>
      </c>
      <c r="AV23">
        <v>5</v>
      </c>
      <c r="AW23">
        <v>1470</v>
      </c>
      <c r="AX23">
        <v>4</v>
      </c>
      <c r="AY23">
        <v>1176</v>
      </c>
      <c r="AZ23">
        <v>41</v>
      </c>
      <c r="BA23">
        <v>12054</v>
      </c>
      <c r="BB23">
        <v>35</v>
      </c>
      <c r="BC23">
        <v>10290</v>
      </c>
      <c r="BD23">
        <v>44</v>
      </c>
      <c r="BE23">
        <v>12936</v>
      </c>
      <c r="BF23">
        <v>30</v>
      </c>
      <c r="BG23">
        <v>8820</v>
      </c>
      <c r="BH23">
        <v>14</v>
      </c>
      <c r="BI23">
        <v>4116</v>
      </c>
      <c r="BJ23">
        <v>9</v>
      </c>
      <c r="BK23">
        <v>2646</v>
      </c>
      <c r="BL23">
        <v>7</v>
      </c>
      <c r="BM23">
        <v>2058</v>
      </c>
      <c r="BN23">
        <v>9</v>
      </c>
      <c r="BO23">
        <v>2646</v>
      </c>
      <c r="BP23">
        <v>7</v>
      </c>
      <c r="BQ23">
        <v>2058</v>
      </c>
      <c r="BR23">
        <v>7</v>
      </c>
      <c r="BS23">
        <v>2058</v>
      </c>
      <c r="BT23">
        <v>10</v>
      </c>
      <c r="BU23">
        <v>2940</v>
      </c>
      <c r="BV23">
        <v>8</v>
      </c>
      <c r="BW23">
        <v>2352</v>
      </c>
      <c r="BX23">
        <v>11</v>
      </c>
      <c r="BY23">
        <v>3234</v>
      </c>
      <c r="BZ23">
        <v>8</v>
      </c>
      <c r="CA23">
        <v>2352</v>
      </c>
      <c r="CB23">
        <v>11</v>
      </c>
      <c r="CC23">
        <v>3234</v>
      </c>
      <c r="CD23">
        <v>10</v>
      </c>
      <c r="CE23">
        <v>2940</v>
      </c>
      <c r="CF23">
        <v>15</v>
      </c>
      <c r="CG23">
        <v>4410</v>
      </c>
      <c r="CH23">
        <v>10</v>
      </c>
      <c r="CI23">
        <v>2940</v>
      </c>
      <c r="CJ23">
        <v>10</v>
      </c>
      <c r="CK23">
        <v>2940</v>
      </c>
      <c r="CL23">
        <v>12</v>
      </c>
      <c r="CM23">
        <v>3528</v>
      </c>
      <c r="CN23">
        <v>35</v>
      </c>
      <c r="CO23">
        <v>10290</v>
      </c>
      <c r="CP23">
        <v>33</v>
      </c>
      <c r="CQ23">
        <v>9702</v>
      </c>
      <c r="CR23">
        <v>31</v>
      </c>
      <c r="CS23">
        <v>9114</v>
      </c>
      <c r="CT23">
        <v>62</v>
      </c>
      <c r="CU23">
        <v>18228</v>
      </c>
    </row>
    <row r="24" spans="2:99" x14ac:dyDescent="0.2">
      <c r="C24" s="118" t="s">
        <v>190</v>
      </c>
      <c r="D24">
        <v>5</v>
      </c>
      <c r="E24">
        <v>1836</v>
      </c>
      <c r="F24">
        <v>5</v>
      </c>
      <c r="G24">
        <v>1836</v>
      </c>
      <c r="H24">
        <v>4</v>
      </c>
      <c r="I24">
        <v>1468.8</v>
      </c>
      <c r="J24">
        <v>4</v>
      </c>
      <c r="K24">
        <v>1468.8</v>
      </c>
      <c r="L24">
        <v>6</v>
      </c>
      <c r="M24">
        <v>2203.1999999999998</v>
      </c>
      <c r="N24">
        <v>4</v>
      </c>
      <c r="O24">
        <v>1468.8</v>
      </c>
      <c r="P24">
        <v>6</v>
      </c>
      <c r="Q24">
        <v>2203.1999999999998</v>
      </c>
      <c r="R24">
        <v>4</v>
      </c>
      <c r="S24">
        <v>1468.8</v>
      </c>
      <c r="T24">
        <v>11</v>
      </c>
      <c r="U24">
        <v>4039.2</v>
      </c>
      <c r="V24">
        <v>7</v>
      </c>
      <c r="W24">
        <v>2570.4</v>
      </c>
      <c r="X24">
        <v>8</v>
      </c>
      <c r="Y24">
        <v>2937.6</v>
      </c>
      <c r="Z24">
        <v>11</v>
      </c>
      <c r="AA24">
        <v>4039.2</v>
      </c>
      <c r="AB24">
        <v>15</v>
      </c>
      <c r="AC24">
        <v>5508</v>
      </c>
      <c r="AD24">
        <v>29</v>
      </c>
      <c r="AE24">
        <v>10648.8</v>
      </c>
      <c r="AF24">
        <v>20</v>
      </c>
      <c r="AG24">
        <v>7344</v>
      </c>
      <c r="AH24">
        <v>27</v>
      </c>
      <c r="AI24">
        <v>9914.4</v>
      </c>
      <c r="AJ24">
        <v>6</v>
      </c>
      <c r="AK24">
        <v>2203.1999999999998</v>
      </c>
      <c r="AL24">
        <v>5</v>
      </c>
      <c r="AM24">
        <v>1836</v>
      </c>
      <c r="AN24">
        <v>4</v>
      </c>
      <c r="AO24">
        <v>1468.8</v>
      </c>
      <c r="AP24">
        <v>4</v>
      </c>
      <c r="AQ24">
        <v>1468.8</v>
      </c>
      <c r="AR24">
        <v>4</v>
      </c>
      <c r="AS24">
        <v>1468.8</v>
      </c>
      <c r="AT24">
        <v>5</v>
      </c>
      <c r="AU24">
        <v>1836</v>
      </c>
      <c r="AV24">
        <v>5</v>
      </c>
      <c r="AW24">
        <v>1836</v>
      </c>
      <c r="AX24">
        <v>4</v>
      </c>
      <c r="AY24">
        <v>1468.8</v>
      </c>
      <c r="AZ24">
        <v>38</v>
      </c>
      <c r="BA24">
        <v>13953.6</v>
      </c>
      <c r="BB24">
        <v>34</v>
      </c>
      <c r="BC24">
        <v>12484.8</v>
      </c>
      <c r="BD24">
        <v>43</v>
      </c>
      <c r="BE24">
        <v>15789.6</v>
      </c>
      <c r="BF24">
        <v>30</v>
      </c>
      <c r="BG24">
        <v>11016</v>
      </c>
      <c r="BH24">
        <v>12</v>
      </c>
      <c r="BI24">
        <v>4406.3999999999996</v>
      </c>
      <c r="BJ24">
        <v>11</v>
      </c>
      <c r="BK24">
        <v>4039.2</v>
      </c>
      <c r="BL24">
        <v>7</v>
      </c>
      <c r="BM24">
        <v>2570.4</v>
      </c>
      <c r="BN24">
        <v>10</v>
      </c>
      <c r="BO24">
        <v>3672</v>
      </c>
      <c r="BP24">
        <v>7</v>
      </c>
      <c r="BQ24">
        <v>2570.4</v>
      </c>
      <c r="BR24">
        <v>8</v>
      </c>
      <c r="BS24">
        <v>2937.6</v>
      </c>
      <c r="BT24">
        <v>10</v>
      </c>
      <c r="BU24">
        <v>3672</v>
      </c>
      <c r="BV24">
        <v>9</v>
      </c>
      <c r="BW24">
        <v>3304.7999999999997</v>
      </c>
      <c r="BX24">
        <v>10</v>
      </c>
      <c r="BY24">
        <v>3672</v>
      </c>
      <c r="BZ24">
        <v>9</v>
      </c>
      <c r="CA24">
        <v>3304.7999999999997</v>
      </c>
      <c r="CB24">
        <v>11</v>
      </c>
      <c r="CC24">
        <v>4039.2</v>
      </c>
      <c r="CD24">
        <v>10</v>
      </c>
      <c r="CE24">
        <v>3672</v>
      </c>
      <c r="CF24">
        <v>15</v>
      </c>
      <c r="CG24">
        <v>5508</v>
      </c>
      <c r="CH24">
        <v>11</v>
      </c>
      <c r="CI24">
        <v>4039.2</v>
      </c>
      <c r="CJ24">
        <v>11</v>
      </c>
      <c r="CK24">
        <v>4039.2</v>
      </c>
      <c r="CL24">
        <v>12</v>
      </c>
      <c r="CM24">
        <v>4406.3999999999996</v>
      </c>
      <c r="CN24">
        <v>39</v>
      </c>
      <c r="CO24">
        <v>14320.8</v>
      </c>
      <c r="CP24">
        <v>32</v>
      </c>
      <c r="CQ24">
        <v>11750.4</v>
      </c>
      <c r="CR24">
        <v>32</v>
      </c>
      <c r="CS24">
        <v>11750.4</v>
      </c>
      <c r="CT24">
        <v>68</v>
      </c>
      <c r="CU24">
        <v>24969.599999999999</v>
      </c>
    </row>
    <row r="25" spans="2:99" x14ac:dyDescent="0.2">
      <c r="C25" s="118" t="s">
        <v>191</v>
      </c>
      <c r="D25">
        <v>4</v>
      </c>
      <c r="E25">
        <v>2121.6</v>
      </c>
      <c r="F25">
        <v>4</v>
      </c>
      <c r="G25">
        <v>2121.6</v>
      </c>
      <c r="H25">
        <v>5</v>
      </c>
      <c r="I25">
        <v>2652</v>
      </c>
      <c r="J25">
        <v>4</v>
      </c>
      <c r="K25">
        <v>2121.6</v>
      </c>
      <c r="L25">
        <v>6</v>
      </c>
      <c r="M25">
        <v>3182.3999999999996</v>
      </c>
      <c r="N25">
        <v>4</v>
      </c>
      <c r="O25">
        <v>2121.6</v>
      </c>
      <c r="P25">
        <v>6</v>
      </c>
      <c r="Q25">
        <v>3182.3999999999996</v>
      </c>
      <c r="R25">
        <v>4</v>
      </c>
      <c r="S25">
        <v>2121.6</v>
      </c>
      <c r="T25">
        <v>11</v>
      </c>
      <c r="U25">
        <v>5834.4</v>
      </c>
      <c r="V25">
        <v>7</v>
      </c>
      <c r="W25">
        <v>3712.7999999999997</v>
      </c>
      <c r="X25">
        <v>9</v>
      </c>
      <c r="Y25">
        <v>4773.5999999999995</v>
      </c>
      <c r="Z25">
        <v>11</v>
      </c>
      <c r="AA25">
        <v>5834.4</v>
      </c>
      <c r="AB25">
        <v>14</v>
      </c>
      <c r="AC25">
        <v>7425.5999999999995</v>
      </c>
      <c r="AD25">
        <v>28</v>
      </c>
      <c r="AE25">
        <v>14851.199999999999</v>
      </c>
      <c r="AF25">
        <v>22</v>
      </c>
      <c r="AG25">
        <v>11668.8</v>
      </c>
      <c r="AH25">
        <v>28</v>
      </c>
      <c r="AI25">
        <v>14851.199999999999</v>
      </c>
      <c r="AJ25">
        <v>6</v>
      </c>
      <c r="AK25">
        <v>3182.3999999999996</v>
      </c>
      <c r="AL25">
        <v>5</v>
      </c>
      <c r="AM25">
        <v>2652</v>
      </c>
      <c r="AN25">
        <v>4</v>
      </c>
      <c r="AO25">
        <v>2121.6</v>
      </c>
      <c r="AP25">
        <v>4</v>
      </c>
      <c r="AQ25">
        <v>2121.6</v>
      </c>
      <c r="AR25">
        <v>4</v>
      </c>
      <c r="AS25">
        <v>2121.6</v>
      </c>
      <c r="AT25">
        <v>5</v>
      </c>
      <c r="AU25">
        <v>2652</v>
      </c>
      <c r="AV25">
        <v>6</v>
      </c>
      <c r="AW25">
        <v>3182.3999999999996</v>
      </c>
      <c r="AX25">
        <v>4</v>
      </c>
      <c r="AY25">
        <v>2121.6</v>
      </c>
      <c r="AZ25">
        <v>35</v>
      </c>
      <c r="BA25">
        <v>18564</v>
      </c>
      <c r="BB25">
        <v>31</v>
      </c>
      <c r="BC25">
        <v>16442.399999999998</v>
      </c>
      <c r="BD25">
        <v>39</v>
      </c>
      <c r="BE25">
        <v>20685.599999999999</v>
      </c>
      <c r="BF25">
        <v>28</v>
      </c>
      <c r="BG25">
        <v>14851.199999999999</v>
      </c>
      <c r="BH25">
        <v>13</v>
      </c>
      <c r="BI25">
        <v>6895.2</v>
      </c>
      <c r="BJ25">
        <v>9</v>
      </c>
      <c r="BK25">
        <v>4773.5999999999995</v>
      </c>
      <c r="BL25">
        <v>7</v>
      </c>
      <c r="BM25">
        <v>3712.7999999999997</v>
      </c>
      <c r="BN25">
        <v>8</v>
      </c>
      <c r="BO25">
        <v>4243.2</v>
      </c>
      <c r="BP25">
        <v>8</v>
      </c>
      <c r="BQ25">
        <v>4243.2</v>
      </c>
      <c r="BR25">
        <v>7</v>
      </c>
      <c r="BS25">
        <v>3712.7999999999997</v>
      </c>
      <c r="BT25">
        <v>10</v>
      </c>
      <c r="BU25">
        <v>5304</v>
      </c>
      <c r="BV25">
        <v>8</v>
      </c>
      <c r="BW25">
        <v>4243.2</v>
      </c>
      <c r="BX25">
        <v>11</v>
      </c>
      <c r="BY25">
        <v>5834.4</v>
      </c>
      <c r="BZ25">
        <v>8</v>
      </c>
      <c r="CA25">
        <v>4243.2</v>
      </c>
      <c r="CB25">
        <v>12</v>
      </c>
      <c r="CC25">
        <v>6364.7999999999993</v>
      </c>
      <c r="CD25">
        <v>11</v>
      </c>
      <c r="CE25">
        <v>5834.4</v>
      </c>
      <c r="CF25">
        <v>15</v>
      </c>
      <c r="CG25">
        <v>7956</v>
      </c>
      <c r="CH25">
        <v>11</v>
      </c>
      <c r="CI25">
        <v>5834.4</v>
      </c>
      <c r="CJ25">
        <v>11</v>
      </c>
      <c r="CK25">
        <v>5834.4</v>
      </c>
      <c r="CL25">
        <v>10</v>
      </c>
      <c r="CM25">
        <v>5304</v>
      </c>
      <c r="CN25">
        <v>38</v>
      </c>
      <c r="CO25">
        <v>20155.2</v>
      </c>
      <c r="CP25">
        <v>34</v>
      </c>
      <c r="CQ25">
        <v>18033.599999999999</v>
      </c>
      <c r="CR25">
        <v>36</v>
      </c>
      <c r="CS25">
        <v>19094.399999999998</v>
      </c>
      <c r="CT25">
        <v>63</v>
      </c>
      <c r="CU25">
        <v>33415.199999999997</v>
      </c>
    </row>
    <row r="26" spans="2:99" x14ac:dyDescent="0.2">
      <c r="C26" s="118" t="s">
        <v>192</v>
      </c>
      <c r="D26">
        <v>5</v>
      </c>
      <c r="E26">
        <v>2430</v>
      </c>
      <c r="F26">
        <v>4</v>
      </c>
      <c r="G26">
        <v>1944</v>
      </c>
      <c r="H26">
        <v>4</v>
      </c>
      <c r="I26">
        <v>1944</v>
      </c>
      <c r="J26">
        <v>4</v>
      </c>
      <c r="K26">
        <v>1944</v>
      </c>
      <c r="L26">
        <v>7</v>
      </c>
      <c r="M26">
        <v>3402</v>
      </c>
      <c r="N26">
        <v>4</v>
      </c>
      <c r="O26">
        <v>1944</v>
      </c>
      <c r="P26">
        <v>6</v>
      </c>
      <c r="Q26">
        <v>2916</v>
      </c>
      <c r="R26">
        <v>5</v>
      </c>
      <c r="S26">
        <v>2430</v>
      </c>
      <c r="T26">
        <v>10</v>
      </c>
      <c r="U26">
        <v>4860</v>
      </c>
      <c r="V26">
        <v>7</v>
      </c>
      <c r="W26">
        <v>3402</v>
      </c>
      <c r="X26">
        <v>9</v>
      </c>
      <c r="Y26">
        <v>4374</v>
      </c>
      <c r="Z26">
        <v>10</v>
      </c>
      <c r="AA26">
        <v>4860</v>
      </c>
      <c r="AB26">
        <v>16</v>
      </c>
      <c r="AC26">
        <v>7776</v>
      </c>
      <c r="AD26">
        <v>26</v>
      </c>
      <c r="AE26">
        <v>12636</v>
      </c>
      <c r="AF26">
        <v>21</v>
      </c>
      <c r="AG26">
        <v>10206</v>
      </c>
      <c r="AH26">
        <v>32</v>
      </c>
      <c r="AI26">
        <v>15552</v>
      </c>
      <c r="AJ26">
        <v>6</v>
      </c>
      <c r="AK26">
        <v>2916</v>
      </c>
      <c r="AL26">
        <v>5</v>
      </c>
      <c r="AM26">
        <v>2430</v>
      </c>
      <c r="AN26">
        <v>4</v>
      </c>
      <c r="AO26">
        <v>1944</v>
      </c>
      <c r="AP26">
        <v>4</v>
      </c>
      <c r="AQ26">
        <v>1944</v>
      </c>
      <c r="AR26">
        <v>3</v>
      </c>
      <c r="AS26">
        <v>1458</v>
      </c>
      <c r="AT26">
        <v>5</v>
      </c>
      <c r="AU26">
        <v>2430</v>
      </c>
      <c r="AV26">
        <v>5</v>
      </c>
      <c r="AW26">
        <v>2430</v>
      </c>
      <c r="AX26">
        <v>3</v>
      </c>
      <c r="AY26">
        <v>1458</v>
      </c>
      <c r="AZ26">
        <v>39</v>
      </c>
      <c r="BA26">
        <v>18954</v>
      </c>
      <c r="BB26">
        <v>31</v>
      </c>
      <c r="BC26">
        <v>15066</v>
      </c>
      <c r="BD26">
        <v>42</v>
      </c>
      <c r="BE26">
        <v>20412</v>
      </c>
      <c r="BF26">
        <v>30</v>
      </c>
      <c r="BG26">
        <v>14580</v>
      </c>
      <c r="BH26">
        <v>12</v>
      </c>
      <c r="BI26">
        <v>5832</v>
      </c>
      <c r="BJ26">
        <v>10</v>
      </c>
      <c r="BK26">
        <v>4860</v>
      </c>
      <c r="BL26">
        <v>7</v>
      </c>
      <c r="BM26">
        <v>3402</v>
      </c>
      <c r="BN26">
        <v>8</v>
      </c>
      <c r="BO26">
        <v>3888</v>
      </c>
      <c r="BP26">
        <v>8</v>
      </c>
      <c r="BQ26">
        <v>3888</v>
      </c>
      <c r="BR26">
        <v>7</v>
      </c>
      <c r="BS26">
        <v>3402</v>
      </c>
      <c r="BT26">
        <v>9</v>
      </c>
      <c r="BU26">
        <v>4374</v>
      </c>
      <c r="BV26">
        <v>8</v>
      </c>
      <c r="BW26">
        <v>3888</v>
      </c>
      <c r="BX26">
        <v>10</v>
      </c>
      <c r="BY26">
        <v>4860</v>
      </c>
      <c r="BZ26">
        <v>9</v>
      </c>
      <c r="CA26">
        <v>4374</v>
      </c>
      <c r="CB26">
        <v>12</v>
      </c>
      <c r="CC26">
        <v>5832</v>
      </c>
      <c r="CD26">
        <v>9</v>
      </c>
      <c r="CE26">
        <v>4374</v>
      </c>
      <c r="CF26">
        <v>16</v>
      </c>
      <c r="CG26">
        <v>7776</v>
      </c>
      <c r="CH26">
        <v>10</v>
      </c>
      <c r="CI26">
        <v>4860</v>
      </c>
      <c r="CJ26">
        <v>10</v>
      </c>
      <c r="CK26">
        <v>4860</v>
      </c>
      <c r="CL26">
        <v>12</v>
      </c>
      <c r="CM26">
        <v>5832</v>
      </c>
      <c r="CN26">
        <v>40</v>
      </c>
      <c r="CO26">
        <v>19440</v>
      </c>
      <c r="CP26">
        <v>34</v>
      </c>
      <c r="CQ26">
        <v>16524</v>
      </c>
      <c r="CR26">
        <v>32</v>
      </c>
      <c r="CS26">
        <v>15552</v>
      </c>
      <c r="CT26">
        <v>60</v>
      </c>
      <c r="CU26">
        <v>29160</v>
      </c>
    </row>
    <row r="27" spans="2:99" x14ac:dyDescent="0.2">
      <c r="C27" s="118" t="s">
        <v>193</v>
      </c>
      <c r="D27">
        <v>5</v>
      </c>
      <c r="E27">
        <v>2136</v>
      </c>
      <c r="F27">
        <v>5</v>
      </c>
      <c r="G27">
        <v>2136</v>
      </c>
      <c r="H27">
        <v>4</v>
      </c>
      <c r="I27">
        <v>1708.8</v>
      </c>
      <c r="J27">
        <v>4</v>
      </c>
      <c r="K27">
        <v>1708.8</v>
      </c>
      <c r="L27">
        <v>6</v>
      </c>
      <c r="M27">
        <v>2563.1999999999998</v>
      </c>
      <c r="N27">
        <v>4</v>
      </c>
      <c r="O27">
        <v>1708.8</v>
      </c>
      <c r="P27">
        <v>6</v>
      </c>
      <c r="Q27">
        <v>2563.1999999999998</v>
      </c>
      <c r="R27">
        <v>4</v>
      </c>
      <c r="S27">
        <v>1708.8</v>
      </c>
      <c r="T27">
        <v>10</v>
      </c>
      <c r="U27">
        <v>4272</v>
      </c>
      <c r="V27">
        <v>6</v>
      </c>
      <c r="W27">
        <v>2563.1999999999998</v>
      </c>
      <c r="X27">
        <v>9</v>
      </c>
      <c r="Y27">
        <v>3844.7999999999997</v>
      </c>
      <c r="Z27">
        <v>12</v>
      </c>
      <c r="AA27">
        <v>5126.3999999999996</v>
      </c>
      <c r="AB27">
        <v>14</v>
      </c>
      <c r="AC27">
        <v>5980.8</v>
      </c>
      <c r="AD27">
        <v>29</v>
      </c>
      <c r="AE27">
        <v>12388.8</v>
      </c>
      <c r="AF27">
        <v>21</v>
      </c>
      <c r="AG27">
        <v>8971.1999999999989</v>
      </c>
      <c r="AH27">
        <v>28</v>
      </c>
      <c r="AI27">
        <v>11961.6</v>
      </c>
      <c r="AJ27">
        <v>6</v>
      </c>
      <c r="AK27">
        <v>2563.1999999999998</v>
      </c>
      <c r="AL27">
        <v>5</v>
      </c>
      <c r="AM27">
        <v>2136</v>
      </c>
      <c r="AN27">
        <v>4</v>
      </c>
      <c r="AO27">
        <v>1708.8</v>
      </c>
      <c r="AP27">
        <v>4</v>
      </c>
      <c r="AQ27">
        <v>1708.8</v>
      </c>
      <c r="AR27">
        <v>4</v>
      </c>
      <c r="AS27">
        <v>1708.8</v>
      </c>
      <c r="AT27">
        <v>6</v>
      </c>
      <c r="AU27">
        <v>2563.1999999999998</v>
      </c>
      <c r="AV27">
        <v>6</v>
      </c>
      <c r="AW27">
        <v>2563.1999999999998</v>
      </c>
      <c r="AX27">
        <v>4</v>
      </c>
      <c r="AY27">
        <v>1708.8</v>
      </c>
      <c r="AZ27">
        <v>36</v>
      </c>
      <c r="BA27">
        <v>15379.199999999999</v>
      </c>
      <c r="BB27">
        <v>33</v>
      </c>
      <c r="BC27">
        <v>14097.6</v>
      </c>
      <c r="BD27">
        <v>39</v>
      </c>
      <c r="BE27">
        <v>16660.8</v>
      </c>
      <c r="BF27">
        <v>30</v>
      </c>
      <c r="BG27">
        <v>12816</v>
      </c>
      <c r="BH27">
        <v>13</v>
      </c>
      <c r="BI27">
        <v>5553.5999999999995</v>
      </c>
      <c r="BJ27">
        <v>10</v>
      </c>
      <c r="BK27">
        <v>4272</v>
      </c>
      <c r="BL27">
        <v>7</v>
      </c>
      <c r="BM27">
        <v>2990.4</v>
      </c>
      <c r="BN27">
        <v>9</v>
      </c>
      <c r="BO27">
        <v>3844.7999999999997</v>
      </c>
      <c r="BP27">
        <v>8</v>
      </c>
      <c r="BQ27">
        <v>3417.6</v>
      </c>
      <c r="BR27">
        <v>7</v>
      </c>
      <c r="BS27">
        <v>2990.4</v>
      </c>
      <c r="BT27">
        <v>10</v>
      </c>
      <c r="BU27">
        <v>4272</v>
      </c>
      <c r="BV27">
        <v>7</v>
      </c>
      <c r="BW27">
        <v>2990.4</v>
      </c>
      <c r="BX27">
        <v>10</v>
      </c>
      <c r="BY27">
        <v>4272</v>
      </c>
      <c r="BZ27">
        <v>9</v>
      </c>
      <c r="CA27">
        <v>3844.7999999999997</v>
      </c>
      <c r="CB27">
        <v>12</v>
      </c>
      <c r="CC27">
        <v>5126.3999999999996</v>
      </c>
      <c r="CD27">
        <v>10</v>
      </c>
      <c r="CE27">
        <v>4272</v>
      </c>
      <c r="CF27">
        <v>17</v>
      </c>
      <c r="CG27">
        <v>7262.4</v>
      </c>
      <c r="CH27">
        <v>9</v>
      </c>
      <c r="CI27">
        <v>3844.7999999999997</v>
      </c>
      <c r="CJ27">
        <v>10</v>
      </c>
      <c r="CK27">
        <v>4272</v>
      </c>
      <c r="CL27">
        <v>11</v>
      </c>
      <c r="CM27">
        <v>4699.2</v>
      </c>
      <c r="CN27">
        <v>34</v>
      </c>
      <c r="CO27">
        <v>14524.8</v>
      </c>
      <c r="CP27">
        <v>31</v>
      </c>
      <c r="CQ27">
        <v>13243.199999999999</v>
      </c>
      <c r="CR27">
        <v>32</v>
      </c>
      <c r="CS27">
        <v>13670.4</v>
      </c>
      <c r="CT27">
        <v>58</v>
      </c>
      <c r="CU27">
        <v>24777.599999999999</v>
      </c>
    </row>
    <row r="28" spans="2:99" x14ac:dyDescent="0.2">
      <c r="C28" s="118" t="s">
        <v>194</v>
      </c>
      <c r="D28">
        <v>5</v>
      </c>
      <c r="E28">
        <v>3690</v>
      </c>
      <c r="F28">
        <v>4</v>
      </c>
      <c r="G28">
        <v>2952</v>
      </c>
      <c r="H28">
        <v>4</v>
      </c>
      <c r="I28">
        <v>2952</v>
      </c>
      <c r="J28">
        <v>4</v>
      </c>
      <c r="K28">
        <v>2952</v>
      </c>
      <c r="L28">
        <v>6</v>
      </c>
      <c r="M28">
        <v>4428</v>
      </c>
      <c r="N28">
        <v>4</v>
      </c>
      <c r="O28">
        <v>2952</v>
      </c>
      <c r="P28">
        <v>6</v>
      </c>
      <c r="Q28">
        <v>4428</v>
      </c>
      <c r="R28">
        <v>4</v>
      </c>
      <c r="S28">
        <v>2952</v>
      </c>
      <c r="T28">
        <v>11</v>
      </c>
      <c r="U28">
        <v>8118</v>
      </c>
      <c r="V28">
        <v>7</v>
      </c>
      <c r="W28">
        <v>5166</v>
      </c>
      <c r="X28">
        <v>10</v>
      </c>
      <c r="Y28">
        <v>7380</v>
      </c>
      <c r="Z28">
        <v>11</v>
      </c>
      <c r="AA28">
        <v>8118</v>
      </c>
      <c r="AB28">
        <v>16</v>
      </c>
      <c r="AC28">
        <v>11808</v>
      </c>
      <c r="AD28">
        <v>28</v>
      </c>
      <c r="AE28">
        <v>20664</v>
      </c>
      <c r="AF28">
        <v>18</v>
      </c>
      <c r="AG28">
        <v>13284</v>
      </c>
      <c r="AH28">
        <v>26</v>
      </c>
      <c r="AI28">
        <v>19188</v>
      </c>
      <c r="AJ28">
        <v>6</v>
      </c>
      <c r="AK28">
        <v>4428</v>
      </c>
      <c r="AL28">
        <v>5</v>
      </c>
      <c r="AM28">
        <v>3690</v>
      </c>
      <c r="AN28">
        <v>4</v>
      </c>
      <c r="AO28">
        <v>2952</v>
      </c>
      <c r="AP28">
        <v>4</v>
      </c>
      <c r="AQ28">
        <v>2952</v>
      </c>
      <c r="AR28">
        <v>4</v>
      </c>
      <c r="AS28">
        <v>2952</v>
      </c>
      <c r="AT28">
        <v>5</v>
      </c>
      <c r="AU28">
        <v>3690</v>
      </c>
      <c r="AV28">
        <v>5</v>
      </c>
      <c r="AW28">
        <v>3690</v>
      </c>
      <c r="AX28">
        <v>3</v>
      </c>
      <c r="AY28">
        <v>2214</v>
      </c>
      <c r="AZ28">
        <v>34</v>
      </c>
      <c r="BA28">
        <v>25092</v>
      </c>
      <c r="BB28">
        <v>32</v>
      </c>
      <c r="BC28">
        <v>23616</v>
      </c>
      <c r="BD28">
        <v>40</v>
      </c>
      <c r="BE28">
        <v>29520</v>
      </c>
      <c r="BF28">
        <v>29</v>
      </c>
      <c r="BG28">
        <v>21402</v>
      </c>
      <c r="BH28">
        <v>12</v>
      </c>
      <c r="BI28">
        <v>8856</v>
      </c>
      <c r="BJ28">
        <v>9</v>
      </c>
      <c r="BK28">
        <v>6642</v>
      </c>
      <c r="BL28">
        <v>7</v>
      </c>
      <c r="BM28">
        <v>5166</v>
      </c>
      <c r="BN28">
        <v>9</v>
      </c>
      <c r="BO28">
        <v>6642</v>
      </c>
      <c r="BP28">
        <v>8</v>
      </c>
      <c r="BQ28">
        <v>5904</v>
      </c>
      <c r="BR28">
        <v>6</v>
      </c>
      <c r="BS28">
        <v>4428</v>
      </c>
      <c r="BT28">
        <v>11</v>
      </c>
      <c r="BU28">
        <v>8118</v>
      </c>
      <c r="BV28">
        <v>9</v>
      </c>
      <c r="BW28">
        <v>6642</v>
      </c>
      <c r="BX28">
        <v>10</v>
      </c>
      <c r="BY28">
        <v>7380</v>
      </c>
      <c r="BZ28">
        <v>7</v>
      </c>
      <c r="CA28">
        <v>5166</v>
      </c>
      <c r="CB28">
        <v>10</v>
      </c>
      <c r="CC28">
        <v>7380</v>
      </c>
      <c r="CD28">
        <v>10</v>
      </c>
      <c r="CE28">
        <v>7380</v>
      </c>
      <c r="CF28">
        <v>14</v>
      </c>
      <c r="CG28">
        <v>10332</v>
      </c>
      <c r="CH28">
        <v>10</v>
      </c>
      <c r="CI28">
        <v>7380</v>
      </c>
      <c r="CJ28">
        <v>10</v>
      </c>
      <c r="CK28">
        <v>7380</v>
      </c>
      <c r="CL28">
        <v>11</v>
      </c>
      <c r="CM28">
        <v>8118</v>
      </c>
      <c r="CN28">
        <v>36</v>
      </c>
      <c r="CO28">
        <v>26568</v>
      </c>
      <c r="CP28">
        <v>34</v>
      </c>
      <c r="CQ28">
        <v>25092</v>
      </c>
      <c r="CR28">
        <v>30</v>
      </c>
      <c r="CS28">
        <v>22140</v>
      </c>
      <c r="CT28">
        <v>62</v>
      </c>
      <c r="CU28">
        <v>45756</v>
      </c>
    </row>
    <row r="29" spans="2:99" x14ac:dyDescent="0.2">
      <c r="C29" s="118" t="s">
        <v>195</v>
      </c>
      <c r="D29">
        <v>5</v>
      </c>
      <c r="E29">
        <v>1692</v>
      </c>
      <c r="F29">
        <v>5</v>
      </c>
      <c r="G29">
        <v>1692</v>
      </c>
      <c r="H29">
        <v>5</v>
      </c>
      <c r="I29">
        <v>1692</v>
      </c>
      <c r="J29">
        <v>3</v>
      </c>
      <c r="K29">
        <v>1015.1999999999999</v>
      </c>
      <c r="L29">
        <v>7</v>
      </c>
      <c r="M29">
        <v>2368.7999999999997</v>
      </c>
      <c r="N29">
        <v>4</v>
      </c>
      <c r="O29">
        <v>1353.6</v>
      </c>
      <c r="P29">
        <v>6</v>
      </c>
      <c r="Q29">
        <v>2030.3999999999999</v>
      </c>
      <c r="R29">
        <v>4</v>
      </c>
      <c r="S29">
        <v>1353.6</v>
      </c>
      <c r="T29">
        <v>10</v>
      </c>
      <c r="U29">
        <v>3384</v>
      </c>
      <c r="V29">
        <v>6</v>
      </c>
      <c r="W29">
        <v>2030.3999999999999</v>
      </c>
      <c r="X29">
        <v>9</v>
      </c>
      <c r="Y29">
        <v>3045.6</v>
      </c>
      <c r="Z29">
        <v>12</v>
      </c>
      <c r="AA29">
        <v>4060.7999999999997</v>
      </c>
      <c r="AB29">
        <v>15</v>
      </c>
      <c r="AC29">
        <v>5076</v>
      </c>
      <c r="AD29">
        <v>31</v>
      </c>
      <c r="AE29">
        <v>10490.4</v>
      </c>
      <c r="AF29">
        <v>22</v>
      </c>
      <c r="AG29">
        <v>7444.7999999999993</v>
      </c>
      <c r="AH29">
        <v>32</v>
      </c>
      <c r="AI29">
        <v>10828.8</v>
      </c>
      <c r="AJ29">
        <v>6</v>
      </c>
      <c r="AK29">
        <v>2030.3999999999999</v>
      </c>
      <c r="AL29">
        <v>4</v>
      </c>
      <c r="AM29">
        <v>1353.6</v>
      </c>
      <c r="AN29">
        <v>3</v>
      </c>
      <c r="AO29">
        <v>1015.1999999999999</v>
      </c>
      <c r="AP29">
        <v>4</v>
      </c>
      <c r="AQ29">
        <v>1353.6</v>
      </c>
      <c r="AR29">
        <v>4</v>
      </c>
      <c r="AS29">
        <v>1353.6</v>
      </c>
      <c r="AT29">
        <v>6</v>
      </c>
      <c r="AU29">
        <v>2030.3999999999999</v>
      </c>
      <c r="AV29">
        <v>5</v>
      </c>
      <c r="AW29">
        <v>1692</v>
      </c>
      <c r="AX29">
        <v>3</v>
      </c>
      <c r="AY29">
        <v>1015.1999999999999</v>
      </c>
      <c r="AZ29">
        <v>38</v>
      </c>
      <c r="BA29">
        <v>12859.199999999999</v>
      </c>
      <c r="BB29">
        <v>33</v>
      </c>
      <c r="BC29">
        <v>11167.199999999999</v>
      </c>
      <c r="BD29">
        <v>40</v>
      </c>
      <c r="BE29">
        <v>13536</v>
      </c>
      <c r="BF29">
        <v>29</v>
      </c>
      <c r="BG29">
        <v>9813.5999999999985</v>
      </c>
      <c r="BH29">
        <v>13</v>
      </c>
      <c r="BI29">
        <v>4399.2</v>
      </c>
      <c r="BJ29">
        <v>10</v>
      </c>
      <c r="BK29">
        <v>3384</v>
      </c>
      <c r="BL29">
        <v>7</v>
      </c>
      <c r="BM29">
        <v>2368.7999999999997</v>
      </c>
      <c r="BN29">
        <v>9</v>
      </c>
      <c r="BO29">
        <v>3045.6</v>
      </c>
      <c r="BP29">
        <v>8</v>
      </c>
      <c r="BQ29">
        <v>2707.2</v>
      </c>
      <c r="BR29">
        <v>8</v>
      </c>
      <c r="BS29">
        <v>2707.2</v>
      </c>
      <c r="BT29">
        <v>11</v>
      </c>
      <c r="BU29">
        <v>3722.3999999999996</v>
      </c>
      <c r="BV29">
        <v>8</v>
      </c>
      <c r="BW29">
        <v>2707.2</v>
      </c>
      <c r="BX29">
        <v>11</v>
      </c>
      <c r="BY29">
        <v>3722.3999999999996</v>
      </c>
      <c r="BZ29">
        <v>9</v>
      </c>
      <c r="CA29">
        <v>3045.6</v>
      </c>
      <c r="CB29">
        <v>11</v>
      </c>
      <c r="CC29">
        <v>3722.3999999999996</v>
      </c>
      <c r="CD29">
        <v>9</v>
      </c>
      <c r="CE29">
        <v>3045.6</v>
      </c>
      <c r="CF29">
        <v>16</v>
      </c>
      <c r="CG29">
        <v>5414.4</v>
      </c>
      <c r="CH29">
        <v>10</v>
      </c>
      <c r="CI29">
        <v>3384</v>
      </c>
      <c r="CJ29">
        <v>11</v>
      </c>
      <c r="CK29">
        <v>3722.3999999999996</v>
      </c>
      <c r="CL29">
        <v>11</v>
      </c>
      <c r="CM29">
        <v>3722.3999999999996</v>
      </c>
      <c r="CN29">
        <v>38</v>
      </c>
      <c r="CO29">
        <v>12859.199999999999</v>
      </c>
      <c r="CP29">
        <v>32</v>
      </c>
      <c r="CQ29">
        <v>10828.8</v>
      </c>
      <c r="CR29">
        <v>34</v>
      </c>
      <c r="CS29">
        <v>11505.599999999999</v>
      </c>
      <c r="CT29">
        <v>63</v>
      </c>
      <c r="CU29">
        <v>21319.199999999997</v>
      </c>
    </row>
    <row r="30" spans="2:99" x14ac:dyDescent="0.2">
      <c r="C30" s="118" t="s">
        <v>196</v>
      </c>
      <c r="D30">
        <v>5</v>
      </c>
      <c r="E30">
        <v>696</v>
      </c>
      <c r="F30">
        <v>5</v>
      </c>
      <c r="G30">
        <v>696</v>
      </c>
      <c r="H30">
        <v>4</v>
      </c>
      <c r="I30">
        <v>556.79999999999995</v>
      </c>
      <c r="J30">
        <v>4</v>
      </c>
      <c r="K30">
        <v>556.79999999999995</v>
      </c>
      <c r="L30">
        <v>7</v>
      </c>
      <c r="M30">
        <v>974.39999999999986</v>
      </c>
      <c r="N30">
        <v>4</v>
      </c>
      <c r="O30">
        <v>556.79999999999995</v>
      </c>
      <c r="P30">
        <v>7</v>
      </c>
      <c r="Q30">
        <v>974.39999999999986</v>
      </c>
      <c r="R30">
        <v>4</v>
      </c>
      <c r="S30">
        <v>556.79999999999995</v>
      </c>
      <c r="T30">
        <v>10</v>
      </c>
      <c r="U30">
        <v>1392</v>
      </c>
      <c r="V30">
        <v>7</v>
      </c>
      <c r="W30">
        <v>974.39999999999986</v>
      </c>
      <c r="X30">
        <v>9</v>
      </c>
      <c r="Y30">
        <v>1252.8</v>
      </c>
      <c r="Z30">
        <v>12</v>
      </c>
      <c r="AA30">
        <v>1670.3999999999999</v>
      </c>
      <c r="AB30">
        <v>17</v>
      </c>
      <c r="AC30">
        <v>2366.3999999999996</v>
      </c>
      <c r="AD30">
        <v>28</v>
      </c>
      <c r="AE30">
        <v>3897.5999999999995</v>
      </c>
      <c r="AF30">
        <v>22</v>
      </c>
      <c r="AG30">
        <v>3062.3999999999996</v>
      </c>
      <c r="AH30">
        <v>32</v>
      </c>
      <c r="AI30">
        <v>4454.3999999999996</v>
      </c>
      <c r="AJ30">
        <v>6</v>
      </c>
      <c r="AK30">
        <v>835.19999999999993</v>
      </c>
      <c r="AL30">
        <v>5</v>
      </c>
      <c r="AM30">
        <v>696</v>
      </c>
      <c r="AN30">
        <v>4</v>
      </c>
      <c r="AO30">
        <v>556.79999999999995</v>
      </c>
      <c r="AP30">
        <v>4</v>
      </c>
      <c r="AQ30">
        <v>556.79999999999995</v>
      </c>
      <c r="AR30">
        <v>4</v>
      </c>
      <c r="AS30">
        <v>556.79999999999995</v>
      </c>
      <c r="AT30">
        <v>5</v>
      </c>
      <c r="AU30">
        <v>696</v>
      </c>
      <c r="AV30">
        <v>5</v>
      </c>
      <c r="AW30">
        <v>696</v>
      </c>
      <c r="AX30">
        <v>4</v>
      </c>
      <c r="AY30">
        <v>556.79999999999995</v>
      </c>
      <c r="AZ30">
        <v>43</v>
      </c>
      <c r="BA30">
        <v>5985.5999999999995</v>
      </c>
      <c r="BB30">
        <v>35</v>
      </c>
      <c r="BC30">
        <v>4872</v>
      </c>
      <c r="BD30">
        <v>46</v>
      </c>
      <c r="BE30">
        <v>6403.2</v>
      </c>
      <c r="BF30">
        <v>32</v>
      </c>
      <c r="BG30">
        <v>4454.3999999999996</v>
      </c>
      <c r="BH30">
        <v>13</v>
      </c>
      <c r="BI30">
        <v>1809.6</v>
      </c>
      <c r="BJ30">
        <v>10</v>
      </c>
      <c r="BK30">
        <v>1392</v>
      </c>
      <c r="BL30">
        <v>8</v>
      </c>
      <c r="BM30">
        <v>1113.5999999999999</v>
      </c>
      <c r="BN30">
        <v>9</v>
      </c>
      <c r="BO30">
        <v>1252.8</v>
      </c>
      <c r="BP30">
        <v>8</v>
      </c>
      <c r="BQ30">
        <v>1113.5999999999999</v>
      </c>
      <c r="BR30">
        <v>7</v>
      </c>
      <c r="BS30">
        <v>974.39999999999986</v>
      </c>
      <c r="BT30">
        <v>10</v>
      </c>
      <c r="BU30">
        <v>1392</v>
      </c>
      <c r="BV30">
        <v>9</v>
      </c>
      <c r="BW30">
        <v>1252.8</v>
      </c>
      <c r="BX30">
        <v>12</v>
      </c>
      <c r="BY30">
        <v>1670.3999999999999</v>
      </c>
      <c r="BZ30">
        <v>9</v>
      </c>
      <c r="CA30">
        <v>1252.8</v>
      </c>
      <c r="CB30">
        <v>13</v>
      </c>
      <c r="CC30">
        <v>1809.6</v>
      </c>
      <c r="CD30">
        <v>10</v>
      </c>
      <c r="CE30">
        <v>1392</v>
      </c>
      <c r="CF30">
        <v>16</v>
      </c>
      <c r="CG30">
        <v>2227.1999999999998</v>
      </c>
      <c r="CH30">
        <v>10</v>
      </c>
      <c r="CI30">
        <v>1392</v>
      </c>
      <c r="CJ30">
        <v>10</v>
      </c>
      <c r="CK30">
        <v>1392</v>
      </c>
      <c r="CL30">
        <v>12</v>
      </c>
      <c r="CM30">
        <v>1670.3999999999999</v>
      </c>
      <c r="CN30">
        <v>35</v>
      </c>
      <c r="CO30">
        <v>4872</v>
      </c>
      <c r="CP30">
        <v>35</v>
      </c>
      <c r="CQ30">
        <v>4872</v>
      </c>
      <c r="CR30">
        <v>34</v>
      </c>
      <c r="CS30">
        <v>4732.7999999999993</v>
      </c>
      <c r="CT30">
        <v>60</v>
      </c>
      <c r="CU30">
        <v>8352</v>
      </c>
    </row>
    <row r="31" spans="2:99" x14ac:dyDescent="0.2">
      <c r="C31" s="118" t="s">
        <v>197</v>
      </c>
      <c r="D31">
        <v>5</v>
      </c>
      <c r="E31">
        <v>1704</v>
      </c>
      <c r="F31">
        <v>5</v>
      </c>
      <c r="G31">
        <v>1704</v>
      </c>
      <c r="H31">
        <v>5</v>
      </c>
      <c r="I31">
        <v>1704</v>
      </c>
      <c r="J31">
        <v>4</v>
      </c>
      <c r="K31">
        <v>1363.2</v>
      </c>
      <c r="L31">
        <v>7</v>
      </c>
      <c r="M31">
        <v>2385.6</v>
      </c>
      <c r="N31">
        <v>4</v>
      </c>
      <c r="O31">
        <v>1363.2</v>
      </c>
      <c r="P31">
        <v>6</v>
      </c>
      <c r="Q31">
        <v>2044.8000000000002</v>
      </c>
      <c r="R31">
        <v>5</v>
      </c>
      <c r="S31">
        <v>1704</v>
      </c>
      <c r="T31">
        <v>10</v>
      </c>
      <c r="U31">
        <v>3408</v>
      </c>
      <c r="V31">
        <v>7</v>
      </c>
      <c r="W31">
        <v>2385.6</v>
      </c>
      <c r="X31">
        <v>9</v>
      </c>
      <c r="Y31">
        <v>3067.2000000000003</v>
      </c>
      <c r="Z31">
        <v>11</v>
      </c>
      <c r="AA31">
        <v>3748.8</v>
      </c>
      <c r="AB31">
        <v>15</v>
      </c>
      <c r="AC31">
        <v>5112</v>
      </c>
      <c r="AD31">
        <v>31</v>
      </c>
      <c r="AE31">
        <v>10564.800000000001</v>
      </c>
      <c r="AF31">
        <v>21</v>
      </c>
      <c r="AG31">
        <v>7156.8</v>
      </c>
      <c r="AH31">
        <v>32</v>
      </c>
      <c r="AI31">
        <v>10905.6</v>
      </c>
      <c r="AJ31">
        <v>6</v>
      </c>
      <c r="AK31">
        <v>2044.8000000000002</v>
      </c>
      <c r="AL31">
        <v>4</v>
      </c>
      <c r="AM31">
        <v>1363.2</v>
      </c>
      <c r="AN31">
        <v>3</v>
      </c>
      <c r="AO31">
        <v>1022.4000000000001</v>
      </c>
      <c r="AP31">
        <v>4</v>
      </c>
      <c r="AQ31">
        <v>1363.2</v>
      </c>
      <c r="AR31">
        <v>3</v>
      </c>
      <c r="AS31">
        <v>1022.4000000000001</v>
      </c>
      <c r="AT31">
        <v>6</v>
      </c>
      <c r="AU31">
        <v>2044.8000000000002</v>
      </c>
      <c r="AV31">
        <v>5</v>
      </c>
      <c r="AW31">
        <v>1704</v>
      </c>
      <c r="AX31">
        <v>3</v>
      </c>
      <c r="AY31">
        <v>1022.4000000000001</v>
      </c>
      <c r="AZ31">
        <v>38</v>
      </c>
      <c r="BA31">
        <v>12950.4</v>
      </c>
      <c r="BB31">
        <v>33</v>
      </c>
      <c r="BC31">
        <v>11246.4</v>
      </c>
      <c r="BD31">
        <v>42</v>
      </c>
      <c r="BE31">
        <v>14313.6</v>
      </c>
      <c r="BF31">
        <v>33</v>
      </c>
      <c r="BG31">
        <v>11246.4</v>
      </c>
      <c r="BH31">
        <v>14</v>
      </c>
      <c r="BI31">
        <v>4771.2</v>
      </c>
      <c r="BJ31">
        <v>10</v>
      </c>
      <c r="BK31">
        <v>3408</v>
      </c>
      <c r="BL31">
        <v>7</v>
      </c>
      <c r="BM31">
        <v>2385.6</v>
      </c>
      <c r="BN31">
        <v>9</v>
      </c>
      <c r="BO31">
        <v>3067.2000000000003</v>
      </c>
      <c r="BP31">
        <v>8</v>
      </c>
      <c r="BQ31">
        <v>2726.4</v>
      </c>
      <c r="BR31">
        <v>7</v>
      </c>
      <c r="BS31">
        <v>2385.6</v>
      </c>
      <c r="BT31">
        <v>10</v>
      </c>
      <c r="BU31">
        <v>3408</v>
      </c>
      <c r="BV31">
        <v>8</v>
      </c>
      <c r="BW31">
        <v>2726.4</v>
      </c>
      <c r="BX31">
        <v>10</v>
      </c>
      <c r="BY31">
        <v>3408</v>
      </c>
      <c r="BZ31">
        <v>8</v>
      </c>
      <c r="CA31">
        <v>2726.4</v>
      </c>
      <c r="CB31">
        <v>12</v>
      </c>
      <c r="CC31">
        <v>4089.6000000000004</v>
      </c>
      <c r="CD31">
        <v>11</v>
      </c>
      <c r="CE31">
        <v>3748.8</v>
      </c>
      <c r="CF31">
        <v>15</v>
      </c>
      <c r="CG31">
        <v>5112</v>
      </c>
      <c r="CH31">
        <v>10</v>
      </c>
      <c r="CI31">
        <v>3408</v>
      </c>
      <c r="CJ31">
        <v>11</v>
      </c>
      <c r="CK31">
        <v>3748.8</v>
      </c>
      <c r="CL31">
        <v>12</v>
      </c>
      <c r="CM31">
        <v>4089.6000000000004</v>
      </c>
      <c r="CN31">
        <v>40</v>
      </c>
      <c r="CO31">
        <v>13632</v>
      </c>
      <c r="CP31">
        <v>34</v>
      </c>
      <c r="CQ31">
        <v>11587.2</v>
      </c>
      <c r="CR31">
        <v>33</v>
      </c>
      <c r="CS31">
        <v>11246.4</v>
      </c>
      <c r="CT31">
        <v>66</v>
      </c>
      <c r="CU31">
        <v>22492.799999999999</v>
      </c>
    </row>
    <row r="32" spans="2:99" x14ac:dyDescent="0.2">
      <c r="C32" s="118" t="s">
        <v>198</v>
      </c>
      <c r="D32">
        <v>5</v>
      </c>
      <c r="E32">
        <v>4200</v>
      </c>
      <c r="F32">
        <v>5</v>
      </c>
      <c r="G32">
        <v>4200</v>
      </c>
      <c r="H32">
        <v>4</v>
      </c>
      <c r="I32">
        <v>3360</v>
      </c>
      <c r="J32">
        <v>4</v>
      </c>
      <c r="K32">
        <v>3360</v>
      </c>
      <c r="L32">
        <v>6</v>
      </c>
      <c r="M32">
        <v>5040</v>
      </c>
      <c r="N32">
        <v>4</v>
      </c>
      <c r="O32">
        <v>3360</v>
      </c>
      <c r="P32">
        <v>6</v>
      </c>
      <c r="Q32">
        <v>5040</v>
      </c>
      <c r="R32">
        <v>4</v>
      </c>
      <c r="S32">
        <v>3360</v>
      </c>
      <c r="T32">
        <v>10</v>
      </c>
      <c r="U32">
        <v>8400</v>
      </c>
      <c r="V32">
        <v>7</v>
      </c>
      <c r="W32">
        <v>5880</v>
      </c>
      <c r="X32">
        <v>8</v>
      </c>
      <c r="Y32">
        <v>6720</v>
      </c>
      <c r="Z32">
        <v>11</v>
      </c>
      <c r="AA32">
        <v>9240</v>
      </c>
      <c r="AB32">
        <v>16</v>
      </c>
      <c r="AC32">
        <v>13440</v>
      </c>
      <c r="AD32">
        <v>25</v>
      </c>
      <c r="AE32">
        <v>21000</v>
      </c>
      <c r="AF32">
        <v>17</v>
      </c>
      <c r="AG32">
        <v>14280</v>
      </c>
      <c r="AH32">
        <v>28</v>
      </c>
      <c r="AI32">
        <v>23520</v>
      </c>
      <c r="AJ32">
        <v>6</v>
      </c>
      <c r="AK32">
        <v>5040</v>
      </c>
      <c r="AL32">
        <v>5</v>
      </c>
      <c r="AM32">
        <v>4200</v>
      </c>
      <c r="AN32">
        <v>3</v>
      </c>
      <c r="AO32">
        <v>2520</v>
      </c>
      <c r="AP32">
        <v>4</v>
      </c>
      <c r="AQ32">
        <v>3360</v>
      </c>
      <c r="AR32">
        <v>3</v>
      </c>
      <c r="AS32">
        <v>2520</v>
      </c>
      <c r="AT32">
        <v>5</v>
      </c>
      <c r="AU32">
        <v>4200</v>
      </c>
      <c r="AV32">
        <v>5</v>
      </c>
      <c r="AW32">
        <v>4200</v>
      </c>
      <c r="AX32">
        <v>3</v>
      </c>
      <c r="AY32">
        <v>2520</v>
      </c>
      <c r="AZ32">
        <v>38</v>
      </c>
      <c r="BA32">
        <v>31920</v>
      </c>
      <c r="BB32">
        <v>30</v>
      </c>
      <c r="BC32">
        <v>25200</v>
      </c>
      <c r="BD32">
        <v>35</v>
      </c>
      <c r="BE32">
        <v>29400</v>
      </c>
      <c r="BF32">
        <v>30</v>
      </c>
      <c r="BG32">
        <v>25200</v>
      </c>
      <c r="BH32">
        <v>11</v>
      </c>
      <c r="BI32">
        <v>9240</v>
      </c>
      <c r="BJ32">
        <v>9</v>
      </c>
      <c r="BK32">
        <v>7560</v>
      </c>
      <c r="BL32">
        <v>7</v>
      </c>
      <c r="BM32">
        <v>5880</v>
      </c>
      <c r="BN32">
        <v>9</v>
      </c>
      <c r="BO32">
        <v>7560</v>
      </c>
      <c r="BP32">
        <v>8</v>
      </c>
      <c r="BQ32">
        <v>6720</v>
      </c>
      <c r="BR32">
        <v>7</v>
      </c>
      <c r="BS32">
        <v>5880</v>
      </c>
      <c r="BT32">
        <v>11</v>
      </c>
      <c r="BU32">
        <v>9240</v>
      </c>
      <c r="BV32">
        <v>8</v>
      </c>
      <c r="BW32">
        <v>6720</v>
      </c>
      <c r="BX32">
        <v>9</v>
      </c>
      <c r="BY32">
        <v>7560</v>
      </c>
      <c r="BZ32">
        <v>7</v>
      </c>
      <c r="CA32">
        <v>5880</v>
      </c>
      <c r="CB32">
        <v>11</v>
      </c>
      <c r="CC32">
        <v>9240</v>
      </c>
      <c r="CD32">
        <v>10</v>
      </c>
      <c r="CE32">
        <v>8400</v>
      </c>
      <c r="CF32">
        <v>13</v>
      </c>
      <c r="CG32">
        <v>10920</v>
      </c>
      <c r="CH32">
        <v>10</v>
      </c>
      <c r="CI32">
        <v>8400</v>
      </c>
      <c r="CJ32">
        <v>9</v>
      </c>
      <c r="CK32">
        <v>7560</v>
      </c>
      <c r="CL32">
        <v>11</v>
      </c>
      <c r="CM32">
        <v>9240</v>
      </c>
      <c r="CN32">
        <v>36</v>
      </c>
      <c r="CO32">
        <v>30240</v>
      </c>
      <c r="CP32">
        <v>33</v>
      </c>
      <c r="CQ32">
        <v>27720</v>
      </c>
      <c r="CR32">
        <v>33</v>
      </c>
      <c r="CS32">
        <v>27720</v>
      </c>
      <c r="CT32">
        <v>61</v>
      </c>
      <c r="CU32">
        <v>51240</v>
      </c>
    </row>
    <row r="33" spans="2:99" x14ac:dyDescent="0.2">
      <c r="C33" s="118" t="s">
        <v>199</v>
      </c>
      <c r="D33">
        <v>5</v>
      </c>
      <c r="E33">
        <v>2370</v>
      </c>
      <c r="F33">
        <v>5</v>
      </c>
      <c r="G33">
        <v>2370</v>
      </c>
      <c r="H33">
        <v>4</v>
      </c>
      <c r="I33">
        <v>1896</v>
      </c>
      <c r="J33">
        <v>3</v>
      </c>
      <c r="K33">
        <v>1422</v>
      </c>
      <c r="L33">
        <v>6</v>
      </c>
      <c r="M33">
        <v>2844</v>
      </c>
      <c r="N33">
        <v>4</v>
      </c>
      <c r="O33">
        <v>1896</v>
      </c>
      <c r="P33">
        <v>6</v>
      </c>
      <c r="Q33">
        <v>2844</v>
      </c>
      <c r="R33">
        <v>4</v>
      </c>
      <c r="S33">
        <v>1896</v>
      </c>
      <c r="T33">
        <v>12</v>
      </c>
      <c r="U33">
        <v>5688</v>
      </c>
      <c r="V33">
        <v>7</v>
      </c>
      <c r="W33">
        <v>3318</v>
      </c>
      <c r="X33">
        <v>9</v>
      </c>
      <c r="Y33">
        <v>4266</v>
      </c>
      <c r="Z33">
        <v>11</v>
      </c>
      <c r="AA33">
        <v>5214</v>
      </c>
      <c r="AB33">
        <v>14</v>
      </c>
      <c r="AC33">
        <v>6636</v>
      </c>
      <c r="AD33">
        <v>29</v>
      </c>
      <c r="AE33">
        <v>13746</v>
      </c>
      <c r="AF33">
        <v>21</v>
      </c>
      <c r="AG33">
        <v>9954</v>
      </c>
      <c r="AH33">
        <v>26</v>
      </c>
      <c r="AI33">
        <v>12324</v>
      </c>
      <c r="AJ33">
        <v>6</v>
      </c>
      <c r="AK33">
        <v>2844</v>
      </c>
      <c r="AL33">
        <v>5</v>
      </c>
      <c r="AM33">
        <v>2370</v>
      </c>
      <c r="AN33">
        <v>4</v>
      </c>
      <c r="AO33">
        <v>1896</v>
      </c>
      <c r="AP33">
        <v>4</v>
      </c>
      <c r="AQ33">
        <v>1896</v>
      </c>
      <c r="AR33">
        <v>3</v>
      </c>
      <c r="AS33">
        <v>1422</v>
      </c>
      <c r="AT33">
        <v>6</v>
      </c>
      <c r="AU33">
        <v>2844</v>
      </c>
      <c r="AV33">
        <v>5</v>
      </c>
      <c r="AW33">
        <v>2370</v>
      </c>
      <c r="AX33">
        <v>4</v>
      </c>
      <c r="AY33">
        <v>1896</v>
      </c>
      <c r="AZ33">
        <v>41</v>
      </c>
      <c r="BA33">
        <v>19434</v>
      </c>
      <c r="BB33">
        <v>35</v>
      </c>
      <c r="BC33">
        <v>16590</v>
      </c>
      <c r="BD33">
        <v>37</v>
      </c>
      <c r="BE33">
        <v>17538</v>
      </c>
      <c r="BF33">
        <v>29</v>
      </c>
      <c r="BG33">
        <v>13746</v>
      </c>
      <c r="BH33">
        <v>12</v>
      </c>
      <c r="BI33">
        <v>5688</v>
      </c>
      <c r="BJ33">
        <v>10</v>
      </c>
      <c r="BK33">
        <v>4740</v>
      </c>
      <c r="BL33">
        <v>7</v>
      </c>
      <c r="BM33">
        <v>3318</v>
      </c>
      <c r="BN33">
        <v>9</v>
      </c>
      <c r="BO33">
        <v>4266</v>
      </c>
      <c r="BP33">
        <v>8</v>
      </c>
      <c r="BQ33">
        <v>3792</v>
      </c>
      <c r="BR33">
        <v>8</v>
      </c>
      <c r="BS33">
        <v>3792</v>
      </c>
      <c r="BT33">
        <v>11</v>
      </c>
      <c r="BU33">
        <v>5214</v>
      </c>
      <c r="BV33">
        <v>8</v>
      </c>
      <c r="BW33">
        <v>3792</v>
      </c>
      <c r="BX33">
        <v>11</v>
      </c>
      <c r="BY33">
        <v>5214</v>
      </c>
      <c r="BZ33">
        <v>8</v>
      </c>
      <c r="CA33">
        <v>3792</v>
      </c>
      <c r="CB33">
        <v>11</v>
      </c>
      <c r="CC33">
        <v>5214</v>
      </c>
      <c r="CD33">
        <v>9</v>
      </c>
      <c r="CE33">
        <v>4266</v>
      </c>
      <c r="CF33">
        <v>15</v>
      </c>
      <c r="CG33">
        <v>7110</v>
      </c>
      <c r="CH33">
        <v>9</v>
      </c>
      <c r="CI33">
        <v>4266</v>
      </c>
      <c r="CJ33">
        <v>11</v>
      </c>
      <c r="CK33">
        <v>5214</v>
      </c>
      <c r="CL33">
        <v>10</v>
      </c>
      <c r="CM33">
        <v>4740</v>
      </c>
      <c r="CN33">
        <v>40</v>
      </c>
      <c r="CO33">
        <v>18960</v>
      </c>
      <c r="CP33">
        <v>33</v>
      </c>
      <c r="CQ33">
        <v>15642</v>
      </c>
      <c r="CR33">
        <v>30</v>
      </c>
      <c r="CS33">
        <v>14220</v>
      </c>
      <c r="CT33">
        <v>65</v>
      </c>
      <c r="CU33">
        <v>30810</v>
      </c>
    </row>
    <row r="34" spans="2:99" x14ac:dyDescent="0.2">
      <c r="C34" s="118" t="s">
        <v>200</v>
      </c>
      <c r="D34">
        <v>5</v>
      </c>
      <c r="E34">
        <v>2742</v>
      </c>
      <c r="F34">
        <v>5</v>
      </c>
      <c r="G34">
        <v>2742</v>
      </c>
      <c r="H34">
        <v>5</v>
      </c>
      <c r="I34">
        <v>2742</v>
      </c>
      <c r="J34">
        <v>4</v>
      </c>
      <c r="K34">
        <v>2193.6</v>
      </c>
      <c r="L34">
        <v>6</v>
      </c>
      <c r="M34">
        <v>3290.3999999999996</v>
      </c>
      <c r="N34">
        <v>4</v>
      </c>
      <c r="O34">
        <v>2193.6</v>
      </c>
      <c r="P34">
        <v>6</v>
      </c>
      <c r="Q34">
        <v>3290.3999999999996</v>
      </c>
      <c r="R34">
        <v>4</v>
      </c>
      <c r="S34">
        <v>2193.6</v>
      </c>
      <c r="T34">
        <v>12</v>
      </c>
      <c r="U34">
        <v>6580.7999999999993</v>
      </c>
      <c r="V34">
        <v>7</v>
      </c>
      <c r="W34">
        <v>3838.7999999999997</v>
      </c>
      <c r="X34">
        <v>9</v>
      </c>
      <c r="Y34">
        <v>4935.5999999999995</v>
      </c>
      <c r="Z34">
        <v>11</v>
      </c>
      <c r="AA34">
        <v>6032.4</v>
      </c>
      <c r="AB34">
        <v>14</v>
      </c>
      <c r="AC34">
        <v>7677.5999999999995</v>
      </c>
      <c r="AD34">
        <v>29</v>
      </c>
      <c r="AE34">
        <v>15903.599999999999</v>
      </c>
      <c r="AF34">
        <v>21</v>
      </c>
      <c r="AG34">
        <v>11516.4</v>
      </c>
      <c r="AH34">
        <v>27</v>
      </c>
      <c r="AI34">
        <v>14806.8</v>
      </c>
      <c r="AJ34">
        <v>5</v>
      </c>
      <c r="AK34">
        <v>2742</v>
      </c>
      <c r="AL34">
        <v>5</v>
      </c>
      <c r="AM34">
        <v>2742</v>
      </c>
      <c r="AN34">
        <v>4</v>
      </c>
      <c r="AO34">
        <v>2193.6</v>
      </c>
      <c r="AP34">
        <v>4</v>
      </c>
      <c r="AQ34">
        <v>2193.6</v>
      </c>
      <c r="AR34">
        <v>4</v>
      </c>
      <c r="AS34">
        <v>2193.6</v>
      </c>
      <c r="AT34">
        <v>5</v>
      </c>
      <c r="AU34">
        <v>2742</v>
      </c>
      <c r="AV34">
        <v>5</v>
      </c>
      <c r="AW34">
        <v>2742</v>
      </c>
      <c r="AX34">
        <v>3</v>
      </c>
      <c r="AY34">
        <v>1645.1999999999998</v>
      </c>
      <c r="AZ34">
        <v>39</v>
      </c>
      <c r="BA34">
        <v>21387.599999999999</v>
      </c>
      <c r="BB34">
        <v>33</v>
      </c>
      <c r="BC34">
        <v>18097.2</v>
      </c>
      <c r="BD34">
        <v>41</v>
      </c>
      <c r="BE34">
        <v>22484.399999999998</v>
      </c>
      <c r="BF34">
        <v>28</v>
      </c>
      <c r="BG34">
        <v>15355.199999999999</v>
      </c>
      <c r="BH34">
        <v>14</v>
      </c>
      <c r="BI34">
        <v>7677.5999999999995</v>
      </c>
      <c r="BJ34">
        <v>9</v>
      </c>
      <c r="BK34">
        <v>4935.5999999999995</v>
      </c>
      <c r="BL34">
        <v>7</v>
      </c>
      <c r="BM34">
        <v>3838.7999999999997</v>
      </c>
      <c r="BN34">
        <v>9</v>
      </c>
      <c r="BO34">
        <v>4935.5999999999995</v>
      </c>
      <c r="BP34">
        <v>8</v>
      </c>
      <c r="BQ34">
        <v>4387.2</v>
      </c>
      <c r="BR34">
        <v>7</v>
      </c>
      <c r="BS34">
        <v>3838.7999999999997</v>
      </c>
      <c r="BT34">
        <v>11</v>
      </c>
      <c r="BU34">
        <v>6032.4</v>
      </c>
      <c r="BV34">
        <v>7</v>
      </c>
      <c r="BW34">
        <v>3838.7999999999997</v>
      </c>
      <c r="BX34">
        <v>10</v>
      </c>
      <c r="BY34">
        <v>5484</v>
      </c>
      <c r="BZ34">
        <v>8</v>
      </c>
      <c r="CA34">
        <v>4387.2</v>
      </c>
      <c r="CB34">
        <v>10</v>
      </c>
      <c r="CC34">
        <v>5484</v>
      </c>
      <c r="CD34">
        <v>10</v>
      </c>
      <c r="CE34">
        <v>5484</v>
      </c>
      <c r="CF34">
        <v>15</v>
      </c>
      <c r="CG34">
        <v>8226</v>
      </c>
      <c r="CH34">
        <v>10</v>
      </c>
      <c r="CI34">
        <v>5484</v>
      </c>
      <c r="CJ34">
        <v>10</v>
      </c>
      <c r="CK34">
        <v>5484</v>
      </c>
      <c r="CL34">
        <v>11</v>
      </c>
      <c r="CM34">
        <v>6032.4</v>
      </c>
      <c r="CN34">
        <v>37</v>
      </c>
      <c r="CO34">
        <v>20290.8</v>
      </c>
      <c r="CP34">
        <v>32</v>
      </c>
      <c r="CQ34">
        <v>17548.8</v>
      </c>
      <c r="CR34">
        <v>35</v>
      </c>
      <c r="CS34">
        <v>19194</v>
      </c>
      <c r="CT34">
        <v>60</v>
      </c>
      <c r="CU34">
        <v>32904</v>
      </c>
    </row>
    <row r="35" spans="2:99" x14ac:dyDescent="0.2">
      <c r="C35" s="118" t="s">
        <v>201</v>
      </c>
      <c r="D35">
        <v>5</v>
      </c>
      <c r="E35">
        <v>2513.9999999999995</v>
      </c>
      <c r="F35">
        <v>5</v>
      </c>
      <c r="G35">
        <v>2513.9999999999995</v>
      </c>
      <c r="H35">
        <v>4</v>
      </c>
      <c r="I35">
        <v>2011.1999999999996</v>
      </c>
      <c r="J35">
        <v>3</v>
      </c>
      <c r="K35">
        <v>1508.3999999999996</v>
      </c>
      <c r="L35">
        <v>6</v>
      </c>
      <c r="M35">
        <v>3016.7999999999993</v>
      </c>
      <c r="N35">
        <v>4</v>
      </c>
      <c r="O35">
        <v>2011.1999999999996</v>
      </c>
      <c r="P35">
        <v>7</v>
      </c>
      <c r="Q35">
        <v>3519.5999999999995</v>
      </c>
      <c r="R35">
        <v>4</v>
      </c>
      <c r="S35">
        <v>2011.1999999999996</v>
      </c>
      <c r="T35">
        <v>11</v>
      </c>
      <c r="U35">
        <v>5530.7999999999993</v>
      </c>
      <c r="V35">
        <v>6</v>
      </c>
      <c r="W35">
        <v>3016.7999999999993</v>
      </c>
      <c r="X35">
        <v>9</v>
      </c>
      <c r="Y35">
        <v>4525.1999999999989</v>
      </c>
      <c r="Z35">
        <v>10</v>
      </c>
      <c r="AA35">
        <v>5027.9999999999991</v>
      </c>
      <c r="AB35">
        <v>14</v>
      </c>
      <c r="AC35">
        <v>7039.1999999999989</v>
      </c>
      <c r="AD35">
        <v>31</v>
      </c>
      <c r="AE35">
        <v>15586.799999999997</v>
      </c>
      <c r="AF35">
        <v>22</v>
      </c>
      <c r="AG35">
        <v>11061.599999999999</v>
      </c>
      <c r="AH35">
        <v>30</v>
      </c>
      <c r="AI35">
        <v>15083.999999999996</v>
      </c>
      <c r="AJ35">
        <v>6</v>
      </c>
      <c r="AK35">
        <v>3016.7999999999993</v>
      </c>
      <c r="AL35">
        <v>5</v>
      </c>
      <c r="AM35">
        <v>2513.9999999999995</v>
      </c>
      <c r="AN35">
        <v>3</v>
      </c>
      <c r="AO35">
        <v>1508.3999999999996</v>
      </c>
      <c r="AP35">
        <v>4</v>
      </c>
      <c r="AQ35">
        <v>2011.1999999999996</v>
      </c>
      <c r="AR35">
        <v>3</v>
      </c>
      <c r="AS35">
        <v>1508.3999999999996</v>
      </c>
      <c r="AT35">
        <v>5</v>
      </c>
      <c r="AU35">
        <v>2513.9999999999995</v>
      </c>
      <c r="AV35">
        <v>5</v>
      </c>
      <c r="AW35">
        <v>2513.9999999999995</v>
      </c>
      <c r="AX35">
        <v>4</v>
      </c>
      <c r="AY35">
        <v>2011.1999999999996</v>
      </c>
      <c r="AZ35">
        <v>38</v>
      </c>
      <c r="BA35">
        <v>19106.399999999998</v>
      </c>
      <c r="BB35">
        <v>33</v>
      </c>
      <c r="BC35">
        <v>16592.399999999998</v>
      </c>
      <c r="BD35">
        <v>42</v>
      </c>
      <c r="BE35">
        <v>21117.599999999995</v>
      </c>
      <c r="BF35">
        <v>34</v>
      </c>
      <c r="BG35">
        <v>17095.199999999997</v>
      </c>
      <c r="BH35">
        <v>13</v>
      </c>
      <c r="BI35">
        <v>6536.3999999999987</v>
      </c>
      <c r="BJ35">
        <v>10</v>
      </c>
      <c r="BK35">
        <v>5027.9999999999991</v>
      </c>
      <c r="BL35">
        <v>7</v>
      </c>
      <c r="BM35">
        <v>3519.5999999999995</v>
      </c>
      <c r="BN35">
        <v>8</v>
      </c>
      <c r="BO35">
        <v>4022.3999999999992</v>
      </c>
      <c r="BP35">
        <v>8</v>
      </c>
      <c r="BQ35">
        <v>4022.3999999999992</v>
      </c>
      <c r="BR35">
        <v>7</v>
      </c>
      <c r="BS35">
        <v>3519.5999999999995</v>
      </c>
      <c r="BT35">
        <v>9</v>
      </c>
      <c r="BU35">
        <v>4525.1999999999989</v>
      </c>
      <c r="BV35">
        <v>7</v>
      </c>
      <c r="BW35">
        <v>3519.5999999999995</v>
      </c>
      <c r="BX35">
        <v>11</v>
      </c>
      <c r="BY35">
        <v>5530.7999999999993</v>
      </c>
      <c r="BZ35">
        <v>8</v>
      </c>
      <c r="CA35">
        <v>4022.3999999999992</v>
      </c>
      <c r="CB35">
        <v>11</v>
      </c>
      <c r="CC35">
        <v>5530.7999999999993</v>
      </c>
      <c r="CD35">
        <v>10</v>
      </c>
      <c r="CE35">
        <v>5027.9999999999991</v>
      </c>
      <c r="CF35">
        <v>14</v>
      </c>
      <c r="CG35">
        <v>7039.1999999999989</v>
      </c>
      <c r="CH35">
        <v>9</v>
      </c>
      <c r="CI35">
        <v>4525.1999999999989</v>
      </c>
      <c r="CJ35">
        <v>10</v>
      </c>
      <c r="CK35">
        <v>5027.9999999999991</v>
      </c>
      <c r="CL35">
        <v>10</v>
      </c>
      <c r="CM35">
        <v>5027.9999999999991</v>
      </c>
      <c r="CN35">
        <v>38</v>
      </c>
      <c r="CO35">
        <v>19106.399999999998</v>
      </c>
      <c r="CP35">
        <v>33</v>
      </c>
      <c r="CQ35">
        <v>16592.399999999998</v>
      </c>
      <c r="CR35">
        <v>33</v>
      </c>
      <c r="CS35">
        <v>16592.399999999998</v>
      </c>
      <c r="CT35">
        <v>62</v>
      </c>
      <c r="CU35">
        <v>31173.599999999995</v>
      </c>
    </row>
    <row r="36" spans="2:99" x14ac:dyDescent="0.2">
      <c r="C36" s="118" t="s">
        <v>202</v>
      </c>
      <c r="D36">
        <v>5</v>
      </c>
      <c r="E36">
        <v>3804</v>
      </c>
      <c r="F36">
        <v>5</v>
      </c>
      <c r="G36">
        <v>3804</v>
      </c>
      <c r="H36">
        <v>4</v>
      </c>
      <c r="I36">
        <v>3043.2</v>
      </c>
      <c r="J36">
        <v>4</v>
      </c>
      <c r="K36">
        <v>3043.2</v>
      </c>
      <c r="L36">
        <v>6</v>
      </c>
      <c r="M36">
        <v>4564.7999999999993</v>
      </c>
      <c r="N36">
        <v>4</v>
      </c>
      <c r="O36">
        <v>3043.2</v>
      </c>
      <c r="P36">
        <v>6</v>
      </c>
      <c r="Q36">
        <v>4564.7999999999993</v>
      </c>
      <c r="R36">
        <v>4</v>
      </c>
      <c r="S36">
        <v>3043.2</v>
      </c>
      <c r="T36">
        <v>11</v>
      </c>
      <c r="U36">
        <v>8368.7999999999993</v>
      </c>
      <c r="V36">
        <v>7</v>
      </c>
      <c r="W36">
        <v>5325.5999999999995</v>
      </c>
      <c r="X36">
        <v>9</v>
      </c>
      <c r="Y36">
        <v>6847.2</v>
      </c>
      <c r="Z36">
        <v>11</v>
      </c>
      <c r="AA36">
        <v>8368.7999999999993</v>
      </c>
      <c r="AB36">
        <v>16</v>
      </c>
      <c r="AC36">
        <v>12172.8</v>
      </c>
      <c r="AD36">
        <v>29</v>
      </c>
      <c r="AE36">
        <v>22063.199999999997</v>
      </c>
      <c r="AF36">
        <v>19</v>
      </c>
      <c r="AG36">
        <v>14455.199999999999</v>
      </c>
      <c r="AH36">
        <v>26</v>
      </c>
      <c r="AI36">
        <v>19780.8</v>
      </c>
      <c r="AJ36">
        <v>6</v>
      </c>
      <c r="AK36">
        <v>4564.7999999999993</v>
      </c>
      <c r="AL36">
        <v>4</v>
      </c>
      <c r="AM36">
        <v>3043.2</v>
      </c>
      <c r="AN36">
        <v>4</v>
      </c>
      <c r="AO36">
        <v>3043.2</v>
      </c>
      <c r="AP36">
        <v>4</v>
      </c>
      <c r="AQ36">
        <v>3043.2</v>
      </c>
      <c r="AR36">
        <v>4</v>
      </c>
      <c r="AS36">
        <v>3043.2</v>
      </c>
      <c r="AT36">
        <v>5</v>
      </c>
      <c r="AU36">
        <v>3804</v>
      </c>
      <c r="AV36">
        <v>5</v>
      </c>
      <c r="AW36">
        <v>3804</v>
      </c>
      <c r="AX36">
        <v>4</v>
      </c>
      <c r="AY36">
        <v>3043.2</v>
      </c>
      <c r="AZ36">
        <v>32</v>
      </c>
      <c r="BA36">
        <v>24345.599999999999</v>
      </c>
      <c r="BB36">
        <v>35</v>
      </c>
      <c r="BC36">
        <v>26628</v>
      </c>
      <c r="BD36">
        <v>36</v>
      </c>
      <c r="BE36">
        <v>27388.799999999999</v>
      </c>
      <c r="BF36">
        <v>31</v>
      </c>
      <c r="BG36">
        <v>23584.799999999999</v>
      </c>
      <c r="BH36">
        <v>11</v>
      </c>
      <c r="BI36">
        <v>8368.7999999999993</v>
      </c>
      <c r="BJ36">
        <v>10</v>
      </c>
      <c r="BK36">
        <v>7608</v>
      </c>
      <c r="BL36">
        <v>8</v>
      </c>
      <c r="BM36">
        <v>6086.4</v>
      </c>
      <c r="BN36">
        <v>8</v>
      </c>
      <c r="BO36">
        <v>6086.4</v>
      </c>
      <c r="BP36">
        <v>8</v>
      </c>
      <c r="BQ36">
        <v>6086.4</v>
      </c>
      <c r="BR36">
        <v>7</v>
      </c>
      <c r="BS36">
        <v>5325.5999999999995</v>
      </c>
      <c r="BT36">
        <v>11</v>
      </c>
      <c r="BU36">
        <v>8368.7999999999993</v>
      </c>
      <c r="BV36">
        <v>8</v>
      </c>
      <c r="BW36">
        <v>6086.4</v>
      </c>
      <c r="BX36">
        <v>9</v>
      </c>
      <c r="BY36">
        <v>6847.2</v>
      </c>
      <c r="BZ36">
        <v>8</v>
      </c>
      <c r="CA36">
        <v>6086.4</v>
      </c>
      <c r="CB36">
        <v>12</v>
      </c>
      <c r="CC36">
        <v>9129.5999999999985</v>
      </c>
      <c r="CD36">
        <v>10</v>
      </c>
      <c r="CE36">
        <v>7608</v>
      </c>
      <c r="CF36">
        <v>15</v>
      </c>
      <c r="CG36">
        <v>11412</v>
      </c>
      <c r="CH36">
        <v>9</v>
      </c>
      <c r="CI36">
        <v>6847.2</v>
      </c>
      <c r="CJ36">
        <v>11</v>
      </c>
      <c r="CK36">
        <v>8368.7999999999993</v>
      </c>
      <c r="CL36">
        <v>12</v>
      </c>
      <c r="CM36">
        <v>9129.5999999999985</v>
      </c>
      <c r="CN36">
        <v>38</v>
      </c>
      <c r="CO36">
        <v>28910.399999999998</v>
      </c>
      <c r="CP36">
        <v>31</v>
      </c>
      <c r="CQ36">
        <v>23584.799999999999</v>
      </c>
      <c r="CR36">
        <v>34</v>
      </c>
      <c r="CS36">
        <v>25867.199999999997</v>
      </c>
      <c r="CT36">
        <v>59</v>
      </c>
      <c r="CU36">
        <v>44887.199999999997</v>
      </c>
    </row>
    <row r="37" spans="2:99" x14ac:dyDescent="0.2">
      <c r="B37" s="118" t="s">
        <v>128</v>
      </c>
      <c r="C37" s="118" t="s">
        <v>203</v>
      </c>
      <c r="D37">
        <v>10</v>
      </c>
      <c r="E37">
        <v>8604</v>
      </c>
      <c r="F37">
        <v>6</v>
      </c>
      <c r="G37">
        <v>5162.3999999999996</v>
      </c>
      <c r="H37">
        <v>7</v>
      </c>
      <c r="I37">
        <v>6022.8</v>
      </c>
      <c r="J37">
        <v>10</v>
      </c>
      <c r="K37">
        <v>8604</v>
      </c>
      <c r="L37">
        <v>11</v>
      </c>
      <c r="M37">
        <v>9464.4</v>
      </c>
      <c r="N37">
        <v>18</v>
      </c>
      <c r="O37">
        <v>15487.199999999999</v>
      </c>
      <c r="P37">
        <v>14</v>
      </c>
      <c r="Q37">
        <v>12045.6</v>
      </c>
      <c r="R37">
        <v>11</v>
      </c>
      <c r="S37">
        <v>9464.4</v>
      </c>
      <c r="T37">
        <v>7</v>
      </c>
      <c r="U37">
        <v>6022.8</v>
      </c>
      <c r="V37">
        <v>11</v>
      </c>
      <c r="W37">
        <v>9464.4</v>
      </c>
      <c r="X37">
        <v>8</v>
      </c>
      <c r="Y37">
        <v>6883.2</v>
      </c>
      <c r="Z37">
        <v>8</v>
      </c>
      <c r="AA37">
        <v>6883.2</v>
      </c>
      <c r="AB37">
        <v>57</v>
      </c>
      <c r="AC37">
        <v>49042.799999999996</v>
      </c>
      <c r="AD37">
        <v>73</v>
      </c>
      <c r="AE37">
        <v>62809.2</v>
      </c>
      <c r="AF37">
        <v>74</v>
      </c>
      <c r="AG37">
        <v>63669.599999999999</v>
      </c>
      <c r="AH37">
        <v>49</v>
      </c>
      <c r="AI37">
        <v>42159.6</v>
      </c>
      <c r="AJ37">
        <v>72</v>
      </c>
      <c r="AK37">
        <v>61948.799999999996</v>
      </c>
      <c r="AL37">
        <v>68</v>
      </c>
      <c r="AM37">
        <v>58507.199999999997</v>
      </c>
      <c r="AN37">
        <v>48</v>
      </c>
      <c r="AO37">
        <v>41299.199999999997</v>
      </c>
      <c r="AP37">
        <v>39</v>
      </c>
      <c r="AQ37">
        <v>33555.599999999999</v>
      </c>
      <c r="AR37">
        <v>7</v>
      </c>
      <c r="AS37">
        <v>6022.8</v>
      </c>
      <c r="AT37">
        <v>7</v>
      </c>
      <c r="AU37">
        <v>6022.8</v>
      </c>
      <c r="AV37">
        <v>5</v>
      </c>
      <c r="AW37">
        <v>4302</v>
      </c>
      <c r="AX37">
        <v>7</v>
      </c>
      <c r="AY37">
        <v>6022.8</v>
      </c>
      <c r="AZ37">
        <v>103</v>
      </c>
      <c r="BA37">
        <v>88621.2</v>
      </c>
      <c r="BB37">
        <v>89</v>
      </c>
      <c r="BC37">
        <v>76575.599999999991</v>
      </c>
      <c r="BD37">
        <v>127</v>
      </c>
      <c r="BE37">
        <v>109270.8</v>
      </c>
      <c r="BF37">
        <v>77</v>
      </c>
      <c r="BG37">
        <v>66250.8</v>
      </c>
      <c r="BH37">
        <v>36</v>
      </c>
      <c r="BI37">
        <v>30974.399999999998</v>
      </c>
      <c r="BJ37">
        <v>37</v>
      </c>
      <c r="BK37">
        <v>31834.799999999999</v>
      </c>
      <c r="BL37">
        <v>26</v>
      </c>
      <c r="BM37">
        <v>22370.399999999998</v>
      </c>
      <c r="BN37">
        <v>31</v>
      </c>
      <c r="BO37">
        <v>26672.399999999998</v>
      </c>
      <c r="BP37">
        <v>13</v>
      </c>
      <c r="BQ37">
        <v>11185.199999999999</v>
      </c>
      <c r="BR37">
        <v>12</v>
      </c>
      <c r="BS37">
        <v>10324.799999999999</v>
      </c>
      <c r="BT37">
        <v>8</v>
      </c>
      <c r="BU37">
        <v>6883.2</v>
      </c>
      <c r="BV37">
        <v>10</v>
      </c>
      <c r="BW37">
        <v>8604</v>
      </c>
      <c r="BX37">
        <v>13</v>
      </c>
      <c r="BY37">
        <v>11185.199999999999</v>
      </c>
      <c r="BZ37">
        <v>17</v>
      </c>
      <c r="CA37">
        <v>14626.8</v>
      </c>
      <c r="CB37">
        <v>15</v>
      </c>
      <c r="CC37">
        <v>12906</v>
      </c>
      <c r="CD37">
        <v>19</v>
      </c>
      <c r="CE37">
        <v>16347.6</v>
      </c>
      <c r="CF37">
        <v>31</v>
      </c>
      <c r="CG37">
        <v>26672.399999999998</v>
      </c>
      <c r="CH37">
        <v>29</v>
      </c>
      <c r="CI37">
        <v>24951.599999999999</v>
      </c>
      <c r="CJ37">
        <v>48</v>
      </c>
      <c r="CK37">
        <v>41299.199999999997</v>
      </c>
      <c r="CL37">
        <v>35</v>
      </c>
      <c r="CM37">
        <v>30114</v>
      </c>
      <c r="CN37">
        <v>20</v>
      </c>
      <c r="CO37">
        <v>17208</v>
      </c>
      <c r="CP37">
        <v>15</v>
      </c>
      <c r="CQ37">
        <v>12906</v>
      </c>
      <c r="CR37">
        <v>12</v>
      </c>
      <c r="CS37">
        <v>10324.799999999999</v>
      </c>
      <c r="CT37">
        <v>20</v>
      </c>
      <c r="CU37">
        <v>17208</v>
      </c>
    </row>
    <row r="38" spans="2:99" x14ac:dyDescent="0.2">
      <c r="C38" s="118" t="s">
        <v>204</v>
      </c>
      <c r="D38">
        <v>9</v>
      </c>
      <c r="E38">
        <v>11178</v>
      </c>
      <c r="F38">
        <v>6</v>
      </c>
      <c r="G38">
        <v>7452</v>
      </c>
      <c r="H38">
        <v>6</v>
      </c>
      <c r="I38">
        <v>7452</v>
      </c>
      <c r="J38">
        <v>9</v>
      </c>
      <c r="K38">
        <v>11178</v>
      </c>
      <c r="L38">
        <v>11</v>
      </c>
      <c r="M38">
        <v>13662</v>
      </c>
      <c r="N38">
        <v>17</v>
      </c>
      <c r="O38">
        <v>21114</v>
      </c>
      <c r="P38">
        <v>12</v>
      </c>
      <c r="Q38">
        <v>14904</v>
      </c>
      <c r="R38">
        <v>11</v>
      </c>
      <c r="S38">
        <v>13662</v>
      </c>
      <c r="T38">
        <v>7</v>
      </c>
      <c r="U38">
        <v>8694</v>
      </c>
      <c r="V38">
        <v>12</v>
      </c>
      <c r="W38">
        <v>14904</v>
      </c>
      <c r="X38">
        <v>7</v>
      </c>
      <c r="Y38">
        <v>8694</v>
      </c>
      <c r="Z38">
        <v>8</v>
      </c>
      <c r="AA38">
        <v>9936</v>
      </c>
      <c r="AB38">
        <v>57</v>
      </c>
      <c r="AC38">
        <v>70794</v>
      </c>
      <c r="AD38">
        <v>73</v>
      </c>
      <c r="AE38">
        <v>90666</v>
      </c>
      <c r="AF38">
        <v>67</v>
      </c>
      <c r="AG38">
        <v>83214</v>
      </c>
      <c r="AH38">
        <v>43</v>
      </c>
      <c r="AI38">
        <v>53406</v>
      </c>
      <c r="AJ38">
        <v>63</v>
      </c>
      <c r="AK38">
        <v>78246</v>
      </c>
      <c r="AL38">
        <v>59</v>
      </c>
      <c r="AM38">
        <v>73278</v>
      </c>
      <c r="AN38">
        <v>38</v>
      </c>
      <c r="AO38">
        <v>47196</v>
      </c>
      <c r="AP38">
        <v>40</v>
      </c>
      <c r="AQ38">
        <v>49680</v>
      </c>
      <c r="AR38">
        <v>7</v>
      </c>
      <c r="AS38">
        <v>8694</v>
      </c>
      <c r="AT38">
        <v>6</v>
      </c>
      <c r="AU38">
        <v>7452</v>
      </c>
      <c r="AV38">
        <v>4</v>
      </c>
      <c r="AW38">
        <v>4968</v>
      </c>
      <c r="AX38">
        <v>7</v>
      </c>
      <c r="AY38">
        <v>8694</v>
      </c>
      <c r="AZ38">
        <v>108</v>
      </c>
      <c r="BA38">
        <v>134136</v>
      </c>
      <c r="BB38">
        <v>75</v>
      </c>
      <c r="BC38">
        <v>93150</v>
      </c>
      <c r="BD38">
        <v>111</v>
      </c>
      <c r="BE38">
        <v>137862</v>
      </c>
      <c r="BF38">
        <v>73</v>
      </c>
      <c r="BG38">
        <v>90666</v>
      </c>
      <c r="BH38">
        <v>32</v>
      </c>
      <c r="BI38">
        <v>39744</v>
      </c>
      <c r="BJ38">
        <v>39</v>
      </c>
      <c r="BK38">
        <v>48438</v>
      </c>
      <c r="BL38">
        <v>24</v>
      </c>
      <c r="BM38">
        <v>29808</v>
      </c>
      <c r="BN38">
        <v>35</v>
      </c>
      <c r="BO38">
        <v>43470</v>
      </c>
      <c r="BP38">
        <v>14</v>
      </c>
      <c r="BQ38">
        <v>17388</v>
      </c>
      <c r="BR38">
        <v>10</v>
      </c>
      <c r="BS38">
        <v>12420</v>
      </c>
      <c r="BT38">
        <v>8</v>
      </c>
      <c r="BU38">
        <v>9936</v>
      </c>
      <c r="BV38">
        <v>10</v>
      </c>
      <c r="BW38">
        <v>12420</v>
      </c>
      <c r="BX38">
        <v>13</v>
      </c>
      <c r="BY38">
        <v>16146</v>
      </c>
      <c r="BZ38">
        <v>17</v>
      </c>
      <c r="CA38">
        <v>21114</v>
      </c>
      <c r="CB38">
        <v>14</v>
      </c>
      <c r="CC38">
        <v>17388</v>
      </c>
      <c r="CD38">
        <v>20</v>
      </c>
      <c r="CE38">
        <v>24840</v>
      </c>
      <c r="CF38">
        <v>32</v>
      </c>
      <c r="CG38">
        <v>39744</v>
      </c>
      <c r="CH38">
        <v>26</v>
      </c>
      <c r="CI38">
        <v>32292</v>
      </c>
      <c r="CJ38">
        <v>44</v>
      </c>
      <c r="CK38">
        <v>54648</v>
      </c>
      <c r="CL38">
        <v>37</v>
      </c>
      <c r="CM38">
        <v>45954</v>
      </c>
      <c r="CN38">
        <v>17</v>
      </c>
      <c r="CO38">
        <v>21114</v>
      </c>
      <c r="CP38">
        <v>17</v>
      </c>
      <c r="CQ38">
        <v>21114</v>
      </c>
      <c r="CR38">
        <v>10</v>
      </c>
      <c r="CS38">
        <v>12420</v>
      </c>
      <c r="CT38">
        <v>18</v>
      </c>
      <c r="CU38">
        <v>22356</v>
      </c>
    </row>
    <row r="39" spans="2:99" x14ac:dyDescent="0.2">
      <c r="C39" s="118" t="s">
        <v>205</v>
      </c>
      <c r="D39">
        <v>10</v>
      </c>
      <c r="E39">
        <v>14232</v>
      </c>
      <c r="F39">
        <v>6</v>
      </c>
      <c r="G39">
        <v>8539.2000000000007</v>
      </c>
      <c r="H39">
        <v>6</v>
      </c>
      <c r="I39">
        <v>8539.2000000000007</v>
      </c>
      <c r="J39">
        <v>9</v>
      </c>
      <c r="K39">
        <v>12808.800000000001</v>
      </c>
      <c r="L39">
        <v>11</v>
      </c>
      <c r="M39">
        <v>15655.2</v>
      </c>
      <c r="N39">
        <v>17</v>
      </c>
      <c r="O39">
        <v>24194.400000000001</v>
      </c>
      <c r="P39">
        <v>12</v>
      </c>
      <c r="Q39">
        <v>17078.400000000001</v>
      </c>
      <c r="R39">
        <v>11</v>
      </c>
      <c r="S39">
        <v>15655.2</v>
      </c>
      <c r="T39">
        <v>7</v>
      </c>
      <c r="U39">
        <v>9962.4</v>
      </c>
      <c r="V39">
        <v>12</v>
      </c>
      <c r="W39">
        <v>17078.400000000001</v>
      </c>
      <c r="X39">
        <v>8</v>
      </c>
      <c r="Y39">
        <v>11385.6</v>
      </c>
      <c r="Z39">
        <v>7</v>
      </c>
      <c r="AA39">
        <v>9962.4</v>
      </c>
      <c r="AB39">
        <v>48</v>
      </c>
      <c r="AC39">
        <v>68313.600000000006</v>
      </c>
      <c r="AD39">
        <v>66</v>
      </c>
      <c r="AE39">
        <v>93931.199999999997</v>
      </c>
      <c r="AF39">
        <v>62</v>
      </c>
      <c r="AG39">
        <v>88238.400000000009</v>
      </c>
      <c r="AH39">
        <v>42</v>
      </c>
      <c r="AI39">
        <v>59774.400000000001</v>
      </c>
      <c r="AJ39">
        <v>56</v>
      </c>
      <c r="AK39">
        <v>79699.199999999997</v>
      </c>
      <c r="AL39">
        <v>61</v>
      </c>
      <c r="AM39">
        <v>86815.2</v>
      </c>
      <c r="AN39">
        <v>37</v>
      </c>
      <c r="AO39">
        <v>52658.400000000001</v>
      </c>
      <c r="AP39">
        <v>36</v>
      </c>
      <c r="AQ39">
        <v>51235.200000000004</v>
      </c>
      <c r="AR39">
        <v>7</v>
      </c>
      <c r="AS39">
        <v>9962.4</v>
      </c>
      <c r="AT39">
        <v>6</v>
      </c>
      <c r="AU39">
        <v>8539.2000000000007</v>
      </c>
      <c r="AV39">
        <v>4</v>
      </c>
      <c r="AW39">
        <v>5692.8</v>
      </c>
      <c r="AX39">
        <v>7</v>
      </c>
      <c r="AY39">
        <v>9962.4</v>
      </c>
      <c r="AZ39">
        <v>88</v>
      </c>
      <c r="BA39">
        <v>125241.60000000001</v>
      </c>
      <c r="BB39">
        <v>87</v>
      </c>
      <c r="BC39">
        <v>123818.40000000001</v>
      </c>
      <c r="BD39">
        <v>109</v>
      </c>
      <c r="BE39">
        <v>155128.80000000002</v>
      </c>
      <c r="BF39">
        <v>65</v>
      </c>
      <c r="BG39">
        <v>92508</v>
      </c>
      <c r="BH39">
        <v>35</v>
      </c>
      <c r="BI39">
        <v>49812</v>
      </c>
      <c r="BJ39">
        <v>34</v>
      </c>
      <c r="BK39">
        <v>48388.800000000003</v>
      </c>
      <c r="BL39">
        <v>23</v>
      </c>
      <c r="BM39">
        <v>32733.600000000002</v>
      </c>
      <c r="BN39">
        <v>34</v>
      </c>
      <c r="BO39">
        <v>48388.800000000003</v>
      </c>
      <c r="BP39">
        <v>13</v>
      </c>
      <c r="BQ39">
        <v>18501.600000000002</v>
      </c>
      <c r="BR39">
        <v>12</v>
      </c>
      <c r="BS39">
        <v>17078.400000000001</v>
      </c>
      <c r="BT39">
        <v>9</v>
      </c>
      <c r="BU39">
        <v>12808.800000000001</v>
      </c>
      <c r="BV39">
        <v>10</v>
      </c>
      <c r="BW39">
        <v>14232</v>
      </c>
      <c r="BX39">
        <v>12</v>
      </c>
      <c r="BY39">
        <v>17078.400000000001</v>
      </c>
      <c r="BZ39">
        <v>18</v>
      </c>
      <c r="CA39">
        <v>25617.600000000002</v>
      </c>
      <c r="CB39">
        <v>15</v>
      </c>
      <c r="CC39">
        <v>21348</v>
      </c>
      <c r="CD39">
        <v>20</v>
      </c>
      <c r="CE39">
        <v>28464</v>
      </c>
      <c r="CF39">
        <v>32</v>
      </c>
      <c r="CG39">
        <v>45542.400000000001</v>
      </c>
      <c r="CH39">
        <v>25</v>
      </c>
      <c r="CI39">
        <v>35580</v>
      </c>
      <c r="CJ39">
        <v>41</v>
      </c>
      <c r="CK39">
        <v>58351.200000000004</v>
      </c>
      <c r="CL39">
        <v>35</v>
      </c>
      <c r="CM39">
        <v>49812</v>
      </c>
      <c r="CN39">
        <v>19</v>
      </c>
      <c r="CO39">
        <v>27040.799999999999</v>
      </c>
      <c r="CP39">
        <v>16</v>
      </c>
      <c r="CQ39">
        <v>22771.200000000001</v>
      </c>
      <c r="CR39">
        <v>10</v>
      </c>
      <c r="CS39">
        <v>14232</v>
      </c>
      <c r="CT39">
        <v>19</v>
      </c>
      <c r="CU39">
        <v>27040.799999999999</v>
      </c>
    </row>
    <row r="40" spans="2:99" x14ac:dyDescent="0.2">
      <c r="C40" s="118" t="s">
        <v>206</v>
      </c>
      <c r="D40">
        <v>9</v>
      </c>
      <c r="E40">
        <v>6523.2</v>
      </c>
      <c r="F40">
        <v>7</v>
      </c>
      <c r="G40">
        <v>5073.5999999999995</v>
      </c>
      <c r="H40">
        <v>7</v>
      </c>
      <c r="I40">
        <v>5073.5999999999995</v>
      </c>
      <c r="J40">
        <v>9</v>
      </c>
      <c r="K40">
        <v>6523.2</v>
      </c>
      <c r="L40">
        <v>11</v>
      </c>
      <c r="M40">
        <v>7972.7999999999993</v>
      </c>
      <c r="N40">
        <v>16</v>
      </c>
      <c r="O40">
        <v>11596.8</v>
      </c>
      <c r="P40">
        <v>14</v>
      </c>
      <c r="Q40">
        <v>10147.199999999999</v>
      </c>
      <c r="R40">
        <v>12</v>
      </c>
      <c r="S40">
        <v>8697.5999999999985</v>
      </c>
      <c r="T40">
        <v>7</v>
      </c>
      <c r="U40">
        <v>5073.5999999999995</v>
      </c>
      <c r="V40">
        <v>12</v>
      </c>
      <c r="W40">
        <v>8697.5999999999985</v>
      </c>
      <c r="X40">
        <v>9</v>
      </c>
      <c r="Y40">
        <v>6523.2</v>
      </c>
      <c r="Z40">
        <v>8</v>
      </c>
      <c r="AA40">
        <v>5798.4</v>
      </c>
      <c r="AB40">
        <v>61</v>
      </c>
      <c r="AC40">
        <v>44212.799999999996</v>
      </c>
      <c r="AD40">
        <v>87</v>
      </c>
      <c r="AE40">
        <v>63057.599999999999</v>
      </c>
      <c r="AF40">
        <v>73</v>
      </c>
      <c r="AG40">
        <v>52910.399999999994</v>
      </c>
      <c r="AH40">
        <v>48</v>
      </c>
      <c r="AI40">
        <v>34790.399999999994</v>
      </c>
      <c r="AJ40">
        <v>70</v>
      </c>
      <c r="AK40">
        <v>50736</v>
      </c>
      <c r="AL40">
        <v>64</v>
      </c>
      <c r="AM40">
        <v>46387.199999999997</v>
      </c>
      <c r="AN40">
        <v>49</v>
      </c>
      <c r="AO40">
        <v>35515.199999999997</v>
      </c>
      <c r="AP40">
        <v>43</v>
      </c>
      <c r="AQ40">
        <v>31166.399999999998</v>
      </c>
      <c r="AR40">
        <v>9</v>
      </c>
      <c r="AS40">
        <v>6523.2</v>
      </c>
      <c r="AT40">
        <v>7</v>
      </c>
      <c r="AU40">
        <v>5073.5999999999995</v>
      </c>
      <c r="AV40">
        <v>5</v>
      </c>
      <c r="AW40">
        <v>3624</v>
      </c>
      <c r="AX40">
        <v>7</v>
      </c>
      <c r="AY40">
        <v>5073.5999999999995</v>
      </c>
      <c r="AZ40">
        <v>105</v>
      </c>
      <c r="BA40">
        <v>76104</v>
      </c>
      <c r="BB40">
        <v>90</v>
      </c>
      <c r="BC40">
        <v>65231.999999999993</v>
      </c>
      <c r="BD40">
        <v>131</v>
      </c>
      <c r="BE40">
        <v>94948.799999999988</v>
      </c>
      <c r="BF40">
        <v>70</v>
      </c>
      <c r="BG40">
        <v>50736</v>
      </c>
      <c r="BH40">
        <v>39</v>
      </c>
      <c r="BI40">
        <v>28267.199999999997</v>
      </c>
      <c r="BJ40">
        <v>42</v>
      </c>
      <c r="BK40">
        <v>30441.599999999999</v>
      </c>
      <c r="BL40">
        <v>22</v>
      </c>
      <c r="BM40">
        <v>15945.599999999999</v>
      </c>
      <c r="BN40">
        <v>31</v>
      </c>
      <c r="BO40">
        <v>22468.799999999999</v>
      </c>
      <c r="BP40">
        <v>13</v>
      </c>
      <c r="BQ40">
        <v>9422.4</v>
      </c>
      <c r="BR40">
        <v>12</v>
      </c>
      <c r="BS40">
        <v>8697.5999999999985</v>
      </c>
      <c r="BT40">
        <v>9</v>
      </c>
      <c r="BU40">
        <v>6523.2</v>
      </c>
      <c r="BV40">
        <v>10</v>
      </c>
      <c r="BW40">
        <v>7248</v>
      </c>
      <c r="BX40">
        <v>15</v>
      </c>
      <c r="BY40">
        <v>10872</v>
      </c>
      <c r="BZ40">
        <v>18</v>
      </c>
      <c r="CA40">
        <v>13046.4</v>
      </c>
      <c r="CB40">
        <v>16</v>
      </c>
      <c r="CC40">
        <v>11596.8</v>
      </c>
      <c r="CD40">
        <v>21</v>
      </c>
      <c r="CE40">
        <v>15220.8</v>
      </c>
      <c r="CF40">
        <v>31</v>
      </c>
      <c r="CG40">
        <v>22468.799999999999</v>
      </c>
      <c r="CH40">
        <v>26</v>
      </c>
      <c r="CI40">
        <v>18844.8</v>
      </c>
      <c r="CJ40">
        <v>46</v>
      </c>
      <c r="CK40">
        <v>33340.799999999996</v>
      </c>
      <c r="CL40">
        <v>35</v>
      </c>
      <c r="CM40">
        <v>25368</v>
      </c>
      <c r="CN40">
        <v>20</v>
      </c>
      <c r="CO40">
        <v>14496</v>
      </c>
      <c r="CP40">
        <v>17</v>
      </c>
      <c r="CQ40">
        <v>12321.599999999999</v>
      </c>
      <c r="CR40">
        <v>12</v>
      </c>
      <c r="CS40">
        <v>8697.5999999999985</v>
      </c>
      <c r="CT40">
        <v>18</v>
      </c>
      <c r="CU40">
        <v>13046.4</v>
      </c>
    </row>
    <row r="41" spans="2:99" x14ac:dyDescent="0.2">
      <c r="C41" s="118" t="s">
        <v>207</v>
      </c>
      <c r="D41">
        <v>10</v>
      </c>
      <c r="E41">
        <v>6600</v>
      </c>
      <c r="F41">
        <v>6</v>
      </c>
      <c r="G41">
        <v>3960</v>
      </c>
      <c r="H41">
        <v>6</v>
      </c>
      <c r="I41">
        <v>3960</v>
      </c>
      <c r="J41">
        <v>10</v>
      </c>
      <c r="K41">
        <v>6600</v>
      </c>
      <c r="L41">
        <v>11</v>
      </c>
      <c r="M41">
        <v>7260</v>
      </c>
      <c r="N41">
        <v>18</v>
      </c>
      <c r="O41">
        <v>11880</v>
      </c>
      <c r="P41">
        <v>14</v>
      </c>
      <c r="Q41">
        <v>9240</v>
      </c>
      <c r="R41">
        <v>11</v>
      </c>
      <c r="S41">
        <v>7260</v>
      </c>
      <c r="T41">
        <v>7</v>
      </c>
      <c r="U41">
        <v>4620</v>
      </c>
      <c r="V41">
        <v>12</v>
      </c>
      <c r="W41">
        <v>7920</v>
      </c>
      <c r="X41">
        <v>9</v>
      </c>
      <c r="Y41">
        <v>5940</v>
      </c>
      <c r="Z41">
        <v>8</v>
      </c>
      <c r="AA41">
        <v>5280</v>
      </c>
      <c r="AB41">
        <v>60</v>
      </c>
      <c r="AC41">
        <v>39600</v>
      </c>
      <c r="AD41">
        <v>73</v>
      </c>
      <c r="AE41">
        <v>48180</v>
      </c>
      <c r="AF41">
        <v>72</v>
      </c>
      <c r="AG41">
        <v>47520</v>
      </c>
      <c r="AH41">
        <v>48</v>
      </c>
      <c r="AI41">
        <v>31680</v>
      </c>
      <c r="AJ41">
        <v>72</v>
      </c>
      <c r="AK41">
        <v>47520</v>
      </c>
      <c r="AL41">
        <v>69</v>
      </c>
      <c r="AM41">
        <v>45540</v>
      </c>
      <c r="AN41">
        <v>43</v>
      </c>
      <c r="AO41">
        <v>28380</v>
      </c>
      <c r="AP41">
        <v>47</v>
      </c>
      <c r="AQ41">
        <v>31020</v>
      </c>
      <c r="AR41">
        <v>8</v>
      </c>
      <c r="AS41">
        <v>5280</v>
      </c>
      <c r="AT41">
        <v>7</v>
      </c>
      <c r="AU41">
        <v>4620</v>
      </c>
      <c r="AV41">
        <v>5</v>
      </c>
      <c r="AW41">
        <v>3300</v>
      </c>
      <c r="AX41">
        <v>7</v>
      </c>
      <c r="AY41">
        <v>4620</v>
      </c>
      <c r="AZ41">
        <v>124</v>
      </c>
      <c r="BA41">
        <v>81840</v>
      </c>
      <c r="BB41">
        <v>90</v>
      </c>
      <c r="BC41">
        <v>59400</v>
      </c>
      <c r="BD41">
        <v>122</v>
      </c>
      <c r="BE41">
        <v>80520</v>
      </c>
      <c r="BF41">
        <v>75</v>
      </c>
      <c r="BG41">
        <v>49500</v>
      </c>
      <c r="BH41">
        <v>38</v>
      </c>
      <c r="BI41">
        <v>25080</v>
      </c>
      <c r="BJ41">
        <v>40</v>
      </c>
      <c r="BK41">
        <v>26400</v>
      </c>
      <c r="BL41">
        <v>26</v>
      </c>
      <c r="BM41">
        <v>17160</v>
      </c>
      <c r="BN41">
        <v>34</v>
      </c>
      <c r="BO41">
        <v>22440</v>
      </c>
      <c r="BP41">
        <v>14</v>
      </c>
      <c r="BQ41">
        <v>9240</v>
      </c>
      <c r="BR41">
        <v>13</v>
      </c>
      <c r="BS41">
        <v>8580</v>
      </c>
      <c r="BT41">
        <v>8</v>
      </c>
      <c r="BU41">
        <v>5280</v>
      </c>
      <c r="BV41">
        <v>11</v>
      </c>
      <c r="BW41">
        <v>7260</v>
      </c>
      <c r="BX41">
        <v>13</v>
      </c>
      <c r="BY41">
        <v>8580</v>
      </c>
      <c r="BZ41">
        <v>19</v>
      </c>
      <c r="CA41">
        <v>12540</v>
      </c>
      <c r="CB41">
        <v>16</v>
      </c>
      <c r="CC41">
        <v>10560</v>
      </c>
      <c r="CD41">
        <v>21</v>
      </c>
      <c r="CE41">
        <v>13860</v>
      </c>
      <c r="CF41">
        <v>38</v>
      </c>
      <c r="CG41">
        <v>25080</v>
      </c>
      <c r="CH41">
        <v>28</v>
      </c>
      <c r="CI41">
        <v>18480</v>
      </c>
      <c r="CJ41">
        <v>53</v>
      </c>
      <c r="CK41">
        <v>34980</v>
      </c>
      <c r="CL41">
        <v>35</v>
      </c>
      <c r="CM41">
        <v>23100</v>
      </c>
      <c r="CN41">
        <v>18</v>
      </c>
      <c r="CO41">
        <v>11880</v>
      </c>
      <c r="CP41">
        <v>18</v>
      </c>
      <c r="CQ41">
        <v>11880</v>
      </c>
      <c r="CR41">
        <v>11</v>
      </c>
      <c r="CS41">
        <v>7260</v>
      </c>
      <c r="CT41">
        <v>21</v>
      </c>
      <c r="CU41">
        <v>13860</v>
      </c>
    </row>
    <row r="42" spans="2:99" x14ac:dyDescent="0.2">
      <c r="C42" s="118" t="s">
        <v>208</v>
      </c>
      <c r="D42">
        <v>11</v>
      </c>
      <c r="E42">
        <v>9306</v>
      </c>
      <c r="F42">
        <v>6</v>
      </c>
      <c r="G42">
        <v>5076</v>
      </c>
      <c r="H42">
        <v>6</v>
      </c>
      <c r="I42">
        <v>5076</v>
      </c>
      <c r="J42">
        <v>9</v>
      </c>
      <c r="K42">
        <v>7614</v>
      </c>
      <c r="L42">
        <v>10</v>
      </c>
      <c r="M42">
        <v>8460</v>
      </c>
      <c r="N42">
        <v>16</v>
      </c>
      <c r="O42">
        <v>13536</v>
      </c>
      <c r="P42">
        <v>13</v>
      </c>
      <c r="Q42">
        <v>10998</v>
      </c>
      <c r="R42">
        <v>12</v>
      </c>
      <c r="S42">
        <v>10152</v>
      </c>
      <c r="T42">
        <v>6</v>
      </c>
      <c r="U42">
        <v>5076</v>
      </c>
      <c r="V42">
        <v>13</v>
      </c>
      <c r="W42">
        <v>10998</v>
      </c>
      <c r="X42">
        <v>8</v>
      </c>
      <c r="Y42">
        <v>6768</v>
      </c>
      <c r="Z42">
        <v>8</v>
      </c>
      <c r="AA42">
        <v>6768</v>
      </c>
      <c r="AB42">
        <v>54</v>
      </c>
      <c r="AC42">
        <v>45684</v>
      </c>
      <c r="AD42">
        <v>81</v>
      </c>
      <c r="AE42">
        <v>68526</v>
      </c>
      <c r="AF42">
        <v>67</v>
      </c>
      <c r="AG42">
        <v>56682</v>
      </c>
      <c r="AH42">
        <v>51</v>
      </c>
      <c r="AI42">
        <v>43146</v>
      </c>
      <c r="AJ42">
        <v>64</v>
      </c>
      <c r="AK42">
        <v>54144</v>
      </c>
      <c r="AL42">
        <v>65</v>
      </c>
      <c r="AM42">
        <v>54990</v>
      </c>
      <c r="AN42">
        <v>43</v>
      </c>
      <c r="AO42">
        <v>36378</v>
      </c>
      <c r="AP42">
        <v>46</v>
      </c>
      <c r="AQ42">
        <v>38916</v>
      </c>
      <c r="AR42">
        <v>7</v>
      </c>
      <c r="AS42">
        <v>5922</v>
      </c>
      <c r="AT42">
        <v>6</v>
      </c>
      <c r="AU42">
        <v>5076</v>
      </c>
      <c r="AV42">
        <v>5</v>
      </c>
      <c r="AW42">
        <v>4230</v>
      </c>
      <c r="AX42">
        <v>7</v>
      </c>
      <c r="AY42">
        <v>5922</v>
      </c>
      <c r="AZ42">
        <v>104</v>
      </c>
      <c r="BA42">
        <v>87984</v>
      </c>
      <c r="BB42">
        <v>97</v>
      </c>
      <c r="BC42">
        <v>82062</v>
      </c>
      <c r="BD42">
        <v>138</v>
      </c>
      <c r="BE42">
        <v>116748</v>
      </c>
      <c r="BF42">
        <v>74</v>
      </c>
      <c r="BG42">
        <v>62604</v>
      </c>
      <c r="BH42">
        <v>33</v>
      </c>
      <c r="BI42">
        <v>27918</v>
      </c>
      <c r="BJ42">
        <v>37</v>
      </c>
      <c r="BK42">
        <v>31302</v>
      </c>
      <c r="BL42">
        <v>25</v>
      </c>
      <c r="BM42">
        <v>21150</v>
      </c>
      <c r="BN42">
        <v>34</v>
      </c>
      <c r="BO42">
        <v>28764</v>
      </c>
      <c r="BP42">
        <v>13</v>
      </c>
      <c r="BQ42">
        <v>10998</v>
      </c>
      <c r="BR42">
        <v>12</v>
      </c>
      <c r="BS42">
        <v>10152</v>
      </c>
      <c r="BT42">
        <v>8</v>
      </c>
      <c r="BU42">
        <v>6768</v>
      </c>
      <c r="BV42">
        <v>10</v>
      </c>
      <c r="BW42">
        <v>8460</v>
      </c>
      <c r="BX42">
        <v>12</v>
      </c>
      <c r="BY42">
        <v>10152</v>
      </c>
      <c r="BZ42">
        <v>18</v>
      </c>
      <c r="CA42">
        <v>15228</v>
      </c>
      <c r="CB42">
        <v>14</v>
      </c>
      <c r="CC42">
        <v>11844</v>
      </c>
      <c r="CD42">
        <v>20</v>
      </c>
      <c r="CE42">
        <v>16920</v>
      </c>
      <c r="CF42">
        <v>32</v>
      </c>
      <c r="CG42">
        <v>27072</v>
      </c>
      <c r="CH42">
        <v>25</v>
      </c>
      <c r="CI42">
        <v>21150</v>
      </c>
      <c r="CJ42">
        <v>45</v>
      </c>
      <c r="CK42">
        <v>38070</v>
      </c>
      <c r="CL42">
        <v>38</v>
      </c>
      <c r="CM42">
        <v>32148</v>
      </c>
      <c r="CN42">
        <v>18</v>
      </c>
      <c r="CO42">
        <v>15228</v>
      </c>
      <c r="CP42">
        <v>16</v>
      </c>
      <c r="CQ42">
        <v>13536</v>
      </c>
      <c r="CR42">
        <v>11</v>
      </c>
      <c r="CS42">
        <v>9306</v>
      </c>
      <c r="CT42">
        <v>20</v>
      </c>
      <c r="CU42">
        <v>16920</v>
      </c>
    </row>
    <row r="43" spans="2:99" x14ac:dyDescent="0.2">
      <c r="C43" s="118" t="s">
        <v>209</v>
      </c>
      <c r="D43">
        <v>9</v>
      </c>
      <c r="E43">
        <v>9201.6</v>
      </c>
      <c r="F43">
        <v>6</v>
      </c>
      <c r="G43">
        <v>6134.4</v>
      </c>
      <c r="H43">
        <v>7</v>
      </c>
      <c r="I43">
        <v>7156.8</v>
      </c>
      <c r="J43">
        <v>9</v>
      </c>
      <c r="K43">
        <v>9201.6</v>
      </c>
      <c r="L43">
        <v>12</v>
      </c>
      <c r="M43">
        <v>12268.8</v>
      </c>
      <c r="N43">
        <v>17</v>
      </c>
      <c r="O43">
        <v>17380.8</v>
      </c>
      <c r="P43">
        <v>13</v>
      </c>
      <c r="Q43">
        <v>13291.199999999999</v>
      </c>
      <c r="R43">
        <v>11</v>
      </c>
      <c r="S43">
        <v>11246.4</v>
      </c>
      <c r="T43">
        <v>7</v>
      </c>
      <c r="U43">
        <v>7156.8</v>
      </c>
      <c r="V43">
        <v>12</v>
      </c>
      <c r="W43">
        <v>12268.8</v>
      </c>
      <c r="X43">
        <v>8</v>
      </c>
      <c r="Y43">
        <v>8179.2</v>
      </c>
      <c r="Z43">
        <v>9</v>
      </c>
      <c r="AA43">
        <v>9201.6</v>
      </c>
      <c r="AB43">
        <v>56</v>
      </c>
      <c r="AC43">
        <v>57254.400000000001</v>
      </c>
      <c r="AD43">
        <v>76</v>
      </c>
      <c r="AE43">
        <v>77702.399999999994</v>
      </c>
      <c r="AF43">
        <v>70</v>
      </c>
      <c r="AG43">
        <v>71568</v>
      </c>
      <c r="AH43">
        <v>44</v>
      </c>
      <c r="AI43">
        <v>44985.599999999999</v>
      </c>
      <c r="AJ43">
        <v>62</v>
      </c>
      <c r="AK43">
        <v>63388.799999999996</v>
      </c>
      <c r="AL43">
        <v>59</v>
      </c>
      <c r="AM43">
        <v>60321.599999999999</v>
      </c>
      <c r="AN43">
        <v>40</v>
      </c>
      <c r="AO43">
        <v>40896</v>
      </c>
      <c r="AP43">
        <v>43</v>
      </c>
      <c r="AQ43">
        <v>43963.199999999997</v>
      </c>
      <c r="AR43">
        <v>8</v>
      </c>
      <c r="AS43">
        <v>8179.2</v>
      </c>
      <c r="AT43">
        <v>7</v>
      </c>
      <c r="AU43">
        <v>7156.8</v>
      </c>
      <c r="AV43">
        <v>5</v>
      </c>
      <c r="AW43">
        <v>5112</v>
      </c>
      <c r="AX43">
        <v>6</v>
      </c>
      <c r="AY43">
        <v>6134.4</v>
      </c>
      <c r="AZ43">
        <v>102</v>
      </c>
      <c r="BA43">
        <v>104284.8</v>
      </c>
      <c r="BB43">
        <v>81</v>
      </c>
      <c r="BC43">
        <v>82814.399999999994</v>
      </c>
      <c r="BD43">
        <v>131</v>
      </c>
      <c r="BE43">
        <v>133934.39999999999</v>
      </c>
      <c r="BF43">
        <v>69</v>
      </c>
      <c r="BG43">
        <v>70545.599999999991</v>
      </c>
      <c r="BH43">
        <v>36</v>
      </c>
      <c r="BI43">
        <v>36806.400000000001</v>
      </c>
      <c r="BJ43">
        <v>33</v>
      </c>
      <c r="BK43">
        <v>33739.199999999997</v>
      </c>
      <c r="BL43">
        <v>23</v>
      </c>
      <c r="BM43">
        <v>23515.200000000001</v>
      </c>
      <c r="BN43">
        <v>33</v>
      </c>
      <c r="BO43">
        <v>33739.199999999997</v>
      </c>
      <c r="BP43">
        <v>15</v>
      </c>
      <c r="BQ43">
        <v>15336</v>
      </c>
      <c r="BR43">
        <v>11</v>
      </c>
      <c r="BS43">
        <v>11246.4</v>
      </c>
      <c r="BT43">
        <v>8</v>
      </c>
      <c r="BU43">
        <v>8179.2</v>
      </c>
      <c r="BV43">
        <v>10</v>
      </c>
      <c r="BW43">
        <v>10224</v>
      </c>
      <c r="BX43">
        <v>14</v>
      </c>
      <c r="BY43">
        <v>14313.6</v>
      </c>
      <c r="BZ43">
        <v>17</v>
      </c>
      <c r="CA43">
        <v>17380.8</v>
      </c>
      <c r="CB43">
        <v>15</v>
      </c>
      <c r="CC43">
        <v>15336</v>
      </c>
      <c r="CD43">
        <v>19</v>
      </c>
      <c r="CE43">
        <v>19425.599999999999</v>
      </c>
      <c r="CF43">
        <v>34</v>
      </c>
      <c r="CG43">
        <v>34761.599999999999</v>
      </c>
      <c r="CH43">
        <v>28</v>
      </c>
      <c r="CI43">
        <v>28627.200000000001</v>
      </c>
      <c r="CJ43">
        <v>46</v>
      </c>
      <c r="CK43">
        <v>47030.400000000001</v>
      </c>
      <c r="CL43">
        <v>37</v>
      </c>
      <c r="CM43">
        <v>37828.799999999996</v>
      </c>
      <c r="CN43">
        <v>18</v>
      </c>
      <c r="CO43">
        <v>18403.2</v>
      </c>
      <c r="CP43">
        <v>15</v>
      </c>
      <c r="CQ43">
        <v>15336</v>
      </c>
      <c r="CR43">
        <v>10</v>
      </c>
      <c r="CS43">
        <v>10224</v>
      </c>
      <c r="CT43">
        <v>21</v>
      </c>
      <c r="CU43">
        <v>21470.399999999998</v>
      </c>
    </row>
    <row r="44" spans="2:99" x14ac:dyDescent="0.2">
      <c r="C44" s="118" t="s">
        <v>210</v>
      </c>
      <c r="D44">
        <v>10</v>
      </c>
      <c r="E44">
        <v>10224</v>
      </c>
      <c r="F44">
        <v>6</v>
      </c>
      <c r="G44">
        <v>6134.4</v>
      </c>
      <c r="H44">
        <v>6</v>
      </c>
      <c r="I44">
        <v>6134.4</v>
      </c>
      <c r="J44">
        <v>10</v>
      </c>
      <c r="K44">
        <v>10224</v>
      </c>
      <c r="L44">
        <v>11</v>
      </c>
      <c r="M44">
        <v>11246.4</v>
      </c>
      <c r="N44">
        <v>15</v>
      </c>
      <c r="O44">
        <v>15336</v>
      </c>
      <c r="P44">
        <v>14</v>
      </c>
      <c r="Q44">
        <v>14313.6</v>
      </c>
      <c r="R44">
        <v>11</v>
      </c>
      <c r="S44">
        <v>11246.4</v>
      </c>
      <c r="T44">
        <v>7</v>
      </c>
      <c r="U44">
        <v>7156.8</v>
      </c>
      <c r="V44">
        <v>12</v>
      </c>
      <c r="W44">
        <v>12268.8</v>
      </c>
      <c r="X44">
        <v>8</v>
      </c>
      <c r="Y44">
        <v>8179.2</v>
      </c>
      <c r="Z44">
        <v>8</v>
      </c>
      <c r="AA44">
        <v>8179.2</v>
      </c>
      <c r="AB44">
        <v>51</v>
      </c>
      <c r="AC44">
        <v>52142.400000000001</v>
      </c>
      <c r="AD44">
        <v>74</v>
      </c>
      <c r="AE44">
        <v>75657.599999999991</v>
      </c>
      <c r="AF44">
        <v>66</v>
      </c>
      <c r="AG44">
        <v>67478.399999999994</v>
      </c>
      <c r="AH44">
        <v>52</v>
      </c>
      <c r="AI44">
        <v>53164.799999999996</v>
      </c>
      <c r="AJ44">
        <v>71</v>
      </c>
      <c r="AK44">
        <v>72590.399999999994</v>
      </c>
      <c r="AL44">
        <v>69</v>
      </c>
      <c r="AM44">
        <v>70545.599999999991</v>
      </c>
      <c r="AN44">
        <v>46</v>
      </c>
      <c r="AO44">
        <v>47030.400000000001</v>
      </c>
      <c r="AP44">
        <v>38</v>
      </c>
      <c r="AQ44">
        <v>38851.199999999997</v>
      </c>
      <c r="AR44">
        <v>8</v>
      </c>
      <c r="AS44">
        <v>8179.2</v>
      </c>
      <c r="AT44">
        <v>6</v>
      </c>
      <c r="AU44">
        <v>6134.4</v>
      </c>
      <c r="AV44">
        <v>5</v>
      </c>
      <c r="AW44">
        <v>5112</v>
      </c>
      <c r="AX44">
        <v>7</v>
      </c>
      <c r="AY44">
        <v>7156.8</v>
      </c>
      <c r="AZ44">
        <v>96</v>
      </c>
      <c r="BA44">
        <v>98150.399999999994</v>
      </c>
      <c r="BB44">
        <v>82</v>
      </c>
      <c r="BC44">
        <v>83836.800000000003</v>
      </c>
      <c r="BD44">
        <v>123</v>
      </c>
      <c r="BE44">
        <v>125755.2</v>
      </c>
      <c r="BF44">
        <v>75</v>
      </c>
      <c r="BG44">
        <v>76680</v>
      </c>
      <c r="BH44">
        <v>37</v>
      </c>
      <c r="BI44">
        <v>37828.799999999996</v>
      </c>
      <c r="BJ44">
        <v>38</v>
      </c>
      <c r="BK44">
        <v>38851.199999999997</v>
      </c>
      <c r="BL44">
        <v>23</v>
      </c>
      <c r="BM44">
        <v>23515.200000000001</v>
      </c>
      <c r="BN44">
        <v>33</v>
      </c>
      <c r="BO44">
        <v>33739.199999999997</v>
      </c>
      <c r="BP44">
        <v>15</v>
      </c>
      <c r="BQ44">
        <v>15336</v>
      </c>
      <c r="BR44">
        <v>11</v>
      </c>
      <c r="BS44">
        <v>11246.4</v>
      </c>
      <c r="BT44">
        <v>8</v>
      </c>
      <c r="BU44">
        <v>8179.2</v>
      </c>
      <c r="BV44">
        <v>10</v>
      </c>
      <c r="BW44">
        <v>10224</v>
      </c>
      <c r="BX44">
        <v>13</v>
      </c>
      <c r="BY44">
        <v>13291.199999999999</v>
      </c>
      <c r="BZ44">
        <v>18</v>
      </c>
      <c r="CA44">
        <v>18403.2</v>
      </c>
      <c r="CB44">
        <v>15</v>
      </c>
      <c r="CC44">
        <v>15336</v>
      </c>
      <c r="CD44">
        <v>19</v>
      </c>
      <c r="CE44">
        <v>19425.599999999999</v>
      </c>
      <c r="CF44">
        <v>35</v>
      </c>
      <c r="CG44">
        <v>35784</v>
      </c>
      <c r="CH44">
        <v>24</v>
      </c>
      <c r="CI44">
        <v>24537.599999999999</v>
      </c>
      <c r="CJ44">
        <v>43</v>
      </c>
      <c r="CK44">
        <v>43963.199999999997</v>
      </c>
      <c r="CL44">
        <v>33</v>
      </c>
      <c r="CM44">
        <v>33739.199999999997</v>
      </c>
      <c r="CN44">
        <v>18</v>
      </c>
      <c r="CO44">
        <v>18403.2</v>
      </c>
      <c r="CP44">
        <v>16</v>
      </c>
      <c r="CQ44">
        <v>16358.4</v>
      </c>
      <c r="CR44">
        <v>10</v>
      </c>
      <c r="CS44">
        <v>10224</v>
      </c>
      <c r="CT44">
        <v>20</v>
      </c>
      <c r="CU44">
        <v>20448</v>
      </c>
    </row>
    <row r="45" spans="2:99" x14ac:dyDescent="0.2">
      <c r="C45" s="118" t="s">
        <v>211</v>
      </c>
      <c r="D45">
        <v>9</v>
      </c>
      <c r="E45">
        <v>11242.800000000001</v>
      </c>
      <c r="F45">
        <v>6</v>
      </c>
      <c r="G45">
        <v>7495.2000000000007</v>
      </c>
      <c r="H45">
        <v>7</v>
      </c>
      <c r="I45">
        <v>8744.4</v>
      </c>
      <c r="J45">
        <v>10</v>
      </c>
      <c r="K45">
        <v>12492</v>
      </c>
      <c r="L45">
        <v>11</v>
      </c>
      <c r="M45">
        <v>13741.2</v>
      </c>
      <c r="N45">
        <v>16</v>
      </c>
      <c r="O45">
        <v>19987.2</v>
      </c>
      <c r="P45">
        <v>14</v>
      </c>
      <c r="Q45">
        <v>17488.8</v>
      </c>
      <c r="R45">
        <v>11</v>
      </c>
      <c r="S45">
        <v>13741.2</v>
      </c>
      <c r="T45">
        <v>7</v>
      </c>
      <c r="U45">
        <v>8744.4</v>
      </c>
      <c r="V45">
        <v>13</v>
      </c>
      <c r="W45">
        <v>16239.6</v>
      </c>
      <c r="X45">
        <v>7</v>
      </c>
      <c r="Y45">
        <v>8744.4</v>
      </c>
      <c r="Z45">
        <v>8</v>
      </c>
      <c r="AA45">
        <v>9993.6</v>
      </c>
      <c r="AB45">
        <v>50</v>
      </c>
      <c r="AC45">
        <v>62460</v>
      </c>
      <c r="AD45">
        <v>78</v>
      </c>
      <c r="AE45">
        <v>97437.6</v>
      </c>
      <c r="AF45">
        <v>65</v>
      </c>
      <c r="AG45">
        <v>81198</v>
      </c>
      <c r="AH45">
        <v>50</v>
      </c>
      <c r="AI45">
        <v>62460</v>
      </c>
      <c r="AJ45">
        <v>62</v>
      </c>
      <c r="AK45">
        <v>77450.400000000009</v>
      </c>
      <c r="AL45">
        <v>67</v>
      </c>
      <c r="AM45">
        <v>83696.400000000009</v>
      </c>
      <c r="AN45">
        <v>44</v>
      </c>
      <c r="AO45">
        <v>54964.800000000003</v>
      </c>
      <c r="AP45">
        <v>44</v>
      </c>
      <c r="AQ45">
        <v>54964.800000000003</v>
      </c>
      <c r="AR45">
        <v>8</v>
      </c>
      <c r="AS45">
        <v>9993.6</v>
      </c>
      <c r="AT45">
        <v>7</v>
      </c>
      <c r="AU45">
        <v>8744.4</v>
      </c>
      <c r="AV45">
        <v>4</v>
      </c>
      <c r="AW45">
        <v>4996.8</v>
      </c>
      <c r="AX45">
        <v>6</v>
      </c>
      <c r="AY45">
        <v>7495.2000000000007</v>
      </c>
      <c r="AZ45">
        <v>91</v>
      </c>
      <c r="BA45">
        <v>113677.2</v>
      </c>
      <c r="BB45">
        <v>84</v>
      </c>
      <c r="BC45">
        <v>104932.8</v>
      </c>
      <c r="BD45">
        <v>120</v>
      </c>
      <c r="BE45">
        <v>149904</v>
      </c>
      <c r="BF45">
        <v>74</v>
      </c>
      <c r="BG45">
        <v>92440.8</v>
      </c>
      <c r="BH45">
        <v>33</v>
      </c>
      <c r="BI45">
        <v>41223.599999999999</v>
      </c>
      <c r="BJ45">
        <v>37</v>
      </c>
      <c r="BK45">
        <v>46220.4</v>
      </c>
      <c r="BL45">
        <v>23</v>
      </c>
      <c r="BM45">
        <v>28731.600000000002</v>
      </c>
      <c r="BN45">
        <v>30</v>
      </c>
      <c r="BO45">
        <v>37476</v>
      </c>
      <c r="BP45">
        <v>12</v>
      </c>
      <c r="BQ45">
        <v>14990.400000000001</v>
      </c>
      <c r="BR45">
        <v>12</v>
      </c>
      <c r="BS45">
        <v>14990.400000000001</v>
      </c>
      <c r="BT45">
        <v>8</v>
      </c>
      <c r="BU45">
        <v>9993.6</v>
      </c>
      <c r="BV45">
        <v>11</v>
      </c>
      <c r="BW45">
        <v>13741.2</v>
      </c>
      <c r="BX45">
        <v>13</v>
      </c>
      <c r="BY45">
        <v>16239.6</v>
      </c>
      <c r="BZ45">
        <v>16</v>
      </c>
      <c r="CA45">
        <v>19987.2</v>
      </c>
      <c r="CB45">
        <v>14</v>
      </c>
      <c r="CC45">
        <v>17488.8</v>
      </c>
      <c r="CD45">
        <v>19</v>
      </c>
      <c r="CE45">
        <v>23734.799999999999</v>
      </c>
      <c r="CF45">
        <v>36</v>
      </c>
      <c r="CG45">
        <v>44971.200000000004</v>
      </c>
      <c r="CH45">
        <v>23</v>
      </c>
      <c r="CI45">
        <v>28731.600000000002</v>
      </c>
      <c r="CJ45">
        <v>51</v>
      </c>
      <c r="CK45">
        <v>63709.200000000004</v>
      </c>
      <c r="CL45">
        <v>32</v>
      </c>
      <c r="CM45">
        <v>39974.400000000001</v>
      </c>
      <c r="CN45">
        <v>20</v>
      </c>
      <c r="CO45">
        <v>24984</v>
      </c>
      <c r="CP45">
        <v>16</v>
      </c>
      <c r="CQ45">
        <v>19987.2</v>
      </c>
      <c r="CR45">
        <v>11</v>
      </c>
      <c r="CS45">
        <v>13741.2</v>
      </c>
      <c r="CT45">
        <v>20</v>
      </c>
      <c r="CU45">
        <v>24984</v>
      </c>
    </row>
    <row r="46" spans="2:99" x14ac:dyDescent="0.2">
      <c r="C46" s="118" t="s">
        <v>212</v>
      </c>
      <c r="D46">
        <v>10</v>
      </c>
      <c r="E46">
        <v>12120</v>
      </c>
      <c r="F46">
        <v>6</v>
      </c>
      <c r="G46">
        <v>7272</v>
      </c>
      <c r="H46">
        <v>6</v>
      </c>
      <c r="I46">
        <v>7272</v>
      </c>
      <c r="J46">
        <v>10</v>
      </c>
      <c r="K46">
        <v>12120</v>
      </c>
      <c r="L46">
        <v>10</v>
      </c>
      <c r="M46">
        <v>12120</v>
      </c>
      <c r="N46">
        <v>16</v>
      </c>
      <c r="O46">
        <v>19392</v>
      </c>
      <c r="P46">
        <v>13</v>
      </c>
      <c r="Q46">
        <v>15756</v>
      </c>
      <c r="R46">
        <v>12</v>
      </c>
      <c r="S46">
        <v>14544</v>
      </c>
      <c r="T46">
        <v>6</v>
      </c>
      <c r="U46">
        <v>7272</v>
      </c>
      <c r="V46">
        <v>12</v>
      </c>
      <c r="W46">
        <v>14544</v>
      </c>
      <c r="X46">
        <v>8</v>
      </c>
      <c r="Y46">
        <v>9696</v>
      </c>
      <c r="Z46">
        <v>7</v>
      </c>
      <c r="AA46">
        <v>8484</v>
      </c>
      <c r="AB46">
        <v>56</v>
      </c>
      <c r="AC46">
        <v>67872</v>
      </c>
      <c r="AD46">
        <v>74</v>
      </c>
      <c r="AE46">
        <v>89688</v>
      </c>
      <c r="AF46">
        <v>68</v>
      </c>
      <c r="AG46">
        <v>82416</v>
      </c>
      <c r="AH46">
        <v>50</v>
      </c>
      <c r="AI46">
        <v>60600</v>
      </c>
      <c r="AJ46">
        <v>58</v>
      </c>
      <c r="AK46">
        <v>70296</v>
      </c>
      <c r="AL46">
        <v>58</v>
      </c>
      <c r="AM46">
        <v>70296</v>
      </c>
      <c r="AN46">
        <v>43</v>
      </c>
      <c r="AO46">
        <v>52116</v>
      </c>
      <c r="AP46">
        <v>43</v>
      </c>
      <c r="AQ46">
        <v>52116</v>
      </c>
      <c r="AR46">
        <v>7</v>
      </c>
      <c r="AS46">
        <v>8484</v>
      </c>
      <c r="AT46">
        <v>6</v>
      </c>
      <c r="AU46">
        <v>7272</v>
      </c>
      <c r="AV46">
        <v>5</v>
      </c>
      <c r="AW46">
        <v>6060</v>
      </c>
      <c r="AX46">
        <v>6</v>
      </c>
      <c r="AY46">
        <v>7272</v>
      </c>
      <c r="AZ46">
        <v>97</v>
      </c>
      <c r="BA46">
        <v>117564</v>
      </c>
      <c r="BB46">
        <v>78</v>
      </c>
      <c r="BC46">
        <v>94536</v>
      </c>
      <c r="BD46">
        <v>127</v>
      </c>
      <c r="BE46">
        <v>153924</v>
      </c>
      <c r="BF46">
        <v>69</v>
      </c>
      <c r="BG46">
        <v>83628</v>
      </c>
      <c r="BH46">
        <v>36</v>
      </c>
      <c r="BI46">
        <v>43632</v>
      </c>
      <c r="BJ46">
        <v>37</v>
      </c>
      <c r="BK46">
        <v>44844</v>
      </c>
      <c r="BL46">
        <v>23</v>
      </c>
      <c r="BM46">
        <v>27876</v>
      </c>
      <c r="BN46">
        <v>33</v>
      </c>
      <c r="BO46">
        <v>39996</v>
      </c>
      <c r="BP46">
        <v>15</v>
      </c>
      <c r="BQ46">
        <v>18180</v>
      </c>
      <c r="BR46">
        <v>13</v>
      </c>
      <c r="BS46">
        <v>15756</v>
      </c>
      <c r="BT46">
        <v>9</v>
      </c>
      <c r="BU46">
        <v>10908</v>
      </c>
      <c r="BV46">
        <v>10</v>
      </c>
      <c r="BW46">
        <v>12120</v>
      </c>
      <c r="BX46">
        <v>13</v>
      </c>
      <c r="BY46">
        <v>15756</v>
      </c>
      <c r="BZ46">
        <v>17</v>
      </c>
      <c r="CA46">
        <v>20604</v>
      </c>
      <c r="CB46">
        <v>15</v>
      </c>
      <c r="CC46">
        <v>18180</v>
      </c>
      <c r="CD46">
        <v>20</v>
      </c>
      <c r="CE46">
        <v>24240</v>
      </c>
      <c r="CF46">
        <v>30</v>
      </c>
      <c r="CG46">
        <v>36360</v>
      </c>
      <c r="CH46">
        <v>25</v>
      </c>
      <c r="CI46">
        <v>30300</v>
      </c>
      <c r="CJ46">
        <v>46</v>
      </c>
      <c r="CK46">
        <v>55752</v>
      </c>
      <c r="CL46">
        <v>37</v>
      </c>
      <c r="CM46">
        <v>44844</v>
      </c>
      <c r="CN46">
        <v>18</v>
      </c>
      <c r="CO46">
        <v>21816</v>
      </c>
      <c r="CP46">
        <v>15</v>
      </c>
      <c r="CQ46">
        <v>18180</v>
      </c>
      <c r="CR46">
        <v>10</v>
      </c>
      <c r="CS46">
        <v>12120</v>
      </c>
      <c r="CT46">
        <v>18</v>
      </c>
      <c r="CU46">
        <v>21816</v>
      </c>
    </row>
    <row r="47" spans="2:99" x14ac:dyDescent="0.2">
      <c r="C47" s="118" t="s">
        <v>213</v>
      </c>
      <c r="D47">
        <v>9</v>
      </c>
      <c r="E47">
        <v>13748.4</v>
      </c>
      <c r="F47">
        <v>6</v>
      </c>
      <c r="G47">
        <v>9165.5999999999985</v>
      </c>
      <c r="H47">
        <v>6</v>
      </c>
      <c r="I47">
        <v>9165.5999999999985</v>
      </c>
      <c r="J47">
        <v>9</v>
      </c>
      <c r="K47">
        <v>13748.4</v>
      </c>
      <c r="L47">
        <v>11</v>
      </c>
      <c r="M47">
        <v>16803.599999999999</v>
      </c>
      <c r="N47">
        <v>16</v>
      </c>
      <c r="O47">
        <v>24441.599999999999</v>
      </c>
      <c r="P47">
        <v>12</v>
      </c>
      <c r="Q47">
        <v>18331.199999999997</v>
      </c>
      <c r="R47">
        <v>12</v>
      </c>
      <c r="S47">
        <v>18331.199999999997</v>
      </c>
      <c r="T47">
        <v>7</v>
      </c>
      <c r="U47">
        <v>10693.199999999999</v>
      </c>
      <c r="V47">
        <v>12</v>
      </c>
      <c r="W47">
        <v>18331.199999999997</v>
      </c>
      <c r="X47">
        <v>7</v>
      </c>
      <c r="Y47">
        <v>10693.199999999999</v>
      </c>
      <c r="Z47">
        <v>8</v>
      </c>
      <c r="AA47">
        <v>12220.8</v>
      </c>
      <c r="AB47">
        <v>49</v>
      </c>
      <c r="AC47">
        <v>74852.399999999994</v>
      </c>
      <c r="AD47">
        <v>72</v>
      </c>
      <c r="AE47">
        <v>109987.2</v>
      </c>
      <c r="AF47">
        <v>67</v>
      </c>
      <c r="AG47">
        <v>102349.2</v>
      </c>
      <c r="AH47">
        <v>47</v>
      </c>
      <c r="AI47">
        <v>71797.2</v>
      </c>
      <c r="AJ47">
        <v>57</v>
      </c>
      <c r="AK47">
        <v>87073.2</v>
      </c>
      <c r="AL47">
        <v>58</v>
      </c>
      <c r="AM47">
        <v>88600.799999999988</v>
      </c>
      <c r="AN47">
        <v>42</v>
      </c>
      <c r="AO47">
        <v>64159.199999999997</v>
      </c>
      <c r="AP47">
        <v>36</v>
      </c>
      <c r="AQ47">
        <v>54993.599999999999</v>
      </c>
      <c r="AR47">
        <v>7</v>
      </c>
      <c r="AS47">
        <v>10693.199999999999</v>
      </c>
      <c r="AT47">
        <v>6</v>
      </c>
      <c r="AU47">
        <v>9165.5999999999985</v>
      </c>
      <c r="AV47">
        <v>4</v>
      </c>
      <c r="AW47">
        <v>6110.4</v>
      </c>
      <c r="AX47">
        <v>7</v>
      </c>
      <c r="AY47">
        <v>10693.199999999999</v>
      </c>
      <c r="AZ47">
        <v>103</v>
      </c>
      <c r="BA47">
        <v>157342.79999999999</v>
      </c>
      <c r="BB47">
        <v>82</v>
      </c>
      <c r="BC47">
        <v>125263.2</v>
      </c>
      <c r="BD47">
        <v>115</v>
      </c>
      <c r="BE47">
        <v>175674</v>
      </c>
      <c r="BF47">
        <v>61</v>
      </c>
      <c r="BG47">
        <v>93183.599999999991</v>
      </c>
      <c r="BH47">
        <v>35</v>
      </c>
      <c r="BI47">
        <v>53466</v>
      </c>
      <c r="BJ47">
        <v>36</v>
      </c>
      <c r="BK47">
        <v>54993.599999999999</v>
      </c>
      <c r="BL47">
        <v>24</v>
      </c>
      <c r="BM47">
        <v>36662.399999999994</v>
      </c>
      <c r="BN47">
        <v>29</v>
      </c>
      <c r="BO47">
        <v>44300.399999999994</v>
      </c>
      <c r="BP47">
        <v>12</v>
      </c>
      <c r="BQ47">
        <v>18331.199999999997</v>
      </c>
      <c r="BR47">
        <v>11</v>
      </c>
      <c r="BS47">
        <v>16803.599999999999</v>
      </c>
      <c r="BT47">
        <v>8</v>
      </c>
      <c r="BU47">
        <v>12220.8</v>
      </c>
      <c r="BV47">
        <v>10</v>
      </c>
      <c r="BW47">
        <v>15276</v>
      </c>
      <c r="BX47">
        <v>13</v>
      </c>
      <c r="BY47">
        <v>19858.8</v>
      </c>
      <c r="BZ47">
        <v>17</v>
      </c>
      <c r="CA47">
        <v>25969.199999999997</v>
      </c>
      <c r="CB47">
        <v>14</v>
      </c>
      <c r="CC47">
        <v>21386.399999999998</v>
      </c>
      <c r="CD47">
        <v>20</v>
      </c>
      <c r="CE47">
        <v>30552</v>
      </c>
      <c r="CF47">
        <v>33</v>
      </c>
      <c r="CG47">
        <v>50410.799999999996</v>
      </c>
      <c r="CH47">
        <v>26</v>
      </c>
      <c r="CI47">
        <v>39717.599999999999</v>
      </c>
      <c r="CJ47">
        <v>42</v>
      </c>
      <c r="CK47">
        <v>64159.199999999997</v>
      </c>
      <c r="CL47">
        <v>35</v>
      </c>
      <c r="CM47">
        <v>53466</v>
      </c>
      <c r="CN47">
        <v>17</v>
      </c>
      <c r="CO47">
        <v>25969.199999999997</v>
      </c>
      <c r="CP47">
        <v>17</v>
      </c>
      <c r="CQ47">
        <v>25969.199999999997</v>
      </c>
      <c r="CR47">
        <v>10</v>
      </c>
      <c r="CS47">
        <v>15276</v>
      </c>
      <c r="CT47">
        <v>20</v>
      </c>
      <c r="CU47">
        <v>30552</v>
      </c>
    </row>
    <row r="48" spans="2:99" x14ac:dyDescent="0.2">
      <c r="C48" s="118" t="s">
        <v>214</v>
      </c>
      <c r="D48">
        <v>10</v>
      </c>
      <c r="E48">
        <v>8676</v>
      </c>
      <c r="F48">
        <v>6</v>
      </c>
      <c r="G48">
        <v>5205.6000000000004</v>
      </c>
      <c r="H48">
        <v>7</v>
      </c>
      <c r="I48">
        <v>6073.2</v>
      </c>
      <c r="J48">
        <v>9</v>
      </c>
      <c r="K48">
        <v>7808.4000000000005</v>
      </c>
      <c r="L48">
        <v>11</v>
      </c>
      <c r="M48">
        <v>9543.6</v>
      </c>
      <c r="N48">
        <v>17</v>
      </c>
      <c r="O48">
        <v>14749.2</v>
      </c>
      <c r="P48">
        <v>14</v>
      </c>
      <c r="Q48">
        <v>12146.4</v>
      </c>
      <c r="R48">
        <v>11</v>
      </c>
      <c r="S48">
        <v>9543.6</v>
      </c>
      <c r="T48">
        <v>7</v>
      </c>
      <c r="U48">
        <v>6073.2</v>
      </c>
      <c r="V48">
        <v>12</v>
      </c>
      <c r="W48">
        <v>10411.200000000001</v>
      </c>
      <c r="X48">
        <v>8</v>
      </c>
      <c r="Y48">
        <v>6940.8</v>
      </c>
      <c r="Z48">
        <v>8</v>
      </c>
      <c r="AA48">
        <v>6940.8</v>
      </c>
      <c r="AB48">
        <v>56</v>
      </c>
      <c r="AC48">
        <v>48585.599999999999</v>
      </c>
      <c r="AD48">
        <v>72</v>
      </c>
      <c r="AE48">
        <v>62467.200000000004</v>
      </c>
      <c r="AF48">
        <v>64</v>
      </c>
      <c r="AG48">
        <v>55526.400000000001</v>
      </c>
      <c r="AH48">
        <v>51</v>
      </c>
      <c r="AI48">
        <v>44247.6</v>
      </c>
      <c r="AJ48">
        <v>65</v>
      </c>
      <c r="AK48">
        <v>56394</v>
      </c>
      <c r="AL48">
        <v>64</v>
      </c>
      <c r="AM48">
        <v>55526.400000000001</v>
      </c>
      <c r="AN48">
        <v>45</v>
      </c>
      <c r="AO48">
        <v>39042</v>
      </c>
      <c r="AP48">
        <v>43</v>
      </c>
      <c r="AQ48">
        <v>37306.800000000003</v>
      </c>
      <c r="AR48">
        <v>8</v>
      </c>
      <c r="AS48">
        <v>6940.8</v>
      </c>
      <c r="AT48">
        <v>7</v>
      </c>
      <c r="AU48">
        <v>6073.2</v>
      </c>
      <c r="AV48">
        <v>5</v>
      </c>
      <c r="AW48">
        <v>4338</v>
      </c>
      <c r="AX48">
        <v>7</v>
      </c>
      <c r="AY48">
        <v>6073.2</v>
      </c>
      <c r="AZ48">
        <v>110</v>
      </c>
      <c r="BA48">
        <v>95436</v>
      </c>
      <c r="BB48">
        <v>85</v>
      </c>
      <c r="BC48">
        <v>73746</v>
      </c>
      <c r="BD48">
        <v>140</v>
      </c>
      <c r="BE48">
        <v>121464</v>
      </c>
      <c r="BF48">
        <v>67</v>
      </c>
      <c r="BG48">
        <v>58129.200000000004</v>
      </c>
      <c r="BH48">
        <v>38</v>
      </c>
      <c r="BI48">
        <v>32968.800000000003</v>
      </c>
      <c r="BJ48">
        <v>40</v>
      </c>
      <c r="BK48">
        <v>34704</v>
      </c>
      <c r="BL48">
        <v>23</v>
      </c>
      <c r="BM48">
        <v>19954.8</v>
      </c>
      <c r="BN48">
        <v>36</v>
      </c>
      <c r="BO48">
        <v>31233.600000000002</v>
      </c>
      <c r="BP48">
        <v>14</v>
      </c>
      <c r="BQ48">
        <v>12146.4</v>
      </c>
      <c r="BR48">
        <v>12</v>
      </c>
      <c r="BS48">
        <v>10411.200000000001</v>
      </c>
      <c r="BT48">
        <v>8</v>
      </c>
      <c r="BU48">
        <v>6940.8</v>
      </c>
      <c r="BV48">
        <v>11</v>
      </c>
      <c r="BW48">
        <v>9543.6</v>
      </c>
      <c r="BX48">
        <v>14</v>
      </c>
      <c r="BY48">
        <v>12146.4</v>
      </c>
      <c r="BZ48">
        <v>16</v>
      </c>
      <c r="CA48">
        <v>13881.6</v>
      </c>
      <c r="CB48">
        <v>15</v>
      </c>
      <c r="CC48">
        <v>13014</v>
      </c>
      <c r="CD48">
        <v>19</v>
      </c>
      <c r="CE48">
        <v>16484.400000000001</v>
      </c>
      <c r="CF48">
        <v>37</v>
      </c>
      <c r="CG48">
        <v>32101.200000000001</v>
      </c>
      <c r="CH48">
        <v>24</v>
      </c>
      <c r="CI48">
        <v>20822.400000000001</v>
      </c>
      <c r="CJ48">
        <v>54</v>
      </c>
      <c r="CK48">
        <v>46850.400000000001</v>
      </c>
      <c r="CL48">
        <v>36</v>
      </c>
      <c r="CM48">
        <v>31233.600000000002</v>
      </c>
      <c r="CN48">
        <v>17</v>
      </c>
      <c r="CO48">
        <v>14749.2</v>
      </c>
      <c r="CP48">
        <v>15</v>
      </c>
      <c r="CQ48">
        <v>13014</v>
      </c>
      <c r="CR48">
        <v>11</v>
      </c>
      <c r="CS48">
        <v>9543.6</v>
      </c>
      <c r="CT48">
        <v>21</v>
      </c>
      <c r="CU48">
        <v>18219.600000000002</v>
      </c>
    </row>
    <row r="49" spans="2:99" x14ac:dyDescent="0.2">
      <c r="B49" s="118" t="s">
        <v>129</v>
      </c>
      <c r="C49" s="118" t="s">
        <v>215</v>
      </c>
      <c r="D49">
        <v>23</v>
      </c>
      <c r="E49">
        <v>22659.599999999999</v>
      </c>
      <c r="F49">
        <v>22</v>
      </c>
      <c r="G49">
        <v>21674.399999999998</v>
      </c>
      <c r="H49">
        <v>19</v>
      </c>
      <c r="I49">
        <v>18718.8</v>
      </c>
      <c r="J49">
        <v>21</v>
      </c>
      <c r="K49">
        <v>20689.199999999997</v>
      </c>
      <c r="L49">
        <v>6</v>
      </c>
      <c r="M49">
        <v>5911.2</v>
      </c>
      <c r="N49">
        <v>6</v>
      </c>
      <c r="O49">
        <v>5911.2</v>
      </c>
      <c r="P49">
        <v>7</v>
      </c>
      <c r="Q49">
        <v>6896.4</v>
      </c>
      <c r="R49">
        <v>6</v>
      </c>
      <c r="S49">
        <v>5911.2</v>
      </c>
      <c r="T49">
        <v>12</v>
      </c>
      <c r="U49">
        <v>11822.4</v>
      </c>
      <c r="V49">
        <v>17</v>
      </c>
      <c r="W49">
        <v>16748.399999999998</v>
      </c>
      <c r="X49">
        <v>10</v>
      </c>
      <c r="Y49">
        <v>9852</v>
      </c>
      <c r="Z49">
        <v>9</v>
      </c>
      <c r="AA49">
        <v>8866.7999999999993</v>
      </c>
      <c r="AB49">
        <v>34</v>
      </c>
      <c r="AC49">
        <v>33496.799999999996</v>
      </c>
      <c r="AD49">
        <v>23</v>
      </c>
      <c r="AE49">
        <v>22659.599999999999</v>
      </c>
      <c r="AF49">
        <v>32</v>
      </c>
      <c r="AG49">
        <v>31526.399999999998</v>
      </c>
      <c r="AH49">
        <v>42</v>
      </c>
      <c r="AI49">
        <v>41378.399999999994</v>
      </c>
      <c r="AJ49">
        <v>4</v>
      </c>
      <c r="AK49">
        <v>3940.7999999999997</v>
      </c>
      <c r="AL49">
        <v>4</v>
      </c>
      <c r="AM49">
        <v>3940.7999999999997</v>
      </c>
      <c r="AN49">
        <v>3</v>
      </c>
      <c r="AO49">
        <v>2955.6</v>
      </c>
      <c r="AP49">
        <v>5</v>
      </c>
      <c r="AQ49">
        <v>4926</v>
      </c>
      <c r="AR49">
        <v>8</v>
      </c>
      <c r="AS49">
        <v>7881.5999999999995</v>
      </c>
      <c r="AT49">
        <v>9</v>
      </c>
      <c r="AU49">
        <v>8866.7999999999993</v>
      </c>
      <c r="AV49">
        <v>12</v>
      </c>
      <c r="AW49">
        <v>11822.4</v>
      </c>
      <c r="AX49">
        <v>8</v>
      </c>
      <c r="AY49">
        <v>7881.5999999999995</v>
      </c>
      <c r="AZ49">
        <v>19</v>
      </c>
      <c r="BA49">
        <v>18718.8</v>
      </c>
      <c r="BB49">
        <v>17</v>
      </c>
      <c r="BC49">
        <v>16748.399999999998</v>
      </c>
      <c r="BD49">
        <v>21</v>
      </c>
      <c r="BE49">
        <v>20689.199999999997</v>
      </c>
      <c r="BF49">
        <v>31</v>
      </c>
      <c r="BG49">
        <v>30541.199999999997</v>
      </c>
      <c r="BH49">
        <v>6</v>
      </c>
      <c r="BI49">
        <v>5911.2</v>
      </c>
      <c r="BJ49">
        <v>10</v>
      </c>
      <c r="BK49">
        <v>9852</v>
      </c>
      <c r="BL49">
        <v>7</v>
      </c>
      <c r="BM49">
        <v>6896.4</v>
      </c>
      <c r="BN49">
        <v>8</v>
      </c>
      <c r="BO49">
        <v>7881.5999999999995</v>
      </c>
      <c r="BP49">
        <v>4</v>
      </c>
      <c r="BQ49">
        <v>3940.7999999999997</v>
      </c>
      <c r="BR49">
        <v>5</v>
      </c>
      <c r="BS49">
        <v>4926</v>
      </c>
      <c r="BT49">
        <v>3</v>
      </c>
      <c r="BU49">
        <v>2955.6</v>
      </c>
      <c r="BV49">
        <v>5</v>
      </c>
      <c r="BW49">
        <v>4926</v>
      </c>
      <c r="BX49">
        <v>11</v>
      </c>
      <c r="BY49">
        <v>10837.199999999999</v>
      </c>
      <c r="BZ49">
        <v>13</v>
      </c>
      <c r="CA49">
        <v>12807.599999999999</v>
      </c>
      <c r="CB49">
        <v>14</v>
      </c>
      <c r="CC49">
        <v>13792.8</v>
      </c>
      <c r="CD49">
        <v>14</v>
      </c>
      <c r="CE49">
        <v>13792.8</v>
      </c>
      <c r="CF49">
        <v>5</v>
      </c>
      <c r="CG49">
        <v>4926</v>
      </c>
      <c r="CH49">
        <v>6</v>
      </c>
      <c r="CI49">
        <v>5911.2</v>
      </c>
      <c r="CJ49">
        <v>4</v>
      </c>
      <c r="CK49">
        <v>3940.7999999999997</v>
      </c>
      <c r="CL49">
        <v>4</v>
      </c>
      <c r="CM49">
        <v>3940.7999999999997</v>
      </c>
      <c r="CN49">
        <v>10</v>
      </c>
      <c r="CO49">
        <v>9852</v>
      </c>
      <c r="CP49">
        <v>15</v>
      </c>
      <c r="CQ49">
        <v>14777.999999999998</v>
      </c>
      <c r="CR49">
        <v>14</v>
      </c>
      <c r="CS49">
        <v>13792.8</v>
      </c>
      <c r="CT49">
        <v>13</v>
      </c>
      <c r="CU49">
        <v>12807.599999999999</v>
      </c>
    </row>
    <row r="50" spans="2:99" x14ac:dyDescent="0.2">
      <c r="C50" s="118" t="s">
        <v>216</v>
      </c>
      <c r="D50">
        <v>26</v>
      </c>
      <c r="E50">
        <v>7332</v>
      </c>
      <c r="F50">
        <v>23</v>
      </c>
      <c r="G50">
        <v>6486</v>
      </c>
      <c r="H50">
        <v>21</v>
      </c>
      <c r="I50">
        <v>5922</v>
      </c>
      <c r="J50">
        <v>25</v>
      </c>
      <c r="K50">
        <v>7050</v>
      </c>
      <c r="L50">
        <v>6</v>
      </c>
      <c r="M50">
        <v>1692</v>
      </c>
      <c r="N50">
        <v>7</v>
      </c>
      <c r="O50">
        <v>1974</v>
      </c>
      <c r="P50">
        <v>8</v>
      </c>
      <c r="Q50">
        <v>2256</v>
      </c>
      <c r="R50">
        <v>7</v>
      </c>
      <c r="S50">
        <v>1974</v>
      </c>
      <c r="T50">
        <v>13</v>
      </c>
      <c r="U50">
        <v>3666</v>
      </c>
      <c r="V50">
        <v>17</v>
      </c>
      <c r="W50">
        <v>4794</v>
      </c>
      <c r="X50">
        <v>11</v>
      </c>
      <c r="Y50">
        <v>3102</v>
      </c>
      <c r="Z50">
        <v>11</v>
      </c>
      <c r="AA50">
        <v>3102</v>
      </c>
      <c r="AB50">
        <v>36</v>
      </c>
      <c r="AC50">
        <v>10152</v>
      </c>
      <c r="AD50">
        <v>27</v>
      </c>
      <c r="AE50">
        <v>7614</v>
      </c>
      <c r="AF50">
        <v>37</v>
      </c>
      <c r="AG50">
        <v>10434</v>
      </c>
      <c r="AH50">
        <v>47</v>
      </c>
      <c r="AI50">
        <v>13254</v>
      </c>
      <c r="AJ50">
        <v>4</v>
      </c>
      <c r="AK50">
        <v>1128</v>
      </c>
      <c r="AL50">
        <v>5</v>
      </c>
      <c r="AM50">
        <v>1410</v>
      </c>
      <c r="AN50">
        <v>4</v>
      </c>
      <c r="AO50">
        <v>1128</v>
      </c>
      <c r="AP50">
        <v>5</v>
      </c>
      <c r="AQ50">
        <v>1410</v>
      </c>
      <c r="AR50">
        <v>7</v>
      </c>
      <c r="AS50">
        <v>1974</v>
      </c>
      <c r="AT50">
        <v>10</v>
      </c>
      <c r="AU50">
        <v>2820</v>
      </c>
      <c r="AV50">
        <v>13</v>
      </c>
      <c r="AW50">
        <v>3666</v>
      </c>
      <c r="AX50">
        <v>9</v>
      </c>
      <c r="AY50">
        <v>2538</v>
      </c>
      <c r="AZ50">
        <v>22</v>
      </c>
      <c r="BA50">
        <v>6204</v>
      </c>
      <c r="BB50">
        <v>21</v>
      </c>
      <c r="BC50">
        <v>5922</v>
      </c>
      <c r="BD50">
        <v>25</v>
      </c>
      <c r="BE50">
        <v>7050</v>
      </c>
      <c r="BF50">
        <v>38</v>
      </c>
      <c r="BG50">
        <v>10716</v>
      </c>
      <c r="BH50">
        <v>6</v>
      </c>
      <c r="BI50">
        <v>1692</v>
      </c>
      <c r="BJ50">
        <v>11</v>
      </c>
      <c r="BK50">
        <v>3102</v>
      </c>
      <c r="BL50">
        <v>7</v>
      </c>
      <c r="BM50">
        <v>1974</v>
      </c>
      <c r="BN50">
        <v>8</v>
      </c>
      <c r="BO50">
        <v>2256</v>
      </c>
      <c r="BP50">
        <v>4</v>
      </c>
      <c r="BQ50">
        <v>1128</v>
      </c>
      <c r="BR50">
        <v>5</v>
      </c>
      <c r="BS50">
        <v>1410</v>
      </c>
      <c r="BT50">
        <v>4</v>
      </c>
      <c r="BU50">
        <v>1128</v>
      </c>
      <c r="BV50">
        <v>5</v>
      </c>
      <c r="BW50">
        <v>1410</v>
      </c>
      <c r="BX50">
        <v>14</v>
      </c>
      <c r="BY50">
        <v>3948</v>
      </c>
      <c r="BZ50">
        <v>12</v>
      </c>
      <c r="CA50">
        <v>3384</v>
      </c>
      <c r="CB50">
        <v>14</v>
      </c>
      <c r="CC50">
        <v>3948</v>
      </c>
      <c r="CD50">
        <v>17</v>
      </c>
      <c r="CE50">
        <v>4794</v>
      </c>
      <c r="CF50">
        <v>5</v>
      </c>
      <c r="CG50">
        <v>1410</v>
      </c>
      <c r="CH50">
        <v>7</v>
      </c>
      <c r="CI50">
        <v>1974</v>
      </c>
      <c r="CJ50">
        <v>5</v>
      </c>
      <c r="CK50">
        <v>1410</v>
      </c>
      <c r="CL50">
        <v>4</v>
      </c>
      <c r="CM50">
        <v>1128</v>
      </c>
      <c r="CN50">
        <v>11</v>
      </c>
      <c r="CO50">
        <v>3102</v>
      </c>
      <c r="CP50">
        <v>16</v>
      </c>
      <c r="CQ50">
        <v>4512</v>
      </c>
      <c r="CR50">
        <v>14</v>
      </c>
      <c r="CS50">
        <v>3948</v>
      </c>
      <c r="CT50">
        <v>14</v>
      </c>
      <c r="CU50">
        <v>3948</v>
      </c>
    </row>
    <row r="51" spans="2:99" x14ac:dyDescent="0.2">
      <c r="C51" s="118" t="s">
        <v>217</v>
      </c>
      <c r="D51">
        <v>24</v>
      </c>
      <c r="E51">
        <v>20505.599999999999</v>
      </c>
      <c r="F51">
        <v>22</v>
      </c>
      <c r="G51">
        <v>18796.8</v>
      </c>
      <c r="H51">
        <v>19</v>
      </c>
      <c r="I51">
        <v>16233.6</v>
      </c>
      <c r="J51">
        <v>23</v>
      </c>
      <c r="K51">
        <v>19651.2</v>
      </c>
      <c r="L51">
        <v>7</v>
      </c>
      <c r="M51">
        <v>5980.8</v>
      </c>
      <c r="N51">
        <v>7</v>
      </c>
      <c r="O51">
        <v>5980.8</v>
      </c>
      <c r="P51">
        <v>7</v>
      </c>
      <c r="Q51">
        <v>5980.8</v>
      </c>
      <c r="R51">
        <v>7</v>
      </c>
      <c r="S51">
        <v>5980.8</v>
      </c>
      <c r="T51">
        <v>12</v>
      </c>
      <c r="U51">
        <v>10252.799999999999</v>
      </c>
      <c r="V51">
        <v>19</v>
      </c>
      <c r="W51">
        <v>16233.6</v>
      </c>
      <c r="X51">
        <v>11</v>
      </c>
      <c r="Y51">
        <v>9398.4</v>
      </c>
      <c r="Z51">
        <v>11</v>
      </c>
      <c r="AA51">
        <v>9398.4</v>
      </c>
      <c r="AB51">
        <v>34</v>
      </c>
      <c r="AC51">
        <v>29049.599999999999</v>
      </c>
      <c r="AD51">
        <v>24</v>
      </c>
      <c r="AE51">
        <v>20505.599999999999</v>
      </c>
      <c r="AF51">
        <v>30</v>
      </c>
      <c r="AG51">
        <v>25632</v>
      </c>
      <c r="AH51">
        <v>47</v>
      </c>
      <c r="AI51">
        <v>40156.799999999996</v>
      </c>
      <c r="AJ51">
        <v>4</v>
      </c>
      <c r="AK51">
        <v>3417.6</v>
      </c>
      <c r="AL51">
        <v>5</v>
      </c>
      <c r="AM51">
        <v>4272</v>
      </c>
      <c r="AN51">
        <v>3</v>
      </c>
      <c r="AO51">
        <v>2563.1999999999998</v>
      </c>
      <c r="AP51">
        <v>5</v>
      </c>
      <c r="AQ51">
        <v>4272</v>
      </c>
      <c r="AR51">
        <v>8</v>
      </c>
      <c r="AS51">
        <v>6835.2</v>
      </c>
      <c r="AT51">
        <v>8</v>
      </c>
      <c r="AU51">
        <v>6835.2</v>
      </c>
      <c r="AV51">
        <v>12</v>
      </c>
      <c r="AW51">
        <v>10252.799999999999</v>
      </c>
      <c r="AX51">
        <v>8</v>
      </c>
      <c r="AY51">
        <v>6835.2</v>
      </c>
      <c r="AZ51">
        <v>19</v>
      </c>
      <c r="BA51">
        <v>16233.6</v>
      </c>
      <c r="BB51">
        <v>19</v>
      </c>
      <c r="BC51">
        <v>16233.6</v>
      </c>
      <c r="BD51">
        <v>24</v>
      </c>
      <c r="BE51">
        <v>20505.599999999999</v>
      </c>
      <c r="BF51">
        <v>32</v>
      </c>
      <c r="BG51">
        <v>27340.799999999999</v>
      </c>
      <c r="BH51">
        <v>6</v>
      </c>
      <c r="BI51">
        <v>5126.3999999999996</v>
      </c>
      <c r="BJ51">
        <v>11</v>
      </c>
      <c r="BK51">
        <v>9398.4</v>
      </c>
      <c r="BL51">
        <v>8</v>
      </c>
      <c r="BM51">
        <v>6835.2</v>
      </c>
      <c r="BN51">
        <v>9</v>
      </c>
      <c r="BO51">
        <v>7689.5999999999995</v>
      </c>
      <c r="BP51">
        <v>4</v>
      </c>
      <c r="BQ51">
        <v>3417.6</v>
      </c>
      <c r="BR51">
        <v>5</v>
      </c>
      <c r="BS51">
        <v>4272</v>
      </c>
      <c r="BT51">
        <v>4</v>
      </c>
      <c r="BU51">
        <v>3417.6</v>
      </c>
      <c r="BV51">
        <v>5</v>
      </c>
      <c r="BW51">
        <v>4272</v>
      </c>
      <c r="BX51">
        <v>12</v>
      </c>
      <c r="BY51">
        <v>10252.799999999999</v>
      </c>
      <c r="BZ51">
        <v>13</v>
      </c>
      <c r="CA51">
        <v>11107.199999999999</v>
      </c>
      <c r="CB51">
        <v>14</v>
      </c>
      <c r="CC51">
        <v>11961.6</v>
      </c>
      <c r="CD51">
        <v>16</v>
      </c>
      <c r="CE51">
        <v>13670.4</v>
      </c>
      <c r="CF51">
        <v>5</v>
      </c>
      <c r="CG51">
        <v>4272</v>
      </c>
      <c r="CH51">
        <v>7</v>
      </c>
      <c r="CI51">
        <v>5980.8</v>
      </c>
      <c r="CJ51">
        <v>4</v>
      </c>
      <c r="CK51">
        <v>3417.6</v>
      </c>
      <c r="CL51">
        <v>4</v>
      </c>
      <c r="CM51">
        <v>3417.6</v>
      </c>
      <c r="CN51">
        <v>10</v>
      </c>
      <c r="CO51">
        <v>8544</v>
      </c>
      <c r="CP51">
        <v>15</v>
      </c>
      <c r="CQ51">
        <v>12816</v>
      </c>
      <c r="CR51">
        <v>13</v>
      </c>
      <c r="CS51">
        <v>11107.199999999999</v>
      </c>
      <c r="CT51">
        <v>13</v>
      </c>
      <c r="CU51">
        <v>11107.199999999999</v>
      </c>
    </row>
    <row r="52" spans="2:99" x14ac:dyDescent="0.2">
      <c r="C52" s="118" t="s">
        <v>218</v>
      </c>
      <c r="D52">
        <v>22</v>
      </c>
      <c r="E52">
        <v>11880</v>
      </c>
      <c r="F52">
        <v>23</v>
      </c>
      <c r="G52">
        <v>12420</v>
      </c>
      <c r="H52">
        <v>19</v>
      </c>
      <c r="I52">
        <v>10260</v>
      </c>
      <c r="J52">
        <v>25</v>
      </c>
      <c r="K52">
        <v>13500</v>
      </c>
      <c r="L52">
        <v>7</v>
      </c>
      <c r="M52">
        <v>3780</v>
      </c>
      <c r="N52">
        <v>7</v>
      </c>
      <c r="O52">
        <v>3780</v>
      </c>
      <c r="P52">
        <v>7</v>
      </c>
      <c r="Q52">
        <v>3780</v>
      </c>
      <c r="R52">
        <v>7</v>
      </c>
      <c r="S52">
        <v>3780</v>
      </c>
      <c r="T52">
        <v>13</v>
      </c>
      <c r="U52">
        <v>7020</v>
      </c>
      <c r="V52">
        <v>17</v>
      </c>
      <c r="W52">
        <v>9180</v>
      </c>
      <c r="X52">
        <v>10</v>
      </c>
      <c r="Y52">
        <v>5400</v>
      </c>
      <c r="Z52">
        <v>9</v>
      </c>
      <c r="AA52">
        <v>4860</v>
      </c>
      <c r="AB52">
        <v>41</v>
      </c>
      <c r="AC52">
        <v>22140</v>
      </c>
      <c r="AD52">
        <v>27</v>
      </c>
      <c r="AE52">
        <v>14580</v>
      </c>
      <c r="AF52">
        <v>33</v>
      </c>
      <c r="AG52">
        <v>17820</v>
      </c>
      <c r="AH52">
        <v>44</v>
      </c>
      <c r="AI52">
        <v>23760</v>
      </c>
      <c r="AJ52">
        <v>4</v>
      </c>
      <c r="AK52">
        <v>2160</v>
      </c>
      <c r="AL52">
        <v>5</v>
      </c>
      <c r="AM52">
        <v>2700</v>
      </c>
      <c r="AN52">
        <v>3</v>
      </c>
      <c r="AO52">
        <v>1620</v>
      </c>
      <c r="AP52">
        <v>5</v>
      </c>
      <c r="AQ52">
        <v>2700</v>
      </c>
      <c r="AR52">
        <v>8</v>
      </c>
      <c r="AS52">
        <v>4320</v>
      </c>
      <c r="AT52">
        <v>9</v>
      </c>
      <c r="AU52">
        <v>4860</v>
      </c>
      <c r="AV52">
        <v>12</v>
      </c>
      <c r="AW52">
        <v>6480</v>
      </c>
      <c r="AX52">
        <v>8</v>
      </c>
      <c r="AY52">
        <v>4320</v>
      </c>
      <c r="AZ52">
        <v>20</v>
      </c>
      <c r="BA52">
        <v>10800</v>
      </c>
      <c r="BB52">
        <v>20</v>
      </c>
      <c r="BC52">
        <v>10800</v>
      </c>
      <c r="BD52">
        <v>25</v>
      </c>
      <c r="BE52">
        <v>13500</v>
      </c>
      <c r="BF52">
        <v>32</v>
      </c>
      <c r="BG52">
        <v>17280</v>
      </c>
      <c r="BH52">
        <v>6</v>
      </c>
      <c r="BI52">
        <v>3240</v>
      </c>
      <c r="BJ52">
        <v>11</v>
      </c>
      <c r="BK52">
        <v>5940</v>
      </c>
      <c r="BL52">
        <v>8</v>
      </c>
      <c r="BM52">
        <v>4320</v>
      </c>
      <c r="BN52">
        <v>8</v>
      </c>
      <c r="BO52">
        <v>4320</v>
      </c>
      <c r="BP52">
        <v>4</v>
      </c>
      <c r="BQ52">
        <v>2160</v>
      </c>
      <c r="BR52">
        <v>5</v>
      </c>
      <c r="BS52">
        <v>2700</v>
      </c>
      <c r="BT52">
        <v>4</v>
      </c>
      <c r="BU52">
        <v>2160</v>
      </c>
      <c r="BV52">
        <v>5</v>
      </c>
      <c r="BW52">
        <v>2700</v>
      </c>
      <c r="BX52">
        <v>13</v>
      </c>
      <c r="BY52">
        <v>7020</v>
      </c>
      <c r="BZ52">
        <v>13</v>
      </c>
      <c r="CA52">
        <v>7020</v>
      </c>
      <c r="CB52">
        <v>15</v>
      </c>
      <c r="CC52">
        <v>8100</v>
      </c>
      <c r="CD52">
        <v>16</v>
      </c>
      <c r="CE52">
        <v>8640</v>
      </c>
      <c r="CF52">
        <v>5</v>
      </c>
      <c r="CG52">
        <v>2700</v>
      </c>
      <c r="CH52">
        <v>7</v>
      </c>
      <c r="CI52">
        <v>3780</v>
      </c>
      <c r="CJ52">
        <v>5</v>
      </c>
      <c r="CK52">
        <v>2700</v>
      </c>
      <c r="CL52">
        <v>5</v>
      </c>
      <c r="CM52">
        <v>2700</v>
      </c>
      <c r="CN52">
        <v>10</v>
      </c>
      <c r="CO52">
        <v>5400</v>
      </c>
      <c r="CP52">
        <v>16</v>
      </c>
      <c r="CQ52">
        <v>8640</v>
      </c>
      <c r="CR52">
        <v>14</v>
      </c>
      <c r="CS52">
        <v>7560</v>
      </c>
      <c r="CT52">
        <v>14</v>
      </c>
      <c r="CU52">
        <v>7560</v>
      </c>
    </row>
    <row r="53" spans="2:99" x14ac:dyDescent="0.2">
      <c r="C53" s="118" t="s">
        <v>219</v>
      </c>
      <c r="D53">
        <v>26</v>
      </c>
      <c r="E53">
        <v>10576.800000000001</v>
      </c>
      <c r="F53">
        <v>26</v>
      </c>
      <c r="G53">
        <v>10576.800000000001</v>
      </c>
      <c r="H53">
        <v>18</v>
      </c>
      <c r="I53">
        <v>7322.4000000000005</v>
      </c>
      <c r="J53">
        <v>23</v>
      </c>
      <c r="K53">
        <v>9356.4</v>
      </c>
      <c r="L53">
        <v>6</v>
      </c>
      <c r="M53">
        <v>2440.8000000000002</v>
      </c>
      <c r="N53">
        <v>6</v>
      </c>
      <c r="O53">
        <v>2440.8000000000002</v>
      </c>
      <c r="P53">
        <v>7</v>
      </c>
      <c r="Q53">
        <v>2847.6</v>
      </c>
      <c r="R53">
        <v>7</v>
      </c>
      <c r="S53">
        <v>2847.6</v>
      </c>
      <c r="T53">
        <v>13</v>
      </c>
      <c r="U53">
        <v>5288.4000000000005</v>
      </c>
      <c r="V53">
        <v>18</v>
      </c>
      <c r="W53">
        <v>7322.4000000000005</v>
      </c>
      <c r="X53">
        <v>10</v>
      </c>
      <c r="Y53">
        <v>4068</v>
      </c>
      <c r="Z53">
        <v>11</v>
      </c>
      <c r="AA53">
        <v>4474.8</v>
      </c>
      <c r="AB53">
        <v>36</v>
      </c>
      <c r="AC53">
        <v>14644.800000000001</v>
      </c>
      <c r="AD53">
        <v>27</v>
      </c>
      <c r="AE53">
        <v>10983.6</v>
      </c>
      <c r="AF53">
        <v>36</v>
      </c>
      <c r="AG53">
        <v>14644.800000000001</v>
      </c>
      <c r="AH53">
        <v>51</v>
      </c>
      <c r="AI53">
        <v>20746.8</v>
      </c>
      <c r="AJ53">
        <v>4</v>
      </c>
      <c r="AK53">
        <v>1627.2</v>
      </c>
      <c r="AL53">
        <v>4</v>
      </c>
      <c r="AM53">
        <v>1627.2</v>
      </c>
      <c r="AN53">
        <v>3</v>
      </c>
      <c r="AO53">
        <v>1220.4000000000001</v>
      </c>
      <c r="AP53">
        <v>5</v>
      </c>
      <c r="AQ53">
        <v>2034</v>
      </c>
      <c r="AR53">
        <v>8</v>
      </c>
      <c r="AS53">
        <v>3254.4</v>
      </c>
      <c r="AT53">
        <v>9</v>
      </c>
      <c r="AU53">
        <v>3661.2000000000003</v>
      </c>
      <c r="AV53">
        <v>13</v>
      </c>
      <c r="AW53">
        <v>5288.4000000000005</v>
      </c>
      <c r="AX53">
        <v>9</v>
      </c>
      <c r="AY53">
        <v>3661.2000000000003</v>
      </c>
      <c r="AZ53">
        <v>21</v>
      </c>
      <c r="BA53">
        <v>8542.8000000000011</v>
      </c>
      <c r="BB53">
        <v>20</v>
      </c>
      <c r="BC53">
        <v>8136</v>
      </c>
      <c r="BD53">
        <v>25</v>
      </c>
      <c r="BE53">
        <v>10170</v>
      </c>
      <c r="BF53">
        <v>34</v>
      </c>
      <c r="BG53">
        <v>13831.2</v>
      </c>
      <c r="BH53">
        <v>6</v>
      </c>
      <c r="BI53">
        <v>2440.8000000000002</v>
      </c>
      <c r="BJ53">
        <v>10</v>
      </c>
      <c r="BK53">
        <v>4068</v>
      </c>
      <c r="BL53">
        <v>8</v>
      </c>
      <c r="BM53">
        <v>3254.4</v>
      </c>
      <c r="BN53">
        <v>9</v>
      </c>
      <c r="BO53">
        <v>3661.2000000000003</v>
      </c>
      <c r="BP53">
        <v>4</v>
      </c>
      <c r="BQ53">
        <v>1627.2</v>
      </c>
      <c r="BR53">
        <v>5</v>
      </c>
      <c r="BS53">
        <v>2034</v>
      </c>
      <c r="BT53">
        <v>4</v>
      </c>
      <c r="BU53">
        <v>1627.2</v>
      </c>
      <c r="BV53">
        <v>5</v>
      </c>
      <c r="BW53">
        <v>2034</v>
      </c>
      <c r="BX53">
        <v>12</v>
      </c>
      <c r="BY53">
        <v>4881.6000000000004</v>
      </c>
      <c r="BZ53">
        <v>13</v>
      </c>
      <c r="CA53">
        <v>5288.4000000000005</v>
      </c>
      <c r="CB53">
        <v>14</v>
      </c>
      <c r="CC53">
        <v>5695.2</v>
      </c>
      <c r="CD53">
        <v>15</v>
      </c>
      <c r="CE53">
        <v>6102</v>
      </c>
      <c r="CF53">
        <v>5</v>
      </c>
      <c r="CG53">
        <v>2034</v>
      </c>
      <c r="CH53">
        <v>6</v>
      </c>
      <c r="CI53">
        <v>2440.8000000000002</v>
      </c>
      <c r="CJ53">
        <v>4</v>
      </c>
      <c r="CK53">
        <v>1627.2</v>
      </c>
      <c r="CL53">
        <v>4</v>
      </c>
      <c r="CM53">
        <v>1627.2</v>
      </c>
      <c r="CN53">
        <v>10</v>
      </c>
      <c r="CO53">
        <v>4068</v>
      </c>
      <c r="CP53">
        <v>15</v>
      </c>
      <c r="CQ53">
        <v>6102</v>
      </c>
      <c r="CR53">
        <v>15</v>
      </c>
      <c r="CS53">
        <v>6102</v>
      </c>
      <c r="CT53">
        <v>14</v>
      </c>
      <c r="CU53">
        <v>5695.2</v>
      </c>
    </row>
    <row r="54" spans="2:99" x14ac:dyDescent="0.2">
      <c r="C54" s="118" t="s">
        <v>220</v>
      </c>
      <c r="D54">
        <v>27</v>
      </c>
      <c r="E54">
        <v>9039.6</v>
      </c>
      <c r="F54">
        <v>24</v>
      </c>
      <c r="G54">
        <v>8035.2000000000007</v>
      </c>
      <c r="H54">
        <v>20</v>
      </c>
      <c r="I54">
        <v>6696</v>
      </c>
      <c r="J54">
        <v>27</v>
      </c>
      <c r="K54">
        <v>9039.6</v>
      </c>
      <c r="L54">
        <v>6</v>
      </c>
      <c r="M54">
        <v>2008.8000000000002</v>
      </c>
      <c r="N54">
        <v>6</v>
      </c>
      <c r="O54">
        <v>2008.8000000000002</v>
      </c>
      <c r="P54">
        <v>7</v>
      </c>
      <c r="Q54">
        <v>2343.6</v>
      </c>
      <c r="R54">
        <v>7</v>
      </c>
      <c r="S54">
        <v>2343.6</v>
      </c>
      <c r="T54">
        <v>13</v>
      </c>
      <c r="U54">
        <v>4352.4000000000005</v>
      </c>
      <c r="V54">
        <v>17</v>
      </c>
      <c r="W54">
        <v>5691.6</v>
      </c>
      <c r="X54">
        <v>12</v>
      </c>
      <c r="Y54">
        <v>4017.6000000000004</v>
      </c>
      <c r="Z54">
        <v>11</v>
      </c>
      <c r="AA54">
        <v>3682.8</v>
      </c>
      <c r="AB54">
        <v>41</v>
      </c>
      <c r="AC54">
        <v>13726.800000000001</v>
      </c>
      <c r="AD54">
        <v>25</v>
      </c>
      <c r="AE54">
        <v>8370</v>
      </c>
      <c r="AF54">
        <v>32</v>
      </c>
      <c r="AG54">
        <v>10713.6</v>
      </c>
      <c r="AH54">
        <v>46</v>
      </c>
      <c r="AI54">
        <v>15400.800000000001</v>
      </c>
      <c r="AJ54">
        <v>4</v>
      </c>
      <c r="AK54">
        <v>1339.2</v>
      </c>
      <c r="AL54">
        <v>5</v>
      </c>
      <c r="AM54">
        <v>1674</v>
      </c>
      <c r="AN54">
        <v>3</v>
      </c>
      <c r="AO54">
        <v>1004.4000000000001</v>
      </c>
      <c r="AP54">
        <v>5</v>
      </c>
      <c r="AQ54">
        <v>1674</v>
      </c>
      <c r="AR54">
        <v>8</v>
      </c>
      <c r="AS54">
        <v>2678.4</v>
      </c>
      <c r="AT54">
        <v>9</v>
      </c>
      <c r="AU54">
        <v>3013.2000000000003</v>
      </c>
      <c r="AV54">
        <v>11</v>
      </c>
      <c r="AW54">
        <v>3682.8</v>
      </c>
      <c r="AX54">
        <v>9</v>
      </c>
      <c r="AY54">
        <v>3013.2000000000003</v>
      </c>
      <c r="AZ54">
        <v>21</v>
      </c>
      <c r="BA54">
        <v>7030.8</v>
      </c>
      <c r="BB54">
        <v>21</v>
      </c>
      <c r="BC54">
        <v>7030.8</v>
      </c>
      <c r="BD54">
        <v>22</v>
      </c>
      <c r="BE54">
        <v>7365.6</v>
      </c>
      <c r="BF54">
        <v>35</v>
      </c>
      <c r="BG54">
        <v>11718</v>
      </c>
      <c r="BH54">
        <v>6</v>
      </c>
      <c r="BI54">
        <v>2008.8000000000002</v>
      </c>
      <c r="BJ54">
        <v>10</v>
      </c>
      <c r="BK54">
        <v>3348</v>
      </c>
      <c r="BL54">
        <v>8</v>
      </c>
      <c r="BM54">
        <v>2678.4</v>
      </c>
      <c r="BN54">
        <v>8</v>
      </c>
      <c r="BO54">
        <v>2678.4</v>
      </c>
      <c r="BP54">
        <v>4</v>
      </c>
      <c r="BQ54">
        <v>1339.2</v>
      </c>
      <c r="BR54">
        <v>5</v>
      </c>
      <c r="BS54">
        <v>1674</v>
      </c>
      <c r="BT54">
        <v>4</v>
      </c>
      <c r="BU54">
        <v>1339.2</v>
      </c>
      <c r="BV54">
        <v>5</v>
      </c>
      <c r="BW54">
        <v>1674</v>
      </c>
      <c r="BX54">
        <v>13</v>
      </c>
      <c r="BY54">
        <v>4352.4000000000005</v>
      </c>
      <c r="BZ54">
        <v>12</v>
      </c>
      <c r="CA54">
        <v>4017.6000000000004</v>
      </c>
      <c r="CB54">
        <v>14</v>
      </c>
      <c r="CC54">
        <v>4687.2</v>
      </c>
      <c r="CD54">
        <v>16</v>
      </c>
      <c r="CE54">
        <v>5356.8</v>
      </c>
      <c r="CF54">
        <v>5</v>
      </c>
      <c r="CG54">
        <v>1674</v>
      </c>
      <c r="CH54">
        <v>6</v>
      </c>
      <c r="CI54">
        <v>2008.8000000000002</v>
      </c>
      <c r="CJ54">
        <v>4</v>
      </c>
      <c r="CK54">
        <v>1339.2</v>
      </c>
      <c r="CL54">
        <v>5</v>
      </c>
      <c r="CM54">
        <v>1674</v>
      </c>
      <c r="CN54">
        <v>11</v>
      </c>
      <c r="CO54">
        <v>3682.8</v>
      </c>
      <c r="CP54">
        <v>17</v>
      </c>
      <c r="CQ54">
        <v>5691.6</v>
      </c>
      <c r="CR54">
        <v>17</v>
      </c>
      <c r="CS54">
        <v>5691.6</v>
      </c>
      <c r="CT54">
        <v>14</v>
      </c>
      <c r="CU54">
        <v>4687.2</v>
      </c>
    </row>
    <row r="55" spans="2:99" x14ac:dyDescent="0.2">
      <c r="C55" s="118" t="s">
        <v>221</v>
      </c>
      <c r="D55">
        <v>26</v>
      </c>
      <c r="E55">
        <v>17253.600000000002</v>
      </c>
      <c r="F55">
        <v>21</v>
      </c>
      <c r="G55">
        <v>13935.6</v>
      </c>
      <c r="H55">
        <v>21</v>
      </c>
      <c r="I55">
        <v>13935.6</v>
      </c>
      <c r="J55">
        <v>24</v>
      </c>
      <c r="K55">
        <v>15926.400000000001</v>
      </c>
      <c r="L55">
        <v>6</v>
      </c>
      <c r="M55">
        <v>3981.6000000000004</v>
      </c>
      <c r="N55">
        <v>6</v>
      </c>
      <c r="O55">
        <v>3981.6000000000004</v>
      </c>
      <c r="P55">
        <v>8</v>
      </c>
      <c r="Q55">
        <v>5308.8</v>
      </c>
      <c r="R55">
        <v>7</v>
      </c>
      <c r="S55">
        <v>4645.2</v>
      </c>
      <c r="T55">
        <v>12</v>
      </c>
      <c r="U55">
        <v>7963.2000000000007</v>
      </c>
      <c r="V55">
        <v>20</v>
      </c>
      <c r="W55">
        <v>13272</v>
      </c>
      <c r="X55">
        <v>12</v>
      </c>
      <c r="Y55">
        <v>7963.2000000000007</v>
      </c>
      <c r="Z55">
        <v>11</v>
      </c>
      <c r="AA55">
        <v>7299.6</v>
      </c>
      <c r="AB55">
        <v>41</v>
      </c>
      <c r="AC55">
        <v>27207.600000000002</v>
      </c>
      <c r="AD55">
        <v>27</v>
      </c>
      <c r="AE55">
        <v>17917.2</v>
      </c>
      <c r="AF55">
        <v>32</v>
      </c>
      <c r="AG55">
        <v>21235.200000000001</v>
      </c>
      <c r="AH55">
        <v>48</v>
      </c>
      <c r="AI55">
        <v>31852.800000000003</v>
      </c>
      <c r="AJ55">
        <v>4</v>
      </c>
      <c r="AK55">
        <v>2654.4</v>
      </c>
      <c r="AL55">
        <v>5</v>
      </c>
      <c r="AM55">
        <v>3318</v>
      </c>
      <c r="AN55">
        <v>3</v>
      </c>
      <c r="AO55">
        <v>1990.8000000000002</v>
      </c>
      <c r="AP55">
        <v>5</v>
      </c>
      <c r="AQ55">
        <v>3318</v>
      </c>
      <c r="AR55">
        <v>8</v>
      </c>
      <c r="AS55">
        <v>5308.8</v>
      </c>
      <c r="AT55">
        <v>9</v>
      </c>
      <c r="AU55">
        <v>5972.4000000000005</v>
      </c>
      <c r="AV55">
        <v>11</v>
      </c>
      <c r="AW55">
        <v>7299.6</v>
      </c>
      <c r="AX55">
        <v>8</v>
      </c>
      <c r="AY55">
        <v>5308.8</v>
      </c>
      <c r="AZ55">
        <v>18</v>
      </c>
      <c r="BA55">
        <v>11944.800000000001</v>
      </c>
      <c r="BB55">
        <v>21</v>
      </c>
      <c r="BC55">
        <v>13935.6</v>
      </c>
      <c r="BD55">
        <v>22</v>
      </c>
      <c r="BE55">
        <v>14599.2</v>
      </c>
      <c r="BF55">
        <v>35</v>
      </c>
      <c r="BG55">
        <v>23226</v>
      </c>
      <c r="BH55">
        <v>7</v>
      </c>
      <c r="BI55">
        <v>4645.2</v>
      </c>
      <c r="BJ55">
        <v>11</v>
      </c>
      <c r="BK55">
        <v>7299.6</v>
      </c>
      <c r="BL55">
        <v>7</v>
      </c>
      <c r="BM55">
        <v>4645.2</v>
      </c>
      <c r="BN55">
        <v>8</v>
      </c>
      <c r="BO55">
        <v>5308.8</v>
      </c>
      <c r="BP55">
        <v>3</v>
      </c>
      <c r="BQ55">
        <v>1990.8000000000002</v>
      </c>
      <c r="BR55">
        <v>5</v>
      </c>
      <c r="BS55">
        <v>3318</v>
      </c>
      <c r="BT55">
        <v>4</v>
      </c>
      <c r="BU55">
        <v>2654.4</v>
      </c>
      <c r="BV55">
        <v>5</v>
      </c>
      <c r="BW55">
        <v>3318</v>
      </c>
      <c r="BX55">
        <v>12</v>
      </c>
      <c r="BY55">
        <v>7963.2000000000007</v>
      </c>
      <c r="BZ55">
        <v>11</v>
      </c>
      <c r="CA55">
        <v>7299.6</v>
      </c>
      <c r="CB55">
        <v>15</v>
      </c>
      <c r="CC55">
        <v>9954</v>
      </c>
      <c r="CD55">
        <v>17</v>
      </c>
      <c r="CE55">
        <v>11281.2</v>
      </c>
      <c r="CF55">
        <v>5</v>
      </c>
      <c r="CG55">
        <v>3318</v>
      </c>
      <c r="CH55">
        <v>6</v>
      </c>
      <c r="CI55">
        <v>3981.6000000000004</v>
      </c>
      <c r="CJ55">
        <v>4</v>
      </c>
      <c r="CK55">
        <v>2654.4</v>
      </c>
      <c r="CL55">
        <v>4</v>
      </c>
      <c r="CM55">
        <v>2654.4</v>
      </c>
      <c r="CN55">
        <v>9</v>
      </c>
      <c r="CO55">
        <v>5972.4000000000005</v>
      </c>
      <c r="CP55">
        <v>15</v>
      </c>
      <c r="CQ55">
        <v>9954</v>
      </c>
      <c r="CR55">
        <v>15</v>
      </c>
      <c r="CS55">
        <v>9954</v>
      </c>
      <c r="CT55">
        <v>12</v>
      </c>
      <c r="CU55">
        <v>7963.2000000000007</v>
      </c>
    </row>
    <row r="56" spans="2:99" x14ac:dyDescent="0.2">
      <c r="C56" s="118" t="s">
        <v>222</v>
      </c>
      <c r="D56">
        <v>23</v>
      </c>
      <c r="E56">
        <v>26468.399999999998</v>
      </c>
      <c r="F56">
        <v>22</v>
      </c>
      <c r="G56">
        <v>25317.599999999999</v>
      </c>
      <c r="H56">
        <v>17</v>
      </c>
      <c r="I56">
        <v>19563.599999999999</v>
      </c>
      <c r="J56">
        <v>23</v>
      </c>
      <c r="K56">
        <v>26468.399999999998</v>
      </c>
      <c r="L56">
        <v>7</v>
      </c>
      <c r="M56">
        <v>8055.5999999999995</v>
      </c>
      <c r="N56">
        <v>5</v>
      </c>
      <c r="O56">
        <v>5754</v>
      </c>
      <c r="P56">
        <v>7</v>
      </c>
      <c r="Q56">
        <v>8055.5999999999995</v>
      </c>
      <c r="R56">
        <v>7</v>
      </c>
      <c r="S56">
        <v>8055.5999999999995</v>
      </c>
      <c r="T56">
        <v>11</v>
      </c>
      <c r="U56">
        <v>12658.8</v>
      </c>
      <c r="V56">
        <v>18</v>
      </c>
      <c r="W56">
        <v>20714.399999999998</v>
      </c>
      <c r="X56">
        <v>11</v>
      </c>
      <c r="Y56">
        <v>12658.8</v>
      </c>
      <c r="Z56">
        <v>9</v>
      </c>
      <c r="AA56">
        <v>10357.199999999999</v>
      </c>
      <c r="AB56">
        <v>35</v>
      </c>
      <c r="AC56">
        <v>40278</v>
      </c>
      <c r="AD56">
        <v>24</v>
      </c>
      <c r="AE56">
        <v>27619.199999999997</v>
      </c>
      <c r="AF56">
        <v>28</v>
      </c>
      <c r="AG56">
        <v>32222.399999999998</v>
      </c>
      <c r="AH56">
        <v>39</v>
      </c>
      <c r="AI56">
        <v>44881.2</v>
      </c>
      <c r="AJ56">
        <v>4</v>
      </c>
      <c r="AK56">
        <v>4603.2</v>
      </c>
      <c r="AL56">
        <v>4</v>
      </c>
      <c r="AM56">
        <v>4603.2</v>
      </c>
      <c r="AN56">
        <v>3</v>
      </c>
      <c r="AO56">
        <v>3452.3999999999996</v>
      </c>
      <c r="AP56">
        <v>4</v>
      </c>
      <c r="AQ56">
        <v>4603.2</v>
      </c>
      <c r="AR56">
        <v>7</v>
      </c>
      <c r="AS56">
        <v>8055.5999999999995</v>
      </c>
      <c r="AT56">
        <v>8</v>
      </c>
      <c r="AU56">
        <v>9206.4</v>
      </c>
      <c r="AV56">
        <v>11</v>
      </c>
      <c r="AW56">
        <v>12658.8</v>
      </c>
      <c r="AX56">
        <v>7</v>
      </c>
      <c r="AY56">
        <v>8055.5999999999995</v>
      </c>
      <c r="AZ56">
        <v>19</v>
      </c>
      <c r="BA56">
        <v>21865.200000000001</v>
      </c>
      <c r="BB56">
        <v>20</v>
      </c>
      <c r="BC56">
        <v>23016</v>
      </c>
      <c r="BD56">
        <v>20</v>
      </c>
      <c r="BE56">
        <v>23016</v>
      </c>
      <c r="BF56">
        <v>32</v>
      </c>
      <c r="BG56">
        <v>36825.599999999999</v>
      </c>
      <c r="BH56">
        <v>6</v>
      </c>
      <c r="BI56">
        <v>6904.7999999999993</v>
      </c>
      <c r="BJ56">
        <v>11</v>
      </c>
      <c r="BK56">
        <v>12658.8</v>
      </c>
      <c r="BL56">
        <v>7</v>
      </c>
      <c r="BM56">
        <v>8055.5999999999995</v>
      </c>
      <c r="BN56">
        <v>8</v>
      </c>
      <c r="BO56">
        <v>9206.4</v>
      </c>
      <c r="BP56">
        <v>4</v>
      </c>
      <c r="BQ56">
        <v>4603.2</v>
      </c>
      <c r="BR56">
        <v>5</v>
      </c>
      <c r="BS56">
        <v>5754</v>
      </c>
      <c r="BT56">
        <v>3</v>
      </c>
      <c r="BU56">
        <v>3452.3999999999996</v>
      </c>
      <c r="BV56">
        <v>5</v>
      </c>
      <c r="BW56">
        <v>5754</v>
      </c>
      <c r="BX56">
        <v>12</v>
      </c>
      <c r="BY56">
        <v>13809.599999999999</v>
      </c>
      <c r="BZ56">
        <v>12</v>
      </c>
      <c r="CA56">
        <v>13809.599999999999</v>
      </c>
      <c r="CB56">
        <v>15</v>
      </c>
      <c r="CC56">
        <v>17262</v>
      </c>
      <c r="CD56">
        <v>16</v>
      </c>
      <c r="CE56">
        <v>18412.8</v>
      </c>
      <c r="CF56">
        <v>4</v>
      </c>
      <c r="CG56">
        <v>4603.2</v>
      </c>
      <c r="CH56">
        <v>6</v>
      </c>
      <c r="CI56">
        <v>6904.7999999999993</v>
      </c>
      <c r="CJ56">
        <v>4</v>
      </c>
      <c r="CK56">
        <v>4603.2</v>
      </c>
      <c r="CL56">
        <v>5</v>
      </c>
      <c r="CM56">
        <v>5754</v>
      </c>
      <c r="CN56">
        <v>9</v>
      </c>
      <c r="CO56">
        <v>10357.199999999999</v>
      </c>
      <c r="CP56">
        <v>15</v>
      </c>
      <c r="CQ56">
        <v>17262</v>
      </c>
      <c r="CR56">
        <v>16</v>
      </c>
      <c r="CS56">
        <v>18412.8</v>
      </c>
      <c r="CT56">
        <v>12</v>
      </c>
      <c r="CU56">
        <v>13809.599999999999</v>
      </c>
    </row>
    <row r="57" spans="2:99" x14ac:dyDescent="0.2">
      <c r="C57" s="118" t="s">
        <v>223</v>
      </c>
      <c r="D57">
        <v>21</v>
      </c>
      <c r="E57">
        <v>29635.200000000001</v>
      </c>
      <c r="F57">
        <v>22</v>
      </c>
      <c r="G57">
        <v>31046.400000000001</v>
      </c>
      <c r="H57">
        <v>16</v>
      </c>
      <c r="I57">
        <v>22579.200000000001</v>
      </c>
      <c r="J57">
        <v>23</v>
      </c>
      <c r="K57">
        <v>32457.600000000002</v>
      </c>
      <c r="L57">
        <v>6</v>
      </c>
      <c r="M57">
        <v>8467.2000000000007</v>
      </c>
      <c r="N57">
        <v>5</v>
      </c>
      <c r="O57">
        <v>7056</v>
      </c>
      <c r="P57">
        <v>6</v>
      </c>
      <c r="Q57">
        <v>8467.2000000000007</v>
      </c>
      <c r="R57">
        <v>7</v>
      </c>
      <c r="S57">
        <v>9878.4</v>
      </c>
      <c r="T57">
        <v>10</v>
      </c>
      <c r="U57">
        <v>14112</v>
      </c>
      <c r="V57">
        <v>18</v>
      </c>
      <c r="W57">
        <v>25401.600000000002</v>
      </c>
      <c r="X57">
        <v>11</v>
      </c>
      <c r="Y57">
        <v>15523.2</v>
      </c>
      <c r="Z57">
        <v>10</v>
      </c>
      <c r="AA57">
        <v>14112</v>
      </c>
      <c r="AB57">
        <v>36</v>
      </c>
      <c r="AC57">
        <v>50803.200000000004</v>
      </c>
      <c r="AD57">
        <v>21</v>
      </c>
      <c r="AE57">
        <v>29635.200000000001</v>
      </c>
      <c r="AF57">
        <v>26</v>
      </c>
      <c r="AG57">
        <v>36691.200000000004</v>
      </c>
      <c r="AH57">
        <v>43</v>
      </c>
      <c r="AI57">
        <v>60681.599999999999</v>
      </c>
      <c r="AJ57">
        <v>3</v>
      </c>
      <c r="AK57">
        <v>4233.6000000000004</v>
      </c>
      <c r="AL57">
        <v>4</v>
      </c>
      <c r="AM57">
        <v>5644.8</v>
      </c>
      <c r="AN57">
        <v>3</v>
      </c>
      <c r="AO57">
        <v>4233.6000000000004</v>
      </c>
      <c r="AP57">
        <v>4</v>
      </c>
      <c r="AQ57">
        <v>5644.8</v>
      </c>
      <c r="AR57">
        <v>8</v>
      </c>
      <c r="AS57">
        <v>11289.6</v>
      </c>
      <c r="AT57">
        <v>8</v>
      </c>
      <c r="AU57">
        <v>11289.6</v>
      </c>
      <c r="AV57">
        <v>12</v>
      </c>
      <c r="AW57">
        <v>16934.400000000001</v>
      </c>
      <c r="AX57">
        <v>8</v>
      </c>
      <c r="AY57">
        <v>11289.6</v>
      </c>
      <c r="AZ57">
        <v>19</v>
      </c>
      <c r="BA57">
        <v>26812.799999999999</v>
      </c>
      <c r="BB57">
        <v>17</v>
      </c>
      <c r="BC57">
        <v>23990.400000000001</v>
      </c>
      <c r="BD57">
        <v>19</v>
      </c>
      <c r="BE57">
        <v>26812.799999999999</v>
      </c>
      <c r="BF57">
        <v>33</v>
      </c>
      <c r="BG57">
        <v>46569.599999999999</v>
      </c>
      <c r="BH57">
        <v>5</v>
      </c>
      <c r="BI57">
        <v>7056</v>
      </c>
      <c r="BJ57">
        <v>10</v>
      </c>
      <c r="BK57">
        <v>14112</v>
      </c>
      <c r="BL57">
        <v>7</v>
      </c>
      <c r="BM57">
        <v>9878.4</v>
      </c>
      <c r="BN57">
        <v>9</v>
      </c>
      <c r="BO57">
        <v>12700.800000000001</v>
      </c>
      <c r="BP57">
        <v>4</v>
      </c>
      <c r="BQ57">
        <v>5644.8</v>
      </c>
      <c r="BR57">
        <v>5</v>
      </c>
      <c r="BS57">
        <v>7056</v>
      </c>
      <c r="BT57">
        <v>4</v>
      </c>
      <c r="BU57">
        <v>5644.8</v>
      </c>
      <c r="BV57">
        <v>5</v>
      </c>
      <c r="BW57">
        <v>7056</v>
      </c>
      <c r="BX57">
        <v>12</v>
      </c>
      <c r="BY57">
        <v>16934.400000000001</v>
      </c>
      <c r="BZ57">
        <v>12</v>
      </c>
      <c r="CA57">
        <v>16934.400000000001</v>
      </c>
      <c r="CB57">
        <v>13</v>
      </c>
      <c r="CC57">
        <v>18345.600000000002</v>
      </c>
      <c r="CD57">
        <v>15</v>
      </c>
      <c r="CE57">
        <v>21168</v>
      </c>
      <c r="CF57">
        <v>4</v>
      </c>
      <c r="CG57">
        <v>5644.8</v>
      </c>
      <c r="CH57">
        <v>6</v>
      </c>
      <c r="CI57">
        <v>8467.2000000000007</v>
      </c>
      <c r="CJ57">
        <v>4</v>
      </c>
      <c r="CK57">
        <v>5644.8</v>
      </c>
      <c r="CL57">
        <v>4</v>
      </c>
      <c r="CM57">
        <v>5644.8</v>
      </c>
      <c r="CN57">
        <v>8</v>
      </c>
      <c r="CO57">
        <v>11289.6</v>
      </c>
      <c r="CP57">
        <v>15</v>
      </c>
      <c r="CQ57">
        <v>21168</v>
      </c>
      <c r="CR57">
        <v>14</v>
      </c>
      <c r="CS57">
        <v>19756.8</v>
      </c>
      <c r="CT57">
        <v>12</v>
      </c>
      <c r="CU57">
        <v>16934.400000000001</v>
      </c>
    </row>
    <row r="58" spans="2:99" x14ac:dyDescent="0.2">
      <c r="C58" s="118" t="s">
        <v>224</v>
      </c>
      <c r="D58">
        <v>22</v>
      </c>
      <c r="E58">
        <v>25898.400000000001</v>
      </c>
      <c r="F58">
        <v>21</v>
      </c>
      <c r="G58">
        <v>24721.200000000001</v>
      </c>
      <c r="H58">
        <v>17</v>
      </c>
      <c r="I58">
        <v>20012.400000000001</v>
      </c>
      <c r="J58">
        <v>22</v>
      </c>
      <c r="K58">
        <v>25898.400000000001</v>
      </c>
      <c r="L58">
        <v>6</v>
      </c>
      <c r="M58">
        <v>7063.2000000000007</v>
      </c>
      <c r="N58">
        <v>6</v>
      </c>
      <c r="O58">
        <v>7063.2000000000007</v>
      </c>
      <c r="P58">
        <v>7</v>
      </c>
      <c r="Q58">
        <v>8240.4</v>
      </c>
      <c r="R58">
        <v>7</v>
      </c>
      <c r="S58">
        <v>8240.4</v>
      </c>
      <c r="T58">
        <v>11</v>
      </c>
      <c r="U58">
        <v>12949.2</v>
      </c>
      <c r="V58">
        <v>17</v>
      </c>
      <c r="W58">
        <v>20012.400000000001</v>
      </c>
      <c r="X58">
        <v>11</v>
      </c>
      <c r="Y58">
        <v>12949.2</v>
      </c>
      <c r="Z58">
        <v>9</v>
      </c>
      <c r="AA58">
        <v>10594.800000000001</v>
      </c>
      <c r="AB58">
        <v>32</v>
      </c>
      <c r="AC58">
        <v>37670.400000000001</v>
      </c>
      <c r="AD58">
        <v>22</v>
      </c>
      <c r="AE58">
        <v>25898.400000000001</v>
      </c>
      <c r="AF58">
        <v>31</v>
      </c>
      <c r="AG58">
        <v>36493.200000000004</v>
      </c>
      <c r="AH58">
        <v>45</v>
      </c>
      <c r="AI58">
        <v>52974</v>
      </c>
      <c r="AJ58">
        <v>4</v>
      </c>
      <c r="AK58">
        <v>4708.8</v>
      </c>
      <c r="AL58">
        <v>4</v>
      </c>
      <c r="AM58">
        <v>4708.8</v>
      </c>
      <c r="AN58">
        <v>3</v>
      </c>
      <c r="AO58">
        <v>3531.6000000000004</v>
      </c>
      <c r="AP58">
        <v>5</v>
      </c>
      <c r="AQ58">
        <v>5886</v>
      </c>
      <c r="AR58">
        <v>8</v>
      </c>
      <c r="AS58">
        <v>9417.6</v>
      </c>
      <c r="AT58">
        <v>8</v>
      </c>
      <c r="AU58">
        <v>9417.6</v>
      </c>
      <c r="AV58">
        <v>12</v>
      </c>
      <c r="AW58">
        <v>14126.400000000001</v>
      </c>
      <c r="AX58">
        <v>9</v>
      </c>
      <c r="AY58">
        <v>10594.800000000001</v>
      </c>
      <c r="AZ58">
        <v>19</v>
      </c>
      <c r="BA58">
        <v>22366.799999999999</v>
      </c>
      <c r="BB58">
        <v>16</v>
      </c>
      <c r="BC58">
        <v>18835.2</v>
      </c>
      <c r="BD58">
        <v>20</v>
      </c>
      <c r="BE58">
        <v>23544</v>
      </c>
      <c r="BF58">
        <v>31</v>
      </c>
      <c r="BG58">
        <v>36493.200000000004</v>
      </c>
      <c r="BH58">
        <v>6</v>
      </c>
      <c r="BI58">
        <v>7063.2000000000007</v>
      </c>
      <c r="BJ58">
        <v>11</v>
      </c>
      <c r="BK58">
        <v>12949.2</v>
      </c>
      <c r="BL58">
        <v>7</v>
      </c>
      <c r="BM58">
        <v>8240.4</v>
      </c>
      <c r="BN58">
        <v>8</v>
      </c>
      <c r="BO58">
        <v>9417.6</v>
      </c>
      <c r="BP58">
        <v>4</v>
      </c>
      <c r="BQ58">
        <v>4708.8</v>
      </c>
      <c r="BR58">
        <v>5</v>
      </c>
      <c r="BS58">
        <v>5886</v>
      </c>
      <c r="BT58">
        <v>3</v>
      </c>
      <c r="BU58">
        <v>3531.6000000000004</v>
      </c>
      <c r="BV58">
        <v>5</v>
      </c>
      <c r="BW58">
        <v>5886</v>
      </c>
      <c r="BX58">
        <v>13</v>
      </c>
      <c r="BY58">
        <v>15303.6</v>
      </c>
      <c r="BZ58">
        <v>12</v>
      </c>
      <c r="CA58">
        <v>14126.400000000001</v>
      </c>
      <c r="CB58">
        <v>15</v>
      </c>
      <c r="CC58">
        <v>17658</v>
      </c>
      <c r="CD58">
        <v>15</v>
      </c>
      <c r="CE58">
        <v>17658</v>
      </c>
      <c r="CF58">
        <v>5</v>
      </c>
      <c r="CG58">
        <v>5886</v>
      </c>
      <c r="CH58">
        <v>6</v>
      </c>
      <c r="CI58">
        <v>7063.2000000000007</v>
      </c>
      <c r="CJ58">
        <v>4</v>
      </c>
      <c r="CK58">
        <v>4708.8</v>
      </c>
      <c r="CL58">
        <v>4</v>
      </c>
      <c r="CM58">
        <v>4708.8</v>
      </c>
      <c r="CN58">
        <v>10</v>
      </c>
      <c r="CO58">
        <v>11772</v>
      </c>
      <c r="CP58">
        <v>14</v>
      </c>
      <c r="CQ58">
        <v>16480.8</v>
      </c>
      <c r="CR58">
        <v>14</v>
      </c>
      <c r="CS58">
        <v>16480.8</v>
      </c>
      <c r="CT58">
        <v>13</v>
      </c>
      <c r="CU58">
        <v>15303.6</v>
      </c>
    </row>
    <row r="59" spans="2:99" x14ac:dyDescent="0.2">
      <c r="C59" s="118" t="s">
        <v>225</v>
      </c>
      <c r="D59">
        <v>27</v>
      </c>
      <c r="E59">
        <v>8197.1999999999989</v>
      </c>
      <c r="F59">
        <v>22</v>
      </c>
      <c r="G59">
        <v>6679.1999999999989</v>
      </c>
      <c r="H59">
        <v>20</v>
      </c>
      <c r="I59">
        <v>6071.9999999999991</v>
      </c>
      <c r="J59">
        <v>25</v>
      </c>
      <c r="K59">
        <v>7589.9999999999991</v>
      </c>
      <c r="L59">
        <v>6</v>
      </c>
      <c r="M59">
        <v>1821.6</v>
      </c>
      <c r="N59">
        <v>7</v>
      </c>
      <c r="O59">
        <v>2125.1999999999998</v>
      </c>
      <c r="P59">
        <v>7</v>
      </c>
      <c r="Q59">
        <v>2125.1999999999998</v>
      </c>
      <c r="R59">
        <v>7</v>
      </c>
      <c r="S59">
        <v>2125.1999999999998</v>
      </c>
      <c r="T59">
        <v>12</v>
      </c>
      <c r="U59">
        <v>3643.2</v>
      </c>
      <c r="V59">
        <v>19</v>
      </c>
      <c r="W59">
        <v>5768.4</v>
      </c>
      <c r="X59">
        <v>11</v>
      </c>
      <c r="Y59">
        <v>3339.5999999999995</v>
      </c>
      <c r="Z59">
        <v>12</v>
      </c>
      <c r="AA59">
        <v>3643.2</v>
      </c>
      <c r="AB59">
        <v>38</v>
      </c>
      <c r="AC59">
        <v>11536.8</v>
      </c>
      <c r="AD59">
        <v>25</v>
      </c>
      <c r="AE59">
        <v>7589.9999999999991</v>
      </c>
      <c r="AF59">
        <v>32</v>
      </c>
      <c r="AG59">
        <v>9715.1999999999989</v>
      </c>
      <c r="AH59">
        <v>52</v>
      </c>
      <c r="AI59">
        <v>15787.199999999999</v>
      </c>
      <c r="AJ59">
        <v>4</v>
      </c>
      <c r="AK59">
        <v>1214.3999999999999</v>
      </c>
      <c r="AL59">
        <v>4</v>
      </c>
      <c r="AM59">
        <v>1214.3999999999999</v>
      </c>
      <c r="AN59">
        <v>3</v>
      </c>
      <c r="AO59">
        <v>910.8</v>
      </c>
      <c r="AP59">
        <v>4</v>
      </c>
      <c r="AQ59">
        <v>1214.3999999999999</v>
      </c>
      <c r="AR59">
        <v>8</v>
      </c>
      <c r="AS59">
        <v>2428.7999999999997</v>
      </c>
      <c r="AT59">
        <v>8</v>
      </c>
      <c r="AU59">
        <v>2428.7999999999997</v>
      </c>
      <c r="AV59">
        <v>13</v>
      </c>
      <c r="AW59">
        <v>3946.7999999999997</v>
      </c>
      <c r="AX59">
        <v>9</v>
      </c>
      <c r="AY59">
        <v>2732.3999999999996</v>
      </c>
      <c r="AZ59">
        <v>18</v>
      </c>
      <c r="BA59">
        <v>5464.7999999999993</v>
      </c>
      <c r="BB59">
        <v>18</v>
      </c>
      <c r="BC59">
        <v>5464.7999999999993</v>
      </c>
      <c r="BD59">
        <v>22</v>
      </c>
      <c r="BE59">
        <v>6679.1999999999989</v>
      </c>
      <c r="BF59">
        <v>35</v>
      </c>
      <c r="BG59">
        <v>10625.999999999998</v>
      </c>
      <c r="BH59">
        <v>7</v>
      </c>
      <c r="BI59">
        <v>2125.1999999999998</v>
      </c>
      <c r="BJ59">
        <v>12</v>
      </c>
      <c r="BK59">
        <v>3643.2</v>
      </c>
      <c r="BL59">
        <v>8</v>
      </c>
      <c r="BM59">
        <v>2428.7999999999997</v>
      </c>
      <c r="BN59">
        <v>10</v>
      </c>
      <c r="BO59">
        <v>3035.9999999999995</v>
      </c>
      <c r="BP59">
        <v>4</v>
      </c>
      <c r="BQ59">
        <v>1214.3999999999999</v>
      </c>
      <c r="BR59">
        <v>5</v>
      </c>
      <c r="BS59">
        <v>1517.9999999999998</v>
      </c>
      <c r="BT59">
        <v>3</v>
      </c>
      <c r="BU59">
        <v>910.8</v>
      </c>
      <c r="BV59">
        <v>5</v>
      </c>
      <c r="BW59">
        <v>1517.9999999999998</v>
      </c>
      <c r="BX59">
        <v>12</v>
      </c>
      <c r="BY59">
        <v>3643.2</v>
      </c>
      <c r="BZ59">
        <v>12</v>
      </c>
      <c r="CA59">
        <v>3643.2</v>
      </c>
      <c r="CB59">
        <v>14</v>
      </c>
      <c r="CC59">
        <v>4250.3999999999996</v>
      </c>
      <c r="CD59">
        <v>15</v>
      </c>
      <c r="CE59">
        <v>4553.9999999999991</v>
      </c>
      <c r="CF59">
        <v>5</v>
      </c>
      <c r="CG59">
        <v>1517.9999999999998</v>
      </c>
      <c r="CH59">
        <v>6</v>
      </c>
      <c r="CI59">
        <v>1821.6</v>
      </c>
      <c r="CJ59">
        <v>5</v>
      </c>
      <c r="CK59">
        <v>1517.9999999999998</v>
      </c>
      <c r="CL59">
        <v>5</v>
      </c>
      <c r="CM59">
        <v>1517.9999999999998</v>
      </c>
      <c r="CN59">
        <v>11</v>
      </c>
      <c r="CO59">
        <v>3339.5999999999995</v>
      </c>
      <c r="CP59">
        <v>14</v>
      </c>
      <c r="CQ59">
        <v>4250.3999999999996</v>
      </c>
      <c r="CR59">
        <v>16</v>
      </c>
      <c r="CS59">
        <v>4857.5999999999995</v>
      </c>
      <c r="CT59">
        <v>15</v>
      </c>
      <c r="CU59">
        <v>4553.9999999999991</v>
      </c>
    </row>
    <row r="60" spans="2:99" x14ac:dyDescent="0.2">
      <c r="C60" s="118" t="s">
        <v>226</v>
      </c>
      <c r="D60">
        <v>24</v>
      </c>
      <c r="E60">
        <v>15638.400000000001</v>
      </c>
      <c r="F60">
        <v>24</v>
      </c>
      <c r="G60">
        <v>15638.400000000001</v>
      </c>
      <c r="H60">
        <v>21</v>
      </c>
      <c r="I60">
        <v>13683.6</v>
      </c>
      <c r="J60">
        <v>23</v>
      </c>
      <c r="K60">
        <v>14986.800000000001</v>
      </c>
      <c r="L60">
        <v>6</v>
      </c>
      <c r="M60">
        <v>3909.6000000000004</v>
      </c>
      <c r="N60">
        <v>6</v>
      </c>
      <c r="O60">
        <v>3909.6000000000004</v>
      </c>
      <c r="P60">
        <v>7</v>
      </c>
      <c r="Q60">
        <v>4561.2</v>
      </c>
      <c r="R60">
        <v>6</v>
      </c>
      <c r="S60">
        <v>3909.6000000000004</v>
      </c>
      <c r="T60">
        <v>11</v>
      </c>
      <c r="U60">
        <v>7167.6</v>
      </c>
      <c r="V60">
        <v>18</v>
      </c>
      <c r="W60">
        <v>11728.800000000001</v>
      </c>
      <c r="X60">
        <v>11</v>
      </c>
      <c r="Y60">
        <v>7167.6</v>
      </c>
      <c r="Z60">
        <v>10</v>
      </c>
      <c r="AA60">
        <v>6516</v>
      </c>
      <c r="AB60">
        <v>40</v>
      </c>
      <c r="AC60">
        <v>26064</v>
      </c>
      <c r="AD60">
        <v>28</v>
      </c>
      <c r="AE60">
        <v>18244.8</v>
      </c>
      <c r="AF60">
        <v>33</v>
      </c>
      <c r="AG60">
        <v>21502.799999999999</v>
      </c>
      <c r="AH60">
        <v>48</v>
      </c>
      <c r="AI60">
        <v>31276.800000000003</v>
      </c>
      <c r="AJ60">
        <v>4</v>
      </c>
      <c r="AK60">
        <v>2606.4</v>
      </c>
      <c r="AL60">
        <v>4</v>
      </c>
      <c r="AM60">
        <v>2606.4</v>
      </c>
      <c r="AN60">
        <v>3</v>
      </c>
      <c r="AO60">
        <v>1954.8000000000002</v>
      </c>
      <c r="AP60">
        <v>5</v>
      </c>
      <c r="AQ60">
        <v>3258</v>
      </c>
      <c r="AR60">
        <v>8</v>
      </c>
      <c r="AS60">
        <v>5212.8</v>
      </c>
      <c r="AT60">
        <v>9</v>
      </c>
      <c r="AU60">
        <v>5864.4000000000005</v>
      </c>
      <c r="AV60">
        <v>13</v>
      </c>
      <c r="AW60">
        <v>8470.8000000000011</v>
      </c>
      <c r="AX60">
        <v>8</v>
      </c>
      <c r="AY60">
        <v>5212.8</v>
      </c>
      <c r="AZ60">
        <v>18</v>
      </c>
      <c r="BA60">
        <v>11728.800000000001</v>
      </c>
      <c r="BB60">
        <v>19</v>
      </c>
      <c r="BC60">
        <v>12380.4</v>
      </c>
      <c r="BD60">
        <v>22</v>
      </c>
      <c r="BE60">
        <v>14335.2</v>
      </c>
      <c r="BF60">
        <v>31</v>
      </c>
      <c r="BG60">
        <v>20199.600000000002</v>
      </c>
      <c r="BH60">
        <v>6</v>
      </c>
      <c r="BI60">
        <v>3909.6000000000004</v>
      </c>
      <c r="BJ60">
        <v>11</v>
      </c>
      <c r="BK60">
        <v>7167.6</v>
      </c>
      <c r="BL60">
        <v>8</v>
      </c>
      <c r="BM60">
        <v>5212.8</v>
      </c>
      <c r="BN60">
        <v>10</v>
      </c>
      <c r="BO60">
        <v>6516</v>
      </c>
      <c r="BP60">
        <v>3</v>
      </c>
      <c r="BQ60">
        <v>1954.8000000000002</v>
      </c>
      <c r="BR60">
        <v>5</v>
      </c>
      <c r="BS60">
        <v>3258</v>
      </c>
      <c r="BT60">
        <v>4</v>
      </c>
      <c r="BU60">
        <v>2606.4</v>
      </c>
      <c r="BV60">
        <v>5</v>
      </c>
      <c r="BW60">
        <v>3258</v>
      </c>
      <c r="BX60">
        <v>11</v>
      </c>
      <c r="BY60">
        <v>7167.6</v>
      </c>
      <c r="BZ60">
        <v>13</v>
      </c>
      <c r="CA60">
        <v>8470.8000000000011</v>
      </c>
      <c r="CB60">
        <v>16</v>
      </c>
      <c r="CC60">
        <v>10425.6</v>
      </c>
      <c r="CD60">
        <v>17</v>
      </c>
      <c r="CE60">
        <v>11077.2</v>
      </c>
      <c r="CF60">
        <v>5</v>
      </c>
      <c r="CG60">
        <v>3258</v>
      </c>
      <c r="CH60">
        <v>7</v>
      </c>
      <c r="CI60">
        <v>4561.2</v>
      </c>
      <c r="CJ60">
        <v>4</v>
      </c>
      <c r="CK60">
        <v>2606.4</v>
      </c>
      <c r="CL60">
        <v>5</v>
      </c>
      <c r="CM60">
        <v>3258</v>
      </c>
      <c r="CN60">
        <v>10</v>
      </c>
      <c r="CO60">
        <v>6516</v>
      </c>
      <c r="CP60">
        <v>14</v>
      </c>
      <c r="CQ60">
        <v>9122.4</v>
      </c>
      <c r="CR60">
        <v>15</v>
      </c>
      <c r="CS60">
        <v>9774</v>
      </c>
      <c r="CT60">
        <v>14</v>
      </c>
      <c r="CU60">
        <v>9122.4</v>
      </c>
    </row>
    <row r="61" spans="2:99" x14ac:dyDescent="0.2">
      <c r="C61" s="118" t="s">
        <v>227</v>
      </c>
      <c r="D61">
        <v>25</v>
      </c>
      <c r="E61">
        <v>23789.999999999996</v>
      </c>
      <c r="F61">
        <v>24</v>
      </c>
      <c r="G61">
        <v>22838.399999999998</v>
      </c>
      <c r="H61">
        <v>18</v>
      </c>
      <c r="I61">
        <v>17128.8</v>
      </c>
      <c r="J61">
        <v>25</v>
      </c>
      <c r="K61">
        <v>23789.999999999996</v>
      </c>
      <c r="L61">
        <v>7</v>
      </c>
      <c r="M61">
        <v>6661.1999999999989</v>
      </c>
      <c r="N61">
        <v>6</v>
      </c>
      <c r="O61">
        <v>5709.5999999999995</v>
      </c>
      <c r="P61">
        <v>7</v>
      </c>
      <c r="Q61">
        <v>6661.1999999999989</v>
      </c>
      <c r="R61">
        <v>6</v>
      </c>
      <c r="S61">
        <v>5709.5999999999995</v>
      </c>
      <c r="T61">
        <v>12</v>
      </c>
      <c r="U61">
        <v>11419.199999999999</v>
      </c>
      <c r="V61">
        <v>18</v>
      </c>
      <c r="W61">
        <v>17128.8</v>
      </c>
      <c r="X61">
        <v>10</v>
      </c>
      <c r="Y61">
        <v>9516</v>
      </c>
      <c r="Z61">
        <v>10</v>
      </c>
      <c r="AA61">
        <v>9516</v>
      </c>
      <c r="AB61">
        <v>35</v>
      </c>
      <c r="AC61">
        <v>33306</v>
      </c>
      <c r="AD61">
        <v>24</v>
      </c>
      <c r="AE61">
        <v>22838.399999999998</v>
      </c>
      <c r="AF61">
        <v>31</v>
      </c>
      <c r="AG61">
        <v>29499.599999999999</v>
      </c>
      <c r="AH61">
        <v>41</v>
      </c>
      <c r="AI61">
        <v>39015.599999999999</v>
      </c>
      <c r="AJ61">
        <v>4</v>
      </c>
      <c r="AK61">
        <v>3806.3999999999996</v>
      </c>
      <c r="AL61">
        <v>4</v>
      </c>
      <c r="AM61">
        <v>3806.3999999999996</v>
      </c>
      <c r="AN61">
        <v>3</v>
      </c>
      <c r="AO61">
        <v>2854.7999999999997</v>
      </c>
      <c r="AP61">
        <v>4</v>
      </c>
      <c r="AQ61">
        <v>3806.3999999999996</v>
      </c>
      <c r="AR61">
        <v>7</v>
      </c>
      <c r="AS61">
        <v>6661.1999999999989</v>
      </c>
      <c r="AT61">
        <v>8</v>
      </c>
      <c r="AU61">
        <v>7612.7999999999993</v>
      </c>
      <c r="AV61">
        <v>10</v>
      </c>
      <c r="AW61">
        <v>9516</v>
      </c>
      <c r="AX61">
        <v>8</v>
      </c>
      <c r="AY61">
        <v>7612.7999999999993</v>
      </c>
      <c r="AZ61">
        <v>20</v>
      </c>
      <c r="BA61">
        <v>19032</v>
      </c>
      <c r="BB61">
        <v>17</v>
      </c>
      <c r="BC61">
        <v>16177.199999999999</v>
      </c>
      <c r="BD61">
        <v>22</v>
      </c>
      <c r="BE61">
        <v>20935.199999999997</v>
      </c>
      <c r="BF61">
        <v>33</v>
      </c>
      <c r="BG61">
        <v>31402.799999999996</v>
      </c>
      <c r="BH61">
        <v>6</v>
      </c>
      <c r="BI61">
        <v>5709.5999999999995</v>
      </c>
      <c r="BJ61">
        <v>10</v>
      </c>
      <c r="BK61">
        <v>9516</v>
      </c>
      <c r="BL61">
        <v>8</v>
      </c>
      <c r="BM61">
        <v>7612.7999999999993</v>
      </c>
      <c r="BN61">
        <v>8</v>
      </c>
      <c r="BO61">
        <v>7612.7999999999993</v>
      </c>
      <c r="BP61">
        <v>3</v>
      </c>
      <c r="BQ61">
        <v>2854.7999999999997</v>
      </c>
      <c r="BR61">
        <v>5</v>
      </c>
      <c r="BS61">
        <v>4758</v>
      </c>
      <c r="BT61">
        <v>4</v>
      </c>
      <c r="BU61">
        <v>3806.3999999999996</v>
      </c>
      <c r="BV61">
        <v>5</v>
      </c>
      <c r="BW61">
        <v>4758</v>
      </c>
      <c r="BX61">
        <v>11</v>
      </c>
      <c r="BY61">
        <v>10467.599999999999</v>
      </c>
      <c r="BZ61">
        <v>12</v>
      </c>
      <c r="CA61">
        <v>11419.199999999999</v>
      </c>
      <c r="CB61">
        <v>14</v>
      </c>
      <c r="CC61">
        <v>13322.399999999998</v>
      </c>
      <c r="CD61">
        <v>15</v>
      </c>
      <c r="CE61">
        <v>14273.999999999998</v>
      </c>
      <c r="CF61">
        <v>5</v>
      </c>
      <c r="CG61">
        <v>4758</v>
      </c>
      <c r="CH61">
        <v>7</v>
      </c>
      <c r="CI61">
        <v>6661.1999999999989</v>
      </c>
      <c r="CJ61">
        <v>4</v>
      </c>
      <c r="CK61">
        <v>3806.3999999999996</v>
      </c>
      <c r="CL61">
        <v>5</v>
      </c>
      <c r="CM61">
        <v>4758</v>
      </c>
      <c r="CN61">
        <v>9</v>
      </c>
      <c r="CO61">
        <v>8564.4</v>
      </c>
      <c r="CP61">
        <v>13</v>
      </c>
      <c r="CQ61">
        <v>12370.8</v>
      </c>
      <c r="CR61">
        <v>15</v>
      </c>
      <c r="CS61">
        <v>14273.999999999998</v>
      </c>
      <c r="CT61">
        <v>14</v>
      </c>
      <c r="CU61">
        <v>13322.399999999998</v>
      </c>
    </row>
    <row r="62" spans="2:99" x14ac:dyDescent="0.2">
      <c r="C62" s="118" t="s">
        <v>228</v>
      </c>
      <c r="D62">
        <v>23</v>
      </c>
      <c r="E62">
        <v>39219.599999999999</v>
      </c>
      <c r="F62">
        <v>20</v>
      </c>
      <c r="G62">
        <v>34104</v>
      </c>
      <c r="H62">
        <v>16</v>
      </c>
      <c r="I62">
        <v>27283.200000000001</v>
      </c>
      <c r="J62">
        <v>20</v>
      </c>
      <c r="K62">
        <v>34104</v>
      </c>
      <c r="L62">
        <v>6</v>
      </c>
      <c r="M62">
        <v>10231.200000000001</v>
      </c>
      <c r="N62">
        <v>6</v>
      </c>
      <c r="O62">
        <v>10231.200000000001</v>
      </c>
      <c r="P62">
        <v>6</v>
      </c>
      <c r="Q62">
        <v>10231.200000000001</v>
      </c>
      <c r="R62">
        <v>6</v>
      </c>
      <c r="S62">
        <v>10231.200000000001</v>
      </c>
      <c r="T62">
        <v>11</v>
      </c>
      <c r="U62">
        <v>18757.2</v>
      </c>
      <c r="V62">
        <v>17</v>
      </c>
      <c r="W62">
        <v>28988.400000000001</v>
      </c>
      <c r="X62">
        <v>11</v>
      </c>
      <c r="Y62">
        <v>18757.2</v>
      </c>
      <c r="Z62">
        <v>9</v>
      </c>
      <c r="AA62">
        <v>15346.800000000001</v>
      </c>
      <c r="AB62">
        <v>34</v>
      </c>
      <c r="AC62">
        <v>57976.800000000003</v>
      </c>
      <c r="AD62">
        <v>20</v>
      </c>
      <c r="AE62">
        <v>34104</v>
      </c>
      <c r="AF62">
        <v>26</v>
      </c>
      <c r="AG62">
        <v>44335.200000000004</v>
      </c>
      <c r="AH62">
        <v>39</v>
      </c>
      <c r="AI62">
        <v>66502.8</v>
      </c>
      <c r="AJ62">
        <v>4</v>
      </c>
      <c r="AK62">
        <v>6820.8</v>
      </c>
      <c r="AL62">
        <v>4</v>
      </c>
      <c r="AM62">
        <v>6820.8</v>
      </c>
      <c r="AN62">
        <v>3</v>
      </c>
      <c r="AO62">
        <v>5115.6000000000004</v>
      </c>
      <c r="AP62">
        <v>5</v>
      </c>
      <c r="AQ62">
        <v>8526</v>
      </c>
      <c r="AR62">
        <v>7</v>
      </c>
      <c r="AS62">
        <v>11936.4</v>
      </c>
      <c r="AT62">
        <v>7</v>
      </c>
      <c r="AU62">
        <v>11936.4</v>
      </c>
      <c r="AV62">
        <v>11</v>
      </c>
      <c r="AW62">
        <v>18757.2</v>
      </c>
      <c r="AX62">
        <v>7</v>
      </c>
      <c r="AY62">
        <v>11936.4</v>
      </c>
      <c r="AZ62">
        <v>18</v>
      </c>
      <c r="BA62">
        <v>30693.600000000002</v>
      </c>
      <c r="BB62">
        <v>17</v>
      </c>
      <c r="BC62">
        <v>28988.400000000001</v>
      </c>
      <c r="BD62">
        <v>19</v>
      </c>
      <c r="BE62">
        <v>32398.799999999999</v>
      </c>
      <c r="BF62">
        <v>28</v>
      </c>
      <c r="BG62">
        <v>47745.599999999999</v>
      </c>
      <c r="BH62">
        <v>5</v>
      </c>
      <c r="BI62">
        <v>8526</v>
      </c>
      <c r="BJ62">
        <v>9</v>
      </c>
      <c r="BK62">
        <v>15346.800000000001</v>
      </c>
      <c r="BL62">
        <v>7</v>
      </c>
      <c r="BM62">
        <v>11936.4</v>
      </c>
      <c r="BN62">
        <v>8</v>
      </c>
      <c r="BO62">
        <v>13641.6</v>
      </c>
      <c r="BP62">
        <v>3</v>
      </c>
      <c r="BQ62">
        <v>5115.6000000000004</v>
      </c>
      <c r="BR62">
        <v>4</v>
      </c>
      <c r="BS62">
        <v>6820.8</v>
      </c>
      <c r="BT62">
        <v>4</v>
      </c>
      <c r="BU62">
        <v>6820.8</v>
      </c>
      <c r="BV62">
        <v>5</v>
      </c>
      <c r="BW62">
        <v>8526</v>
      </c>
      <c r="BX62">
        <v>12</v>
      </c>
      <c r="BY62">
        <v>20462.400000000001</v>
      </c>
      <c r="BZ62">
        <v>11</v>
      </c>
      <c r="CA62">
        <v>18757.2</v>
      </c>
      <c r="CB62">
        <v>14</v>
      </c>
      <c r="CC62">
        <v>23872.799999999999</v>
      </c>
      <c r="CD62">
        <v>15</v>
      </c>
      <c r="CE62">
        <v>25578</v>
      </c>
      <c r="CF62">
        <v>4</v>
      </c>
      <c r="CG62">
        <v>6820.8</v>
      </c>
      <c r="CH62">
        <v>6</v>
      </c>
      <c r="CI62">
        <v>10231.200000000001</v>
      </c>
      <c r="CJ62">
        <v>4</v>
      </c>
      <c r="CK62">
        <v>6820.8</v>
      </c>
      <c r="CL62">
        <v>4</v>
      </c>
      <c r="CM62">
        <v>6820.8</v>
      </c>
      <c r="CN62">
        <v>9</v>
      </c>
      <c r="CO62">
        <v>15346.800000000001</v>
      </c>
      <c r="CP62">
        <v>13</v>
      </c>
      <c r="CQ62">
        <v>22167.600000000002</v>
      </c>
      <c r="CR62">
        <v>13</v>
      </c>
      <c r="CS62">
        <v>22167.600000000002</v>
      </c>
      <c r="CT62">
        <v>13</v>
      </c>
      <c r="CU62">
        <v>22167.600000000002</v>
      </c>
    </row>
    <row r="63" spans="2:99" x14ac:dyDescent="0.2">
      <c r="C63" s="118" t="s">
        <v>229</v>
      </c>
      <c r="D63">
        <v>21</v>
      </c>
      <c r="E63">
        <v>16707.600000000002</v>
      </c>
      <c r="F63">
        <v>22</v>
      </c>
      <c r="G63">
        <v>17503.2</v>
      </c>
      <c r="H63">
        <v>20</v>
      </c>
      <c r="I63">
        <v>15912</v>
      </c>
      <c r="J63">
        <v>25</v>
      </c>
      <c r="K63">
        <v>19890</v>
      </c>
      <c r="L63">
        <v>7</v>
      </c>
      <c r="M63">
        <v>5569.2</v>
      </c>
      <c r="N63">
        <v>6</v>
      </c>
      <c r="O63">
        <v>4773.6000000000004</v>
      </c>
      <c r="P63">
        <v>8</v>
      </c>
      <c r="Q63">
        <v>6364.8</v>
      </c>
      <c r="R63">
        <v>6</v>
      </c>
      <c r="S63">
        <v>4773.6000000000004</v>
      </c>
      <c r="T63">
        <v>13</v>
      </c>
      <c r="U63">
        <v>10342.800000000001</v>
      </c>
      <c r="V63">
        <v>18</v>
      </c>
      <c r="W63">
        <v>14320.800000000001</v>
      </c>
      <c r="X63">
        <v>11</v>
      </c>
      <c r="Y63">
        <v>8751.6</v>
      </c>
      <c r="Z63">
        <v>10</v>
      </c>
      <c r="AA63">
        <v>7956</v>
      </c>
      <c r="AB63">
        <v>34</v>
      </c>
      <c r="AC63">
        <v>27050.400000000001</v>
      </c>
      <c r="AD63">
        <v>24</v>
      </c>
      <c r="AE63">
        <v>19094.400000000001</v>
      </c>
      <c r="AF63">
        <v>32</v>
      </c>
      <c r="AG63">
        <v>25459.200000000001</v>
      </c>
      <c r="AH63">
        <v>47</v>
      </c>
      <c r="AI63">
        <v>37393.200000000004</v>
      </c>
      <c r="AJ63">
        <v>4</v>
      </c>
      <c r="AK63">
        <v>3182.4</v>
      </c>
      <c r="AL63">
        <v>4</v>
      </c>
      <c r="AM63">
        <v>3182.4</v>
      </c>
      <c r="AN63">
        <v>3</v>
      </c>
      <c r="AO63">
        <v>2386.8000000000002</v>
      </c>
      <c r="AP63">
        <v>4</v>
      </c>
      <c r="AQ63">
        <v>3182.4</v>
      </c>
      <c r="AR63">
        <v>8</v>
      </c>
      <c r="AS63">
        <v>6364.8</v>
      </c>
      <c r="AT63">
        <v>9</v>
      </c>
      <c r="AU63">
        <v>7160.4000000000005</v>
      </c>
      <c r="AV63">
        <v>13</v>
      </c>
      <c r="AW63">
        <v>10342.800000000001</v>
      </c>
      <c r="AX63">
        <v>9</v>
      </c>
      <c r="AY63">
        <v>7160.4000000000005</v>
      </c>
      <c r="AZ63">
        <v>19</v>
      </c>
      <c r="BA63">
        <v>15116.4</v>
      </c>
      <c r="BB63">
        <v>19</v>
      </c>
      <c r="BC63">
        <v>15116.4</v>
      </c>
      <c r="BD63">
        <v>23</v>
      </c>
      <c r="BE63">
        <v>18298.8</v>
      </c>
      <c r="BF63">
        <v>30</v>
      </c>
      <c r="BG63">
        <v>23868</v>
      </c>
      <c r="BH63">
        <v>7</v>
      </c>
      <c r="BI63">
        <v>5569.2</v>
      </c>
      <c r="BJ63">
        <v>11</v>
      </c>
      <c r="BK63">
        <v>8751.6</v>
      </c>
      <c r="BL63">
        <v>7</v>
      </c>
      <c r="BM63">
        <v>5569.2</v>
      </c>
      <c r="BN63">
        <v>9</v>
      </c>
      <c r="BO63">
        <v>7160.4000000000005</v>
      </c>
      <c r="BP63">
        <v>3</v>
      </c>
      <c r="BQ63">
        <v>2386.8000000000002</v>
      </c>
      <c r="BR63">
        <v>5</v>
      </c>
      <c r="BS63">
        <v>3978</v>
      </c>
      <c r="BT63">
        <v>4</v>
      </c>
      <c r="BU63">
        <v>3182.4</v>
      </c>
      <c r="BV63">
        <v>5</v>
      </c>
      <c r="BW63">
        <v>3978</v>
      </c>
      <c r="BX63">
        <v>13</v>
      </c>
      <c r="BY63">
        <v>10342.800000000001</v>
      </c>
      <c r="BZ63">
        <v>13</v>
      </c>
      <c r="CA63">
        <v>10342.800000000001</v>
      </c>
      <c r="CB63">
        <v>14</v>
      </c>
      <c r="CC63">
        <v>11138.4</v>
      </c>
      <c r="CD63">
        <v>16</v>
      </c>
      <c r="CE63">
        <v>12729.6</v>
      </c>
      <c r="CF63">
        <v>5</v>
      </c>
      <c r="CG63">
        <v>3978</v>
      </c>
      <c r="CH63">
        <v>7</v>
      </c>
      <c r="CI63">
        <v>5569.2</v>
      </c>
      <c r="CJ63">
        <v>4</v>
      </c>
      <c r="CK63">
        <v>3182.4</v>
      </c>
      <c r="CL63">
        <v>5</v>
      </c>
      <c r="CM63">
        <v>3978</v>
      </c>
      <c r="CN63">
        <v>9</v>
      </c>
      <c r="CO63">
        <v>7160.4000000000005</v>
      </c>
      <c r="CP63">
        <v>15</v>
      </c>
      <c r="CQ63">
        <v>11934</v>
      </c>
      <c r="CR63">
        <v>14</v>
      </c>
      <c r="CS63">
        <v>11138.4</v>
      </c>
      <c r="CT63">
        <v>14</v>
      </c>
      <c r="CU63">
        <v>11138.4</v>
      </c>
    </row>
    <row r="64" spans="2:99" x14ac:dyDescent="0.2">
      <c r="C64" s="118" t="s">
        <v>230</v>
      </c>
      <c r="D64">
        <v>21</v>
      </c>
      <c r="E64">
        <v>21193.199999999997</v>
      </c>
      <c r="F64">
        <v>22</v>
      </c>
      <c r="G64">
        <v>22202.399999999994</v>
      </c>
      <c r="H64">
        <v>20</v>
      </c>
      <c r="I64">
        <v>20183.999999999996</v>
      </c>
      <c r="J64">
        <v>23</v>
      </c>
      <c r="K64">
        <v>23211.599999999995</v>
      </c>
      <c r="L64">
        <v>7</v>
      </c>
      <c r="M64">
        <v>7064.3999999999987</v>
      </c>
      <c r="N64">
        <v>6</v>
      </c>
      <c r="O64">
        <v>6055.1999999999989</v>
      </c>
      <c r="P64">
        <v>7</v>
      </c>
      <c r="Q64">
        <v>7064.3999999999987</v>
      </c>
      <c r="R64">
        <v>6</v>
      </c>
      <c r="S64">
        <v>6055.1999999999989</v>
      </c>
      <c r="T64">
        <v>13</v>
      </c>
      <c r="U64">
        <v>13119.599999999999</v>
      </c>
      <c r="V64">
        <v>19</v>
      </c>
      <c r="W64">
        <v>19174.799999999996</v>
      </c>
      <c r="X64">
        <v>12</v>
      </c>
      <c r="Y64">
        <v>12110.399999999998</v>
      </c>
      <c r="Z64">
        <v>9</v>
      </c>
      <c r="AA64">
        <v>9082.7999999999993</v>
      </c>
      <c r="AB64">
        <v>35</v>
      </c>
      <c r="AC64">
        <v>35321.999999999993</v>
      </c>
      <c r="AD64">
        <v>24</v>
      </c>
      <c r="AE64">
        <v>24220.799999999996</v>
      </c>
      <c r="AF64">
        <v>32</v>
      </c>
      <c r="AG64">
        <v>32294.399999999994</v>
      </c>
      <c r="AH64">
        <v>46</v>
      </c>
      <c r="AI64">
        <v>46423.19999999999</v>
      </c>
      <c r="AJ64">
        <v>4</v>
      </c>
      <c r="AK64">
        <v>4036.7999999999993</v>
      </c>
      <c r="AL64">
        <v>4</v>
      </c>
      <c r="AM64">
        <v>4036.7999999999993</v>
      </c>
      <c r="AN64">
        <v>4</v>
      </c>
      <c r="AO64">
        <v>4036.7999999999993</v>
      </c>
      <c r="AP64">
        <v>5</v>
      </c>
      <c r="AQ64">
        <v>5045.9999999999991</v>
      </c>
      <c r="AR64">
        <v>8</v>
      </c>
      <c r="AS64">
        <v>8073.5999999999985</v>
      </c>
      <c r="AT64">
        <v>8</v>
      </c>
      <c r="AU64">
        <v>8073.5999999999985</v>
      </c>
      <c r="AV64">
        <v>11</v>
      </c>
      <c r="AW64">
        <v>11101.199999999997</v>
      </c>
      <c r="AX64">
        <v>7</v>
      </c>
      <c r="AY64">
        <v>7064.3999999999987</v>
      </c>
      <c r="AZ64">
        <v>17</v>
      </c>
      <c r="BA64">
        <v>17156.399999999998</v>
      </c>
      <c r="BB64">
        <v>18</v>
      </c>
      <c r="BC64">
        <v>18165.599999999999</v>
      </c>
      <c r="BD64">
        <v>23</v>
      </c>
      <c r="BE64">
        <v>23211.599999999995</v>
      </c>
      <c r="BF64">
        <v>35</v>
      </c>
      <c r="BG64">
        <v>35321.999999999993</v>
      </c>
      <c r="BH64">
        <v>6</v>
      </c>
      <c r="BI64">
        <v>6055.1999999999989</v>
      </c>
      <c r="BJ64">
        <v>11</v>
      </c>
      <c r="BK64">
        <v>11101.199999999997</v>
      </c>
      <c r="BL64">
        <v>8</v>
      </c>
      <c r="BM64">
        <v>8073.5999999999985</v>
      </c>
      <c r="BN64">
        <v>8</v>
      </c>
      <c r="BO64">
        <v>8073.5999999999985</v>
      </c>
      <c r="BP64">
        <v>4</v>
      </c>
      <c r="BQ64">
        <v>4036.7999999999993</v>
      </c>
      <c r="BR64">
        <v>5</v>
      </c>
      <c r="BS64">
        <v>5045.9999999999991</v>
      </c>
      <c r="BT64">
        <v>4</v>
      </c>
      <c r="BU64">
        <v>4036.7999999999993</v>
      </c>
      <c r="BV64">
        <v>5</v>
      </c>
      <c r="BW64">
        <v>5045.9999999999991</v>
      </c>
      <c r="BX64">
        <v>11</v>
      </c>
      <c r="BY64">
        <v>11101.199999999997</v>
      </c>
      <c r="BZ64">
        <v>11</v>
      </c>
      <c r="CA64">
        <v>11101.199999999997</v>
      </c>
      <c r="CB64">
        <v>15</v>
      </c>
      <c r="CC64">
        <v>15137.999999999996</v>
      </c>
      <c r="CD64">
        <v>15</v>
      </c>
      <c r="CE64">
        <v>15137.999999999996</v>
      </c>
      <c r="CF64">
        <v>4</v>
      </c>
      <c r="CG64">
        <v>4036.7999999999993</v>
      </c>
      <c r="CH64">
        <v>7</v>
      </c>
      <c r="CI64">
        <v>7064.3999999999987</v>
      </c>
      <c r="CJ64">
        <v>4</v>
      </c>
      <c r="CK64">
        <v>4036.7999999999993</v>
      </c>
      <c r="CL64">
        <v>4</v>
      </c>
      <c r="CM64">
        <v>4036.7999999999993</v>
      </c>
      <c r="CN64">
        <v>9</v>
      </c>
      <c r="CO64">
        <v>9082.7999999999993</v>
      </c>
      <c r="CP64">
        <v>14</v>
      </c>
      <c r="CQ64">
        <v>14128.799999999997</v>
      </c>
      <c r="CR64">
        <v>16</v>
      </c>
      <c r="CS64">
        <v>16147.199999999997</v>
      </c>
      <c r="CT64">
        <v>13</v>
      </c>
      <c r="CU64">
        <v>13119.599999999999</v>
      </c>
    </row>
    <row r="65" spans="2:99" x14ac:dyDescent="0.2">
      <c r="C65" s="118" t="s">
        <v>231</v>
      </c>
      <c r="D65">
        <v>21</v>
      </c>
      <c r="E65">
        <v>21546</v>
      </c>
      <c r="F65">
        <v>23</v>
      </c>
      <c r="G65">
        <v>23598</v>
      </c>
      <c r="H65">
        <v>18</v>
      </c>
      <c r="I65">
        <v>18468</v>
      </c>
      <c r="J65">
        <v>21</v>
      </c>
      <c r="K65">
        <v>21546</v>
      </c>
      <c r="L65">
        <v>6</v>
      </c>
      <c r="M65">
        <v>6156</v>
      </c>
      <c r="N65">
        <v>7</v>
      </c>
      <c r="O65">
        <v>7182</v>
      </c>
      <c r="P65">
        <v>7</v>
      </c>
      <c r="Q65">
        <v>7182</v>
      </c>
      <c r="R65">
        <v>7</v>
      </c>
      <c r="S65">
        <v>7182</v>
      </c>
      <c r="T65">
        <v>12</v>
      </c>
      <c r="U65">
        <v>12312</v>
      </c>
      <c r="V65">
        <v>18</v>
      </c>
      <c r="W65">
        <v>18468</v>
      </c>
      <c r="X65">
        <v>10</v>
      </c>
      <c r="Y65">
        <v>10260</v>
      </c>
      <c r="Z65">
        <v>10</v>
      </c>
      <c r="AA65">
        <v>10260</v>
      </c>
      <c r="AB65">
        <v>39</v>
      </c>
      <c r="AC65">
        <v>40014</v>
      </c>
      <c r="AD65">
        <v>26</v>
      </c>
      <c r="AE65">
        <v>26676</v>
      </c>
      <c r="AF65">
        <v>29</v>
      </c>
      <c r="AG65">
        <v>29754</v>
      </c>
      <c r="AH65">
        <v>39</v>
      </c>
      <c r="AI65">
        <v>40014</v>
      </c>
      <c r="AJ65">
        <v>4</v>
      </c>
      <c r="AK65">
        <v>4104</v>
      </c>
      <c r="AL65">
        <v>4</v>
      </c>
      <c r="AM65">
        <v>4104</v>
      </c>
      <c r="AN65">
        <v>3</v>
      </c>
      <c r="AO65">
        <v>3078</v>
      </c>
      <c r="AP65">
        <v>4</v>
      </c>
      <c r="AQ65">
        <v>4104</v>
      </c>
      <c r="AR65">
        <v>8</v>
      </c>
      <c r="AS65">
        <v>8208</v>
      </c>
      <c r="AT65">
        <v>9</v>
      </c>
      <c r="AU65">
        <v>9234</v>
      </c>
      <c r="AV65">
        <v>11</v>
      </c>
      <c r="AW65">
        <v>11286</v>
      </c>
      <c r="AX65">
        <v>8</v>
      </c>
      <c r="AY65">
        <v>8208</v>
      </c>
      <c r="AZ65">
        <v>18</v>
      </c>
      <c r="BA65">
        <v>18468</v>
      </c>
      <c r="BB65">
        <v>17</v>
      </c>
      <c r="BC65">
        <v>17442</v>
      </c>
      <c r="BD65">
        <v>22</v>
      </c>
      <c r="BE65">
        <v>22572</v>
      </c>
      <c r="BF65">
        <v>30</v>
      </c>
      <c r="BG65">
        <v>30780</v>
      </c>
      <c r="BH65">
        <v>6</v>
      </c>
      <c r="BI65">
        <v>6156</v>
      </c>
      <c r="BJ65">
        <v>10</v>
      </c>
      <c r="BK65">
        <v>10260</v>
      </c>
      <c r="BL65">
        <v>7</v>
      </c>
      <c r="BM65">
        <v>7182</v>
      </c>
      <c r="BN65">
        <v>8</v>
      </c>
      <c r="BO65">
        <v>8208</v>
      </c>
      <c r="BP65">
        <v>3</v>
      </c>
      <c r="BQ65">
        <v>3078</v>
      </c>
      <c r="BR65">
        <v>5</v>
      </c>
      <c r="BS65">
        <v>5130</v>
      </c>
      <c r="BT65">
        <v>4</v>
      </c>
      <c r="BU65">
        <v>4104</v>
      </c>
      <c r="BV65">
        <v>5</v>
      </c>
      <c r="BW65">
        <v>5130</v>
      </c>
      <c r="BX65">
        <v>11</v>
      </c>
      <c r="BY65">
        <v>11286</v>
      </c>
      <c r="BZ65">
        <v>12</v>
      </c>
      <c r="CA65">
        <v>12312</v>
      </c>
      <c r="CB65">
        <v>15</v>
      </c>
      <c r="CC65">
        <v>15390</v>
      </c>
      <c r="CD65">
        <v>13</v>
      </c>
      <c r="CE65">
        <v>13338</v>
      </c>
      <c r="CF65">
        <v>5</v>
      </c>
      <c r="CG65">
        <v>5130</v>
      </c>
      <c r="CH65">
        <v>6</v>
      </c>
      <c r="CI65">
        <v>6156</v>
      </c>
      <c r="CJ65">
        <v>4</v>
      </c>
      <c r="CK65">
        <v>4104</v>
      </c>
      <c r="CL65">
        <v>5</v>
      </c>
      <c r="CM65">
        <v>5130</v>
      </c>
      <c r="CN65">
        <v>10</v>
      </c>
      <c r="CO65">
        <v>10260</v>
      </c>
      <c r="CP65">
        <v>13</v>
      </c>
      <c r="CQ65">
        <v>13338</v>
      </c>
      <c r="CR65">
        <v>15</v>
      </c>
      <c r="CS65">
        <v>15390</v>
      </c>
      <c r="CT65">
        <v>12</v>
      </c>
      <c r="CU65">
        <v>12312</v>
      </c>
    </row>
    <row r="66" spans="2:99" x14ac:dyDescent="0.2">
      <c r="C66" s="118" t="s">
        <v>232</v>
      </c>
      <c r="D66">
        <v>22</v>
      </c>
      <c r="E66">
        <v>26188.799999999996</v>
      </c>
      <c r="F66">
        <v>20</v>
      </c>
      <c r="G66">
        <v>23807.999999999996</v>
      </c>
      <c r="H66">
        <v>18</v>
      </c>
      <c r="I66">
        <v>21427.199999999997</v>
      </c>
      <c r="J66">
        <v>23</v>
      </c>
      <c r="K66">
        <v>27379.199999999997</v>
      </c>
      <c r="L66">
        <v>6</v>
      </c>
      <c r="M66">
        <v>7142.4</v>
      </c>
      <c r="N66">
        <v>6</v>
      </c>
      <c r="O66">
        <v>7142.4</v>
      </c>
      <c r="P66">
        <v>6</v>
      </c>
      <c r="Q66">
        <v>7142.4</v>
      </c>
      <c r="R66">
        <v>6</v>
      </c>
      <c r="S66">
        <v>7142.4</v>
      </c>
      <c r="T66">
        <v>11</v>
      </c>
      <c r="U66">
        <v>13094.399999999998</v>
      </c>
      <c r="V66">
        <v>16</v>
      </c>
      <c r="W66">
        <v>19046.399999999998</v>
      </c>
      <c r="X66">
        <v>10</v>
      </c>
      <c r="Y66">
        <v>11903.999999999998</v>
      </c>
      <c r="Z66">
        <v>9</v>
      </c>
      <c r="AA66">
        <v>10713.599999999999</v>
      </c>
      <c r="AB66">
        <v>38</v>
      </c>
      <c r="AC66">
        <v>45235.199999999997</v>
      </c>
      <c r="AD66">
        <v>22</v>
      </c>
      <c r="AE66">
        <v>26188.799999999996</v>
      </c>
      <c r="AF66">
        <v>28</v>
      </c>
      <c r="AG66">
        <v>33331.199999999997</v>
      </c>
      <c r="AH66">
        <v>42</v>
      </c>
      <c r="AI66">
        <v>49996.799999999996</v>
      </c>
      <c r="AJ66">
        <v>4</v>
      </c>
      <c r="AK66">
        <v>4761.5999999999995</v>
      </c>
      <c r="AL66">
        <v>4</v>
      </c>
      <c r="AM66">
        <v>4761.5999999999995</v>
      </c>
      <c r="AN66">
        <v>3</v>
      </c>
      <c r="AO66">
        <v>3571.2</v>
      </c>
      <c r="AP66">
        <v>5</v>
      </c>
      <c r="AQ66">
        <v>5951.9999999999991</v>
      </c>
      <c r="AR66">
        <v>7</v>
      </c>
      <c r="AS66">
        <v>8332.7999999999993</v>
      </c>
      <c r="AT66">
        <v>8</v>
      </c>
      <c r="AU66">
        <v>9523.1999999999989</v>
      </c>
      <c r="AV66">
        <v>12</v>
      </c>
      <c r="AW66">
        <v>14284.8</v>
      </c>
      <c r="AX66">
        <v>8</v>
      </c>
      <c r="AY66">
        <v>9523.1999999999989</v>
      </c>
      <c r="AZ66">
        <v>16</v>
      </c>
      <c r="BA66">
        <v>19046.399999999998</v>
      </c>
      <c r="BB66">
        <v>16</v>
      </c>
      <c r="BC66">
        <v>19046.399999999998</v>
      </c>
      <c r="BD66">
        <v>21</v>
      </c>
      <c r="BE66">
        <v>24998.399999999998</v>
      </c>
      <c r="BF66">
        <v>34</v>
      </c>
      <c r="BG66">
        <v>40473.599999999999</v>
      </c>
      <c r="BH66">
        <v>5</v>
      </c>
      <c r="BI66">
        <v>5951.9999999999991</v>
      </c>
      <c r="BJ66">
        <v>10</v>
      </c>
      <c r="BK66">
        <v>11903.999999999998</v>
      </c>
      <c r="BL66">
        <v>8</v>
      </c>
      <c r="BM66">
        <v>9523.1999999999989</v>
      </c>
      <c r="BN66">
        <v>9</v>
      </c>
      <c r="BO66">
        <v>10713.599999999999</v>
      </c>
      <c r="BP66">
        <v>3</v>
      </c>
      <c r="BQ66">
        <v>3571.2</v>
      </c>
      <c r="BR66">
        <v>5</v>
      </c>
      <c r="BS66">
        <v>5951.9999999999991</v>
      </c>
      <c r="BT66">
        <v>3</v>
      </c>
      <c r="BU66">
        <v>3571.2</v>
      </c>
      <c r="BV66">
        <v>6</v>
      </c>
      <c r="BW66">
        <v>7142.4</v>
      </c>
      <c r="BX66">
        <v>12</v>
      </c>
      <c r="BY66">
        <v>14284.8</v>
      </c>
      <c r="BZ66">
        <v>12</v>
      </c>
      <c r="CA66">
        <v>14284.8</v>
      </c>
      <c r="CB66">
        <v>14</v>
      </c>
      <c r="CC66">
        <v>16665.599999999999</v>
      </c>
      <c r="CD66">
        <v>14</v>
      </c>
      <c r="CE66">
        <v>16665.599999999999</v>
      </c>
      <c r="CF66">
        <v>5</v>
      </c>
      <c r="CG66">
        <v>5951.9999999999991</v>
      </c>
      <c r="CH66">
        <v>6</v>
      </c>
      <c r="CI66">
        <v>7142.4</v>
      </c>
      <c r="CJ66">
        <v>4</v>
      </c>
      <c r="CK66">
        <v>4761.5999999999995</v>
      </c>
      <c r="CL66">
        <v>4</v>
      </c>
      <c r="CM66">
        <v>4761.5999999999995</v>
      </c>
      <c r="CN66">
        <v>10</v>
      </c>
      <c r="CO66">
        <v>11903.999999999998</v>
      </c>
      <c r="CP66">
        <v>13</v>
      </c>
      <c r="CQ66">
        <v>15475.199999999999</v>
      </c>
      <c r="CR66">
        <v>13</v>
      </c>
      <c r="CS66">
        <v>15475.199999999999</v>
      </c>
      <c r="CT66">
        <v>12</v>
      </c>
      <c r="CU66">
        <v>14284.8</v>
      </c>
    </row>
    <row r="67" spans="2:99" x14ac:dyDescent="0.2">
      <c r="C67" s="118" t="s">
        <v>233</v>
      </c>
      <c r="D67">
        <v>21</v>
      </c>
      <c r="E67">
        <v>23587.200000000001</v>
      </c>
      <c r="F67">
        <v>20</v>
      </c>
      <c r="G67">
        <v>22464</v>
      </c>
      <c r="H67">
        <v>19</v>
      </c>
      <c r="I67">
        <v>21340.799999999999</v>
      </c>
      <c r="J67">
        <v>25</v>
      </c>
      <c r="K67">
        <v>28080</v>
      </c>
      <c r="L67">
        <v>7</v>
      </c>
      <c r="M67">
        <v>7862.4000000000005</v>
      </c>
      <c r="N67">
        <v>5</v>
      </c>
      <c r="O67">
        <v>5616</v>
      </c>
      <c r="P67">
        <v>7</v>
      </c>
      <c r="Q67">
        <v>7862.4000000000005</v>
      </c>
      <c r="R67">
        <v>7</v>
      </c>
      <c r="S67">
        <v>7862.4000000000005</v>
      </c>
      <c r="T67">
        <v>13</v>
      </c>
      <c r="U67">
        <v>14601.6</v>
      </c>
      <c r="V67">
        <v>16</v>
      </c>
      <c r="W67">
        <v>17971.2</v>
      </c>
      <c r="X67">
        <v>10</v>
      </c>
      <c r="Y67">
        <v>11232</v>
      </c>
      <c r="Z67">
        <v>10</v>
      </c>
      <c r="AA67">
        <v>11232</v>
      </c>
      <c r="AB67">
        <v>34</v>
      </c>
      <c r="AC67">
        <v>38188.800000000003</v>
      </c>
      <c r="AD67">
        <v>22</v>
      </c>
      <c r="AE67">
        <v>24710.400000000001</v>
      </c>
      <c r="AF67">
        <v>29</v>
      </c>
      <c r="AG67">
        <v>32572.800000000003</v>
      </c>
      <c r="AH67">
        <v>46</v>
      </c>
      <c r="AI67">
        <v>51667.200000000004</v>
      </c>
      <c r="AJ67">
        <v>4</v>
      </c>
      <c r="AK67">
        <v>4492.8</v>
      </c>
      <c r="AL67">
        <v>5</v>
      </c>
      <c r="AM67">
        <v>5616</v>
      </c>
      <c r="AN67">
        <v>3</v>
      </c>
      <c r="AO67">
        <v>3369.6000000000004</v>
      </c>
      <c r="AP67">
        <v>5</v>
      </c>
      <c r="AQ67">
        <v>5616</v>
      </c>
      <c r="AR67">
        <v>7</v>
      </c>
      <c r="AS67">
        <v>7862.4000000000005</v>
      </c>
      <c r="AT67">
        <v>9</v>
      </c>
      <c r="AU67">
        <v>10108.800000000001</v>
      </c>
      <c r="AV67">
        <v>10</v>
      </c>
      <c r="AW67">
        <v>11232</v>
      </c>
      <c r="AX67">
        <v>7</v>
      </c>
      <c r="AY67">
        <v>7862.4000000000005</v>
      </c>
      <c r="AZ67">
        <v>17</v>
      </c>
      <c r="BA67">
        <v>19094.400000000001</v>
      </c>
      <c r="BB67">
        <v>18</v>
      </c>
      <c r="BC67">
        <v>20217.600000000002</v>
      </c>
      <c r="BD67">
        <v>23</v>
      </c>
      <c r="BE67">
        <v>25833.600000000002</v>
      </c>
      <c r="BF67">
        <v>33</v>
      </c>
      <c r="BG67">
        <v>37065.599999999999</v>
      </c>
      <c r="BH67">
        <v>6</v>
      </c>
      <c r="BI67">
        <v>6739.2000000000007</v>
      </c>
      <c r="BJ67">
        <v>10</v>
      </c>
      <c r="BK67">
        <v>11232</v>
      </c>
      <c r="BL67">
        <v>8</v>
      </c>
      <c r="BM67">
        <v>8985.6</v>
      </c>
      <c r="BN67">
        <v>9</v>
      </c>
      <c r="BO67">
        <v>10108.800000000001</v>
      </c>
      <c r="BP67">
        <v>4</v>
      </c>
      <c r="BQ67">
        <v>4492.8</v>
      </c>
      <c r="BR67">
        <v>5</v>
      </c>
      <c r="BS67">
        <v>5616</v>
      </c>
      <c r="BT67">
        <v>3</v>
      </c>
      <c r="BU67">
        <v>3369.6000000000004</v>
      </c>
      <c r="BV67">
        <v>5</v>
      </c>
      <c r="BW67">
        <v>5616</v>
      </c>
      <c r="BX67">
        <v>13</v>
      </c>
      <c r="BY67">
        <v>14601.6</v>
      </c>
      <c r="BZ67">
        <v>12</v>
      </c>
      <c r="CA67">
        <v>13478.400000000001</v>
      </c>
      <c r="CB67">
        <v>13</v>
      </c>
      <c r="CC67">
        <v>14601.6</v>
      </c>
      <c r="CD67">
        <v>14</v>
      </c>
      <c r="CE67">
        <v>15724.800000000001</v>
      </c>
      <c r="CF67">
        <v>4</v>
      </c>
      <c r="CG67">
        <v>4492.8</v>
      </c>
      <c r="CH67">
        <v>6</v>
      </c>
      <c r="CI67">
        <v>6739.2000000000007</v>
      </c>
      <c r="CJ67">
        <v>5</v>
      </c>
      <c r="CK67">
        <v>5616</v>
      </c>
      <c r="CL67">
        <v>4</v>
      </c>
      <c r="CM67">
        <v>4492.8</v>
      </c>
      <c r="CN67">
        <v>9</v>
      </c>
      <c r="CO67">
        <v>10108.800000000001</v>
      </c>
      <c r="CP67">
        <v>14</v>
      </c>
      <c r="CQ67">
        <v>15724.800000000001</v>
      </c>
      <c r="CR67">
        <v>14</v>
      </c>
      <c r="CS67">
        <v>15724.800000000001</v>
      </c>
      <c r="CT67">
        <v>14</v>
      </c>
      <c r="CU67">
        <v>15724.800000000001</v>
      </c>
    </row>
    <row r="68" spans="2:99" x14ac:dyDescent="0.2">
      <c r="C68" s="118" t="s">
        <v>234</v>
      </c>
      <c r="D68">
        <v>23</v>
      </c>
      <c r="E68">
        <v>23763.600000000002</v>
      </c>
      <c r="F68">
        <v>21</v>
      </c>
      <c r="G68">
        <v>21697.200000000001</v>
      </c>
      <c r="H68">
        <v>18</v>
      </c>
      <c r="I68">
        <v>18597.600000000002</v>
      </c>
      <c r="J68">
        <v>22</v>
      </c>
      <c r="K68">
        <v>22730.400000000001</v>
      </c>
      <c r="L68">
        <v>6</v>
      </c>
      <c r="M68">
        <v>6199.2000000000007</v>
      </c>
      <c r="N68">
        <v>5</v>
      </c>
      <c r="O68">
        <v>5166</v>
      </c>
      <c r="P68">
        <v>7</v>
      </c>
      <c r="Q68">
        <v>7232.4000000000005</v>
      </c>
      <c r="R68">
        <v>7</v>
      </c>
      <c r="S68">
        <v>7232.4000000000005</v>
      </c>
      <c r="T68">
        <v>11</v>
      </c>
      <c r="U68">
        <v>11365.2</v>
      </c>
      <c r="V68">
        <v>18</v>
      </c>
      <c r="W68">
        <v>18597.600000000002</v>
      </c>
      <c r="X68">
        <v>10</v>
      </c>
      <c r="Y68">
        <v>10332</v>
      </c>
      <c r="Z68">
        <v>10</v>
      </c>
      <c r="AA68">
        <v>10332</v>
      </c>
      <c r="AB68">
        <v>34</v>
      </c>
      <c r="AC68">
        <v>35128.800000000003</v>
      </c>
      <c r="AD68">
        <v>22</v>
      </c>
      <c r="AE68">
        <v>22730.400000000001</v>
      </c>
      <c r="AF68">
        <v>28</v>
      </c>
      <c r="AG68">
        <v>28929.600000000002</v>
      </c>
      <c r="AH68">
        <v>45</v>
      </c>
      <c r="AI68">
        <v>46494</v>
      </c>
      <c r="AJ68">
        <v>4</v>
      </c>
      <c r="AK68">
        <v>4132.8</v>
      </c>
      <c r="AL68">
        <v>4</v>
      </c>
      <c r="AM68">
        <v>4132.8</v>
      </c>
      <c r="AN68">
        <v>3</v>
      </c>
      <c r="AO68">
        <v>3099.6000000000004</v>
      </c>
      <c r="AP68">
        <v>5</v>
      </c>
      <c r="AQ68">
        <v>5166</v>
      </c>
      <c r="AR68">
        <v>8</v>
      </c>
      <c r="AS68">
        <v>8265.6</v>
      </c>
      <c r="AT68">
        <v>8</v>
      </c>
      <c r="AU68">
        <v>8265.6</v>
      </c>
      <c r="AV68">
        <v>12</v>
      </c>
      <c r="AW68">
        <v>12398.400000000001</v>
      </c>
      <c r="AX68">
        <v>9</v>
      </c>
      <c r="AY68">
        <v>9298.8000000000011</v>
      </c>
      <c r="AZ68">
        <v>18</v>
      </c>
      <c r="BA68">
        <v>18597.600000000002</v>
      </c>
      <c r="BB68">
        <v>17</v>
      </c>
      <c r="BC68">
        <v>17564.400000000001</v>
      </c>
      <c r="BD68">
        <v>21</v>
      </c>
      <c r="BE68">
        <v>21697.200000000001</v>
      </c>
      <c r="BF68">
        <v>31</v>
      </c>
      <c r="BG68">
        <v>32029.200000000001</v>
      </c>
      <c r="BH68">
        <v>6</v>
      </c>
      <c r="BI68">
        <v>6199.2000000000007</v>
      </c>
      <c r="BJ68">
        <v>11</v>
      </c>
      <c r="BK68">
        <v>11365.2</v>
      </c>
      <c r="BL68">
        <v>8</v>
      </c>
      <c r="BM68">
        <v>8265.6</v>
      </c>
      <c r="BN68">
        <v>8</v>
      </c>
      <c r="BO68">
        <v>8265.6</v>
      </c>
      <c r="BP68">
        <v>4</v>
      </c>
      <c r="BQ68">
        <v>4132.8</v>
      </c>
      <c r="BR68">
        <v>5</v>
      </c>
      <c r="BS68">
        <v>5166</v>
      </c>
      <c r="BT68">
        <v>4</v>
      </c>
      <c r="BU68">
        <v>4132.8</v>
      </c>
      <c r="BV68">
        <v>5</v>
      </c>
      <c r="BW68">
        <v>5166</v>
      </c>
      <c r="BX68">
        <v>12</v>
      </c>
      <c r="BY68">
        <v>12398.400000000001</v>
      </c>
      <c r="BZ68">
        <v>12</v>
      </c>
      <c r="CA68">
        <v>12398.400000000001</v>
      </c>
      <c r="CB68">
        <v>13</v>
      </c>
      <c r="CC68">
        <v>13431.6</v>
      </c>
      <c r="CD68">
        <v>15</v>
      </c>
      <c r="CE68">
        <v>15498</v>
      </c>
      <c r="CF68">
        <v>5</v>
      </c>
      <c r="CG68">
        <v>5166</v>
      </c>
      <c r="CH68">
        <v>6</v>
      </c>
      <c r="CI68">
        <v>6199.2000000000007</v>
      </c>
      <c r="CJ68">
        <v>4</v>
      </c>
      <c r="CK68">
        <v>4132.8</v>
      </c>
      <c r="CL68">
        <v>5</v>
      </c>
      <c r="CM68">
        <v>5166</v>
      </c>
      <c r="CN68">
        <v>10</v>
      </c>
      <c r="CO68">
        <v>10332</v>
      </c>
      <c r="CP68">
        <v>14</v>
      </c>
      <c r="CQ68">
        <v>14464.800000000001</v>
      </c>
      <c r="CR68">
        <v>15</v>
      </c>
      <c r="CS68">
        <v>15498</v>
      </c>
      <c r="CT68">
        <v>11</v>
      </c>
      <c r="CU68">
        <v>11365.2</v>
      </c>
    </row>
    <row r="69" spans="2:99" x14ac:dyDescent="0.2">
      <c r="C69" s="118" t="s">
        <v>235</v>
      </c>
      <c r="D69">
        <v>24</v>
      </c>
      <c r="E69">
        <v>18201.599999999999</v>
      </c>
      <c r="F69">
        <v>22</v>
      </c>
      <c r="G69">
        <v>16684.8</v>
      </c>
      <c r="H69">
        <v>19</v>
      </c>
      <c r="I69">
        <v>14409.6</v>
      </c>
      <c r="J69">
        <v>24</v>
      </c>
      <c r="K69">
        <v>18201.599999999999</v>
      </c>
      <c r="L69">
        <v>7</v>
      </c>
      <c r="M69">
        <v>5308.8</v>
      </c>
      <c r="N69">
        <v>6</v>
      </c>
      <c r="O69">
        <v>4550.3999999999996</v>
      </c>
      <c r="P69">
        <v>7</v>
      </c>
      <c r="Q69">
        <v>5308.8</v>
      </c>
      <c r="R69">
        <v>7</v>
      </c>
      <c r="S69">
        <v>5308.8</v>
      </c>
      <c r="T69">
        <v>13</v>
      </c>
      <c r="U69">
        <v>9859.1999999999989</v>
      </c>
      <c r="V69">
        <v>16</v>
      </c>
      <c r="W69">
        <v>12134.4</v>
      </c>
      <c r="X69">
        <v>12</v>
      </c>
      <c r="Y69">
        <v>9100.7999999999993</v>
      </c>
      <c r="Z69">
        <v>9</v>
      </c>
      <c r="AA69">
        <v>6825.5999999999995</v>
      </c>
      <c r="AB69">
        <v>37</v>
      </c>
      <c r="AC69">
        <v>28060.799999999999</v>
      </c>
      <c r="AD69">
        <v>23</v>
      </c>
      <c r="AE69">
        <v>17443.2</v>
      </c>
      <c r="AF69">
        <v>34</v>
      </c>
      <c r="AG69">
        <v>25785.599999999999</v>
      </c>
      <c r="AH69">
        <v>42</v>
      </c>
      <c r="AI69">
        <v>31852.799999999999</v>
      </c>
      <c r="AJ69">
        <v>4</v>
      </c>
      <c r="AK69">
        <v>3033.6</v>
      </c>
      <c r="AL69">
        <v>4</v>
      </c>
      <c r="AM69">
        <v>3033.6</v>
      </c>
      <c r="AN69">
        <v>3</v>
      </c>
      <c r="AO69">
        <v>2275.1999999999998</v>
      </c>
      <c r="AP69">
        <v>5</v>
      </c>
      <c r="AQ69">
        <v>3792</v>
      </c>
      <c r="AR69">
        <v>8</v>
      </c>
      <c r="AS69">
        <v>6067.2</v>
      </c>
      <c r="AT69">
        <v>9</v>
      </c>
      <c r="AU69">
        <v>6825.5999999999995</v>
      </c>
      <c r="AV69">
        <v>13</v>
      </c>
      <c r="AW69">
        <v>9859.1999999999989</v>
      </c>
      <c r="AX69">
        <v>8</v>
      </c>
      <c r="AY69">
        <v>6067.2</v>
      </c>
      <c r="AZ69">
        <v>18</v>
      </c>
      <c r="BA69">
        <v>13651.199999999999</v>
      </c>
      <c r="BB69">
        <v>20</v>
      </c>
      <c r="BC69">
        <v>15168</v>
      </c>
      <c r="BD69">
        <v>23</v>
      </c>
      <c r="BE69">
        <v>17443.2</v>
      </c>
      <c r="BF69">
        <v>36</v>
      </c>
      <c r="BG69">
        <v>27302.399999999998</v>
      </c>
      <c r="BH69">
        <v>6</v>
      </c>
      <c r="BI69">
        <v>4550.3999999999996</v>
      </c>
      <c r="BJ69">
        <v>11</v>
      </c>
      <c r="BK69">
        <v>8342.4</v>
      </c>
      <c r="BL69">
        <v>7</v>
      </c>
      <c r="BM69">
        <v>5308.8</v>
      </c>
      <c r="BN69">
        <v>9</v>
      </c>
      <c r="BO69">
        <v>6825.5999999999995</v>
      </c>
      <c r="BP69">
        <v>3</v>
      </c>
      <c r="BQ69">
        <v>2275.1999999999998</v>
      </c>
      <c r="BR69">
        <v>6</v>
      </c>
      <c r="BS69">
        <v>4550.3999999999996</v>
      </c>
      <c r="BT69">
        <v>4</v>
      </c>
      <c r="BU69">
        <v>3033.6</v>
      </c>
      <c r="BV69">
        <v>6</v>
      </c>
      <c r="BW69">
        <v>4550.3999999999996</v>
      </c>
      <c r="BX69">
        <v>14</v>
      </c>
      <c r="BY69">
        <v>10617.6</v>
      </c>
      <c r="BZ69">
        <v>12</v>
      </c>
      <c r="CA69">
        <v>9100.7999999999993</v>
      </c>
      <c r="CB69">
        <v>14</v>
      </c>
      <c r="CC69">
        <v>10617.6</v>
      </c>
      <c r="CD69">
        <v>16</v>
      </c>
      <c r="CE69">
        <v>12134.4</v>
      </c>
      <c r="CF69">
        <v>5</v>
      </c>
      <c r="CG69">
        <v>3792</v>
      </c>
      <c r="CH69">
        <v>7</v>
      </c>
      <c r="CI69">
        <v>5308.8</v>
      </c>
      <c r="CJ69">
        <v>4</v>
      </c>
      <c r="CK69">
        <v>3033.6</v>
      </c>
      <c r="CL69">
        <v>4</v>
      </c>
      <c r="CM69">
        <v>3033.6</v>
      </c>
      <c r="CN69">
        <v>10</v>
      </c>
      <c r="CO69">
        <v>7584</v>
      </c>
      <c r="CP69">
        <v>15</v>
      </c>
      <c r="CQ69">
        <v>11376</v>
      </c>
      <c r="CR69">
        <v>15</v>
      </c>
      <c r="CS69">
        <v>11376</v>
      </c>
      <c r="CT69">
        <v>13</v>
      </c>
      <c r="CU69">
        <v>9859.1999999999989</v>
      </c>
    </row>
    <row r="70" spans="2:99" x14ac:dyDescent="0.2">
      <c r="C70" s="118" t="s">
        <v>236</v>
      </c>
      <c r="D70">
        <v>26</v>
      </c>
      <c r="E70">
        <v>13915.199999999999</v>
      </c>
      <c r="F70">
        <v>21</v>
      </c>
      <c r="G70">
        <v>11239.199999999999</v>
      </c>
      <c r="H70">
        <v>19</v>
      </c>
      <c r="I70">
        <v>10168.799999999999</v>
      </c>
      <c r="J70">
        <v>27</v>
      </c>
      <c r="K70">
        <v>14450.399999999998</v>
      </c>
      <c r="L70">
        <v>6</v>
      </c>
      <c r="M70">
        <v>3211.2</v>
      </c>
      <c r="N70">
        <v>6</v>
      </c>
      <c r="O70">
        <v>3211.2</v>
      </c>
      <c r="P70">
        <v>8</v>
      </c>
      <c r="Q70">
        <v>4281.5999999999995</v>
      </c>
      <c r="R70">
        <v>7</v>
      </c>
      <c r="S70">
        <v>3746.3999999999996</v>
      </c>
      <c r="T70">
        <v>13</v>
      </c>
      <c r="U70">
        <v>6957.5999999999995</v>
      </c>
      <c r="V70">
        <v>19</v>
      </c>
      <c r="W70">
        <v>10168.799999999999</v>
      </c>
      <c r="X70">
        <v>11</v>
      </c>
      <c r="Y70">
        <v>5887.1999999999989</v>
      </c>
      <c r="Z70">
        <v>10</v>
      </c>
      <c r="AA70">
        <v>5351.9999999999991</v>
      </c>
      <c r="AB70">
        <v>37</v>
      </c>
      <c r="AC70">
        <v>19802.399999999998</v>
      </c>
      <c r="AD70">
        <v>25</v>
      </c>
      <c r="AE70">
        <v>13379.999999999998</v>
      </c>
      <c r="AF70">
        <v>35</v>
      </c>
      <c r="AG70">
        <v>18731.999999999996</v>
      </c>
      <c r="AH70">
        <v>47</v>
      </c>
      <c r="AI70">
        <v>25154.399999999998</v>
      </c>
      <c r="AJ70">
        <v>4</v>
      </c>
      <c r="AK70">
        <v>2140.7999999999997</v>
      </c>
      <c r="AL70">
        <v>4</v>
      </c>
      <c r="AM70">
        <v>2140.7999999999997</v>
      </c>
      <c r="AN70">
        <v>3</v>
      </c>
      <c r="AO70">
        <v>1605.6</v>
      </c>
      <c r="AP70">
        <v>5</v>
      </c>
      <c r="AQ70">
        <v>2675.9999999999995</v>
      </c>
      <c r="AR70">
        <v>7</v>
      </c>
      <c r="AS70">
        <v>3746.3999999999996</v>
      </c>
      <c r="AT70">
        <v>10</v>
      </c>
      <c r="AU70">
        <v>5351.9999999999991</v>
      </c>
      <c r="AV70">
        <v>12</v>
      </c>
      <c r="AW70">
        <v>6422.4</v>
      </c>
      <c r="AX70">
        <v>8</v>
      </c>
      <c r="AY70">
        <v>4281.5999999999995</v>
      </c>
      <c r="AZ70">
        <v>20</v>
      </c>
      <c r="BA70">
        <v>10703.999999999998</v>
      </c>
      <c r="BB70">
        <v>20</v>
      </c>
      <c r="BC70">
        <v>10703.999999999998</v>
      </c>
      <c r="BD70">
        <v>22</v>
      </c>
      <c r="BE70">
        <v>11774.399999999998</v>
      </c>
      <c r="BF70">
        <v>31</v>
      </c>
      <c r="BG70">
        <v>16591.199999999997</v>
      </c>
      <c r="BH70">
        <v>7</v>
      </c>
      <c r="BI70">
        <v>3746.3999999999996</v>
      </c>
      <c r="BJ70">
        <v>10</v>
      </c>
      <c r="BK70">
        <v>5351.9999999999991</v>
      </c>
      <c r="BL70">
        <v>7</v>
      </c>
      <c r="BM70">
        <v>3746.3999999999996</v>
      </c>
      <c r="BN70">
        <v>9</v>
      </c>
      <c r="BO70">
        <v>4816.7999999999993</v>
      </c>
      <c r="BP70">
        <v>3</v>
      </c>
      <c r="BQ70">
        <v>1605.6</v>
      </c>
      <c r="BR70">
        <v>6</v>
      </c>
      <c r="BS70">
        <v>3211.2</v>
      </c>
      <c r="BT70">
        <v>3</v>
      </c>
      <c r="BU70">
        <v>1605.6</v>
      </c>
      <c r="BV70">
        <v>5</v>
      </c>
      <c r="BW70">
        <v>2675.9999999999995</v>
      </c>
      <c r="BX70">
        <v>13</v>
      </c>
      <c r="BY70">
        <v>6957.5999999999995</v>
      </c>
      <c r="BZ70">
        <v>13</v>
      </c>
      <c r="CA70">
        <v>6957.5999999999995</v>
      </c>
      <c r="CB70">
        <v>14</v>
      </c>
      <c r="CC70">
        <v>7492.7999999999993</v>
      </c>
      <c r="CD70">
        <v>17</v>
      </c>
      <c r="CE70">
        <v>9098.4</v>
      </c>
      <c r="CF70">
        <v>5</v>
      </c>
      <c r="CG70">
        <v>2675.9999999999995</v>
      </c>
      <c r="CH70">
        <v>6</v>
      </c>
      <c r="CI70">
        <v>3211.2</v>
      </c>
      <c r="CJ70">
        <v>5</v>
      </c>
      <c r="CK70">
        <v>2675.9999999999995</v>
      </c>
      <c r="CL70">
        <v>5</v>
      </c>
      <c r="CM70">
        <v>2675.9999999999995</v>
      </c>
      <c r="CN70">
        <v>10</v>
      </c>
      <c r="CO70">
        <v>5351.9999999999991</v>
      </c>
      <c r="CP70">
        <v>15</v>
      </c>
      <c r="CQ70">
        <v>8027.9999999999991</v>
      </c>
      <c r="CR70">
        <v>16</v>
      </c>
      <c r="CS70">
        <v>8563.1999999999989</v>
      </c>
      <c r="CT70">
        <v>13</v>
      </c>
      <c r="CU70">
        <v>6957.5999999999995</v>
      </c>
    </row>
    <row r="71" spans="2:99" x14ac:dyDescent="0.2">
      <c r="B71" s="118" t="s">
        <v>130</v>
      </c>
      <c r="C71" s="118" t="s">
        <v>237</v>
      </c>
      <c r="D71">
        <v>59</v>
      </c>
      <c r="E71">
        <v>33276</v>
      </c>
      <c r="F71">
        <v>74</v>
      </c>
      <c r="G71">
        <v>41736</v>
      </c>
      <c r="H71">
        <v>60</v>
      </c>
      <c r="I71">
        <v>33840</v>
      </c>
      <c r="J71">
        <v>88</v>
      </c>
      <c r="K71">
        <v>49632</v>
      </c>
      <c r="L71">
        <v>3</v>
      </c>
      <c r="M71">
        <v>1692</v>
      </c>
      <c r="N71">
        <v>3</v>
      </c>
      <c r="O71">
        <v>1692</v>
      </c>
      <c r="P71">
        <v>4</v>
      </c>
      <c r="Q71">
        <v>2256</v>
      </c>
      <c r="R71">
        <v>3</v>
      </c>
      <c r="S71">
        <v>1692</v>
      </c>
      <c r="T71">
        <v>73</v>
      </c>
      <c r="U71">
        <v>41172</v>
      </c>
      <c r="V71">
        <v>59</v>
      </c>
      <c r="W71">
        <v>33276</v>
      </c>
      <c r="X71">
        <v>70</v>
      </c>
      <c r="Y71">
        <v>39480</v>
      </c>
      <c r="Z71">
        <v>75</v>
      </c>
      <c r="AA71">
        <v>42300</v>
      </c>
      <c r="AB71">
        <v>79</v>
      </c>
      <c r="AC71">
        <v>44556</v>
      </c>
      <c r="AD71">
        <v>63</v>
      </c>
      <c r="AE71">
        <v>35532</v>
      </c>
      <c r="AF71">
        <v>58</v>
      </c>
      <c r="AG71">
        <v>32712</v>
      </c>
      <c r="AH71">
        <v>78</v>
      </c>
      <c r="AI71">
        <v>43992</v>
      </c>
      <c r="AJ71">
        <v>43</v>
      </c>
      <c r="AK71">
        <v>24252</v>
      </c>
      <c r="AL71">
        <v>49</v>
      </c>
      <c r="AM71">
        <v>27636</v>
      </c>
      <c r="AN71">
        <v>49</v>
      </c>
      <c r="AO71">
        <v>27636</v>
      </c>
      <c r="AP71">
        <v>35</v>
      </c>
      <c r="AQ71">
        <v>19740</v>
      </c>
      <c r="AR71">
        <v>33</v>
      </c>
      <c r="AS71">
        <v>18612</v>
      </c>
      <c r="AT71">
        <v>29</v>
      </c>
      <c r="AU71">
        <v>16356</v>
      </c>
      <c r="AV71">
        <v>38</v>
      </c>
      <c r="AW71">
        <v>21432</v>
      </c>
      <c r="AX71">
        <v>36</v>
      </c>
      <c r="AY71">
        <v>20304</v>
      </c>
      <c r="AZ71">
        <v>6</v>
      </c>
      <c r="BA71">
        <v>3384</v>
      </c>
      <c r="BB71">
        <v>7</v>
      </c>
      <c r="BC71">
        <v>3948</v>
      </c>
      <c r="BD71">
        <v>4</v>
      </c>
      <c r="BE71">
        <v>2256</v>
      </c>
      <c r="BF71">
        <v>8</v>
      </c>
      <c r="BG71">
        <v>4512</v>
      </c>
      <c r="BH71">
        <v>33</v>
      </c>
      <c r="BI71">
        <v>18612</v>
      </c>
      <c r="BJ71">
        <v>59</v>
      </c>
      <c r="BK71">
        <v>33276</v>
      </c>
      <c r="BL71">
        <v>48</v>
      </c>
      <c r="BM71">
        <v>27072</v>
      </c>
      <c r="BN71">
        <v>49</v>
      </c>
      <c r="BO71">
        <v>27636</v>
      </c>
      <c r="BP71">
        <v>17</v>
      </c>
      <c r="BQ71">
        <v>9588</v>
      </c>
      <c r="BR71">
        <v>19</v>
      </c>
      <c r="BS71">
        <v>10716</v>
      </c>
      <c r="BT71">
        <v>19</v>
      </c>
      <c r="BU71">
        <v>10716</v>
      </c>
      <c r="BV71">
        <v>19</v>
      </c>
      <c r="BW71">
        <v>10716</v>
      </c>
      <c r="BX71">
        <v>3</v>
      </c>
      <c r="BY71">
        <v>1692</v>
      </c>
      <c r="BZ71">
        <v>3</v>
      </c>
      <c r="CA71">
        <v>1692</v>
      </c>
      <c r="CB71">
        <v>4</v>
      </c>
      <c r="CC71">
        <v>2256</v>
      </c>
      <c r="CD71">
        <v>4</v>
      </c>
      <c r="CE71">
        <v>2256</v>
      </c>
      <c r="CF71">
        <v>5</v>
      </c>
      <c r="CG71">
        <v>2820</v>
      </c>
      <c r="CH71">
        <v>4</v>
      </c>
      <c r="CI71">
        <v>2256</v>
      </c>
      <c r="CJ71">
        <v>9</v>
      </c>
      <c r="CK71">
        <v>5076</v>
      </c>
      <c r="CL71">
        <v>7</v>
      </c>
      <c r="CM71">
        <v>3948</v>
      </c>
      <c r="CN71">
        <v>5</v>
      </c>
      <c r="CO71">
        <v>2820</v>
      </c>
      <c r="CP71">
        <v>6</v>
      </c>
      <c r="CQ71">
        <v>3384</v>
      </c>
      <c r="CR71">
        <v>6</v>
      </c>
      <c r="CS71">
        <v>3384</v>
      </c>
      <c r="CT71">
        <v>4</v>
      </c>
      <c r="CU71">
        <v>2256</v>
      </c>
    </row>
    <row r="72" spans="2:99" x14ac:dyDescent="0.2">
      <c r="C72" s="118" t="s">
        <v>238</v>
      </c>
      <c r="D72">
        <v>68</v>
      </c>
      <c r="E72">
        <v>5059.2</v>
      </c>
      <c r="F72">
        <v>70</v>
      </c>
      <c r="G72">
        <v>5207.9999999999991</v>
      </c>
      <c r="H72">
        <v>66</v>
      </c>
      <c r="I72">
        <v>4910.3999999999996</v>
      </c>
      <c r="J72">
        <v>91</v>
      </c>
      <c r="K72">
        <v>6770.4</v>
      </c>
      <c r="L72">
        <v>3</v>
      </c>
      <c r="M72">
        <v>223.2</v>
      </c>
      <c r="N72">
        <v>3</v>
      </c>
      <c r="O72">
        <v>223.2</v>
      </c>
      <c r="P72">
        <v>5</v>
      </c>
      <c r="Q72">
        <v>371.99999999999994</v>
      </c>
      <c r="R72">
        <v>3</v>
      </c>
      <c r="S72">
        <v>223.2</v>
      </c>
      <c r="T72">
        <v>92</v>
      </c>
      <c r="U72">
        <v>6844.7999999999993</v>
      </c>
      <c r="V72">
        <v>74</v>
      </c>
      <c r="W72">
        <v>5505.5999999999995</v>
      </c>
      <c r="X72">
        <v>75</v>
      </c>
      <c r="Y72">
        <v>5579.9999999999991</v>
      </c>
      <c r="Z72">
        <v>83</v>
      </c>
      <c r="AA72">
        <v>6175.1999999999989</v>
      </c>
      <c r="AB72">
        <v>100</v>
      </c>
      <c r="AC72">
        <v>7439.9999999999991</v>
      </c>
      <c r="AD72">
        <v>75</v>
      </c>
      <c r="AE72">
        <v>5579.9999999999991</v>
      </c>
      <c r="AF72">
        <v>57</v>
      </c>
      <c r="AG72">
        <v>4240.7999999999993</v>
      </c>
      <c r="AH72">
        <v>81</v>
      </c>
      <c r="AI72">
        <v>6026.4</v>
      </c>
      <c r="AJ72">
        <v>52</v>
      </c>
      <c r="AK72">
        <v>3868.7999999999997</v>
      </c>
      <c r="AL72">
        <v>62</v>
      </c>
      <c r="AM72">
        <v>4612.7999999999993</v>
      </c>
      <c r="AN72">
        <v>64</v>
      </c>
      <c r="AO72">
        <v>4761.5999999999995</v>
      </c>
      <c r="AP72">
        <v>35</v>
      </c>
      <c r="AQ72">
        <v>2603.9999999999995</v>
      </c>
      <c r="AR72">
        <v>34</v>
      </c>
      <c r="AS72">
        <v>2529.6</v>
      </c>
      <c r="AT72">
        <v>30</v>
      </c>
      <c r="AU72">
        <v>2231.9999999999995</v>
      </c>
      <c r="AV72">
        <v>41</v>
      </c>
      <c r="AW72">
        <v>3050.3999999999996</v>
      </c>
      <c r="AX72">
        <v>38</v>
      </c>
      <c r="AY72">
        <v>2827.2</v>
      </c>
      <c r="AZ72">
        <v>6</v>
      </c>
      <c r="BA72">
        <v>446.4</v>
      </c>
      <c r="BB72">
        <v>6</v>
      </c>
      <c r="BC72">
        <v>446.4</v>
      </c>
      <c r="BD72">
        <v>4</v>
      </c>
      <c r="BE72">
        <v>297.59999999999997</v>
      </c>
      <c r="BF72">
        <v>7</v>
      </c>
      <c r="BG72">
        <v>520.79999999999995</v>
      </c>
      <c r="BH72">
        <v>42</v>
      </c>
      <c r="BI72">
        <v>3124.7999999999997</v>
      </c>
      <c r="BJ72">
        <v>64</v>
      </c>
      <c r="BK72">
        <v>4761.5999999999995</v>
      </c>
      <c r="BL72">
        <v>59</v>
      </c>
      <c r="BM72">
        <v>4389.5999999999995</v>
      </c>
      <c r="BN72">
        <v>57</v>
      </c>
      <c r="BO72">
        <v>4240.7999999999993</v>
      </c>
      <c r="BP72">
        <v>18</v>
      </c>
      <c r="BQ72">
        <v>1339.1999999999998</v>
      </c>
      <c r="BR72">
        <v>20</v>
      </c>
      <c r="BS72">
        <v>1487.9999999999998</v>
      </c>
      <c r="BT72">
        <v>20</v>
      </c>
      <c r="BU72">
        <v>1487.9999999999998</v>
      </c>
      <c r="BV72">
        <v>18</v>
      </c>
      <c r="BW72">
        <v>1339.1999999999998</v>
      </c>
      <c r="BX72">
        <v>3</v>
      </c>
      <c r="BY72">
        <v>223.2</v>
      </c>
      <c r="BZ72">
        <v>3</v>
      </c>
      <c r="CA72">
        <v>223.2</v>
      </c>
      <c r="CB72">
        <v>4</v>
      </c>
      <c r="CC72">
        <v>297.59999999999997</v>
      </c>
      <c r="CD72">
        <v>4</v>
      </c>
      <c r="CE72">
        <v>297.59999999999997</v>
      </c>
      <c r="CF72">
        <v>5</v>
      </c>
      <c r="CG72">
        <v>371.99999999999994</v>
      </c>
      <c r="CH72">
        <v>5</v>
      </c>
      <c r="CI72">
        <v>371.99999999999994</v>
      </c>
      <c r="CJ72">
        <v>9</v>
      </c>
      <c r="CK72">
        <v>669.59999999999991</v>
      </c>
      <c r="CL72">
        <v>8</v>
      </c>
      <c r="CM72">
        <v>595.19999999999993</v>
      </c>
      <c r="CN72">
        <v>5</v>
      </c>
      <c r="CO72">
        <v>371.99999999999994</v>
      </c>
      <c r="CP72">
        <v>7</v>
      </c>
      <c r="CQ72">
        <v>520.79999999999995</v>
      </c>
      <c r="CR72">
        <v>6</v>
      </c>
      <c r="CS72">
        <v>446.4</v>
      </c>
      <c r="CT72">
        <v>5</v>
      </c>
      <c r="CU72">
        <v>371.99999999999994</v>
      </c>
    </row>
    <row r="73" spans="2:99" x14ac:dyDescent="0.2">
      <c r="C73" s="118" t="s">
        <v>239</v>
      </c>
      <c r="D73">
        <v>61</v>
      </c>
      <c r="E73">
        <v>34111.199999999997</v>
      </c>
      <c r="F73">
        <v>67</v>
      </c>
      <c r="G73">
        <v>37466.399999999994</v>
      </c>
      <c r="H73">
        <v>56</v>
      </c>
      <c r="I73">
        <v>31315.199999999997</v>
      </c>
      <c r="J73">
        <v>91</v>
      </c>
      <c r="K73">
        <v>50887.199999999997</v>
      </c>
      <c r="L73">
        <v>3</v>
      </c>
      <c r="M73">
        <v>1677.6</v>
      </c>
      <c r="N73">
        <v>3</v>
      </c>
      <c r="O73">
        <v>1677.6</v>
      </c>
      <c r="P73">
        <v>5</v>
      </c>
      <c r="Q73">
        <v>2795.9999999999995</v>
      </c>
      <c r="R73">
        <v>3</v>
      </c>
      <c r="S73">
        <v>1677.6</v>
      </c>
      <c r="T73">
        <v>68</v>
      </c>
      <c r="U73">
        <v>38025.599999999999</v>
      </c>
      <c r="V73">
        <v>62</v>
      </c>
      <c r="W73">
        <v>34670.399999999994</v>
      </c>
      <c r="X73">
        <v>66</v>
      </c>
      <c r="Y73">
        <v>36907.199999999997</v>
      </c>
      <c r="Z73">
        <v>67</v>
      </c>
      <c r="AA73">
        <v>37466.399999999994</v>
      </c>
      <c r="AB73">
        <v>94</v>
      </c>
      <c r="AC73">
        <v>52564.799999999996</v>
      </c>
      <c r="AD73">
        <v>66</v>
      </c>
      <c r="AE73">
        <v>36907.199999999997</v>
      </c>
      <c r="AF73">
        <v>56</v>
      </c>
      <c r="AG73">
        <v>31315.199999999997</v>
      </c>
      <c r="AH73">
        <v>82</v>
      </c>
      <c r="AI73">
        <v>45854.399999999994</v>
      </c>
      <c r="AJ73">
        <v>49</v>
      </c>
      <c r="AK73">
        <v>27400.799999999996</v>
      </c>
      <c r="AL73">
        <v>49</v>
      </c>
      <c r="AM73">
        <v>27400.799999999996</v>
      </c>
      <c r="AN73">
        <v>54</v>
      </c>
      <c r="AO73">
        <v>30196.799999999996</v>
      </c>
      <c r="AP73">
        <v>34</v>
      </c>
      <c r="AQ73">
        <v>19012.8</v>
      </c>
      <c r="AR73">
        <v>35</v>
      </c>
      <c r="AS73">
        <v>19571.999999999996</v>
      </c>
      <c r="AT73">
        <v>30</v>
      </c>
      <c r="AU73">
        <v>16775.999999999996</v>
      </c>
      <c r="AV73">
        <v>32</v>
      </c>
      <c r="AW73">
        <v>17894.399999999998</v>
      </c>
      <c r="AX73">
        <v>32</v>
      </c>
      <c r="AY73">
        <v>17894.399999999998</v>
      </c>
      <c r="AZ73">
        <v>6</v>
      </c>
      <c r="BA73">
        <v>3355.2</v>
      </c>
      <c r="BB73">
        <v>7</v>
      </c>
      <c r="BC73">
        <v>3914.3999999999996</v>
      </c>
      <c r="BD73">
        <v>4</v>
      </c>
      <c r="BE73">
        <v>2236.7999999999997</v>
      </c>
      <c r="BF73">
        <v>8</v>
      </c>
      <c r="BG73">
        <v>4473.5999999999995</v>
      </c>
      <c r="BH73">
        <v>34</v>
      </c>
      <c r="BI73">
        <v>19012.8</v>
      </c>
      <c r="BJ73">
        <v>53</v>
      </c>
      <c r="BK73">
        <v>29637.599999999995</v>
      </c>
      <c r="BL73">
        <v>56</v>
      </c>
      <c r="BM73">
        <v>31315.199999999997</v>
      </c>
      <c r="BN73">
        <v>50</v>
      </c>
      <c r="BO73">
        <v>27959.999999999996</v>
      </c>
      <c r="BP73">
        <v>17</v>
      </c>
      <c r="BQ73">
        <v>9506.4</v>
      </c>
      <c r="BR73">
        <v>18</v>
      </c>
      <c r="BS73">
        <v>10065.599999999999</v>
      </c>
      <c r="BT73">
        <v>18</v>
      </c>
      <c r="BU73">
        <v>10065.599999999999</v>
      </c>
      <c r="BV73">
        <v>18</v>
      </c>
      <c r="BW73">
        <v>10065.599999999999</v>
      </c>
      <c r="BX73">
        <v>3</v>
      </c>
      <c r="BY73">
        <v>1677.6</v>
      </c>
      <c r="BZ73">
        <v>3</v>
      </c>
      <c r="CA73">
        <v>1677.6</v>
      </c>
      <c r="CB73">
        <v>4</v>
      </c>
      <c r="CC73">
        <v>2236.7999999999997</v>
      </c>
      <c r="CD73">
        <v>5</v>
      </c>
      <c r="CE73">
        <v>2795.9999999999995</v>
      </c>
      <c r="CF73">
        <v>4</v>
      </c>
      <c r="CG73">
        <v>2236.7999999999997</v>
      </c>
      <c r="CH73">
        <v>4</v>
      </c>
      <c r="CI73">
        <v>2236.7999999999997</v>
      </c>
      <c r="CJ73">
        <v>8</v>
      </c>
      <c r="CK73">
        <v>4473.5999999999995</v>
      </c>
      <c r="CL73">
        <v>7</v>
      </c>
      <c r="CM73">
        <v>3914.3999999999996</v>
      </c>
      <c r="CN73">
        <v>5</v>
      </c>
      <c r="CO73">
        <v>2795.9999999999995</v>
      </c>
      <c r="CP73">
        <v>6</v>
      </c>
      <c r="CQ73">
        <v>3355.2</v>
      </c>
      <c r="CR73">
        <v>6</v>
      </c>
      <c r="CS73">
        <v>3355.2</v>
      </c>
      <c r="CT73">
        <v>4</v>
      </c>
      <c r="CU73">
        <v>2236.7999999999997</v>
      </c>
    </row>
    <row r="74" spans="2:99" x14ac:dyDescent="0.2">
      <c r="C74" s="118" t="s">
        <v>240</v>
      </c>
      <c r="D74">
        <v>59</v>
      </c>
      <c r="E74">
        <v>23788.799999999999</v>
      </c>
      <c r="F74">
        <v>64</v>
      </c>
      <c r="G74">
        <v>25804.799999999999</v>
      </c>
      <c r="H74">
        <v>62</v>
      </c>
      <c r="I74">
        <v>24998.399999999998</v>
      </c>
      <c r="J74">
        <v>82</v>
      </c>
      <c r="K74">
        <v>33062.400000000001</v>
      </c>
      <c r="L74">
        <v>3</v>
      </c>
      <c r="M74">
        <v>1209.5999999999999</v>
      </c>
      <c r="N74">
        <v>3</v>
      </c>
      <c r="O74">
        <v>1209.5999999999999</v>
      </c>
      <c r="P74">
        <v>5</v>
      </c>
      <c r="Q74">
        <v>2016</v>
      </c>
      <c r="R74">
        <v>3</v>
      </c>
      <c r="S74">
        <v>1209.5999999999999</v>
      </c>
      <c r="T74">
        <v>71</v>
      </c>
      <c r="U74">
        <v>28627.200000000001</v>
      </c>
      <c r="V74">
        <v>64</v>
      </c>
      <c r="W74">
        <v>25804.799999999999</v>
      </c>
      <c r="X74">
        <v>67</v>
      </c>
      <c r="Y74">
        <v>27014.399999999998</v>
      </c>
      <c r="Z74">
        <v>70</v>
      </c>
      <c r="AA74">
        <v>28224</v>
      </c>
      <c r="AB74">
        <v>91</v>
      </c>
      <c r="AC74">
        <v>36691.199999999997</v>
      </c>
      <c r="AD74">
        <v>58</v>
      </c>
      <c r="AE74">
        <v>23385.599999999999</v>
      </c>
      <c r="AF74">
        <v>56</v>
      </c>
      <c r="AG74">
        <v>22579.200000000001</v>
      </c>
      <c r="AH74">
        <v>76</v>
      </c>
      <c r="AI74">
        <v>30643.200000000001</v>
      </c>
      <c r="AJ74">
        <v>51</v>
      </c>
      <c r="AK74">
        <v>20563.2</v>
      </c>
      <c r="AL74">
        <v>54</v>
      </c>
      <c r="AM74">
        <v>21772.799999999999</v>
      </c>
      <c r="AN74">
        <v>52</v>
      </c>
      <c r="AO74">
        <v>20966.399999999998</v>
      </c>
      <c r="AP74">
        <v>33</v>
      </c>
      <c r="AQ74">
        <v>13305.6</v>
      </c>
      <c r="AR74">
        <v>31</v>
      </c>
      <c r="AS74">
        <v>12499.199999999999</v>
      </c>
      <c r="AT74">
        <v>29</v>
      </c>
      <c r="AU74">
        <v>11692.8</v>
      </c>
      <c r="AV74">
        <v>33</v>
      </c>
      <c r="AW74">
        <v>13305.6</v>
      </c>
      <c r="AX74">
        <v>36</v>
      </c>
      <c r="AY74">
        <v>14515.199999999999</v>
      </c>
      <c r="AZ74">
        <v>5</v>
      </c>
      <c r="BA74">
        <v>2016</v>
      </c>
      <c r="BB74">
        <v>7</v>
      </c>
      <c r="BC74">
        <v>2822.4</v>
      </c>
      <c r="BD74">
        <v>4</v>
      </c>
      <c r="BE74">
        <v>1612.8</v>
      </c>
      <c r="BF74">
        <v>7</v>
      </c>
      <c r="BG74">
        <v>2822.4</v>
      </c>
      <c r="BH74">
        <v>36</v>
      </c>
      <c r="BI74">
        <v>14515.199999999999</v>
      </c>
      <c r="BJ74">
        <v>56</v>
      </c>
      <c r="BK74">
        <v>22579.200000000001</v>
      </c>
      <c r="BL74">
        <v>48</v>
      </c>
      <c r="BM74">
        <v>19353.599999999999</v>
      </c>
      <c r="BN74">
        <v>54</v>
      </c>
      <c r="BO74">
        <v>21772.799999999999</v>
      </c>
      <c r="BP74">
        <v>15</v>
      </c>
      <c r="BQ74">
        <v>6048</v>
      </c>
      <c r="BR74">
        <v>19</v>
      </c>
      <c r="BS74">
        <v>7660.8</v>
      </c>
      <c r="BT74">
        <v>20</v>
      </c>
      <c r="BU74">
        <v>8064</v>
      </c>
      <c r="BV74">
        <v>19</v>
      </c>
      <c r="BW74">
        <v>7660.8</v>
      </c>
      <c r="BX74">
        <v>3</v>
      </c>
      <c r="BY74">
        <v>1209.5999999999999</v>
      </c>
      <c r="BZ74">
        <v>3</v>
      </c>
      <c r="CA74">
        <v>1209.5999999999999</v>
      </c>
      <c r="CB74">
        <v>4</v>
      </c>
      <c r="CC74">
        <v>1612.8</v>
      </c>
      <c r="CD74">
        <v>4</v>
      </c>
      <c r="CE74">
        <v>1612.8</v>
      </c>
      <c r="CF74">
        <v>5</v>
      </c>
      <c r="CG74">
        <v>2016</v>
      </c>
      <c r="CH74">
        <v>4</v>
      </c>
      <c r="CI74">
        <v>1612.8</v>
      </c>
      <c r="CJ74">
        <v>9</v>
      </c>
      <c r="CK74">
        <v>3628.7999999999997</v>
      </c>
      <c r="CL74">
        <v>8</v>
      </c>
      <c r="CM74">
        <v>3225.6</v>
      </c>
      <c r="CN74">
        <v>6</v>
      </c>
      <c r="CO74">
        <v>2419.1999999999998</v>
      </c>
      <c r="CP74">
        <v>7</v>
      </c>
      <c r="CQ74">
        <v>2822.4</v>
      </c>
      <c r="CR74">
        <v>7</v>
      </c>
      <c r="CS74">
        <v>2822.4</v>
      </c>
      <c r="CT74">
        <v>4</v>
      </c>
      <c r="CU74">
        <v>1612.8</v>
      </c>
    </row>
    <row r="75" spans="2:99" x14ac:dyDescent="0.2">
      <c r="C75" s="118" t="s">
        <v>241</v>
      </c>
      <c r="D75">
        <v>65</v>
      </c>
      <c r="E75">
        <v>41807.999999999993</v>
      </c>
      <c r="F75">
        <v>63</v>
      </c>
      <c r="G75">
        <v>40521.599999999999</v>
      </c>
      <c r="H75">
        <v>59</v>
      </c>
      <c r="I75">
        <v>37948.799999999996</v>
      </c>
      <c r="J75">
        <v>86</v>
      </c>
      <c r="K75">
        <v>55315.199999999997</v>
      </c>
      <c r="L75">
        <v>3</v>
      </c>
      <c r="M75">
        <v>1929.6</v>
      </c>
      <c r="N75">
        <v>3</v>
      </c>
      <c r="O75">
        <v>1929.6</v>
      </c>
      <c r="P75">
        <v>4</v>
      </c>
      <c r="Q75">
        <v>2572.7999999999997</v>
      </c>
      <c r="R75">
        <v>3</v>
      </c>
      <c r="S75">
        <v>1929.6</v>
      </c>
      <c r="T75">
        <v>77</v>
      </c>
      <c r="U75">
        <v>49526.399999999994</v>
      </c>
      <c r="V75">
        <v>62</v>
      </c>
      <c r="W75">
        <v>39878.399999999994</v>
      </c>
      <c r="X75">
        <v>61</v>
      </c>
      <c r="Y75">
        <v>39235.199999999997</v>
      </c>
      <c r="Z75">
        <v>74</v>
      </c>
      <c r="AA75">
        <v>47596.799999999996</v>
      </c>
      <c r="AB75">
        <v>88</v>
      </c>
      <c r="AC75">
        <v>56601.599999999991</v>
      </c>
      <c r="AD75">
        <v>60</v>
      </c>
      <c r="AE75">
        <v>38591.999999999993</v>
      </c>
      <c r="AF75">
        <v>51</v>
      </c>
      <c r="AG75">
        <v>32803.199999999997</v>
      </c>
      <c r="AH75">
        <v>79</v>
      </c>
      <c r="AI75">
        <v>50812.799999999996</v>
      </c>
      <c r="AJ75">
        <v>48</v>
      </c>
      <c r="AK75">
        <v>30873.599999999999</v>
      </c>
      <c r="AL75">
        <v>56</v>
      </c>
      <c r="AM75">
        <v>36019.199999999997</v>
      </c>
      <c r="AN75">
        <v>50</v>
      </c>
      <c r="AO75">
        <v>32159.999999999996</v>
      </c>
      <c r="AP75">
        <v>35</v>
      </c>
      <c r="AQ75">
        <v>22511.999999999996</v>
      </c>
      <c r="AR75">
        <v>35</v>
      </c>
      <c r="AS75">
        <v>22511.999999999996</v>
      </c>
      <c r="AT75">
        <v>29</v>
      </c>
      <c r="AU75">
        <v>18652.8</v>
      </c>
      <c r="AV75">
        <v>31</v>
      </c>
      <c r="AW75">
        <v>19939.199999999997</v>
      </c>
      <c r="AX75">
        <v>32</v>
      </c>
      <c r="AY75">
        <v>20582.399999999998</v>
      </c>
      <c r="AZ75">
        <v>5</v>
      </c>
      <c r="BA75">
        <v>3215.9999999999995</v>
      </c>
      <c r="BB75">
        <v>7</v>
      </c>
      <c r="BC75">
        <v>4502.3999999999996</v>
      </c>
      <c r="BD75">
        <v>4</v>
      </c>
      <c r="BE75">
        <v>2572.7999999999997</v>
      </c>
      <c r="BF75">
        <v>7</v>
      </c>
      <c r="BG75">
        <v>4502.3999999999996</v>
      </c>
      <c r="BH75">
        <v>34</v>
      </c>
      <c r="BI75">
        <v>21868.799999999999</v>
      </c>
      <c r="BJ75">
        <v>57</v>
      </c>
      <c r="BK75">
        <v>36662.399999999994</v>
      </c>
      <c r="BL75">
        <v>48</v>
      </c>
      <c r="BM75">
        <v>30873.599999999999</v>
      </c>
      <c r="BN75">
        <v>50</v>
      </c>
      <c r="BO75">
        <v>32159.999999999996</v>
      </c>
      <c r="BP75">
        <v>16</v>
      </c>
      <c r="BQ75">
        <v>10291.199999999999</v>
      </c>
      <c r="BR75">
        <v>19</v>
      </c>
      <c r="BS75">
        <v>12220.8</v>
      </c>
      <c r="BT75">
        <v>19</v>
      </c>
      <c r="BU75">
        <v>12220.8</v>
      </c>
      <c r="BV75">
        <v>19</v>
      </c>
      <c r="BW75">
        <v>12220.8</v>
      </c>
      <c r="BX75">
        <v>3</v>
      </c>
      <c r="BY75">
        <v>1929.6</v>
      </c>
      <c r="BZ75">
        <v>3</v>
      </c>
      <c r="CA75">
        <v>1929.6</v>
      </c>
      <c r="CB75">
        <v>4</v>
      </c>
      <c r="CC75">
        <v>2572.7999999999997</v>
      </c>
      <c r="CD75">
        <v>5</v>
      </c>
      <c r="CE75">
        <v>3215.9999999999995</v>
      </c>
      <c r="CF75">
        <v>5</v>
      </c>
      <c r="CG75">
        <v>3215.9999999999995</v>
      </c>
      <c r="CH75">
        <v>5</v>
      </c>
      <c r="CI75">
        <v>3215.9999999999995</v>
      </c>
      <c r="CJ75">
        <v>8</v>
      </c>
      <c r="CK75">
        <v>5145.5999999999995</v>
      </c>
      <c r="CL75">
        <v>7</v>
      </c>
      <c r="CM75">
        <v>4502.3999999999996</v>
      </c>
      <c r="CN75">
        <v>5</v>
      </c>
      <c r="CO75">
        <v>3215.9999999999995</v>
      </c>
      <c r="CP75">
        <v>6</v>
      </c>
      <c r="CQ75">
        <v>3859.2</v>
      </c>
      <c r="CR75">
        <v>6</v>
      </c>
      <c r="CS75">
        <v>3859.2</v>
      </c>
      <c r="CT75">
        <v>4</v>
      </c>
      <c r="CU75">
        <v>2572.7999999999997</v>
      </c>
    </row>
    <row r="76" spans="2:99" x14ac:dyDescent="0.2">
      <c r="C76" s="118" t="s">
        <v>242</v>
      </c>
      <c r="D76">
        <v>55</v>
      </c>
      <c r="E76">
        <v>42834</v>
      </c>
      <c r="F76">
        <v>59</v>
      </c>
      <c r="G76">
        <v>45949.2</v>
      </c>
      <c r="H76">
        <v>58</v>
      </c>
      <c r="I76">
        <v>45170.399999999994</v>
      </c>
      <c r="J76">
        <v>84</v>
      </c>
      <c r="K76">
        <v>65419.199999999997</v>
      </c>
      <c r="L76">
        <v>3</v>
      </c>
      <c r="M76">
        <v>2336.3999999999996</v>
      </c>
      <c r="N76">
        <v>3</v>
      </c>
      <c r="O76">
        <v>2336.3999999999996</v>
      </c>
      <c r="P76">
        <v>4</v>
      </c>
      <c r="Q76">
        <v>3115.2</v>
      </c>
      <c r="R76">
        <v>3</v>
      </c>
      <c r="S76">
        <v>2336.3999999999996</v>
      </c>
      <c r="T76">
        <v>78</v>
      </c>
      <c r="U76">
        <v>60746.399999999994</v>
      </c>
      <c r="V76">
        <v>55</v>
      </c>
      <c r="W76">
        <v>42834</v>
      </c>
      <c r="X76">
        <v>61</v>
      </c>
      <c r="Y76">
        <v>47506.799999999996</v>
      </c>
      <c r="Z76">
        <v>73</v>
      </c>
      <c r="AA76">
        <v>56852.399999999994</v>
      </c>
      <c r="AB76">
        <v>84</v>
      </c>
      <c r="AC76">
        <v>65419.199999999997</v>
      </c>
      <c r="AD76">
        <v>54</v>
      </c>
      <c r="AE76">
        <v>42055.199999999997</v>
      </c>
      <c r="AF76">
        <v>52</v>
      </c>
      <c r="AG76">
        <v>40497.599999999999</v>
      </c>
      <c r="AH76">
        <v>71</v>
      </c>
      <c r="AI76">
        <v>55294.799999999996</v>
      </c>
      <c r="AJ76">
        <v>48</v>
      </c>
      <c r="AK76">
        <v>37382.399999999994</v>
      </c>
      <c r="AL76">
        <v>51</v>
      </c>
      <c r="AM76">
        <v>39718.799999999996</v>
      </c>
      <c r="AN76">
        <v>49</v>
      </c>
      <c r="AO76">
        <v>38161.199999999997</v>
      </c>
      <c r="AP76">
        <v>37</v>
      </c>
      <c r="AQ76">
        <v>28815.599999999999</v>
      </c>
      <c r="AR76">
        <v>30</v>
      </c>
      <c r="AS76">
        <v>23364</v>
      </c>
      <c r="AT76">
        <v>26</v>
      </c>
      <c r="AU76">
        <v>20248.8</v>
      </c>
      <c r="AV76">
        <v>37</v>
      </c>
      <c r="AW76">
        <v>28815.599999999999</v>
      </c>
      <c r="AX76">
        <v>37</v>
      </c>
      <c r="AY76">
        <v>28815.599999999999</v>
      </c>
      <c r="AZ76">
        <v>6</v>
      </c>
      <c r="BA76">
        <v>4672.7999999999993</v>
      </c>
      <c r="BB76">
        <v>7</v>
      </c>
      <c r="BC76">
        <v>5451.5999999999995</v>
      </c>
      <c r="BD76">
        <v>4</v>
      </c>
      <c r="BE76">
        <v>3115.2</v>
      </c>
      <c r="BF76">
        <v>7</v>
      </c>
      <c r="BG76">
        <v>5451.5999999999995</v>
      </c>
      <c r="BH76">
        <v>33</v>
      </c>
      <c r="BI76">
        <v>25700.399999999998</v>
      </c>
      <c r="BJ76">
        <v>49</v>
      </c>
      <c r="BK76">
        <v>38161.199999999997</v>
      </c>
      <c r="BL76">
        <v>50</v>
      </c>
      <c r="BM76">
        <v>38940</v>
      </c>
      <c r="BN76">
        <v>50</v>
      </c>
      <c r="BO76">
        <v>38940</v>
      </c>
      <c r="BP76">
        <v>14</v>
      </c>
      <c r="BQ76">
        <v>10903.199999999999</v>
      </c>
      <c r="BR76">
        <v>20</v>
      </c>
      <c r="BS76">
        <v>15576</v>
      </c>
      <c r="BT76">
        <v>19</v>
      </c>
      <c r="BU76">
        <v>14797.199999999999</v>
      </c>
      <c r="BV76">
        <v>17</v>
      </c>
      <c r="BW76">
        <v>13239.599999999999</v>
      </c>
      <c r="BX76">
        <v>3</v>
      </c>
      <c r="BY76">
        <v>2336.3999999999996</v>
      </c>
      <c r="BZ76">
        <v>4</v>
      </c>
      <c r="CA76">
        <v>3115.2</v>
      </c>
      <c r="CB76">
        <v>4</v>
      </c>
      <c r="CC76">
        <v>3115.2</v>
      </c>
      <c r="CD76">
        <v>4</v>
      </c>
      <c r="CE76">
        <v>3115.2</v>
      </c>
      <c r="CF76">
        <v>5</v>
      </c>
      <c r="CG76">
        <v>3894</v>
      </c>
      <c r="CH76">
        <v>5</v>
      </c>
      <c r="CI76">
        <v>3894</v>
      </c>
      <c r="CJ76">
        <v>9</v>
      </c>
      <c r="CK76">
        <v>7009.2</v>
      </c>
      <c r="CL76">
        <v>7</v>
      </c>
      <c r="CM76">
        <v>5451.5999999999995</v>
      </c>
      <c r="CN76">
        <v>5</v>
      </c>
      <c r="CO76">
        <v>3894</v>
      </c>
      <c r="CP76">
        <v>6</v>
      </c>
      <c r="CQ76">
        <v>4672.7999999999993</v>
      </c>
      <c r="CR76">
        <v>6</v>
      </c>
      <c r="CS76">
        <v>4672.7999999999993</v>
      </c>
      <c r="CT76">
        <v>4</v>
      </c>
      <c r="CU76">
        <v>3115.2</v>
      </c>
    </row>
    <row r="77" spans="2:99" x14ac:dyDescent="0.2">
      <c r="C77" s="118" t="s">
        <v>243</v>
      </c>
      <c r="D77">
        <v>66</v>
      </c>
      <c r="E77">
        <v>18374.399999999998</v>
      </c>
      <c r="F77">
        <v>77</v>
      </c>
      <c r="G77">
        <v>21436.799999999999</v>
      </c>
      <c r="H77">
        <v>63</v>
      </c>
      <c r="I77">
        <v>17539.199999999997</v>
      </c>
      <c r="J77">
        <v>100</v>
      </c>
      <c r="K77">
        <v>27839.999999999996</v>
      </c>
      <c r="L77">
        <v>3</v>
      </c>
      <c r="M77">
        <v>835.19999999999993</v>
      </c>
      <c r="N77">
        <v>4</v>
      </c>
      <c r="O77">
        <v>1113.5999999999999</v>
      </c>
      <c r="P77">
        <v>4</v>
      </c>
      <c r="Q77">
        <v>1113.5999999999999</v>
      </c>
      <c r="R77">
        <v>3</v>
      </c>
      <c r="S77">
        <v>835.19999999999993</v>
      </c>
      <c r="T77">
        <v>76</v>
      </c>
      <c r="U77">
        <v>21158.399999999998</v>
      </c>
      <c r="V77">
        <v>61</v>
      </c>
      <c r="W77">
        <v>16982.399999999998</v>
      </c>
      <c r="X77">
        <v>68</v>
      </c>
      <c r="Y77">
        <v>18931.199999999997</v>
      </c>
      <c r="Z77">
        <v>73</v>
      </c>
      <c r="AA77">
        <v>20323.199999999997</v>
      </c>
      <c r="AB77">
        <v>100</v>
      </c>
      <c r="AC77">
        <v>27839.999999999996</v>
      </c>
      <c r="AD77">
        <v>73</v>
      </c>
      <c r="AE77">
        <v>20323.199999999997</v>
      </c>
      <c r="AF77">
        <v>56</v>
      </c>
      <c r="AG77">
        <v>15590.399999999998</v>
      </c>
      <c r="AH77">
        <v>84</v>
      </c>
      <c r="AI77">
        <v>23385.599999999999</v>
      </c>
      <c r="AJ77">
        <v>46</v>
      </c>
      <c r="AK77">
        <v>12806.4</v>
      </c>
      <c r="AL77">
        <v>54</v>
      </c>
      <c r="AM77">
        <v>15033.599999999999</v>
      </c>
      <c r="AN77">
        <v>61</v>
      </c>
      <c r="AO77">
        <v>16982.399999999998</v>
      </c>
      <c r="AP77">
        <v>35</v>
      </c>
      <c r="AQ77">
        <v>9744</v>
      </c>
      <c r="AR77">
        <v>35</v>
      </c>
      <c r="AS77">
        <v>9744</v>
      </c>
      <c r="AT77">
        <v>31</v>
      </c>
      <c r="AU77">
        <v>8630.4</v>
      </c>
      <c r="AV77">
        <v>37</v>
      </c>
      <c r="AW77">
        <v>10300.799999999999</v>
      </c>
      <c r="AX77">
        <v>34</v>
      </c>
      <c r="AY77">
        <v>9465.5999999999985</v>
      </c>
      <c r="AZ77">
        <v>5</v>
      </c>
      <c r="BA77">
        <v>1392</v>
      </c>
      <c r="BB77">
        <v>7</v>
      </c>
      <c r="BC77">
        <v>1948.7999999999997</v>
      </c>
      <c r="BD77">
        <v>4</v>
      </c>
      <c r="BE77">
        <v>1113.5999999999999</v>
      </c>
      <c r="BF77">
        <v>8</v>
      </c>
      <c r="BG77">
        <v>2227.1999999999998</v>
      </c>
      <c r="BH77">
        <v>34</v>
      </c>
      <c r="BI77">
        <v>9465.5999999999985</v>
      </c>
      <c r="BJ77">
        <v>61</v>
      </c>
      <c r="BK77">
        <v>16982.399999999998</v>
      </c>
      <c r="BL77">
        <v>53</v>
      </c>
      <c r="BM77">
        <v>14755.199999999999</v>
      </c>
      <c r="BN77">
        <v>51</v>
      </c>
      <c r="BO77">
        <v>14198.4</v>
      </c>
      <c r="BP77">
        <v>18</v>
      </c>
      <c r="BQ77">
        <v>5011.2</v>
      </c>
      <c r="BR77">
        <v>19</v>
      </c>
      <c r="BS77">
        <v>5289.5999999999995</v>
      </c>
      <c r="BT77">
        <v>20</v>
      </c>
      <c r="BU77">
        <v>5568</v>
      </c>
      <c r="BV77">
        <v>20</v>
      </c>
      <c r="BW77">
        <v>5568</v>
      </c>
      <c r="BX77">
        <v>3</v>
      </c>
      <c r="BY77">
        <v>835.19999999999993</v>
      </c>
      <c r="BZ77">
        <v>3</v>
      </c>
      <c r="CA77">
        <v>835.19999999999993</v>
      </c>
      <c r="CB77">
        <v>4</v>
      </c>
      <c r="CC77">
        <v>1113.5999999999999</v>
      </c>
      <c r="CD77">
        <v>4</v>
      </c>
      <c r="CE77">
        <v>1113.5999999999999</v>
      </c>
      <c r="CF77">
        <v>5</v>
      </c>
      <c r="CG77">
        <v>1392</v>
      </c>
      <c r="CH77">
        <v>5</v>
      </c>
      <c r="CI77">
        <v>1392</v>
      </c>
      <c r="CJ77">
        <v>9</v>
      </c>
      <c r="CK77">
        <v>2505.6</v>
      </c>
      <c r="CL77">
        <v>8</v>
      </c>
      <c r="CM77">
        <v>2227.1999999999998</v>
      </c>
      <c r="CN77">
        <v>5</v>
      </c>
      <c r="CO77">
        <v>1392</v>
      </c>
      <c r="CP77">
        <v>7</v>
      </c>
      <c r="CQ77">
        <v>1948.7999999999997</v>
      </c>
      <c r="CR77">
        <v>7</v>
      </c>
      <c r="CS77">
        <v>1948.7999999999997</v>
      </c>
      <c r="CT77">
        <v>5</v>
      </c>
      <c r="CU77">
        <v>1392</v>
      </c>
    </row>
    <row r="78" spans="2:99" x14ac:dyDescent="0.2">
      <c r="C78" s="118" t="s">
        <v>244</v>
      </c>
      <c r="D78">
        <v>62</v>
      </c>
      <c r="E78">
        <v>34224</v>
      </c>
      <c r="F78">
        <v>67</v>
      </c>
      <c r="G78">
        <v>36984</v>
      </c>
      <c r="H78">
        <v>57</v>
      </c>
      <c r="I78">
        <v>31464</v>
      </c>
      <c r="J78">
        <v>90</v>
      </c>
      <c r="K78">
        <v>49680</v>
      </c>
      <c r="L78">
        <v>3</v>
      </c>
      <c r="M78">
        <v>1656</v>
      </c>
      <c r="N78">
        <v>4</v>
      </c>
      <c r="O78">
        <v>2208</v>
      </c>
      <c r="P78">
        <v>5</v>
      </c>
      <c r="Q78">
        <v>2760</v>
      </c>
      <c r="R78">
        <v>3</v>
      </c>
      <c r="S78">
        <v>1656</v>
      </c>
      <c r="T78">
        <v>74</v>
      </c>
      <c r="U78">
        <v>40848</v>
      </c>
      <c r="V78">
        <v>59</v>
      </c>
      <c r="W78">
        <v>32568</v>
      </c>
      <c r="X78">
        <v>63</v>
      </c>
      <c r="Y78">
        <v>34776</v>
      </c>
      <c r="Z78">
        <v>75</v>
      </c>
      <c r="AA78">
        <v>41400</v>
      </c>
      <c r="AB78">
        <v>79</v>
      </c>
      <c r="AC78">
        <v>43608</v>
      </c>
      <c r="AD78">
        <v>64</v>
      </c>
      <c r="AE78">
        <v>35328</v>
      </c>
      <c r="AF78">
        <v>52</v>
      </c>
      <c r="AG78">
        <v>28704</v>
      </c>
      <c r="AH78">
        <v>77</v>
      </c>
      <c r="AI78">
        <v>42504</v>
      </c>
      <c r="AJ78">
        <v>45</v>
      </c>
      <c r="AK78">
        <v>24840</v>
      </c>
      <c r="AL78">
        <v>56</v>
      </c>
      <c r="AM78">
        <v>30912</v>
      </c>
      <c r="AN78">
        <v>58</v>
      </c>
      <c r="AO78">
        <v>32016</v>
      </c>
      <c r="AP78">
        <v>36</v>
      </c>
      <c r="AQ78">
        <v>19872</v>
      </c>
      <c r="AR78">
        <v>34</v>
      </c>
      <c r="AS78">
        <v>18768</v>
      </c>
      <c r="AT78">
        <v>27</v>
      </c>
      <c r="AU78">
        <v>14904</v>
      </c>
      <c r="AV78">
        <v>35</v>
      </c>
      <c r="AW78">
        <v>19320</v>
      </c>
      <c r="AX78">
        <v>33</v>
      </c>
      <c r="AY78">
        <v>18216</v>
      </c>
      <c r="AZ78">
        <v>5</v>
      </c>
      <c r="BA78">
        <v>2760</v>
      </c>
      <c r="BB78">
        <v>7</v>
      </c>
      <c r="BC78">
        <v>3864</v>
      </c>
      <c r="BD78">
        <v>4</v>
      </c>
      <c r="BE78">
        <v>2208</v>
      </c>
      <c r="BF78">
        <v>8</v>
      </c>
      <c r="BG78">
        <v>4416</v>
      </c>
      <c r="BH78">
        <v>33</v>
      </c>
      <c r="BI78">
        <v>18216</v>
      </c>
      <c r="BJ78">
        <v>54</v>
      </c>
      <c r="BK78">
        <v>29808</v>
      </c>
      <c r="BL78">
        <v>49</v>
      </c>
      <c r="BM78">
        <v>27048</v>
      </c>
      <c r="BN78">
        <v>49</v>
      </c>
      <c r="BO78">
        <v>27048</v>
      </c>
      <c r="BP78">
        <v>16</v>
      </c>
      <c r="BQ78">
        <v>8832</v>
      </c>
      <c r="BR78">
        <v>19</v>
      </c>
      <c r="BS78">
        <v>10488</v>
      </c>
      <c r="BT78">
        <v>18</v>
      </c>
      <c r="BU78">
        <v>9936</v>
      </c>
      <c r="BV78">
        <v>18</v>
      </c>
      <c r="BW78">
        <v>9936</v>
      </c>
      <c r="BX78">
        <v>3</v>
      </c>
      <c r="BY78">
        <v>1656</v>
      </c>
      <c r="BZ78">
        <v>3</v>
      </c>
      <c r="CA78">
        <v>1656</v>
      </c>
      <c r="CB78">
        <v>5</v>
      </c>
      <c r="CC78">
        <v>2760</v>
      </c>
      <c r="CD78">
        <v>4</v>
      </c>
      <c r="CE78">
        <v>2208</v>
      </c>
      <c r="CF78">
        <v>5</v>
      </c>
      <c r="CG78">
        <v>2760</v>
      </c>
      <c r="CH78">
        <v>5</v>
      </c>
      <c r="CI78">
        <v>2760</v>
      </c>
      <c r="CJ78">
        <v>8</v>
      </c>
      <c r="CK78">
        <v>4416</v>
      </c>
      <c r="CL78">
        <v>7</v>
      </c>
      <c r="CM78">
        <v>3864</v>
      </c>
      <c r="CN78">
        <v>5</v>
      </c>
      <c r="CO78">
        <v>2760</v>
      </c>
      <c r="CP78">
        <v>6</v>
      </c>
      <c r="CQ78">
        <v>3312</v>
      </c>
      <c r="CR78">
        <v>6</v>
      </c>
      <c r="CS78">
        <v>3312</v>
      </c>
      <c r="CT78">
        <v>4</v>
      </c>
      <c r="CU78">
        <v>2208</v>
      </c>
    </row>
    <row r="79" spans="2:99" x14ac:dyDescent="0.2">
      <c r="C79" s="118" t="s">
        <v>245</v>
      </c>
      <c r="D79">
        <v>55</v>
      </c>
      <c r="E79">
        <v>41645.999999999993</v>
      </c>
      <c r="F79">
        <v>67</v>
      </c>
      <c r="G79">
        <v>50732.399999999994</v>
      </c>
      <c r="H79">
        <v>55</v>
      </c>
      <c r="I79">
        <v>41645.999999999993</v>
      </c>
      <c r="J79">
        <v>85</v>
      </c>
      <c r="K79">
        <v>64361.999999999993</v>
      </c>
      <c r="L79">
        <v>3</v>
      </c>
      <c r="M79">
        <v>2271.6</v>
      </c>
      <c r="N79">
        <v>3</v>
      </c>
      <c r="O79">
        <v>2271.6</v>
      </c>
      <c r="P79">
        <v>4</v>
      </c>
      <c r="Q79">
        <v>3028.7999999999997</v>
      </c>
      <c r="R79">
        <v>3</v>
      </c>
      <c r="S79">
        <v>2271.6</v>
      </c>
      <c r="T79">
        <v>78</v>
      </c>
      <c r="U79">
        <v>59061.599999999991</v>
      </c>
      <c r="V79">
        <v>64</v>
      </c>
      <c r="W79">
        <v>48460.799999999996</v>
      </c>
      <c r="X79">
        <v>65</v>
      </c>
      <c r="Y79">
        <v>49217.999999999993</v>
      </c>
      <c r="Z79">
        <v>70</v>
      </c>
      <c r="AA79">
        <v>53003.999999999993</v>
      </c>
      <c r="AB79">
        <v>80</v>
      </c>
      <c r="AC79">
        <v>60575.999999999993</v>
      </c>
      <c r="AD79">
        <v>60</v>
      </c>
      <c r="AE79">
        <v>45431.999999999993</v>
      </c>
      <c r="AF79">
        <v>55</v>
      </c>
      <c r="AG79">
        <v>41645.999999999993</v>
      </c>
      <c r="AH79">
        <v>73</v>
      </c>
      <c r="AI79">
        <v>55275.6</v>
      </c>
      <c r="AJ79">
        <v>46</v>
      </c>
      <c r="AK79">
        <v>34831.199999999997</v>
      </c>
      <c r="AL79">
        <v>53</v>
      </c>
      <c r="AM79">
        <v>40131.599999999999</v>
      </c>
      <c r="AN79">
        <v>53</v>
      </c>
      <c r="AO79">
        <v>40131.599999999999</v>
      </c>
      <c r="AP79">
        <v>33</v>
      </c>
      <c r="AQ79">
        <v>24987.599999999999</v>
      </c>
      <c r="AR79">
        <v>31</v>
      </c>
      <c r="AS79">
        <v>23473.199999999997</v>
      </c>
      <c r="AT79">
        <v>25</v>
      </c>
      <c r="AU79">
        <v>18930</v>
      </c>
      <c r="AV79">
        <v>32</v>
      </c>
      <c r="AW79">
        <v>24230.399999999998</v>
      </c>
      <c r="AX79">
        <v>37</v>
      </c>
      <c r="AY79">
        <v>28016.399999999998</v>
      </c>
      <c r="AZ79">
        <v>5</v>
      </c>
      <c r="BA79">
        <v>3785.9999999999995</v>
      </c>
      <c r="BB79">
        <v>7</v>
      </c>
      <c r="BC79">
        <v>5300.4</v>
      </c>
      <c r="BD79">
        <v>4</v>
      </c>
      <c r="BE79">
        <v>3028.7999999999997</v>
      </c>
      <c r="BF79">
        <v>8</v>
      </c>
      <c r="BG79">
        <v>6057.5999999999995</v>
      </c>
      <c r="BH79">
        <v>36</v>
      </c>
      <c r="BI79">
        <v>27259.199999999997</v>
      </c>
      <c r="BJ79">
        <v>55</v>
      </c>
      <c r="BK79">
        <v>41645.999999999993</v>
      </c>
      <c r="BL79">
        <v>51</v>
      </c>
      <c r="BM79">
        <v>38617.199999999997</v>
      </c>
      <c r="BN79">
        <v>46</v>
      </c>
      <c r="BO79">
        <v>34831.199999999997</v>
      </c>
      <c r="BP79">
        <v>14</v>
      </c>
      <c r="BQ79">
        <v>10600.8</v>
      </c>
      <c r="BR79">
        <v>19</v>
      </c>
      <c r="BS79">
        <v>14386.8</v>
      </c>
      <c r="BT79">
        <v>16</v>
      </c>
      <c r="BU79">
        <v>12115.199999999999</v>
      </c>
      <c r="BV79">
        <v>17</v>
      </c>
      <c r="BW79">
        <v>12872.4</v>
      </c>
      <c r="BX79">
        <v>3</v>
      </c>
      <c r="BY79">
        <v>2271.6</v>
      </c>
      <c r="BZ79">
        <v>3</v>
      </c>
      <c r="CA79">
        <v>2271.6</v>
      </c>
      <c r="CB79">
        <v>5</v>
      </c>
      <c r="CC79">
        <v>3785.9999999999995</v>
      </c>
      <c r="CD79">
        <v>5</v>
      </c>
      <c r="CE79">
        <v>3785.9999999999995</v>
      </c>
      <c r="CF79">
        <v>5</v>
      </c>
      <c r="CG79">
        <v>3785.9999999999995</v>
      </c>
      <c r="CH79">
        <v>4</v>
      </c>
      <c r="CI79">
        <v>3028.7999999999997</v>
      </c>
      <c r="CJ79">
        <v>9</v>
      </c>
      <c r="CK79">
        <v>6814.7999999999993</v>
      </c>
      <c r="CL79">
        <v>6</v>
      </c>
      <c r="CM79">
        <v>4543.2</v>
      </c>
      <c r="CN79">
        <v>5</v>
      </c>
      <c r="CO79">
        <v>3785.9999999999995</v>
      </c>
      <c r="CP79">
        <v>7</v>
      </c>
      <c r="CQ79">
        <v>5300.4</v>
      </c>
      <c r="CR79">
        <v>7</v>
      </c>
      <c r="CS79">
        <v>5300.4</v>
      </c>
      <c r="CT79">
        <v>4</v>
      </c>
      <c r="CU79">
        <v>3028.7999999999997</v>
      </c>
    </row>
    <row r="80" spans="2:99" x14ac:dyDescent="0.2">
      <c r="C80" s="118" t="s">
        <v>246</v>
      </c>
      <c r="D80">
        <v>52</v>
      </c>
      <c r="E80">
        <v>41870.399999999994</v>
      </c>
      <c r="F80">
        <v>62</v>
      </c>
      <c r="G80">
        <v>49922.399999999994</v>
      </c>
      <c r="H80">
        <v>58</v>
      </c>
      <c r="I80">
        <v>46701.599999999999</v>
      </c>
      <c r="J80">
        <v>87</v>
      </c>
      <c r="K80">
        <v>70052.399999999994</v>
      </c>
      <c r="L80">
        <v>3</v>
      </c>
      <c r="M80">
        <v>2415.6</v>
      </c>
      <c r="N80">
        <v>3</v>
      </c>
      <c r="O80">
        <v>2415.6</v>
      </c>
      <c r="P80">
        <v>5</v>
      </c>
      <c r="Q80">
        <v>4025.9999999999995</v>
      </c>
      <c r="R80">
        <v>3</v>
      </c>
      <c r="S80">
        <v>2415.6</v>
      </c>
      <c r="T80">
        <v>70</v>
      </c>
      <c r="U80">
        <v>56363.999999999993</v>
      </c>
      <c r="V80">
        <v>63</v>
      </c>
      <c r="W80">
        <v>50727.6</v>
      </c>
      <c r="X80">
        <v>67</v>
      </c>
      <c r="Y80">
        <v>53948.399999999994</v>
      </c>
      <c r="Z80">
        <v>73</v>
      </c>
      <c r="AA80">
        <v>58779.6</v>
      </c>
      <c r="AB80">
        <v>84</v>
      </c>
      <c r="AC80">
        <v>67636.799999999988</v>
      </c>
      <c r="AD80">
        <v>62</v>
      </c>
      <c r="AE80">
        <v>49922.399999999994</v>
      </c>
      <c r="AF80">
        <v>48</v>
      </c>
      <c r="AG80">
        <v>38649.599999999999</v>
      </c>
      <c r="AH80">
        <v>74</v>
      </c>
      <c r="AI80">
        <v>59584.799999999996</v>
      </c>
      <c r="AJ80">
        <v>41</v>
      </c>
      <c r="AK80">
        <v>33013.199999999997</v>
      </c>
      <c r="AL80">
        <v>54</v>
      </c>
      <c r="AM80">
        <v>43480.799999999996</v>
      </c>
      <c r="AN80">
        <v>55</v>
      </c>
      <c r="AO80">
        <v>44285.999999999993</v>
      </c>
      <c r="AP80">
        <v>35</v>
      </c>
      <c r="AQ80">
        <v>28181.999999999996</v>
      </c>
      <c r="AR80">
        <v>31</v>
      </c>
      <c r="AS80">
        <v>24961.199999999997</v>
      </c>
      <c r="AT80">
        <v>26</v>
      </c>
      <c r="AU80">
        <v>20935.199999999997</v>
      </c>
      <c r="AV80">
        <v>36</v>
      </c>
      <c r="AW80">
        <v>28987.199999999997</v>
      </c>
      <c r="AX80">
        <v>35</v>
      </c>
      <c r="AY80">
        <v>28181.999999999996</v>
      </c>
      <c r="AZ80">
        <v>5</v>
      </c>
      <c r="BA80">
        <v>4025.9999999999995</v>
      </c>
      <c r="BB80">
        <v>7</v>
      </c>
      <c r="BC80">
        <v>5636.4</v>
      </c>
      <c r="BD80">
        <v>4</v>
      </c>
      <c r="BE80">
        <v>3220.7999999999997</v>
      </c>
      <c r="BF80">
        <v>8</v>
      </c>
      <c r="BG80">
        <v>6441.5999999999995</v>
      </c>
      <c r="BH80">
        <v>33</v>
      </c>
      <c r="BI80">
        <v>26571.599999999999</v>
      </c>
      <c r="BJ80">
        <v>58</v>
      </c>
      <c r="BK80">
        <v>46701.599999999999</v>
      </c>
      <c r="BL80">
        <v>52</v>
      </c>
      <c r="BM80">
        <v>41870.399999999994</v>
      </c>
      <c r="BN80">
        <v>49</v>
      </c>
      <c r="BO80">
        <v>39454.799999999996</v>
      </c>
      <c r="BP80">
        <v>16</v>
      </c>
      <c r="BQ80">
        <v>12883.199999999999</v>
      </c>
      <c r="BR80">
        <v>19</v>
      </c>
      <c r="BS80">
        <v>15298.8</v>
      </c>
      <c r="BT80">
        <v>16</v>
      </c>
      <c r="BU80">
        <v>12883.199999999999</v>
      </c>
      <c r="BV80">
        <v>17</v>
      </c>
      <c r="BW80">
        <v>13688.4</v>
      </c>
      <c r="BX80">
        <v>3</v>
      </c>
      <c r="BY80">
        <v>2415.6</v>
      </c>
      <c r="BZ80">
        <v>3</v>
      </c>
      <c r="CA80">
        <v>2415.6</v>
      </c>
      <c r="CB80">
        <v>4</v>
      </c>
      <c r="CC80">
        <v>3220.7999999999997</v>
      </c>
      <c r="CD80">
        <v>5</v>
      </c>
      <c r="CE80">
        <v>4025.9999999999995</v>
      </c>
      <c r="CF80">
        <v>5</v>
      </c>
      <c r="CG80">
        <v>4025.9999999999995</v>
      </c>
      <c r="CH80">
        <v>4</v>
      </c>
      <c r="CI80">
        <v>3220.7999999999997</v>
      </c>
      <c r="CJ80">
        <v>9</v>
      </c>
      <c r="CK80">
        <v>7246.7999999999993</v>
      </c>
      <c r="CL80">
        <v>7</v>
      </c>
      <c r="CM80">
        <v>5636.4</v>
      </c>
      <c r="CN80">
        <v>6</v>
      </c>
      <c r="CO80">
        <v>4831.2</v>
      </c>
      <c r="CP80">
        <v>6</v>
      </c>
      <c r="CQ80">
        <v>4831.2</v>
      </c>
      <c r="CR80">
        <v>6</v>
      </c>
      <c r="CS80">
        <v>4831.2</v>
      </c>
      <c r="CT80">
        <v>4</v>
      </c>
      <c r="CU80">
        <v>3220.7999999999997</v>
      </c>
    </row>
    <row r="81" spans="2:99" x14ac:dyDescent="0.2">
      <c r="C81" s="118" t="s">
        <v>247</v>
      </c>
      <c r="D81">
        <v>58</v>
      </c>
      <c r="E81">
        <v>43708.800000000003</v>
      </c>
      <c r="F81">
        <v>63</v>
      </c>
      <c r="G81">
        <v>47476.800000000003</v>
      </c>
      <c r="H81">
        <v>57</v>
      </c>
      <c r="I81">
        <v>42955.200000000004</v>
      </c>
      <c r="J81">
        <v>78</v>
      </c>
      <c r="K81">
        <v>58780.800000000003</v>
      </c>
      <c r="L81">
        <v>3</v>
      </c>
      <c r="M81">
        <v>2260.8000000000002</v>
      </c>
      <c r="N81">
        <v>3</v>
      </c>
      <c r="O81">
        <v>2260.8000000000002</v>
      </c>
      <c r="P81">
        <v>5</v>
      </c>
      <c r="Q81">
        <v>3768</v>
      </c>
      <c r="R81">
        <v>3</v>
      </c>
      <c r="S81">
        <v>2260.8000000000002</v>
      </c>
      <c r="T81">
        <v>69</v>
      </c>
      <c r="U81">
        <v>51998.400000000001</v>
      </c>
      <c r="V81">
        <v>61</v>
      </c>
      <c r="W81">
        <v>45969.599999999999</v>
      </c>
      <c r="X81">
        <v>58</v>
      </c>
      <c r="Y81">
        <v>43708.800000000003</v>
      </c>
      <c r="Z81">
        <v>67</v>
      </c>
      <c r="AA81">
        <v>50491.200000000004</v>
      </c>
      <c r="AB81">
        <v>77</v>
      </c>
      <c r="AC81">
        <v>58027.200000000004</v>
      </c>
      <c r="AD81">
        <v>62</v>
      </c>
      <c r="AE81">
        <v>46723.200000000004</v>
      </c>
      <c r="AF81">
        <v>53</v>
      </c>
      <c r="AG81">
        <v>39940.800000000003</v>
      </c>
      <c r="AH81">
        <v>82</v>
      </c>
      <c r="AI81">
        <v>61795.200000000004</v>
      </c>
      <c r="AJ81">
        <v>45</v>
      </c>
      <c r="AK81">
        <v>33912</v>
      </c>
      <c r="AL81">
        <v>51</v>
      </c>
      <c r="AM81">
        <v>38433.599999999999</v>
      </c>
      <c r="AN81">
        <v>50</v>
      </c>
      <c r="AO81">
        <v>37680</v>
      </c>
      <c r="AP81">
        <v>33</v>
      </c>
      <c r="AQ81">
        <v>24868.799999999999</v>
      </c>
      <c r="AR81">
        <v>30</v>
      </c>
      <c r="AS81">
        <v>22608</v>
      </c>
      <c r="AT81">
        <v>27</v>
      </c>
      <c r="AU81">
        <v>20347.2</v>
      </c>
      <c r="AV81">
        <v>32</v>
      </c>
      <c r="AW81">
        <v>24115.200000000001</v>
      </c>
      <c r="AX81">
        <v>32</v>
      </c>
      <c r="AY81">
        <v>24115.200000000001</v>
      </c>
      <c r="AZ81">
        <v>6</v>
      </c>
      <c r="BA81">
        <v>4521.6000000000004</v>
      </c>
      <c r="BB81">
        <v>6</v>
      </c>
      <c r="BC81">
        <v>4521.6000000000004</v>
      </c>
      <c r="BD81">
        <v>4</v>
      </c>
      <c r="BE81">
        <v>3014.4</v>
      </c>
      <c r="BF81">
        <v>7</v>
      </c>
      <c r="BG81">
        <v>5275.2</v>
      </c>
      <c r="BH81">
        <v>37</v>
      </c>
      <c r="BI81">
        <v>27883.200000000001</v>
      </c>
      <c r="BJ81">
        <v>49</v>
      </c>
      <c r="BK81">
        <v>36926.400000000001</v>
      </c>
      <c r="BL81">
        <v>54</v>
      </c>
      <c r="BM81">
        <v>40694.400000000001</v>
      </c>
      <c r="BN81">
        <v>46</v>
      </c>
      <c r="BO81">
        <v>34665.599999999999</v>
      </c>
      <c r="BP81">
        <v>15</v>
      </c>
      <c r="BQ81">
        <v>11304</v>
      </c>
      <c r="BR81">
        <v>18</v>
      </c>
      <c r="BS81">
        <v>13564.800000000001</v>
      </c>
      <c r="BT81">
        <v>16</v>
      </c>
      <c r="BU81">
        <v>12057.6</v>
      </c>
      <c r="BV81">
        <v>19</v>
      </c>
      <c r="BW81">
        <v>14318.4</v>
      </c>
      <c r="BX81">
        <v>3</v>
      </c>
      <c r="BY81">
        <v>2260.8000000000002</v>
      </c>
      <c r="BZ81">
        <v>3</v>
      </c>
      <c r="CA81">
        <v>2260.8000000000002</v>
      </c>
      <c r="CB81">
        <v>4</v>
      </c>
      <c r="CC81">
        <v>3014.4</v>
      </c>
      <c r="CD81">
        <v>4</v>
      </c>
      <c r="CE81">
        <v>3014.4</v>
      </c>
      <c r="CF81">
        <v>5</v>
      </c>
      <c r="CG81">
        <v>3768</v>
      </c>
      <c r="CH81">
        <v>5</v>
      </c>
      <c r="CI81">
        <v>3768</v>
      </c>
      <c r="CJ81">
        <v>8</v>
      </c>
      <c r="CK81">
        <v>6028.8</v>
      </c>
      <c r="CL81">
        <v>7</v>
      </c>
      <c r="CM81">
        <v>5275.2</v>
      </c>
      <c r="CN81">
        <v>5</v>
      </c>
      <c r="CO81">
        <v>3768</v>
      </c>
      <c r="CP81">
        <v>6</v>
      </c>
      <c r="CQ81">
        <v>4521.6000000000004</v>
      </c>
      <c r="CR81">
        <v>7</v>
      </c>
      <c r="CS81">
        <v>5275.2</v>
      </c>
      <c r="CT81">
        <v>4</v>
      </c>
      <c r="CU81">
        <v>3014.4</v>
      </c>
    </row>
    <row r="82" spans="2:99" x14ac:dyDescent="0.2">
      <c r="C82" s="118" t="s">
        <v>248</v>
      </c>
      <c r="D82">
        <v>57</v>
      </c>
      <c r="E82">
        <v>29001.599999999995</v>
      </c>
      <c r="F82">
        <v>73</v>
      </c>
      <c r="G82">
        <v>37142.399999999994</v>
      </c>
      <c r="H82">
        <v>62</v>
      </c>
      <c r="I82">
        <v>31545.599999999995</v>
      </c>
      <c r="J82">
        <v>82</v>
      </c>
      <c r="K82">
        <v>41721.599999999991</v>
      </c>
      <c r="L82">
        <v>3</v>
      </c>
      <c r="M82">
        <v>1526.3999999999996</v>
      </c>
      <c r="N82">
        <v>3</v>
      </c>
      <c r="O82">
        <v>1526.3999999999996</v>
      </c>
      <c r="P82">
        <v>4</v>
      </c>
      <c r="Q82">
        <v>2035.1999999999996</v>
      </c>
      <c r="R82">
        <v>3</v>
      </c>
      <c r="S82">
        <v>1526.3999999999996</v>
      </c>
      <c r="T82">
        <v>78</v>
      </c>
      <c r="U82">
        <v>39686.399999999994</v>
      </c>
      <c r="V82">
        <v>65</v>
      </c>
      <c r="W82">
        <v>33071.999999999993</v>
      </c>
      <c r="X82">
        <v>66</v>
      </c>
      <c r="Y82">
        <v>33580.799999999996</v>
      </c>
      <c r="Z82">
        <v>66</v>
      </c>
      <c r="AA82">
        <v>33580.799999999996</v>
      </c>
      <c r="AB82">
        <v>89</v>
      </c>
      <c r="AC82">
        <v>45283.19999999999</v>
      </c>
      <c r="AD82">
        <v>64</v>
      </c>
      <c r="AE82">
        <v>32563.199999999993</v>
      </c>
      <c r="AF82">
        <v>53</v>
      </c>
      <c r="AG82">
        <v>26966.399999999994</v>
      </c>
      <c r="AH82">
        <v>74</v>
      </c>
      <c r="AI82">
        <v>37651.19999999999</v>
      </c>
      <c r="AJ82">
        <v>43</v>
      </c>
      <c r="AK82">
        <v>21878.399999999994</v>
      </c>
      <c r="AL82">
        <v>49</v>
      </c>
      <c r="AM82">
        <v>24931.199999999993</v>
      </c>
      <c r="AN82">
        <v>59</v>
      </c>
      <c r="AO82">
        <v>30019.199999999993</v>
      </c>
      <c r="AP82">
        <v>38</v>
      </c>
      <c r="AQ82">
        <v>19334.399999999998</v>
      </c>
      <c r="AR82">
        <v>31</v>
      </c>
      <c r="AS82">
        <v>15772.799999999997</v>
      </c>
      <c r="AT82">
        <v>29</v>
      </c>
      <c r="AU82">
        <v>14755.199999999997</v>
      </c>
      <c r="AV82">
        <v>38</v>
      </c>
      <c r="AW82">
        <v>19334.399999999998</v>
      </c>
      <c r="AX82">
        <v>36</v>
      </c>
      <c r="AY82">
        <v>18316.799999999996</v>
      </c>
      <c r="AZ82">
        <v>5</v>
      </c>
      <c r="BA82">
        <v>2543.9999999999995</v>
      </c>
      <c r="BB82">
        <v>7</v>
      </c>
      <c r="BC82">
        <v>3561.5999999999995</v>
      </c>
      <c r="BD82">
        <v>4</v>
      </c>
      <c r="BE82">
        <v>2035.1999999999996</v>
      </c>
      <c r="BF82">
        <v>8</v>
      </c>
      <c r="BG82">
        <v>4070.3999999999992</v>
      </c>
      <c r="BH82">
        <v>34</v>
      </c>
      <c r="BI82">
        <v>17299.199999999997</v>
      </c>
      <c r="BJ82">
        <v>62</v>
      </c>
      <c r="BK82">
        <v>31545.599999999995</v>
      </c>
      <c r="BL82">
        <v>48</v>
      </c>
      <c r="BM82">
        <v>24422.399999999994</v>
      </c>
      <c r="BN82">
        <v>54</v>
      </c>
      <c r="BO82">
        <v>27475.199999999993</v>
      </c>
      <c r="BP82">
        <v>17</v>
      </c>
      <c r="BQ82">
        <v>8649.5999999999985</v>
      </c>
      <c r="BR82">
        <v>21</v>
      </c>
      <c r="BS82">
        <v>10684.799999999997</v>
      </c>
      <c r="BT82">
        <v>17</v>
      </c>
      <c r="BU82">
        <v>8649.5999999999985</v>
      </c>
      <c r="BV82">
        <v>19</v>
      </c>
      <c r="BW82">
        <v>9667.1999999999989</v>
      </c>
      <c r="BX82">
        <v>3</v>
      </c>
      <c r="BY82">
        <v>1526.3999999999996</v>
      </c>
      <c r="BZ82">
        <v>3</v>
      </c>
      <c r="CA82">
        <v>1526.3999999999996</v>
      </c>
      <c r="CB82">
        <v>4</v>
      </c>
      <c r="CC82">
        <v>2035.1999999999996</v>
      </c>
      <c r="CD82">
        <v>5</v>
      </c>
      <c r="CE82">
        <v>2543.9999999999995</v>
      </c>
      <c r="CF82">
        <v>5</v>
      </c>
      <c r="CG82">
        <v>2543.9999999999995</v>
      </c>
      <c r="CH82">
        <v>5</v>
      </c>
      <c r="CI82">
        <v>2543.9999999999995</v>
      </c>
      <c r="CJ82">
        <v>9</v>
      </c>
      <c r="CK82">
        <v>4579.1999999999989</v>
      </c>
      <c r="CL82">
        <v>7</v>
      </c>
      <c r="CM82">
        <v>3561.5999999999995</v>
      </c>
      <c r="CN82">
        <v>6</v>
      </c>
      <c r="CO82">
        <v>3052.7999999999993</v>
      </c>
      <c r="CP82">
        <v>6</v>
      </c>
      <c r="CQ82">
        <v>3052.7999999999993</v>
      </c>
      <c r="CR82">
        <v>7</v>
      </c>
      <c r="CS82">
        <v>3561.5999999999995</v>
      </c>
      <c r="CT82">
        <v>4</v>
      </c>
      <c r="CU82">
        <v>2035.1999999999996</v>
      </c>
    </row>
    <row r="83" spans="2:99" x14ac:dyDescent="0.2">
      <c r="C83" s="118" t="s">
        <v>249</v>
      </c>
      <c r="D83">
        <v>56</v>
      </c>
      <c r="E83">
        <v>48182.400000000001</v>
      </c>
      <c r="F83">
        <v>68</v>
      </c>
      <c r="G83">
        <v>58507.199999999997</v>
      </c>
      <c r="H83">
        <v>48</v>
      </c>
      <c r="I83">
        <v>41299.199999999997</v>
      </c>
      <c r="J83">
        <v>75</v>
      </c>
      <c r="K83">
        <v>64530</v>
      </c>
      <c r="L83">
        <v>3</v>
      </c>
      <c r="M83">
        <v>2581.1999999999998</v>
      </c>
      <c r="N83">
        <v>3</v>
      </c>
      <c r="O83">
        <v>2581.1999999999998</v>
      </c>
      <c r="P83">
        <v>5</v>
      </c>
      <c r="Q83">
        <v>4302</v>
      </c>
      <c r="R83">
        <v>3</v>
      </c>
      <c r="S83">
        <v>2581.1999999999998</v>
      </c>
      <c r="T83">
        <v>67</v>
      </c>
      <c r="U83">
        <v>57646.799999999996</v>
      </c>
      <c r="V83">
        <v>62</v>
      </c>
      <c r="W83">
        <v>53344.799999999996</v>
      </c>
      <c r="X83">
        <v>57</v>
      </c>
      <c r="Y83">
        <v>49042.799999999996</v>
      </c>
      <c r="Z83">
        <v>65</v>
      </c>
      <c r="AA83">
        <v>55926</v>
      </c>
      <c r="AB83">
        <v>78</v>
      </c>
      <c r="AC83">
        <v>67111.199999999997</v>
      </c>
      <c r="AD83">
        <v>62</v>
      </c>
      <c r="AE83">
        <v>53344.799999999996</v>
      </c>
      <c r="AF83">
        <v>50</v>
      </c>
      <c r="AG83">
        <v>43020</v>
      </c>
      <c r="AH83">
        <v>68</v>
      </c>
      <c r="AI83">
        <v>58507.199999999997</v>
      </c>
      <c r="AJ83">
        <v>40</v>
      </c>
      <c r="AK83">
        <v>34416</v>
      </c>
      <c r="AL83">
        <v>49</v>
      </c>
      <c r="AM83">
        <v>42159.6</v>
      </c>
      <c r="AN83">
        <v>48</v>
      </c>
      <c r="AO83">
        <v>41299.199999999997</v>
      </c>
      <c r="AP83">
        <v>35</v>
      </c>
      <c r="AQ83">
        <v>30114</v>
      </c>
      <c r="AR83">
        <v>35</v>
      </c>
      <c r="AS83">
        <v>30114</v>
      </c>
      <c r="AT83">
        <v>29</v>
      </c>
      <c r="AU83">
        <v>24951.599999999999</v>
      </c>
      <c r="AV83">
        <v>35</v>
      </c>
      <c r="AW83">
        <v>30114</v>
      </c>
      <c r="AX83">
        <v>31</v>
      </c>
      <c r="AY83">
        <v>26672.399999999998</v>
      </c>
      <c r="AZ83">
        <v>5</v>
      </c>
      <c r="BA83">
        <v>4302</v>
      </c>
      <c r="BB83">
        <v>6</v>
      </c>
      <c r="BC83">
        <v>5162.3999999999996</v>
      </c>
      <c r="BD83">
        <v>4</v>
      </c>
      <c r="BE83">
        <v>3441.6</v>
      </c>
      <c r="BF83">
        <v>7</v>
      </c>
      <c r="BG83">
        <v>6022.8</v>
      </c>
      <c r="BH83">
        <v>32</v>
      </c>
      <c r="BI83">
        <v>27532.799999999999</v>
      </c>
      <c r="BJ83">
        <v>54</v>
      </c>
      <c r="BK83">
        <v>46461.599999999999</v>
      </c>
      <c r="BL83">
        <v>52</v>
      </c>
      <c r="BM83">
        <v>44740.799999999996</v>
      </c>
      <c r="BN83">
        <v>42</v>
      </c>
      <c r="BO83">
        <v>36136.799999999996</v>
      </c>
      <c r="BP83">
        <v>16</v>
      </c>
      <c r="BQ83">
        <v>13766.4</v>
      </c>
      <c r="BR83">
        <v>19</v>
      </c>
      <c r="BS83">
        <v>16347.6</v>
      </c>
      <c r="BT83">
        <v>16</v>
      </c>
      <c r="BU83">
        <v>13766.4</v>
      </c>
      <c r="BV83">
        <v>17</v>
      </c>
      <c r="BW83">
        <v>14626.8</v>
      </c>
      <c r="BX83">
        <v>3</v>
      </c>
      <c r="BY83">
        <v>2581.1999999999998</v>
      </c>
      <c r="BZ83">
        <v>4</v>
      </c>
      <c r="CA83">
        <v>3441.6</v>
      </c>
      <c r="CB83">
        <v>4</v>
      </c>
      <c r="CC83">
        <v>3441.6</v>
      </c>
      <c r="CD83">
        <v>4</v>
      </c>
      <c r="CE83">
        <v>3441.6</v>
      </c>
      <c r="CF83">
        <v>5</v>
      </c>
      <c r="CG83">
        <v>4302</v>
      </c>
      <c r="CH83">
        <v>4</v>
      </c>
      <c r="CI83">
        <v>3441.6</v>
      </c>
      <c r="CJ83">
        <v>8</v>
      </c>
      <c r="CK83">
        <v>6883.2</v>
      </c>
      <c r="CL83">
        <v>7</v>
      </c>
      <c r="CM83">
        <v>6022.8</v>
      </c>
      <c r="CN83">
        <v>5</v>
      </c>
      <c r="CO83">
        <v>4302</v>
      </c>
      <c r="CP83">
        <v>6</v>
      </c>
      <c r="CQ83">
        <v>5162.3999999999996</v>
      </c>
      <c r="CR83">
        <v>6</v>
      </c>
      <c r="CS83">
        <v>5162.3999999999996</v>
      </c>
      <c r="CT83">
        <v>4</v>
      </c>
      <c r="CU83">
        <v>3441.6</v>
      </c>
    </row>
    <row r="84" spans="2:99" x14ac:dyDescent="0.2">
      <c r="C84" s="118" t="s">
        <v>250</v>
      </c>
      <c r="D84">
        <v>63</v>
      </c>
      <c r="E84">
        <v>49215.6</v>
      </c>
      <c r="F84">
        <v>62</v>
      </c>
      <c r="G84">
        <v>48434.399999999994</v>
      </c>
      <c r="H84">
        <v>51</v>
      </c>
      <c r="I84">
        <v>39841.199999999997</v>
      </c>
      <c r="J84">
        <v>80</v>
      </c>
      <c r="K84">
        <v>62495.999999999993</v>
      </c>
      <c r="L84">
        <v>3</v>
      </c>
      <c r="M84">
        <v>2343.6</v>
      </c>
      <c r="N84">
        <v>4</v>
      </c>
      <c r="O84">
        <v>3124.7999999999997</v>
      </c>
      <c r="P84">
        <v>5</v>
      </c>
      <c r="Q84">
        <v>3905.9999999999995</v>
      </c>
      <c r="R84">
        <v>3</v>
      </c>
      <c r="S84">
        <v>2343.6</v>
      </c>
      <c r="T84">
        <v>72</v>
      </c>
      <c r="U84">
        <v>56246.399999999994</v>
      </c>
      <c r="V84">
        <v>62</v>
      </c>
      <c r="W84">
        <v>48434.399999999994</v>
      </c>
      <c r="X84">
        <v>68</v>
      </c>
      <c r="Y84">
        <v>53121.599999999999</v>
      </c>
      <c r="Z84">
        <v>69</v>
      </c>
      <c r="AA84">
        <v>53902.799999999996</v>
      </c>
      <c r="AB84">
        <v>85</v>
      </c>
      <c r="AC84">
        <v>66402</v>
      </c>
      <c r="AD84">
        <v>63</v>
      </c>
      <c r="AE84">
        <v>49215.6</v>
      </c>
      <c r="AF84">
        <v>57</v>
      </c>
      <c r="AG84">
        <v>44528.399999999994</v>
      </c>
      <c r="AH84">
        <v>79</v>
      </c>
      <c r="AI84">
        <v>61714.799999999996</v>
      </c>
      <c r="AJ84">
        <v>40</v>
      </c>
      <c r="AK84">
        <v>31247.999999999996</v>
      </c>
      <c r="AL84">
        <v>46</v>
      </c>
      <c r="AM84">
        <v>35935.199999999997</v>
      </c>
      <c r="AN84">
        <v>49</v>
      </c>
      <c r="AO84">
        <v>38278.799999999996</v>
      </c>
      <c r="AP84">
        <v>37</v>
      </c>
      <c r="AQ84">
        <v>28904.399999999998</v>
      </c>
      <c r="AR84">
        <v>32</v>
      </c>
      <c r="AS84">
        <v>24998.399999999998</v>
      </c>
      <c r="AT84">
        <v>26</v>
      </c>
      <c r="AU84">
        <v>20311.199999999997</v>
      </c>
      <c r="AV84">
        <v>33</v>
      </c>
      <c r="AW84">
        <v>25779.599999999999</v>
      </c>
      <c r="AX84">
        <v>35</v>
      </c>
      <c r="AY84">
        <v>27341.999999999996</v>
      </c>
      <c r="AZ84">
        <v>5</v>
      </c>
      <c r="BA84">
        <v>3905.9999999999995</v>
      </c>
      <c r="BB84">
        <v>7</v>
      </c>
      <c r="BC84">
        <v>5468.4</v>
      </c>
      <c r="BD84">
        <v>4</v>
      </c>
      <c r="BE84">
        <v>3124.7999999999997</v>
      </c>
      <c r="BF84">
        <v>7</v>
      </c>
      <c r="BG84">
        <v>5468.4</v>
      </c>
      <c r="BH84">
        <v>35</v>
      </c>
      <c r="BI84">
        <v>27341.999999999996</v>
      </c>
      <c r="BJ84">
        <v>52</v>
      </c>
      <c r="BK84">
        <v>40622.399999999994</v>
      </c>
      <c r="BL84">
        <v>54</v>
      </c>
      <c r="BM84">
        <v>42184.799999999996</v>
      </c>
      <c r="BN84">
        <v>49</v>
      </c>
      <c r="BO84">
        <v>38278.799999999996</v>
      </c>
      <c r="BP84">
        <v>17</v>
      </c>
      <c r="BQ84">
        <v>13280.4</v>
      </c>
      <c r="BR84">
        <v>20</v>
      </c>
      <c r="BS84">
        <v>15623.999999999998</v>
      </c>
      <c r="BT84">
        <v>19</v>
      </c>
      <c r="BU84">
        <v>14842.8</v>
      </c>
      <c r="BV84">
        <v>17</v>
      </c>
      <c r="BW84">
        <v>13280.4</v>
      </c>
      <c r="BX84">
        <v>3</v>
      </c>
      <c r="BY84">
        <v>2343.6</v>
      </c>
      <c r="BZ84">
        <v>3</v>
      </c>
      <c r="CA84">
        <v>2343.6</v>
      </c>
      <c r="CB84">
        <v>5</v>
      </c>
      <c r="CC84">
        <v>3905.9999999999995</v>
      </c>
      <c r="CD84">
        <v>4</v>
      </c>
      <c r="CE84">
        <v>3124.7999999999997</v>
      </c>
      <c r="CF84">
        <v>5</v>
      </c>
      <c r="CG84">
        <v>3905.9999999999995</v>
      </c>
      <c r="CH84">
        <v>5</v>
      </c>
      <c r="CI84">
        <v>3905.9999999999995</v>
      </c>
      <c r="CJ84">
        <v>9</v>
      </c>
      <c r="CK84">
        <v>7030.7999999999993</v>
      </c>
      <c r="CL84">
        <v>7</v>
      </c>
      <c r="CM84">
        <v>5468.4</v>
      </c>
      <c r="CN84">
        <v>5</v>
      </c>
      <c r="CO84">
        <v>3905.9999999999995</v>
      </c>
      <c r="CP84">
        <v>6</v>
      </c>
      <c r="CQ84">
        <v>4687.2</v>
      </c>
      <c r="CR84">
        <v>7</v>
      </c>
      <c r="CS84">
        <v>5468.4</v>
      </c>
      <c r="CT84">
        <v>4</v>
      </c>
      <c r="CU84">
        <v>3124.7999999999997</v>
      </c>
    </row>
    <row r="85" spans="2:99" x14ac:dyDescent="0.2">
      <c r="C85" s="118" t="s">
        <v>251</v>
      </c>
      <c r="D85">
        <v>72</v>
      </c>
      <c r="E85">
        <v>10800</v>
      </c>
      <c r="F85">
        <v>68</v>
      </c>
      <c r="G85">
        <v>10200</v>
      </c>
      <c r="H85">
        <v>63</v>
      </c>
      <c r="I85">
        <v>9450</v>
      </c>
      <c r="J85">
        <v>92</v>
      </c>
      <c r="K85">
        <v>13800</v>
      </c>
      <c r="L85">
        <v>3</v>
      </c>
      <c r="M85">
        <v>450</v>
      </c>
      <c r="N85">
        <v>4</v>
      </c>
      <c r="O85">
        <v>600</v>
      </c>
      <c r="P85">
        <v>4</v>
      </c>
      <c r="Q85">
        <v>600</v>
      </c>
      <c r="R85">
        <v>3</v>
      </c>
      <c r="S85">
        <v>450</v>
      </c>
      <c r="T85">
        <v>86</v>
      </c>
      <c r="U85">
        <v>12900</v>
      </c>
      <c r="V85">
        <v>68</v>
      </c>
      <c r="W85">
        <v>10200</v>
      </c>
      <c r="X85">
        <v>71</v>
      </c>
      <c r="Y85">
        <v>10650</v>
      </c>
      <c r="Z85">
        <v>77</v>
      </c>
      <c r="AA85">
        <v>11550</v>
      </c>
      <c r="AB85">
        <v>96</v>
      </c>
      <c r="AC85">
        <v>14400</v>
      </c>
      <c r="AD85">
        <v>64</v>
      </c>
      <c r="AE85">
        <v>9600</v>
      </c>
      <c r="AF85">
        <v>62</v>
      </c>
      <c r="AG85">
        <v>9300</v>
      </c>
      <c r="AH85">
        <v>85</v>
      </c>
      <c r="AI85">
        <v>12750</v>
      </c>
      <c r="AJ85">
        <v>51</v>
      </c>
      <c r="AK85">
        <v>7650</v>
      </c>
      <c r="AL85">
        <v>59</v>
      </c>
      <c r="AM85">
        <v>8850</v>
      </c>
      <c r="AN85">
        <v>56</v>
      </c>
      <c r="AO85">
        <v>8400</v>
      </c>
      <c r="AP85">
        <v>36</v>
      </c>
      <c r="AQ85">
        <v>5400</v>
      </c>
      <c r="AR85">
        <v>33</v>
      </c>
      <c r="AS85">
        <v>4950</v>
      </c>
      <c r="AT85">
        <v>28</v>
      </c>
      <c r="AU85">
        <v>4200</v>
      </c>
      <c r="AV85">
        <v>36</v>
      </c>
      <c r="AW85">
        <v>5400</v>
      </c>
      <c r="AX85">
        <v>40</v>
      </c>
      <c r="AY85">
        <v>6000</v>
      </c>
      <c r="AZ85">
        <v>6</v>
      </c>
      <c r="BA85">
        <v>900</v>
      </c>
      <c r="BB85">
        <v>7</v>
      </c>
      <c r="BC85">
        <v>1050</v>
      </c>
      <c r="BD85">
        <v>4</v>
      </c>
      <c r="BE85">
        <v>600</v>
      </c>
      <c r="BF85">
        <v>8</v>
      </c>
      <c r="BG85">
        <v>1200</v>
      </c>
      <c r="BH85">
        <v>35</v>
      </c>
      <c r="BI85">
        <v>5250</v>
      </c>
      <c r="BJ85">
        <v>62</v>
      </c>
      <c r="BK85">
        <v>9300</v>
      </c>
      <c r="BL85">
        <v>52</v>
      </c>
      <c r="BM85">
        <v>7800</v>
      </c>
      <c r="BN85">
        <v>48</v>
      </c>
      <c r="BO85">
        <v>7200</v>
      </c>
      <c r="BP85">
        <v>17</v>
      </c>
      <c r="BQ85">
        <v>2550</v>
      </c>
      <c r="BR85">
        <v>20</v>
      </c>
      <c r="BS85">
        <v>3000</v>
      </c>
      <c r="BT85">
        <v>18</v>
      </c>
      <c r="BU85">
        <v>2700</v>
      </c>
      <c r="BV85">
        <v>19</v>
      </c>
      <c r="BW85">
        <v>2850</v>
      </c>
      <c r="BX85">
        <v>3</v>
      </c>
      <c r="BY85">
        <v>450</v>
      </c>
      <c r="BZ85">
        <v>3</v>
      </c>
      <c r="CA85">
        <v>450</v>
      </c>
      <c r="CB85">
        <v>4</v>
      </c>
      <c r="CC85">
        <v>600</v>
      </c>
      <c r="CD85">
        <v>4</v>
      </c>
      <c r="CE85">
        <v>600</v>
      </c>
      <c r="CF85">
        <v>5</v>
      </c>
      <c r="CG85">
        <v>750</v>
      </c>
      <c r="CH85">
        <v>5</v>
      </c>
      <c r="CI85">
        <v>750</v>
      </c>
      <c r="CJ85">
        <v>10</v>
      </c>
      <c r="CK85">
        <v>1500</v>
      </c>
      <c r="CL85">
        <v>8</v>
      </c>
      <c r="CM85">
        <v>1200</v>
      </c>
      <c r="CN85">
        <v>6</v>
      </c>
      <c r="CO85">
        <v>900</v>
      </c>
      <c r="CP85">
        <v>7</v>
      </c>
      <c r="CQ85">
        <v>1050</v>
      </c>
      <c r="CR85">
        <v>7</v>
      </c>
      <c r="CS85">
        <v>1050</v>
      </c>
      <c r="CT85">
        <v>5</v>
      </c>
      <c r="CU85">
        <v>750</v>
      </c>
    </row>
    <row r="86" spans="2:99" x14ac:dyDescent="0.2">
      <c r="C86" s="118" t="s">
        <v>252</v>
      </c>
      <c r="D86">
        <v>66</v>
      </c>
      <c r="E86">
        <v>35640</v>
      </c>
      <c r="F86">
        <v>68</v>
      </c>
      <c r="G86">
        <v>36720</v>
      </c>
      <c r="H86">
        <v>52</v>
      </c>
      <c r="I86">
        <v>28080</v>
      </c>
      <c r="J86">
        <v>87</v>
      </c>
      <c r="K86">
        <v>46980</v>
      </c>
      <c r="L86">
        <v>3</v>
      </c>
      <c r="M86">
        <v>1620</v>
      </c>
      <c r="N86">
        <v>3</v>
      </c>
      <c r="O86">
        <v>1620</v>
      </c>
      <c r="P86">
        <v>4</v>
      </c>
      <c r="Q86">
        <v>2160</v>
      </c>
      <c r="R86">
        <v>3</v>
      </c>
      <c r="S86">
        <v>1620</v>
      </c>
      <c r="T86">
        <v>77</v>
      </c>
      <c r="U86">
        <v>41580</v>
      </c>
      <c r="V86">
        <v>65</v>
      </c>
      <c r="W86">
        <v>35100</v>
      </c>
      <c r="X86">
        <v>71</v>
      </c>
      <c r="Y86">
        <v>38340</v>
      </c>
      <c r="Z86">
        <v>71</v>
      </c>
      <c r="AA86">
        <v>38340</v>
      </c>
      <c r="AB86">
        <v>93</v>
      </c>
      <c r="AC86">
        <v>50220</v>
      </c>
      <c r="AD86">
        <v>64</v>
      </c>
      <c r="AE86">
        <v>34560</v>
      </c>
      <c r="AF86">
        <v>55</v>
      </c>
      <c r="AG86">
        <v>29700</v>
      </c>
      <c r="AH86">
        <v>73</v>
      </c>
      <c r="AI86">
        <v>39420</v>
      </c>
      <c r="AJ86">
        <v>48</v>
      </c>
      <c r="AK86">
        <v>25920</v>
      </c>
      <c r="AL86">
        <v>49</v>
      </c>
      <c r="AM86">
        <v>26460</v>
      </c>
      <c r="AN86">
        <v>53</v>
      </c>
      <c r="AO86">
        <v>28620</v>
      </c>
      <c r="AP86">
        <v>35</v>
      </c>
      <c r="AQ86">
        <v>18900</v>
      </c>
      <c r="AR86">
        <v>34</v>
      </c>
      <c r="AS86">
        <v>18360</v>
      </c>
      <c r="AT86">
        <v>26</v>
      </c>
      <c r="AU86">
        <v>14040</v>
      </c>
      <c r="AV86">
        <v>37</v>
      </c>
      <c r="AW86">
        <v>19980</v>
      </c>
      <c r="AX86">
        <v>33</v>
      </c>
      <c r="AY86">
        <v>17820</v>
      </c>
      <c r="AZ86">
        <v>5</v>
      </c>
      <c r="BA86">
        <v>2700</v>
      </c>
      <c r="BB86">
        <v>6</v>
      </c>
      <c r="BC86">
        <v>3240</v>
      </c>
      <c r="BD86">
        <v>4</v>
      </c>
      <c r="BE86">
        <v>2160</v>
      </c>
      <c r="BF86">
        <v>8</v>
      </c>
      <c r="BG86">
        <v>4320</v>
      </c>
      <c r="BH86">
        <v>36</v>
      </c>
      <c r="BI86">
        <v>19440</v>
      </c>
      <c r="BJ86">
        <v>52</v>
      </c>
      <c r="BK86">
        <v>28080</v>
      </c>
      <c r="BL86">
        <v>51</v>
      </c>
      <c r="BM86">
        <v>27540</v>
      </c>
      <c r="BN86">
        <v>49</v>
      </c>
      <c r="BO86">
        <v>26460</v>
      </c>
      <c r="BP86">
        <v>14</v>
      </c>
      <c r="BQ86">
        <v>7560</v>
      </c>
      <c r="BR86">
        <v>20</v>
      </c>
      <c r="BS86">
        <v>10800</v>
      </c>
      <c r="BT86">
        <v>19</v>
      </c>
      <c r="BU86">
        <v>10260</v>
      </c>
      <c r="BV86">
        <v>18</v>
      </c>
      <c r="BW86">
        <v>9720</v>
      </c>
      <c r="BX86">
        <v>3</v>
      </c>
      <c r="BY86">
        <v>1620</v>
      </c>
      <c r="BZ86">
        <v>4</v>
      </c>
      <c r="CA86">
        <v>2160</v>
      </c>
      <c r="CB86">
        <v>4</v>
      </c>
      <c r="CC86">
        <v>2160</v>
      </c>
      <c r="CD86">
        <v>4</v>
      </c>
      <c r="CE86">
        <v>2160</v>
      </c>
      <c r="CF86">
        <v>5</v>
      </c>
      <c r="CG86">
        <v>2700</v>
      </c>
      <c r="CH86">
        <v>5</v>
      </c>
      <c r="CI86">
        <v>2700</v>
      </c>
      <c r="CJ86">
        <v>9</v>
      </c>
      <c r="CK86">
        <v>4860</v>
      </c>
      <c r="CL86">
        <v>7</v>
      </c>
      <c r="CM86">
        <v>3780</v>
      </c>
      <c r="CN86">
        <v>5</v>
      </c>
      <c r="CO86">
        <v>2700</v>
      </c>
      <c r="CP86">
        <v>7</v>
      </c>
      <c r="CQ86">
        <v>3780</v>
      </c>
      <c r="CR86">
        <v>7</v>
      </c>
      <c r="CS86">
        <v>3780</v>
      </c>
      <c r="CT86">
        <v>4</v>
      </c>
      <c r="CU86">
        <v>2160</v>
      </c>
    </row>
    <row r="87" spans="2:99" x14ac:dyDescent="0.2">
      <c r="B87" s="118" t="s">
        <v>131</v>
      </c>
      <c r="C87" s="118" t="s">
        <v>253</v>
      </c>
      <c r="D87">
        <v>4</v>
      </c>
      <c r="E87">
        <v>7819.2</v>
      </c>
      <c r="F87">
        <v>7</v>
      </c>
      <c r="G87">
        <v>13683.6</v>
      </c>
      <c r="H87">
        <v>4</v>
      </c>
      <c r="I87">
        <v>7819.2</v>
      </c>
      <c r="J87">
        <v>4</v>
      </c>
      <c r="K87">
        <v>7819.2</v>
      </c>
      <c r="L87">
        <v>24</v>
      </c>
      <c r="M87">
        <v>46915.199999999997</v>
      </c>
      <c r="N87">
        <v>23</v>
      </c>
      <c r="O87">
        <v>44960.4</v>
      </c>
      <c r="P87">
        <v>37</v>
      </c>
      <c r="Q87">
        <v>72327.599999999991</v>
      </c>
      <c r="R87">
        <v>20</v>
      </c>
      <c r="S87">
        <v>39096</v>
      </c>
      <c r="T87">
        <v>4</v>
      </c>
      <c r="U87">
        <v>7819.2</v>
      </c>
      <c r="V87">
        <v>4</v>
      </c>
      <c r="W87">
        <v>7819.2</v>
      </c>
      <c r="X87">
        <v>4</v>
      </c>
      <c r="Y87">
        <v>7819.2</v>
      </c>
      <c r="Z87">
        <v>5</v>
      </c>
      <c r="AA87">
        <v>9774</v>
      </c>
      <c r="AB87">
        <v>5</v>
      </c>
      <c r="AC87">
        <v>9774</v>
      </c>
      <c r="AD87">
        <v>6</v>
      </c>
      <c r="AE87">
        <v>11728.8</v>
      </c>
      <c r="AF87">
        <v>6</v>
      </c>
      <c r="AG87">
        <v>11728.8</v>
      </c>
      <c r="AH87">
        <v>5</v>
      </c>
      <c r="AI87">
        <v>9774</v>
      </c>
      <c r="AJ87">
        <v>5</v>
      </c>
      <c r="AK87">
        <v>9774</v>
      </c>
      <c r="AL87">
        <v>4</v>
      </c>
      <c r="AM87">
        <v>7819.2</v>
      </c>
      <c r="AN87">
        <v>5</v>
      </c>
      <c r="AO87">
        <v>9774</v>
      </c>
      <c r="AP87">
        <v>8</v>
      </c>
      <c r="AQ87">
        <v>15638.4</v>
      </c>
      <c r="AR87">
        <v>6</v>
      </c>
      <c r="AS87">
        <v>11728.8</v>
      </c>
      <c r="AT87">
        <v>8</v>
      </c>
      <c r="AU87">
        <v>15638.4</v>
      </c>
      <c r="AV87">
        <v>9</v>
      </c>
      <c r="AW87">
        <v>17593.2</v>
      </c>
      <c r="AX87">
        <v>7</v>
      </c>
      <c r="AY87">
        <v>13683.6</v>
      </c>
      <c r="AZ87">
        <v>19</v>
      </c>
      <c r="BA87">
        <v>37141.199999999997</v>
      </c>
      <c r="BB87">
        <v>19</v>
      </c>
      <c r="BC87">
        <v>37141.199999999997</v>
      </c>
      <c r="BD87">
        <v>20</v>
      </c>
      <c r="BE87">
        <v>39096</v>
      </c>
      <c r="BF87">
        <v>18</v>
      </c>
      <c r="BG87">
        <v>35186.400000000001</v>
      </c>
      <c r="BH87">
        <v>13</v>
      </c>
      <c r="BI87">
        <v>25412.399999999998</v>
      </c>
      <c r="BJ87">
        <v>16</v>
      </c>
      <c r="BK87">
        <v>31276.799999999999</v>
      </c>
      <c r="BL87">
        <v>10</v>
      </c>
      <c r="BM87">
        <v>19548</v>
      </c>
      <c r="BN87">
        <v>17</v>
      </c>
      <c r="BO87">
        <v>33231.599999999999</v>
      </c>
      <c r="BP87">
        <v>19</v>
      </c>
      <c r="BQ87">
        <v>37141.199999999997</v>
      </c>
      <c r="BR87">
        <v>24</v>
      </c>
      <c r="BS87">
        <v>46915.199999999997</v>
      </c>
      <c r="BT87">
        <v>20</v>
      </c>
      <c r="BU87">
        <v>39096</v>
      </c>
      <c r="BV87">
        <v>14</v>
      </c>
      <c r="BW87">
        <v>27367.200000000001</v>
      </c>
      <c r="BX87">
        <v>28</v>
      </c>
      <c r="BY87">
        <v>54734.400000000001</v>
      </c>
      <c r="BZ87">
        <v>16</v>
      </c>
      <c r="CA87">
        <v>31276.799999999999</v>
      </c>
      <c r="CB87">
        <v>34</v>
      </c>
      <c r="CC87">
        <v>66463.199999999997</v>
      </c>
      <c r="CD87">
        <v>34</v>
      </c>
      <c r="CE87">
        <v>66463.199999999997</v>
      </c>
      <c r="CF87">
        <v>28</v>
      </c>
      <c r="CG87">
        <v>54734.400000000001</v>
      </c>
      <c r="CH87">
        <v>26</v>
      </c>
      <c r="CI87">
        <v>50824.799999999996</v>
      </c>
      <c r="CJ87">
        <v>27</v>
      </c>
      <c r="CK87">
        <v>52779.6</v>
      </c>
      <c r="CL87">
        <v>25</v>
      </c>
      <c r="CM87">
        <v>48870</v>
      </c>
      <c r="CN87">
        <v>32</v>
      </c>
      <c r="CO87">
        <v>62553.599999999999</v>
      </c>
      <c r="CP87">
        <v>40</v>
      </c>
      <c r="CQ87">
        <v>78192</v>
      </c>
      <c r="CR87">
        <v>41</v>
      </c>
      <c r="CS87">
        <v>80146.8</v>
      </c>
      <c r="CT87">
        <v>36</v>
      </c>
      <c r="CU87">
        <v>70372.800000000003</v>
      </c>
    </row>
    <row r="88" spans="2:99" x14ac:dyDescent="0.2">
      <c r="C88" s="118" t="s">
        <v>254</v>
      </c>
      <c r="D88">
        <v>4</v>
      </c>
      <c r="E88">
        <v>7569.5999999999995</v>
      </c>
      <c r="F88">
        <v>6</v>
      </c>
      <c r="G88">
        <v>11354.4</v>
      </c>
      <c r="H88">
        <v>4</v>
      </c>
      <c r="I88">
        <v>7569.5999999999995</v>
      </c>
      <c r="J88">
        <v>4</v>
      </c>
      <c r="K88">
        <v>7569.5999999999995</v>
      </c>
      <c r="L88">
        <v>24</v>
      </c>
      <c r="M88">
        <v>45417.599999999999</v>
      </c>
      <c r="N88">
        <v>24</v>
      </c>
      <c r="O88">
        <v>45417.599999999999</v>
      </c>
      <c r="P88">
        <v>41</v>
      </c>
      <c r="Q88">
        <v>77588.399999999994</v>
      </c>
      <c r="R88">
        <v>22</v>
      </c>
      <c r="S88">
        <v>41632.799999999996</v>
      </c>
      <c r="T88">
        <v>4</v>
      </c>
      <c r="U88">
        <v>7569.5999999999995</v>
      </c>
      <c r="V88">
        <v>4</v>
      </c>
      <c r="W88">
        <v>7569.5999999999995</v>
      </c>
      <c r="X88">
        <v>4</v>
      </c>
      <c r="Y88">
        <v>7569.5999999999995</v>
      </c>
      <c r="Z88">
        <v>5</v>
      </c>
      <c r="AA88">
        <v>9462</v>
      </c>
      <c r="AB88">
        <v>5</v>
      </c>
      <c r="AC88">
        <v>9462</v>
      </c>
      <c r="AD88">
        <v>5</v>
      </c>
      <c r="AE88">
        <v>9462</v>
      </c>
      <c r="AF88">
        <v>5</v>
      </c>
      <c r="AG88">
        <v>9462</v>
      </c>
      <c r="AH88">
        <v>4</v>
      </c>
      <c r="AI88">
        <v>7569.5999999999995</v>
      </c>
      <c r="AJ88">
        <v>4</v>
      </c>
      <c r="AK88">
        <v>7569.5999999999995</v>
      </c>
      <c r="AL88">
        <v>5</v>
      </c>
      <c r="AM88">
        <v>9462</v>
      </c>
      <c r="AN88">
        <v>5</v>
      </c>
      <c r="AO88">
        <v>9462</v>
      </c>
      <c r="AP88">
        <v>8</v>
      </c>
      <c r="AQ88">
        <v>15139.199999999999</v>
      </c>
      <c r="AR88">
        <v>6</v>
      </c>
      <c r="AS88">
        <v>11354.4</v>
      </c>
      <c r="AT88">
        <v>8</v>
      </c>
      <c r="AU88">
        <v>15139.199999999999</v>
      </c>
      <c r="AV88">
        <v>9</v>
      </c>
      <c r="AW88">
        <v>17031.599999999999</v>
      </c>
      <c r="AX88">
        <v>7</v>
      </c>
      <c r="AY88">
        <v>13246.8</v>
      </c>
      <c r="AZ88">
        <v>19</v>
      </c>
      <c r="BA88">
        <v>35955.599999999999</v>
      </c>
      <c r="BB88">
        <v>18</v>
      </c>
      <c r="BC88">
        <v>34063.199999999997</v>
      </c>
      <c r="BD88">
        <v>17</v>
      </c>
      <c r="BE88">
        <v>32170.799999999999</v>
      </c>
      <c r="BF88">
        <v>19</v>
      </c>
      <c r="BG88">
        <v>35955.599999999999</v>
      </c>
      <c r="BH88">
        <v>14</v>
      </c>
      <c r="BI88">
        <v>26493.599999999999</v>
      </c>
      <c r="BJ88">
        <v>14</v>
      </c>
      <c r="BK88">
        <v>26493.599999999999</v>
      </c>
      <c r="BL88">
        <v>9</v>
      </c>
      <c r="BM88">
        <v>17031.599999999999</v>
      </c>
      <c r="BN88">
        <v>18</v>
      </c>
      <c r="BO88">
        <v>34063.199999999997</v>
      </c>
      <c r="BP88">
        <v>19</v>
      </c>
      <c r="BQ88">
        <v>35955.599999999999</v>
      </c>
      <c r="BR88">
        <v>25</v>
      </c>
      <c r="BS88">
        <v>47310</v>
      </c>
      <c r="BT88">
        <v>21</v>
      </c>
      <c r="BU88">
        <v>39740.399999999994</v>
      </c>
      <c r="BV88">
        <v>13</v>
      </c>
      <c r="BW88">
        <v>24601.199999999997</v>
      </c>
      <c r="BX88">
        <v>25</v>
      </c>
      <c r="BY88">
        <v>47310</v>
      </c>
      <c r="BZ88">
        <v>18</v>
      </c>
      <c r="CA88">
        <v>34063.199999999997</v>
      </c>
      <c r="CB88">
        <v>33</v>
      </c>
      <c r="CC88">
        <v>62449.2</v>
      </c>
      <c r="CD88">
        <v>33</v>
      </c>
      <c r="CE88">
        <v>62449.2</v>
      </c>
      <c r="CF88">
        <v>28</v>
      </c>
      <c r="CG88">
        <v>52987.199999999997</v>
      </c>
      <c r="CH88">
        <v>24</v>
      </c>
      <c r="CI88">
        <v>45417.599999999999</v>
      </c>
      <c r="CJ88">
        <v>27</v>
      </c>
      <c r="CK88">
        <v>51094.799999999996</v>
      </c>
      <c r="CL88">
        <v>27</v>
      </c>
      <c r="CM88">
        <v>51094.799999999996</v>
      </c>
      <c r="CN88">
        <v>33</v>
      </c>
      <c r="CO88">
        <v>62449.2</v>
      </c>
      <c r="CP88">
        <v>42</v>
      </c>
      <c r="CQ88">
        <v>79480.799999999988</v>
      </c>
      <c r="CR88">
        <v>42</v>
      </c>
      <c r="CS88">
        <v>79480.799999999988</v>
      </c>
      <c r="CT88">
        <v>32</v>
      </c>
      <c r="CU88">
        <v>60556.799999999996</v>
      </c>
    </row>
    <row r="89" spans="2:99" x14ac:dyDescent="0.2">
      <c r="C89" s="118" t="s">
        <v>255</v>
      </c>
      <c r="D89">
        <v>4</v>
      </c>
      <c r="E89">
        <v>9590.4</v>
      </c>
      <c r="F89">
        <v>6</v>
      </c>
      <c r="G89">
        <v>14385.599999999999</v>
      </c>
      <c r="H89">
        <v>3</v>
      </c>
      <c r="I89">
        <v>7192.7999999999993</v>
      </c>
      <c r="J89">
        <v>4</v>
      </c>
      <c r="K89">
        <v>9590.4</v>
      </c>
      <c r="L89">
        <v>23</v>
      </c>
      <c r="M89">
        <v>55144.799999999996</v>
      </c>
      <c r="N89">
        <v>22</v>
      </c>
      <c r="O89">
        <v>52747.199999999997</v>
      </c>
      <c r="P89">
        <v>39</v>
      </c>
      <c r="Q89">
        <v>93506.4</v>
      </c>
      <c r="R89">
        <v>18</v>
      </c>
      <c r="S89">
        <v>43156.799999999996</v>
      </c>
      <c r="T89">
        <v>3</v>
      </c>
      <c r="U89">
        <v>7192.7999999999993</v>
      </c>
      <c r="V89">
        <v>5</v>
      </c>
      <c r="W89">
        <v>11988</v>
      </c>
      <c r="X89">
        <v>4</v>
      </c>
      <c r="Y89">
        <v>9590.4</v>
      </c>
      <c r="Z89">
        <v>4</v>
      </c>
      <c r="AA89">
        <v>9590.4</v>
      </c>
      <c r="AB89">
        <v>5</v>
      </c>
      <c r="AC89">
        <v>11988</v>
      </c>
      <c r="AD89">
        <v>5</v>
      </c>
      <c r="AE89">
        <v>11988</v>
      </c>
      <c r="AF89">
        <v>5</v>
      </c>
      <c r="AG89">
        <v>11988</v>
      </c>
      <c r="AH89">
        <v>4</v>
      </c>
      <c r="AI89">
        <v>9590.4</v>
      </c>
      <c r="AJ89">
        <v>5</v>
      </c>
      <c r="AK89">
        <v>11988</v>
      </c>
      <c r="AL89">
        <v>4</v>
      </c>
      <c r="AM89">
        <v>9590.4</v>
      </c>
      <c r="AN89">
        <v>5</v>
      </c>
      <c r="AO89">
        <v>11988</v>
      </c>
      <c r="AP89">
        <v>8</v>
      </c>
      <c r="AQ89">
        <v>19180.8</v>
      </c>
      <c r="AR89">
        <v>6</v>
      </c>
      <c r="AS89">
        <v>14385.599999999999</v>
      </c>
      <c r="AT89">
        <v>8</v>
      </c>
      <c r="AU89">
        <v>19180.8</v>
      </c>
      <c r="AV89">
        <v>9</v>
      </c>
      <c r="AW89">
        <v>21578.399999999998</v>
      </c>
      <c r="AX89">
        <v>7</v>
      </c>
      <c r="AY89">
        <v>16783.2</v>
      </c>
      <c r="AZ89">
        <v>17</v>
      </c>
      <c r="BA89">
        <v>40759.199999999997</v>
      </c>
      <c r="BB89">
        <v>18</v>
      </c>
      <c r="BC89">
        <v>43156.799999999996</v>
      </c>
      <c r="BD89">
        <v>18</v>
      </c>
      <c r="BE89">
        <v>43156.799999999996</v>
      </c>
      <c r="BF89">
        <v>18</v>
      </c>
      <c r="BG89">
        <v>43156.799999999996</v>
      </c>
      <c r="BH89">
        <v>12</v>
      </c>
      <c r="BI89">
        <v>28771.199999999997</v>
      </c>
      <c r="BJ89">
        <v>12</v>
      </c>
      <c r="BK89">
        <v>28771.199999999997</v>
      </c>
      <c r="BL89">
        <v>9</v>
      </c>
      <c r="BM89">
        <v>21578.399999999998</v>
      </c>
      <c r="BN89">
        <v>17</v>
      </c>
      <c r="BO89">
        <v>40759.199999999997</v>
      </c>
      <c r="BP89">
        <v>20</v>
      </c>
      <c r="BQ89">
        <v>47952</v>
      </c>
      <c r="BR89">
        <v>24</v>
      </c>
      <c r="BS89">
        <v>57542.399999999994</v>
      </c>
      <c r="BT89">
        <v>19</v>
      </c>
      <c r="BU89">
        <v>45554.400000000001</v>
      </c>
      <c r="BV89">
        <v>13</v>
      </c>
      <c r="BW89">
        <v>31168.799999999999</v>
      </c>
      <c r="BX89">
        <v>27</v>
      </c>
      <c r="BY89">
        <v>64735.199999999997</v>
      </c>
      <c r="BZ89">
        <v>15</v>
      </c>
      <c r="CA89">
        <v>35964</v>
      </c>
      <c r="CB89">
        <v>28</v>
      </c>
      <c r="CC89">
        <v>67132.800000000003</v>
      </c>
      <c r="CD89">
        <v>34</v>
      </c>
      <c r="CE89">
        <v>81518.399999999994</v>
      </c>
      <c r="CF89">
        <v>26</v>
      </c>
      <c r="CG89">
        <v>62337.599999999999</v>
      </c>
      <c r="CH89">
        <v>23</v>
      </c>
      <c r="CI89">
        <v>55144.799999999996</v>
      </c>
      <c r="CJ89">
        <v>24</v>
      </c>
      <c r="CK89">
        <v>57542.399999999994</v>
      </c>
      <c r="CL89">
        <v>24</v>
      </c>
      <c r="CM89">
        <v>57542.399999999994</v>
      </c>
      <c r="CN89">
        <v>31</v>
      </c>
      <c r="CO89">
        <v>74325.599999999991</v>
      </c>
      <c r="CP89">
        <v>41</v>
      </c>
      <c r="CQ89">
        <v>98301.599999999991</v>
      </c>
      <c r="CR89">
        <v>42</v>
      </c>
      <c r="CS89">
        <v>100699.2</v>
      </c>
      <c r="CT89">
        <v>29</v>
      </c>
      <c r="CU89">
        <v>69530.399999999994</v>
      </c>
    </row>
    <row r="90" spans="2:99" x14ac:dyDescent="0.2">
      <c r="C90" s="118" t="s">
        <v>256</v>
      </c>
      <c r="D90">
        <v>4</v>
      </c>
      <c r="E90">
        <v>8788.7999999999993</v>
      </c>
      <c r="F90">
        <v>6</v>
      </c>
      <c r="G90">
        <v>13183.199999999999</v>
      </c>
      <c r="H90">
        <v>4</v>
      </c>
      <c r="I90">
        <v>8788.7999999999993</v>
      </c>
      <c r="J90">
        <v>3</v>
      </c>
      <c r="K90">
        <v>6591.5999999999995</v>
      </c>
      <c r="L90">
        <v>25</v>
      </c>
      <c r="M90">
        <v>54929.999999999993</v>
      </c>
      <c r="N90">
        <v>22</v>
      </c>
      <c r="O90">
        <v>48338.399999999994</v>
      </c>
      <c r="P90">
        <v>34</v>
      </c>
      <c r="Q90">
        <v>74704.799999999988</v>
      </c>
      <c r="R90">
        <v>22</v>
      </c>
      <c r="S90">
        <v>48338.399999999994</v>
      </c>
      <c r="T90">
        <v>3</v>
      </c>
      <c r="U90">
        <v>6591.5999999999995</v>
      </c>
      <c r="V90">
        <v>4</v>
      </c>
      <c r="W90">
        <v>8788.7999999999993</v>
      </c>
      <c r="X90">
        <v>4</v>
      </c>
      <c r="Y90">
        <v>8788.7999999999993</v>
      </c>
      <c r="Z90">
        <v>4</v>
      </c>
      <c r="AA90">
        <v>8788.7999999999993</v>
      </c>
      <c r="AB90">
        <v>5</v>
      </c>
      <c r="AC90">
        <v>10986</v>
      </c>
      <c r="AD90">
        <v>5</v>
      </c>
      <c r="AE90">
        <v>10986</v>
      </c>
      <c r="AF90">
        <v>5</v>
      </c>
      <c r="AG90">
        <v>10986</v>
      </c>
      <c r="AH90">
        <v>4</v>
      </c>
      <c r="AI90">
        <v>8788.7999999999993</v>
      </c>
      <c r="AJ90">
        <v>4</v>
      </c>
      <c r="AK90">
        <v>8788.7999999999993</v>
      </c>
      <c r="AL90">
        <v>5</v>
      </c>
      <c r="AM90">
        <v>10986</v>
      </c>
      <c r="AN90">
        <v>5</v>
      </c>
      <c r="AO90">
        <v>10986</v>
      </c>
      <c r="AP90">
        <v>8</v>
      </c>
      <c r="AQ90">
        <v>17577.599999999999</v>
      </c>
      <c r="AR90">
        <v>5</v>
      </c>
      <c r="AS90">
        <v>10986</v>
      </c>
      <c r="AT90">
        <v>8</v>
      </c>
      <c r="AU90">
        <v>17577.599999999999</v>
      </c>
      <c r="AV90">
        <v>9</v>
      </c>
      <c r="AW90">
        <v>19774.8</v>
      </c>
      <c r="AX90">
        <v>8</v>
      </c>
      <c r="AY90">
        <v>17577.599999999999</v>
      </c>
      <c r="AZ90">
        <v>20</v>
      </c>
      <c r="BA90">
        <v>43944</v>
      </c>
      <c r="BB90">
        <v>18</v>
      </c>
      <c r="BC90">
        <v>39549.599999999999</v>
      </c>
      <c r="BD90">
        <v>18</v>
      </c>
      <c r="BE90">
        <v>39549.599999999999</v>
      </c>
      <c r="BF90">
        <v>18</v>
      </c>
      <c r="BG90">
        <v>39549.599999999999</v>
      </c>
      <c r="BH90">
        <v>13</v>
      </c>
      <c r="BI90">
        <v>28563.599999999999</v>
      </c>
      <c r="BJ90">
        <v>15</v>
      </c>
      <c r="BK90">
        <v>32958</v>
      </c>
      <c r="BL90">
        <v>8</v>
      </c>
      <c r="BM90">
        <v>17577.599999999999</v>
      </c>
      <c r="BN90">
        <v>17</v>
      </c>
      <c r="BO90">
        <v>37352.399999999994</v>
      </c>
      <c r="BP90">
        <v>20</v>
      </c>
      <c r="BQ90">
        <v>43944</v>
      </c>
      <c r="BR90">
        <v>25</v>
      </c>
      <c r="BS90">
        <v>54929.999999999993</v>
      </c>
      <c r="BT90">
        <v>20</v>
      </c>
      <c r="BU90">
        <v>43944</v>
      </c>
      <c r="BV90">
        <v>12</v>
      </c>
      <c r="BW90">
        <v>26366.399999999998</v>
      </c>
      <c r="BX90">
        <v>24</v>
      </c>
      <c r="BY90">
        <v>52732.799999999996</v>
      </c>
      <c r="BZ90">
        <v>16</v>
      </c>
      <c r="CA90">
        <v>35155.199999999997</v>
      </c>
      <c r="CB90">
        <v>28</v>
      </c>
      <c r="CC90">
        <v>61521.599999999991</v>
      </c>
      <c r="CD90">
        <v>35</v>
      </c>
      <c r="CE90">
        <v>76902</v>
      </c>
      <c r="CF90">
        <v>25</v>
      </c>
      <c r="CG90">
        <v>54929.999999999993</v>
      </c>
      <c r="CH90">
        <v>26</v>
      </c>
      <c r="CI90">
        <v>57127.199999999997</v>
      </c>
      <c r="CJ90">
        <v>25</v>
      </c>
      <c r="CK90">
        <v>54929.999999999993</v>
      </c>
      <c r="CL90">
        <v>25</v>
      </c>
      <c r="CM90">
        <v>54929.999999999993</v>
      </c>
      <c r="CN90">
        <v>37</v>
      </c>
      <c r="CO90">
        <v>81296.399999999994</v>
      </c>
      <c r="CP90">
        <v>40</v>
      </c>
      <c r="CQ90">
        <v>87888</v>
      </c>
      <c r="CR90">
        <v>47</v>
      </c>
      <c r="CS90">
        <v>103268.4</v>
      </c>
      <c r="CT90">
        <v>35</v>
      </c>
      <c r="CU90">
        <v>76902</v>
      </c>
    </row>
    <row r="91" spans="2:99" x14ac:dyDescent="0.2">
      <c r="C91" s="118" t="s">
        <v>257</v>
      </c>
      <c r="D91">
        <v>4</v>
      </c>
      <c r="E91">
        <v>9187.1999999999989</v>
      </c>
      <c r="F91">
        <v>7</v>
      </c>
      <c r="G91">
        <v>16077.599999999999</v>
      </c>
      <c r="H91">
        <v>3</v>
      </c>
      <c r="I91">
        <v>6890.4</v>
      </c>
      <c r="J91">
        <v>3</v>
      </c>
      <c r="K91">
        <v>6890.4</v>
      </c>
      <c r="L91">
        <v>25</v>
      </c>
      <c r="M91">
        <v>57419.999999999993</v>
      </c>
      <c r="N91">
        <v>19</v>
      </c>
      <c r="O91">
        <v>43639.199999999997</v>
      </c>
      <c r="P91">
        <v>35</v>
      </c>
      <c r="Q91">
        <v>80387.999999999985</v>
      </c>
      <c r="R91">
        <v>20</v>
      </c>
      <c r="S91">
        <v>45935.999999999993</v>
      </c>
      <c r="T91">
        <v>3</v>
      </c>
      <c r="U91">
        <v>6890.4</v>
      </c>
      <c r="V91">
        <v>5</v>
      </c>
      <c r="W91">
        <v>11483.999999999998</v>
      </c>
      <c r="X91">
        <v>4</v>
      </c>
      <c r="Y91">
        <v>9187.1999999999989</v>
      </c>
      <c r="Z91">
        <v>4</v>
      </c>
      <c r="AA91">
        <v>9187.1999999999989</v>
      </c>
      <c r="AB91">
        <v>5</v>
      </c>
      <c r="AC91">
        <v>11483.999999999998</v>
      </c>
      <c r="AD91">
        <v>5</v>
      </c>
      <c r="AE91">
        <v>11483.999999999998</v>
      </c>
      <c r="AF91">
        <v>5</v>
      </c>
      <c r="AG91">
        <v>11483.999999999998</v>
      </c>
      <c r="AH91">
        <v>4</v>
      </c>
      <c r="AI91">
        <v>9187.1999999999989</v>
      </c>
      <c r="AJ91">
        <v>4</v>
      </c>
      <c r="AK91">
        <v>9187.1999999999989</v>
      </c>
      <c r="AL91">
        <v>4</v>
      </c>
      <c r="AM91">
        <v>9187.1999999999989</v>
      </c>
      <c r="AN91">
        <v>5</v>
      </c>
      <c r="AO91">
        <v>11483.999999999998</v>
      </c>
      <c r="AP91">
        <v>8</v>
      </c>
      <c r="AQ91">
        <v>18374.399999999998</v>
      </c>
      <c r="AR91">
        <v>5</v>
      </c>
      <c r="AS91">
        <v>11483.999999999998</v>
      </c>
      <c r="AT91">
        <v>9</v>
      </c>
      <c r="AU91">
        <v>20671.199999999997</v>
      </c>
      <c r="AV91">
        <v>8</v>
      </c>
      <c r="AW91">
        <v>18374.399999999998</v>
      </c>
      <c r="AX91">
        <v>7</v>
      </c>
      <c r="AY91">
        <v>16077.599999999999</v>
      </c>
      <c r="AZ91">
        <v>17</v>
      </c>
      <c r="BA91">
        <v>39045.599999999999</v>
      </c>
      <c r="BB91">
        <v>18</v>
      </c>
      <c r="BC91">
        <v>41342.399999999994</v>
      </c>
      <c r="BD91">
        <v>17</v>
      </c>
      <c r="BE91">
        <v>39045.599999999999</v>
      </c>
      <c r="BF91">
        <v>17</v>
      </c>
      <c r="BG91">
        <v>39045.599999999999</v>
      </c>
      <c r="BH91">
        <v>12</v>
      </c>
      <c r="BI91">
        <v>27561.599999999999</v>
      </c>
      <c r="BJ91">
        <v>14</v>
      </c>
      <c r="BK91">
        <v>32155.199999999997</v>
      </c>
      <c r="BL91">
        <v>8</v>
      </c>
      <c r="BM91">
        <v>18374.399999999998</v>
      </c>
      <c r="BN91">
        <v>17</v>
      </c>
      <c r="BO91">
        <v>39045.599999999999</v>
      </c>
      <c r="BP91">
        <v>17</v>
      </c>
      <c r="BQ91">
        <v>39045.599999999999</v>
      </c>
      <c r="BR91">
        <v>23</v>
      </c>
      <c r="BS91">
        <v>52826.399999999994</v>
      </c>
      <c r="BT91">
        <v>21</v>
      </c>
      <c r="BU91">
        <v>48232.799999999996</v>
      </c>
      <c r="BV91">
        <v>12</v>
      </c>
      <c r="BW91">
        <v>27561.599999999999</v>
      </c>
      <c r="BX91">
        <v>24</v>
      </c>
      <c r="BY91">
        <v>55123.199999999997</v>
      </c>
      <c r="BZ91">
        <v>15</v>
      </c>
      <c r="CA91">
        <v>34451.999999999993</v>
      </c>
      <c r="CB91">
        <v>29</v>
      </c>
      <c r="CC91">
        <v>66607.199999999997</v>
      </c>
      <c r="CD91">
        <v>33</v>
      </c>
      <c r="CE91">
        <v>75794.399999999994</v>
      </c>
      <c r="CF91">
        <v>25</v>
      </c>
      <c r="CG91">
        <v>57419.999999999993</v>
      </c>
      <c r="CH91">
        <v>24</v>
      </c>
      <c r="CI91">
        <v>55123.199999999997</v>
      </c>
      <c r="CJ91">
        <v>23</v>
      </c>
      <c r="CK91">
        <v>52826.399999999994</v>
      </c>
      <c r="CL91">
        <v>28</v>
      </c>
      <c r="CM91">
        <v>64310.399999999994</v>
      </c>
      <c r="CN91">
        <v>34</v>
      </c>
      <c r="CO91">
        <v>78091.199999999997</v>
      </c>
      <c r="CP91">
        <v>42</v>
      </c>
      <c r="CQ91">
        <v>96465.599999999991</v>
      </c>
      <c r="CR91">
        <v>42</v>
      </c>
      <c r="CS91">
        <v>96465.599999999991</v>
      </c>
      <c r="CT91">
        <v>32</v>
      </c>
      <c r="CU91">
        <v>73497.599999999991</v>
      </c>
    </row>
    <row r="92" spans="2:99" x14ac:dyDescent="0.2">
      <c r="C92" s="118" t="s">
        <v>258</v>
      </c>
      <c r="D92">
        <v>4</v>
      </c>
      <c r="E92">
        <v>5683.2</v>
      </c>
      <c r="F92">
        <v>6</v>
      </c>
      <c r="G92">
        <v>8524.7999999999993</v>
      </c>
      <c r="H92">
        <v>4</v>
      </c>
      <c r="I92">
        <v>5683.2</v>
      </c>
      <c r="J92">
        <v>4</v>
      </c>
      <c r="K92">
        <v>5683.2</v>
      </c>
      <c r="L92">
        <v>25</v>
      </c>
      <c r="M92">
        <v>35520</v>
      </c>
      <c r="N92">
        <v>22</v>
      </c>
      <c r="O92">
        <v>31257.599999999999</v>
      </c>
      <c r="P92">
        <v>40</v>
      </c>
      <c r="Q92">
        <v>56832</v>
      </c>
      <c r="R92">
        <v>22</v>
      </c>
      <c r="S92">
        <v>31257.599999999999</v>
      </c>
      <c r="T92">
        <v>4</v>
      </c>
      <c r="U92">
        <v>5683.2</v>
      </c>
      <c r="V92">
        <v>4</v>
      </c>
      <c r="W92">
        <v>5683.2</v>
      </c>
      <c r="X92">
        <v>5</v>
      </c>
      <c r="Y92">
        <v>7104</v>
      </c>
      <c r="Z92">
        <v>4</v>
      </c>
      <c r="AA92">
        <v>5683.2</v>
      </c>
      <c r="AB92">
        <v>5</v>
      </c>
      <c r="AC92">
        <v>7104</v>
      </c>
      <c r="AD92">
        <v>5</v>
      </c>
      <c r="AE92">
        <v>7104</v>
      </c>
      <c r="AF92">
        <v>5</v>
      </c>
      <c r="AG92">
        <v>7104</v>
      </c>
      <c r="AH92">
        <v>4</v>
      </c>
      <c r="AI92">
        <v>5683.2</v>
      </c>
      <c r="AJ92">
        <v>4</v>
      </c>
      <c r="AK92">
        <v>5683.2</v>
      </c>
      <c r="AL92">
        <v>5</v>
      </c>
      <c r="AM92">
        <v>7104</v>
      </c>
      <c r="AN92">
        <v>5</v>
      </c>
      <c r="AO92">
        <v>7104</v>
      </c>
      <c r="AP92">
        <v>9</v>
      </c>
      <c r="AQ92">
        <v>12787.199999999999</v>
      </c>
      <c r="AR92">
        <v>6</v>
      </c>
      <c r="AS92">
        <v>8524.7999999999993</v>
      </c>
      <c r="AT92">
        <v>9</v>
      </c>
      <c r="AU92">
        <v>12787.199999999999</v>
      </c>
      <c r="AV92">
        <v>9</v>
      </c>
      <c r="AW92">
        <v>12787.199999999999</v>
      </c>
      <c r="AX92">
        <v>8</v>
      </c>
      <c r="AY92">
        <v>11366.4</v>
      </c>
      <c r="AZ92">
        <v>22</v>
      </c>
      <c r="BA92">
        <v>31257.599999999999</v>
      </c>
      <c r="BB92">
        <v>19</v>
      </c>
      <c r="BC92">
        <v>26995.200000000001</v>
      </c>
      <c r="BD92">
        <v>21</v>
      </c>
      <c r="BE92">
        <v>29836.799999999999</v>
      </c>
      <c r="BF92">
        <v>20</v>
      </c>
      <c r="BG92">
        <v>28416</v>
      </c>
      <c r="BH92">
        <v>13</v>
      </c>
      <c r="BI92">
        <v>18470.399999999998</v>
      </c>
      <c r="BJ92">
        <v>14</v>
      </c>
      <c r="BK92">
        <v>19891.2</v>
      </c>
      <c r="BL92">
        <v>10</v>
      </c>
      <c r="BM92">
        <v>14208</v>
      </c>
      <c r="BN92">
        <v>18</v>
      </c>
      <c r="BO92">
        <v>25574.399999999998</v>
      </c>
      <c r="BP92">
        <v>20</v>
      </c>
      <c r="BQ92">
        <v>28416</v>
      </c>
      <c r="BR92">
        <v>25</v>
      </c>
      <c r="BS92">
        <v>35520</v>
      </c>
      <c r="BT92">
        <v>24</v>
      </c>
      <c r="BU92">
        <v>34099.199999999997</v>
      </c>
      <c r="BV92">
        <v>13</v>
      </c>
      <c r="BW92">
        <v>18470.399999999998</v>
      </c>
      <c r="BX92">
        <v>28</v>
      </c>
      <c r="BY92">
        <v>39782.400000000001</v>
      </c>
      <c r="BZ92">
        <v>18</v>
      </c>
      <c r="CA92">
        <v>25574.399999999998</v>
      </c>
      <c r="CB92">
        <v>31</v>
      </c>
      <c r="CC92">
        <v>44044.799999999996</v>
      </c>
      <c r="CD92">
        <v>38</v>
      </c>
      <c r="CE92">
        <v>53990.400000000001</v>
      </c>
      <c r="CF92">
        <v>28</v>
      </c>
      <c r="CG92">
        <v>39782.400000000001</v>
      </c>
      <c r="CH92">
        <v>27</v>
      </c>
      <c r="CI92">
        <v>38361.599999999999</v>
      </c>
      <c r="CJ92">
        <v>27</v>
      </c>
      <c r="CK92">
        <v>38361.599999999999</v>
      </c>
      <c r="CL92">
        <v>31</v>
      </c>
      <c r="CM92">
        <v>44044.799999999996</v>
      </c>
      <c r="CN92">
        <v>35</v>
      </c>
      <c r="CO92">
        <v>49728</v>
      </c>
      <c r="CP92">
        <v>42</v>
      </c>
      <c r="CQ92">
        <v>59673.599999999999</v>
      </c>
      <c r="CR92">
        <v>48</v>
      </c>
      <c r="CS92">
        <v>68198.399999999994</v>
      </c>
      <c r="CT92">
        <v>36</v>
      </c>
      <c r="CU92">
        <v>51148.799999999996</v>
      </c>
    </row>
    <row r="93" spans="2:99" x14ac:dyDescent="0.2">
      <c r="C93" s="118" t="s">
        <v>259</v>
      </c>
      <c r="D93">
        <v>5</v>
      </c>
      <c r="E93">
        <v>8862</v>
      </c>
      <c r="F93">
        <v>7</v>
      </c>
      <c r="G93">
        <v>12406.8</v>
      </c>
      <c r="H93">
        <v>4</v>
      </c>
      <c r="I93">
        <v>7089.5999999999995</v>
      </c>
      <c r="J93">
        <v>4</v>
      </c>
      <c r="K93">
        <v>7089.5999999999995</v>
      </c>
      <c r="L93">
        <v>27</v>
      </c>
      <c r="M93">
        <v>47854.799999999996</v>
      </c>
      <c r="N93">
        <v>23</v>
      </c>
      <c r="O93">
        <v>40765.199999999997</v>
      </c>
      <c r="P93">
        <v>37</v>
      </c>
      <c r="Q93">
        <v>65578.799999999988</v>
      </c>
      <c r="R93">
        <v>22</v>
      </c>
      <c r="S93">
        <v>38992.799999999996</v>
      </c>
      <c r="T93">
        <v>4</v>
      </c>
      <c r="U93">
        <v>7089.5999999999995</v>
      </c>
      <c r="V93">
        <v>4</v>
      </c>
      <c r="W93">
        <v>7089.5999999999995</v>
      </c>
      <c r="X93">
        <v>4</v>
      </c>
      <c r="Y93">
        <v>7089.5999999999995</v>
      </c>
      <c r="Z93">
        <v>4</v>
      </c>
      <c r="AA93">
        <v>7089.5999999999995</v>
      </c>
      <c r="AB93">
        <v>5</v>
      </c>
      <c r="AC93">
        <v>8862</v>
      </c>
      <c r="AD93">
        <v>6</v>
      </c>
      <c r="AE93">
        <v>10634.4</v>
      </c>
      <c r="AF93">
        <v>5</v>
      </c>
      <c r="AG93">
        <v>8862</v>
      </c>
      <c r="AH93">
        <v>4</v>
      </c>
      <c r="AI93">
        <v>7089.5999999999995</v>
      </c>
      <c r="AJ93">
        <v>5</v>
      </c>
      <c r="AK93">
        <v>8862</v>
      </c>
      <c r="AL93">
        <v>5</v>
      </c>
      <c r="AM93">
        <v>8862</v>
      </c>
      <c r="AN93">
        <v>5</v>
      </c>
      <c r="AO93">
        <v>8862</v>
      </c>
      <c r="AP93">
        <v>8</v>
      </c>
      <c r="AQ93">
        <v>14179.199999999999</v>
      </c>
      <c r="AR93">
        <v>6</v>
      </c>
      <c r="AS93">
        <v>10634.4</v>
      </c>
      <c r="AT93">
        <v>9</v>
      </c>
      <c r="AU93">
        <v>15951.599999999999</v>
      </c>
      <c r="AV93">
        <v>8</v>
      </c>
      <c r="AW93">
        <v>14179.199999999999</v>
      </c>
      <c r="AX93">
        <v>8</v>
      </c>
      <c r="AY93">
        <v>14179.199999999999</v>
      </c>
      <c r="AZ93">
        <v>18</v>
      </c>
      <c r="BA93">
        <v>31903.199999999997</v>
      </c>
      <c r="BB93">
        <v>18</v>
      </c>
      <c r="BC93">
        <v>31903.199999999997</v>
      </c>
      <c r="BD93">
        <v>19</v>
      </c>
      <c r="BE93">
        <v>33675.599999999999</v>
      </c>
      <c r="BF93">
        <v>18</v>
      </c>
      <c r="BG93">
        <v>31903.199999999997</v>
      </c>
      <c r="BH93">
        <v>12</v>
      </c>
      <c r="BI93">
        <v>21268.799999999999</v>
      </c>
      <c r="BJ93">
        <v>15</v>
      </c>
      <c r="BK93">
        <v>26585.999999999996</v>
      </c>
      <c r="BL93">
        <v>10</v>
      </c>
      <c r="BM93">
        <v>17724</v>
      </c>
      <c r="BN93">
        <v>19</v>
      </c>
      <c r="BO93">
        <v>33675.599999999999</v>
      </c>
      <c r="BP93">
        <v>20</v>
      </c>
      <c r="BQ93">
        <v>35448</v>
      </c>
      <c r="BR93">
        <v>25</v>
      </c>
      <c r="BS93">
        <v>44310</v>
      </c>
      <c r="BT93">
        <v>22</v>
      </c>
      <c r="BU93">
        <v>38992.799999999996</v>
      </c>
      <c r="BV93">
        <v>14</v>
      </c>
      <c r="BW93">
        <v>24813.599999999999</v>
      </c>
      <c r="BX93">
        <v>30</v>
      </c>
      <c r="BY93">
        <v>53171.999999999993</v>
      </c>
      <c r="BZ93">
        <v>19</v>
      </c>
      <c r="CA93">
        <v>33675.599999999999</v>
      </c>
      <c r="CB93">
        <v>33</v>
      </c>
      <c r="CC93">
        <v>58489.2</v>
      </c>
      <c r="CD93">
        <v>36</v>
      </c>
      <c r="CE93">
        <v>63806.399999999994</v>
      </c>
      <c r="CF93">
        <v>28</v>
      </c>
      <c r="CG93">
        <v>49627.199999999997</v>
      </c>
      <c r="CH93">
        <v>26</v>
      </c>
      <c r="CI93">
        <v>46082.399999999994</v>
      </c>
      <c r="CJ93">
        <v>24</v>
      </c>
      <c r="CK93">
        <v>42537.599999999999</v>
      </c>
      <c r="CL93">
        <v>30</v>
      </c>
      <c r="CM93">
        <v>53171.999999999993</v>
      </c>
      <c r="CN93">
        <v>33</v>
      </c>
      <c r="CO93">
        <v>58489.2</v>
      </c>
      <c r="CP93">
        <v>40</v>
      </c>
      <c r="CQ93">
        <v>70896</v>
      </c>
      <c r="CR93">
        <v>43</v>
      </c>
      <c r="CS93">
        <v>76213.2</v>
      </c>
      <c r="CT93">
        <v>37</v>
      </c>
      <c r="CU93">
        <v>65578.799999999988</v>
      </c>
    </row>
    <row r="94" spans="2:99" x14ac:dyDescent="0.2">
      <c r="C94" s="118" t="s">
        <v>260</v>
      </c>
      <c r="D94">
        <v>4</v>
      </c>
      <c r="E94">
        <v>9580.7999999999993</v>
      </c>
      <c r="F94">
        <v>6</v>
      </c>
      <c r="G94">
        <v>14371.199999999999</v>
      </c>
      <c r="H94">
        <v>4</v>
      </c>
      <c r="I94">
        <v>9580.7999999999993</v>
      </c>
      <c r="J94">
        <v>4</v>
      </c>
      <c r="K94">
        <v>9580.7999999999993</v>
      </c>
      <c r="L94">
        <v>22</v>
      </c>
      <c r="M94">
        <v>52694.399999999994</v>
      </c>
      <c r="N94">
        <v>22</v>
      </c>
      <c r="O94">
        <v>52694.399999999994</v>
      </c>
      <c r="P94">
        <v>38</v>
      </c>
      <c r="Q94">
        <v>91017.599999999991</v>
      </c>
      <c r="R94">
        <v>22</v>
      </c>
      <c r="S94">
        <v>52694.399999999994</v>
      </c>
      <c r="T94">
        <v>3</v>
      </c>
      <c r="U94">
        <v>7185.5999999999995</v>
      </c>
      <c r="V94">
        <v>4</v>
      </c>
      <c r="W94">
        <v>9580.7999999999993</v>
      </c>
      <c r="X94">
        <v>4</v>
      </c>
      <c r="Y94">
        <v>9580.7999999999993</v>
      </c>
      <c r="Z94">
        <v>5</v>
      </c>
      <c r="AA94">
        <v>11976</v>
      </c>
      <c r="AB94">
        <v>5</v>
      </c>
      <c r="AC94">
        <v>11976</v>
      </c>
      <c r="AD94">
        <v>5</v>
      </c>
      <c r="AE94">
        <v>11976</v>
      </c>
      <c r="AF94">
        <v>5</v>
      </c>
      <c r="AG94">
        <v>11976</v>
      </c>
      <c r="AH94">
        <v>5</v>
      </c>
      <c r="AI94">
        <v>11976</v>
      </c>
      <c r="AJ94">
        <v>4</v>
      </c>
      <c r="AK94">
        <v>9580.7999999999993</v>
      </c>
      <c r="AL94">
        <v>5</v>
      </c>
      <c r="AM94">
        <v>11976</v>
      </c>
      <c r="AN94">
        <v>5</v>
      </c>
      <c r="AO94">
        <v>11976</v>
      </c>
      <c r="AP94">
        <v>8</v>
      </c>
      <c r="AQ94">
        <v>19161.599999999999</v>
      </c>
      <c r="AR94">
        <v>6</v>
      </c>
      <c r="AS94">
        <v>14371.199999999999</v>
      </c>
      <c r="AT94">
        <v>8</v>
      </c>
      <c r="AU94">
        <v>19161.599999999999</v>
      </c>
      <c r="AV94">
        <v>8</v>
      </c>
      <c r="AW94">
        <v>19161.599999999999</v>
      </c>
      <c r="AX94">
        <v>7</v>
      </c>
      <c r="AY94">
        <v>16766.399999999998</v>
      </c>
      <c r="AZ94">
        <v>18</v>
      </c>
      <c r="BA94">
        <v>43113.599999999999</v>
      </c>
      <c r="BB94">
        <v>19</v>
      </c>
      <c r="BC94">
        <v>45508.799999999996</v>
      </c>
      <c r="BD94">
        <v>16</v>
      </c>
      <c r="BE94">
        <v>38323.199999999997</v>
      </c>
      <c r="BF94">
        <v>19</v>
      </c>
      <c r="BG94">
        <v>45508.799999999996</v>
      </c>
      <c r="BH94">
        <v>13</v>
      </c>
      <c r="BI94">
        <v>31137.599999999999</v>
      </c>
      <c r="BJ94">
        <v>14</v>
      </c>
      <c r="BK94">
        <v>33532.799999999996</v>
      </c>
      <c r="BL94">
        <v>8</v>
      </c>
      <c r="BM94">
        <v>19161.599999999999</v>
      </c>
      <c r="BN94">
        <v>17</v>
      </c>
      <c r="BO94">
        <v>40718.399999999994</v>
      </c>
      <c r="BP94">
        <v>18</v>
      </c>
      <c r="BQ94">
        <v>43113.599999999999</v>
      </c>
      <c r="BR94">
        <v>22</v>
      </c>
      <c r="BS94">
        <v>52694.399999999994</v>
      </c>
      <c r="BT94">
        <v>20</v>
      </c>
      <c r="BU94">
        <v>47904</v>
      </c>
      <c r="BV94">
        <v>13</v>
      </c>
      <c r="BW94">
        <v>31137.599999999999</v>
      </c>
      <c r="BX94">
        <v>25</v>
      </c>
      <c r="BY94">
        <v>59879.999999999993</v>
      </c>
      <c r="BZ94">
        <v>15</v>
      </c>
      <c r="CA94">
        <v>35928</v>
      </c>
      <c r="CB94">
        <v>28</v>
      </c>
      <c r="CC94">
        <v>67065.599999999991</v>
      </c>
      <c r="CD94">
        <v>30</v>
      </c>
      <c r="CE94">
        <v>71856</v>
      </c>
      <c r="CF94">
        <v>23</v>
      </c>
      <c r="CG94">
        <v>55089.599999999999</v>
      </c>
      <c r="CH94">
        <v>22</v>
      </c>
      <c r="CI94">
        <v>52694.399999999994</v>
      </c>
      <c r="CJ94">
        <v>25</v>
      </c>
      <c r="CK94">
        <v>59879.999999999993</v>
      </c>
      <c r="CL94">
        <v>26</v>
      </c>
      <c r="CM94">
        <v>62275.199999999997</v>
      </c>
      <c r="CN94">
        <v>34</v>
      </c>
      <c r="CO94">
        <v>81436.799999999988</v>
      </c>
      <c r="CP94">
        <v>40</v>
      </c>
      <c r="CQ94">
        <v>95808</v>
      </c>
      <c r="CR94">
        <v>45</v>
      </c>
      <c r="CS94">
        <v>107783.99999999999</v>
      </c>
      <c r="CT94">
        <v>31</v>
      </c>
      <c r="CU94">
        <v>74251.199999999997</v>
      </c>
    </row>
    <row r="95" spans="2:99" x14ac:dyDescent="0.2">
      <c r="B95" s="118" t="s">
        <v>132</v>
      </c>
      <c r="C95" s="118" t="s">
        <v>261</v>
      </c>
      <c r="D95">
        <v>6</v>
      </c>
      <c r="E95">
        <v>10396.799999999999</v>
      </c>
      <c r="F95">
        <v>6</v>
      </c>
      <c r="G95">
        <v>10396.799999999999</v>
      </c>
      <c r="H95">
        <v>5</v>
      </c>
      <c r="I95">
        <v>8664</v>
      </c>
      <c r="J95">
        <v>6</v>
      </c>
      <c r="K95">
        <v>10396.799999999999</v>
      </c>
      <c r="L95">
        <v>4</v>
      </c>
      <c r="M95">
        <v>6931.2</v>
      </c>
      <c r="N95">
        <v>6</v>
      </c>
      <c r="O95">
        <v>10396.799999999999</v>
      </c>
      <c r="P95">
        <v>5</v>
      </c>
      <c r="Q95">
        <v>8664</v>
      </c>
      <c r="R95">
        <v>7</v>
      </c>
      <c r="S95">
        <v>12129.6</v>
      </c>
      <c r="T95">
        <v>5</v>
      </c>
      <c r="U95">
        <v>8664</v>
      </c>
      <c r="V95">
        <v>6</v>
      </c>
      <c r="W95">
        <v>10396.799999999999</v>
      </c>
      <c r="X95">
        <v>8</v>
      </c>
      <c r="Y95">
        <v>13862.4</v>
      </c>
      <c r="Z95">
        <v>7</v>
      </c>
      <c r="AA95">
        <v>12129.6</v>
      </c>
      <c r="AB95">
        <v>27</v>
      </c>
      <c r="AC95">
        <v>46785.599999999999</v>
      </c>
      <c r="AD95">
        <v>25</v>
      </c>
      <c r="AE95">
        <v>43320</v>
      </c>
      <c r="AF95">
        <v>26</v>
      </c>
      <c r="AG95">
        <v>45052.799999999996</v>
      </c>
      <c r="AH95">
        <v>25</v>
      </c>
      <c r="AI95">
        <v>43320</v>
      </c>
      <c r="AJ95">
        <v>17</v>
      </c>
      <c r="AK95">
        <v>29457.599999999999</v>
      </c>
      <c r="AL95">
        <v>11</v>
      </c>
      <c r="AM95">
        <v>19060.8</v>
      </c>
      <c r="AN95">
        <v>12</v>
      </c>
      <c r="AO95">
        <v>20793.599999999999</v>
      </c>
      <c r="AP95">
        <v>10</v>
      </c>
      <c r="AQ95">
        <v>17328</v>
      </c>
      <c r="AR95">
        <v>32</v>
      </c>
      <c r="AS95">
        <v>55449.599999999999</v>
      </c>
      <c r="AT95">
        <v>42</v>
      </c>
      <c r="AU95">
        <v>72777.599999999991</v>
      </c>
      <c r="AV95">
        <v>33</v>
      </c>
      <c r="AW95">
        <v>57182.400000000001</v>
      </c>
      <c r="AX95">
        <v>60</v>
      </c>
      <c r="AY95">
        <v>103968</v>
      </c>
      <c r="AZ95">
        <v>26</v>
      </c>
      <c r="BA95">
        <v>45052.799999999996</v>
      </c>
      <c r="BB95">
        <v>36</v>
      </c>
      <c r="BC95">
        <v>62380.799999999996</v>
      </c>
      <c r="BD95">
        <v>50</v>
      </c>
      <c r="BE95">
        <v>86640</v>
      </c>
      <c r="BF95">
        <v>49</v>
      </c>
      <c r="BG95">
        <v>84907.199999999997</v>
      </c>
      <c r="BH95">
        <v>10</v>
      </c>
      <c r="BI95">
        <v>17328</v>
      </c>
      <c r="BJ95">
        <v>9</v>
      </c>
      <c r="BK95">
        <v>15595.199999999999</v>
      </c>
      <c r="BL95">
        <v>11</v>
      </c>
      <c r="BM95">
        <v>19060.8</v>
      </c>
      <c r="BN95">
        <v>7</v>
      </c>
      <c r="BO95">
        <v>12129.6</v>
      </c>
      <c r="BP95">
        <v>22</v>
      </c>
      <c r="BQ95">
        <v>38121.599999999999</v>
      </c>
      <c r="BR95">
        <v>21</v>
      </c>
      <c r="BS95">
        <v>36388.799999999996</v>
      </c>
      <c r="BT95">
        <v>23</v>
      </c>
      <c r="BU95">
        <v>39854.400000000001</v>
      </c>
      <c r="BV95">
        <v>23</v>
      </c>
      <c r="BW95">
        <v>39854.400000000001</v>
      </c>
      <c r="BX95">
        <v>16</v>
      </c>
      <c r="BY95">
        <v>27724.799999999999</v>
      </c>
      <c r="BZ95">
        <v>23</v>
      </c>
      <c r="CA95">
        <v>39854.400000000001</v>
      </c>
      <c r="CB95">
        <v>19</v>
      </c>
      <c r="CC95">
        <v>32923.199999999997</v>
      </c>
      <c r="CD95">
        <v>13</v>
      </c>
      <c r="CE95">
        <v>22526.399999999998</v>
      </c>
      <c r="CF95">
        <v>6</v>
      </c>
      <c r="CG95">
        <v>10396.799999999999</v>
      </c>
      <c r="CH95">
        <v>8</v>
      </c>
      <c r="CI95">
        <v>13862.4</v>
      </c>
      <c r="CJ95">
        <v>8</v>
      </c>
      <c r="CK95">
        <v>13862.4</v>
      </c>
      <c r="CL95">
        <v>9</v>
      </c>
      <c r="CM95">
        <v>15595.199999999999</v>
      </c>
      <c r="CN95">
        <v>6</v>
      </c>
      <c r="CO95">
        <v>10396.799999999999</v>
      </c>
      <c r="CP95">
        <v>9</v>
      </c>
      <c r="CQ95">
        <v>15595.199999999999</v>
      </c>
      <c r="CR95">
        <v>9</v>
      </c>
      <c r="CS95">
        <v>15595.199999999999</v>
      </c>
      <c r="CT95">
        <v>8</v>
      </c>
      <c r="CU95">
        <v>13862.4</v>
      </c>
    </row>
    <row r="96" spans="2:99" x14ac:dyDescent="0.2">
      <c r="C96" s="118" t="s">
        <v>262</v>
      </c>
      <c r="D96">
        <v>6</v>
      </c>
      <c r="E96">
        <v>4939.2</v>
      </c>
      <c r="F96">
        <v>6</v>
      </c>
      <c r="G96">
        <v>4939.2</v>
      </c>
      <c r="H96">
        <v>6</v>
      </c>
      <c r="I96">
        <v>4939.2</v>
      </c>
      <c r="J96">
        <v>6</v>
      </c>
      <c r="K96">
        <v>4939.2</v>
      </c>
      <c r="L96">
        <v>4</v>
      </c>
      <c r="M96">
        <v>3292.7999999999997</v>
      </c>
      <c r="N96">
        <v>8</v>
      </c>
      <c r="O96">
        <v>6585.5999999999995</v>
      </c>
      <c r="P96">
        <v>5</v>
      </c>
      <c r="Q96">
        <v>4116</v>
      </c>
      <c r="R96">
        <v>8</v>
      </c>
      <c r="S96">
        <v>6585.5999999999995</v>
      </c>
      <c r="T96">
        <v>6</v>
      </c>
      <c r="U96">
        <v>4939.2</v>
      </c>
      <c r="V96">
        <v>6</v>
      </c>
      <c r="W96">
        <v>4939.2</v>
      </c>
      <c r="X96">
        <v>8</v>
      </c>
      <c r="Y96">
        <v>6585.5999999999995</v>
      </c>
      <c r="Z96">
        <v>8</v>
      </c>
      <c r="AA96">
        <v>6585.5999999999995</v>
      </c>
      <c r="AB96">
        <v>33</v>
      </c>
      <c r="AC96">
        <v>27165.599999999999</v>
      </c>
      <c r="AD96">
        <v>33</v>
      </c>
      <c r="AE96">
        <v>27165.599999999999</v>
      </c>
      <c r="AF96">
        <v>34</v>
      </c>
      <c r="AG96">
        <v>27988.799999999999</v>
      </c>
      <c r="AH96">
        <v>32</v>
      </c>
      <c r="AI96">
        <v>26342.399999999998</v>
      </c>
      <c r="AJ96">
        <v>16</v>
      </c>
      <c r="AK96">
        <v>13171.199999999999</v>
      </c>
      <c r="AL96">
        <v>13</v>
      </c>
      <c r="AM96">
        <v>10701.599999999999</v>
      </c>
      <c r="AN96">
        <v>14</v>
      </c>
      <c r="AO96">
        <v>11524.8</v>
      </c>
      <c r="AP96">
        <v>11</v>
      </c>
      <c r="AQ96">
        <v>9055.1999999999989</v>
      </c>
      <c r="AR96">
        <v>44</v>
      </c>
      <c r="AS96">
        <v>36220.799999999996</v>
      </c>
      <c r="AT96">
        <v>43</v>
      </c>
      <c r="AU96">
        <v>35397.599999999999</v>
      </c>
      <c r="AV96">
        <v>42</v>
      </c>
      <c r="AW96">
        <v>34574.399999999994</v>
      </c>
      <c r="AX96">
        <v>59</v>
      </c>
      <c r="AY96">
        <v>48568.799999999996</v>
      </c>
      <c r="AZ96">
        <v>31</v>
      </c>
      <c r="BA96">
        <v>25519.199999999997</v>
      </c>
      <c r="BB96">
        <v>39</v>
      </c>
      <c r="BC96">
        <v>32104.799999999996</v>
      </c>
      <c r="BD96">
        <v>56</v>
      </c>
      <c r="BE96">
        <v>46099.199999999997</v>
      </c>
      <c r="BF96">
        <v>52</v>
      </c>
      <c r="BG96">
        <v>42806.399999999994</v>
      </c>
      <c r="BH96">
        <v>10</v>
      </c>
      <c r="BI96">
        <v>8232</v>
      </c>
      <c r="BJ96">
        <v>10</v>
      </c>
      <c r="BK96">
        <v>8232</v>
      </c>
      <c r="BL96">
        <v>11</v>
      </c>
      <c r="BM96">
        <v>9055.1999999999989</v>
      </c>
      <c r="BN96">
        <v>6</v>
      </c>
      <c r="BO96">
        <v>4939.2</v>
      </c>
      <c r="BP96">
        <v>26</v>
      </c>
      <c r="BQ96">
        <v>21403.199999999997</v>
      </c>
      <c r="BR96">
        <v>25</v>
      </c>
      <c r="BS96">
        <v>20580</v>
      </c>
      <c r="BT96">
        <v>25</v>
      </c>
      <c r="BU96">
        <v>20580</v>
      </c>
      <c r="BV96">
        <v>28</v>
      </c>
      <c r="BW96">
        <v>23049.599999999999</v>
      </c>
      <c r="BX96">
        <v>17</v>
      </c>
      <c r="BY96">
        <v>13994.4</v>
      </c>
      <c r="BZ96">
        <v>24</v>
      </c>
      <c r="CA96">
        <v>19756.8</v>
      </c>
      <c r="CB96">
        <v>20</v>
      </c>
      <c r="CC96">
        <v>16464</v>
      </c>
      <c r="CD96">
        <v>14</v>
      </c>
      <c r="CE96">
        <v>11524.8</v>
      </c>
      <c r="CF96">
        <v>6</v>
      </c>
      <c r="CG96">
        <v>4939.2</v>
      </c>
      <c r="CH96">
        <v>8</v>
      </c>
      <c r="CI96">
        <v>6585.5999999999995</v>
      </c>
      <c r="CJ96">
        <v>8</v>
      </c>
      <c r="CK96">
        <v>6585.5999999999995</v>
      </c>
      <c r="CL96">
        <v>9</v>
      </c>
      <c r="CM96">
        <v>7408.7999999999993</v>
      </c>
      <c r="CN96">
        <v>6</v>
      </c>
      <c r="CO96">
        <v>4939.2</v>
      </c>
      <c r="CP96">
        <v>9</v>
      </c>
      <c r="CQ96">
        <v>7408.7999999999993</v>
      </c>
      <c r="CR96">
        <v>10</v>
      </c>
      <c r="CS96">
        <v>8232</v>
      </c>
      <c r="CT96">
        <v>9</v>
      </c>
      <c r="CU96">
        <v>7408.7999999999993</v>
      </c>
    </row>
    <row r="97" spans="2:99" x14ac:dyDescent="0.2">
      <c r="C97" s="118" t="s">
        <v>263</v>
      </c>
      <c r="D97">
        <v>5</v>
      </c>
      <c r="E97">
        <v>9144</v>
      </c>
      <c r="F97">
        <v>5</v>
      </c>
      <c r="G97">
        <v>9144</v>
      </c>
      <c r="H97">
        <v>5</v>
      </c>
      <c r="I97">
        <v>9144</v>
      </c>
      <c r="J97">
        <v>5</v>
      </c>
      <c r="K97">
        <v>9144</v>
      </c>
      <c r="L97">
        <v>4</v>
      </c>
      <c r="M97">
        <v>7315.2</v>
      </c>
      <c r="N97">
        <v>7</v>
      </c>
      <c r="O97">
        <v>12801.6</v>
      </c>
      <c r="P97">
        <v>5</v>
      </c>
      <c r="Q97">
        <v>9144</v>
      </c>
      <c r="R97">
        <v>7</v>
      </c>
      <c r="S97">
        <v>12801.6</v>
      </c>
      <c r="T97">
        <v>6</v>
      </c>
      <c r="U97">
        <v>10972.8</v>
      </c>
      <c r="V97">
        <v>7</v>
      </c>
      <c r="W97">
        <v>12801.6</v>
      </c>
      <c r="X97">
        <v>6</v>
      </c>
      <c r="Y97">
        <v>10972.8</v>
      </c>
      <c r="Z97">
        <v>8</v>
      </c>
      <c r="AA97">
        <v>14630.4</v>
      </c>
      <c r="AB97">
        <v>27</v>
      </c>
      <c r="AC97">
        <v>49377.599999999999</v>
      </c>
      <c r="AD97">
        <v>25</v>
      </c>
      <c r="AE97">
        <v>45720</v>
      </c>
      <c r="AF97">
        <v>27</v>
      </c>
      <c r="AG97">
        <v>49377.599999999999</v>
      </c>
      <c r="AH97">
        <v>24</v>
      </c>
      <c r="AI97">
        <v>43891.199999999997</v>
      </c>
      <c r="AJ97">
        <v>14</v>
      </c>
      <c r="AK97">
        <v>25603.200000000001</v>
      </c>
      <c r="AL97">
        <v>10</v>
      </c>
      <c r="AM97">
        <v>18288</v>
      </c>
      <c r="AN97">
        <v>13</v>
      </c>
      <c r="AO97">
        <v>23774.399999999998</v>
      </c>
      <c r="AP97">
        <v>12</v>
      </c>
      <c r="AQ97">
        <v>21945.599999999999</v>
      </c>
      <c r="AR97">
        <v>33</v>
      </c>
      <c r="AS97">
        <v>60350.400000000001</v>
      </c>
      <c r="AT97">
        <v>37</v>
      </c>
      <c r="AU97">
        <v>67665.599999999991</v>
      </c>
      <c r="AV97">
        <v>39</v>
      </c>
      <c r="AW97">
        <v>71323.199999999997</v>
      </c>
      <c r="AX97">
        <v>57</v>
      </c>
      <c r="AY97">
        <v>104241.59999999999</v>
      </c>
      <c r="AZ97">
        <v>29</v>
      </c>
      <c r="BA97">
        <v>53035.199999999997</v>
      </c>
      <c r="BB97">
        <v>35</v>
      </c>
      <c r="BC97">
        <v>64008</v>
      </c>
      <c r="BD97">
        <v>44</v>
      </c>
      <c r="BE97">
        <v>80467.199999999997</v>
      </c>
      <c r="BF97">
        <v>47</v>
      </c>
      <c r="BG97">
        <v>85953.599999999991</v>
      </c>
      <c r="BH97">
        <v>9</v>
      </c>
      <c r="BI97">
        <v>16459.2</v>
      </c>
      <c r="BJ97">
        <v>8</v>
      </c>
      <c r="BK97">
        <v>14630.4</v>
      </c>
      <c r="BL97">
        <v>9</v>
      </c>
      <c r="BM97">
        <v>16459.2</v>
      </c>
      <c r="BN97">
        <v>6</v>
      </c>
      <c r="BO97">
        <v>10972.8</v>
      </c>
      <c r="BP97">
        <v>21</v>
      </c>
      <c r="BQ97">
        <v>38404.799999999996</v>
      </c>
      <c r="BR97">
        <v>21</v>
      </c>
      <c r="BS97">
        <v>38404.799999999996</v>
      </c>
      <c r="BT97">
        <v>23</v>
      </c>
      <c r="BU97">
        <v>42062.400000000001</v>
      </c>
      <c r="BV97">
        <v>22</v>
      </c>
      <c r="BW97">
        <v>40233.599999999999</v>
      </c>
      <c r="BX97">
        <v>14</v>
      </c>
      <c r="BY97">
        <v>25603.200000000001</v>
      </c>
      <c r="BZ97">
        <v>22</v>
      </c>
      <c r="CA97">
        <v>40233.599999999999</v>
      </c>
      <c r="CB97">
        <v>18</v>
      </c>
      <c r="CC97">
        <v>32918.400000000001</v>
      </c>
      <c r="CD97">
        <v>11</v>
      </c>
      <c r="CE97">
        <v>20116.8</v>
      </c>
      <c r="CF97">
        <v>6</v>
      </c>
      <c r="CG97">
        <v>10972.8</v>
      </c>
      <c r="CH97">
        <v>7</v>
      </c>
      <c r="CI97">
        <v>12801.6</v>
      </c>
      <c r="CJ97">
        <v>8</v>
      </c>
      <c r="CK97">
        <v>14630.4</v>
      </c>
      <c r="CL97">
        <v>9</v>
      </c>
      <c r="CM97">
        <v>16459.2</v>
      </c>
      <c r="CN97">
        <v>6</v>
      </c>
      <c r="CO97">
        <v>10972.8</v>
      </c>
      <c r="CP97">
        <v>8</v>
      </c>
      <c r="CQ97">
        <v>14630.4</v>
      </c>
      <c r="CR97">
        <v>9</v>
      </c>
      <c r="CS97">
        <v>16459.2</v>
      </c>
      <c r="CT97">
        <v>8</v>
      </c>
      <c r="CU97">
        <v>14630.4</v>
      </c>
    </row>
    <row r="98" spans="2:99" x14ac:dyDescent="0.2">
      <c r="C98" s="118" t="s">
        <v>264</v>
      </c>
      <c r="D98">
        <v>6</v>
      </c>
      <c r="E98">
        <v>7581.5999999999995</v>
      </c>
      <c r="F98">
        <v>6</v>
      </c>
      <c r="G98">
        <v>7581.5999999999995</v>
      </c>
      <c r="H98">
        <v>6</v>
      </c>
      <c r="I98">
        <v>7581.5999999999995</v>
      </c>
      <c r="J98">
        <v>6</v>
      </c>
      <c r="K98">
        <v>7581.5999999999995</v>
      </c>
      <c r="L98">
        <v>4</v>
      </c>
      <c r="M98">
        <v>5054.3999999999996</v>
      </c>
      <c r="N98">
        <v>7</v>
      </c>
      <c r="O98">
        <v>8845.1999999999989</v>
      </c>
      <c r="P98">
        <v>5</v>
      </c>
      <c r="Q98">
        <v>6318</v>
      </c>
      <c r="R98">
        <v>8</v>
      </c>
      <c r="S98">
        <v>10108.799999999999</v>
      </c>
      <c r="T98">
        <v>6</v>
      </c>
      <c r="U98">
        <v>7581.5999999999995</v>
      </c>
      <c r="V98">
        <v>6</v>
      </c>
      <c r="W98">
        <v>7581.5999999999995</v>
      </c>
      <c r="X98">
        <v>7</v>
      </c>
      <c r="Y98">
        <v>8845.1999999999989</v>
      </c>
      <c r="Z98">
        <v>7</v>
      </c>
      <c r="AA98">
        <v>8845.1999999999989</v>
      </c>
      <c r="AB98">
        <v>32</v>
      </c>
      <c r="AC98">
        <v>40435.199999999997</v>
      </c>
      <c r="AD98">
        <v>26</v>
      </c>
      <c r="AE98">
        <v>32853.599999999999</v>
      </c>
      <c r="AF98">
        <v>33</v>
      </c>
      <c r="AG98">
        <v>41698.799999999996</v>
      </c>
      <c r="AH98">
        <v>26</v>
      </c>
      <c r="AI98">
        <v>32853.599999999999</v>
      </c>
      <c r="AJ98">
        <v>15</v>
      </c>
      <c r="AK98">
        <v>18954</v>
      </c>
      <c r="AL98">
        <v>12</v>
      </c>
      <c r="AM98">
        <v>15163.199999999999</v>
      </c>
      <c r="AN98">
        <v>13</v>
      </c>
      <c r="AO98">
        <v>16426.8</v>
      </c>
      <c r="AP98">
        <v>10</v>
      </c>
      <c r="AQ98">
        <v>12636</v>
      </c>
      <c r="AR98">
        <v>39</v>
      </c>
      <c r="AS98">
        <v>49280.399999999994</v>
      </c>
      <c r="AT98">
        <v>44</v>
      </c>
      <c r="AU98">
        <v>55598.399999999994</v>
      </c>
      <c r="AV98">
        <v>43</v>
      </c>
      <c r="AW98">
        <v>54334.799999999996</v>
      </c>
      <c r="AX98">
        <v>54</v>
      </c>
      <c r="AY98">
        <v>68234.399999999994</v>
      </c>
      <c r="AZ98">
        <v>28</v>
      </c>
      <c r="BA98">
        <v>35380.799999999996</v>
      </c>
      <c r="BB98">
        <v>35</v>
      </c>
      <c r="BC98">
        <v>44226</v>
      </c>
      <c r="BD98">
        <v>52</v>
      </c>
      <c r="BE98">
        <v>65707.199999999997</v>
      </c>
      <c r="BF98">
        <v>46</v>
      </c>
      <c r="BG98">
        <v>58125.599999999999</v>
      </c>
      <c r="BH98">
        <v>9</v>
      </c>
      <c r="BI98">
        <v>11372.4</v>
      </c>
      <c r="BJ98">
        <v>9</v>
      </c>
      <c r="BK98">
        <v>11372.4</v>
      </c>
      <c r="BL98">
        <v>10</v>
      </c>
      <c r="BM98">
        <v>12636</v>
      </c>
      <c r="BN98">
        <v>7</v>
      </c>
      <c r="BO98">
        <v>8845.1999999999989</v>
      </c>
      <c r="BP98">
        <v>25</v>
      </c>
      <c r="BQ98">
        <v>31589.999999999996</v>
      </c>
      <c r="BR98">
        <v>22</v>
      </c>
      <c r="BS98">
        <v>27799.199999999997</v>
      </c>
      <c r="BT98">
        <v>26</v>
      </c>
      <c r="BU98">
        <v>32853.599999999999</v>
      </c>
      <c r="BV98">
        <v>26</v>
      </c>
      <c r="BW98">
        <v>32853.599999999999</v>
      </c>
      <c r="BX98">
        <v>15</v>
      </c>
      <c r="BY98">
        <v>18954</v>
      </c>
      <c r="BZ98">
        <v>21</v>
      </c>
      <c r="CA98">
        <v>26535.599999999999</v>
      </c>
      <c r="CB98">
        <v>20</v>
      </c>
      <c r="CC98">
        <v>25272</v>
      </c>
      <c r="CD98">
        <v>13</v>
      </c>
      <c r="CE98">
        <v>16426.8</v>
      </c>
      <c r="CF98">
        <v>6</v>
      </c>
      <c r="CG98">
        <v>7581.5999999999995</v>
      </c>
      <c r="CH98">
        <v>9</v>
      </c>
      <c r="CI98">
        <v>11372.4</v>
      </c>
      <c r="CJ98">
        <v>8</v>
      </c>
      <c r="CK98">
        <v>10108.799999999999</v>
      </c>
      <c r="CL98">
        <v>8</v>
      </c>
      <c r="CM98">
        <v>10108.799999999999</v>
      </c>
      <c r="CN98">
        <v>6</v>
      </c>
      <c r="CO98">
        <v>7581.5999999999995</v>
      </c>
      <c r="CP98">
        <v>9</v>
      </c>
      <c r="CQ98">
        <v>11372.4</v>
      </c>
      <c r="CR98">
        <v>9</v>
      </c>
      <c r="CS98">
        <v>11372.4</v>
      </c>
      <c r="CT98">
        <v>9</v>
      </c>
      <c r="CU98">
        <v>11372.4</v>
      </c>
    </row>
    <row r="99" spans="2:99" x14ac:dyDescent="0.2">
      <c r="C99" s="118" t="s">
        <v>265</v>
      </c>
      <c r="D99">
        <v>4</v>
      </c>
      <c r="E99">
        <v>21926.399999999998</v>
      </c>
      <c r="F99">
        <v>5</v>
      </c>
      <c r="G99">
        <v>27407.999999999996</v>
      </c>
      <c r="H99">
        <v>5</v>
      </c>
      <c r="I99">
        <v>27407.999999999996</v>
      </c>
      <c r="J99">
        <v>4</v>
      </c>
      <c r="K99">
        <v>21926.399999999998</v>
      </c>
      <c r="L99">
        <v>3</v>
      </c>
      <c r="M99">
        <v>16444.8</v>
      </c>
      <c r="N99">
        <v>6</v>
      </c>
      <c r="O99">
        <v>32889.599999999999</v>
      </c>
      <c r="P99">
        <v>3</v>
      </c>
      <c r="Q99">
        <v>16444.8</v>
      </c>
      <c r="R99">
        <v>5</v>
      </c>
      <c r="S99">
        <v>27407.999999999996</v>
      </c>
      <c r="T99">
        <v>4</v>
      </c>
      <c r="U99">
        <v>21926.399999999998</v>
      </c>
      <c r="V99">
        <v>5</v>
      </c>
      <c r="W99">
        <v>27407.999999999996</v>
      </c>
      <c r="X99">
        <v>5</v>
      </c>
      <c r="Y99">
        <v>27407.999999999996</v>
      </c>
      <c r="Z99">
        <v>6</v>
      </c>
      <c r="AA99">
        <v>32889.599999999999</v>
      </c>
      <c r="AB99">
        <v>16</v>
      </c>
      <c r="AC99">
        <v>87705.599999999991</v>
      </c>
      <c r="AD99">
        <v>17</v>
      </c>
      <c r="AE99">
        <v>93187.199999999997</v>
      </c>
      <c r="AF99">
        <v>18</v>
      </c>
      <c r="AG99">
        <v>98668.799999999988</v>
      </c>
      <c r="AH99">
        <v>15</v>
      </c>
      <c r="AI99">
        <v>82223.999999999985</v>
      </c>
      <c r="AJ99">
        <v>11</v>
      </c>
      <c r="AK99">
        <v>60297.599999999991</v>
      </c>
      <c r="AL99">
        <v>8</v>
      </c>
      <c r="AM99">
        <v>43852.799999999996</v>
      </c>
      <c r="AN99">
        <v>9</v>
      </c>
      <c r="AO99">
        <v>49334.399999999994</v>
      </c>
      <c r="AP99">
        <v>8</v>
      </c>
      <c r="AQ99">
        <v>43852.799999999996</v>
      </c>
      <c r="AR99">
        <v>23</v>
      </c>
      <c r="AS99">
        <v>126076.79999999999</v>
      </c>
      <c r="AT99">
        <v>23</v>
      </c>
      <c r="AU99">
        <v>126076.79999999999</v>
      </c>
      <c r="AV99">
        <v>20</v>
      </c>
      <c r="AW99">
        <v>109631.99999999999</v>
      </c>
      <c r="AX99">
        <v>32</v>
      </c>
      <c r="AY99">
        <v>175411.19999999998</v>
      </c>
      <c r="AZ99">
        <v>16</v>
      </c>
      <c r="BA99">
        <v>87705.599999999991</v>
      </c>
      <c r="BB99">
        <v>19</v>
      </c>
      <c r="BC99">
        <v>104150.39999999999</v>
      </c>
      <c r="BD99">
        <v>30</v>
      </c>
      <c r="BE99">
        <v>164447.99999999997</v>
      </c>
      <c r="BF99">
        <v>27</v>
      </c>
      <c r="BG99">
        <v>148003.19999999998</v>
      </c>
      <c r="BH99">
        <v>7</v>
      </c>
      <c r="BI99">
        <v>38371.199999999997</v>
      </c>
      <c r="BJ99">
        <v>6</v>
      </c>
      <c r="BK99">
        <v>32889.599999999999</v>
      </c>
      <c r="BL99">
        <v>8</v>
      </c>
      <c r="BM99">
        <v>43852.799999999996</v>
      </c>
      <c r="BN99">
        <v>4</v>
      </c>
      <c r="BO99">
        <v>21926.399999999998</v>
      </c>
      <c r="BP99">
        <v>14</v>
      </c>
      <c r="BQ99">
        <v>76742.399999999994</v>
      </c>
      <c r="BR99">
        <v>13</v>
      </c>
      <c r="BS99">
        <v>71260.799999999988</v>
      </c>
      <c r="BT99">
        <v>14</v>
      </c>
      <c r="BU99">
        <v>76742.399999999994</v>
      </c>
      <c r="BV99">
        <v>15</v>
      </c>
      <c r="BW99">
        <v>82223.999999999985</v>
      </c>
      <c r="BX99">
        <v>9</v>
      </c>
      <c r="BY99">
        <v>49334.399999999994</v>
      </c>
      <c r="BZ99">
        <v>13</v>
      </c>
      <c r="CA99">
        <v>71260.799999999988</v>
      </c>
      <c r="CB99">
        <v>13</v>
      </c>
      <c r="CC99">
        <v>71260.799999999988</v>
      </c>
      <c r="CD99">
        <v>8</v>
      </c>
      <c r="CE99">
        <v>43852.799999999996</v>
      </c>
      <c r="CF99">
        <v>4</v>
      </c>
      <c r="CG99">
        <v>21926.399999999998</v>
      </c>
      <c r="CH99">
        <v>6</v>
      </c>
      <c r="CI99">
        <v>32889.599999999999</v>
      </c>
      <c r="CJ99">
        <v>6</v>
      </c>
      <c r="CK99">
        <v>32889.599999999999</v>
      </c>
      <c r="CL99">
        <v>7</v>
      </c>
      <c r="CM99">
        <v>38371.199999999997</v>
      </c>
      <c r="CN99">
        <v>4</v>
      </c>
      <c r="CO99">
        <v>21926.399999999998</v>
      </c>
      <c r="CP99">
        <v>6</v>
      </c>
      <c r="CQ99">
        <v>32889.599999999999</v>
      </c>
      <c r="CR99">
        <v>7</v>
      </c>
      <c r="CS99">
        <v>38371.199999999997</v>
      </c>
      <c r="CT99">
        <v>6</v>
      </c>
      <c r="CU99">
        <v>32889.599999999999</v>
      </c>
    </row>
    <row r="100" spans="2:99" x14ac:dyDescent="0.2">
      <c r="C100" s="118" t="s">
        <v>266</v>
      </c>
      <c r="D100">
        <v>6</v>
      </c>
      <c r="E100">
        <v>9734.4</v>
      </c>
      <c r="F100">
        <v>6</v>
      </c>
      <c r="G100">
        <v>9734.4</v>
      </c>
      <c r="H100">
        <v>5</v>
      </c>
      <c r="I100">
        <v>8111.9999999999991</v>
      </c>
      <c r="J100">
        <v>6</v>
      </c>
      <c r="K100">
        <v>9734.4</v>
      </c>
      <c r="L100">
        <v>4</v>
      </c>
      <c r="M100">
        <v>6489.5999999999995</v>
      </c>
      <c r="N100">
        <v>7</v>
      </c>
      <c r="O100">
        <v>11356.8</v>
      </c>
      <c r="P100">
        <v>5</v>
      </c>
      <c r="Q100">
        <v>8111.9999999999991</v>
      </c>
      <c r="R100">
        <v>7</v>
      </c>
      <c r="S100">
        <v>11356.8</v>
      </c>
      <c r="T100">
        <v>6</v>
      </c>
      <c r="U100">
        <v>9734.4</v>
      </c>
      <c r="V100">
        <v>6</v>
      </c>
      <c r="W100">
        <v>9734.4</v>
      </c>
      <c r="X100">
        <v>8</v>
      </c>
      <c r="Y100">
        <v>12979.199999999999</v>
      </c>
      <c r="Z100">
        <v>8</v>
      </c>
      <c r="AA100">
        <v>12979.199999999999</v>
      </c>
      <c r="AB100">
        <v>28</v>
      </c>
      <c r="AC100">
        <v>45427.199999999997</v>
      </c>
      <c r="AD100">
        <v>24</v>
      </c>
      <c r="AE100">
        <v>38937.599999999999</v>
      </c>
      <c r="AF100">
        <v>26</v>
      </c>
      <c r="AG100">
        <v>42182.399999999994</v>
      </c>
      <c r="AH100">
        <v>29</v>
      </c>
      <c r="AI100">
        <v>47049.599999999999</v>
      </c>
      <c r="AJ100">
        <v>16</v>
      </c>
      <c r="AK100">
        <v>25958.399999999998</v>
      </c>
      <c r="AL100">
        <v>11</v>
      </c>
      <c r="AM100">
        <v>17846.399999999998</v>
      </c>
      <c r="AN100">
        <v>12</v>
      </c>
      <c r="AO100">
        <v>19468.8</v>
      </c>
      <c r="AP100">
        <v>11</v>
      </c>
      <c r="AQ100">
        <v>17846.399999999998</v>
      </c>
      <c r="AR100">
        <v>39</v>
      </c>
      <c r="AS100">
        <v>63273.599999999991</v>
      </c>
      <c r="AT100">
        <v>36</v>
      </c>
      <c r="AU100">
        <v>58406.399999999994</v>
      </c>
      <c r="AV100">
        <v>35</v>
      </c>
      <c r="AW100">
        <v>56783.999999999993</v>
      </c>
      <c r="AX100">
        <v>52</v>
      </c>
      <c r="AY100">
        <v>84364.799999999988</v>
      </c>
      <c r="AZ100">
        <v>27</v>
      </c>
      <c r="BA100">
        <v>43804.799999999996</v>
      </c>
      <c r="BB100">
        <v>36</v>
      </c>
      <c r="BC100">
        <v>58406.399999999994</v>
      </c>
      <c r="BD100">
        <v>46</v>
      </c>
      <c r="BE100">
        <v>74630.399999999994</v>
      </c>
      <c r="BF100">
        <v>46</v>
      </c>
      <c r="BG100">
        <v>74630.399999999994</v>
      </c>
      <c r="BH100">
        <v>11</v>
      </c>
      <c r="BI100">
        <v>17846.399999999998</v>
      </c>
      <c r="BJ100">
        <v>8</v>
      </c>
      <c r="BK100">
        <v>12979.199999999999</v>
      </c>
      <c r="BL100">
        <v>10</v>
      </c>
      <c r="BM100">
        <v>16223.999999999998</v>
      </c>
      <c r="BN100">
        <v>6</v>
      </c>
      <c r="BO100">
        <v>9734.4</v>
      </c>
      <c r="BP100">
        <v>21</v>
      </c>
      <c r="BQ100">
        <v>34070.399999999994</v>
      </c>
      <c r="BR100">
        <v>21</v>
      </c>
      <c r="BS100">
        <v>34070.399999999994</v>
      </c>
      <c r="BT100">
        <v>24</v>
      </c>
      <c r="BU100">
        <v>38937.599999999999</v>
      </c>
      <c r="BV100">
        <v>25</v>
      </c>
      <c r="BW100">
        <v>40560</v>
      </c>
      <c r="BX100">
        <v>15</v>
      </c>
      <c r="BY100">
        <v>24335.999999999996</v>
      </c>
      <c r="BZ100">
        <v>21</v>
      </c>
      <c r="CA100">
        <v>34070.399999999994</v>
      </c>
      <c r="CB100">
        <v>19</v>
      </c>
      <c r="CC100">
        <v>30825.599999999999</v>
      </c>
      <c r="CD100">
        <v>12</v>
      </c>
      <c r="CE100">
        <v>19468.8</v>
      </c>
      <c r="CF100">
        <v>6</v>
      </c>
      <c r="CG100">
        <v>9734.4</v>
      </c>
      <c r="CH100">
        <v>8</v>
      </c>
      <c r="CI100">
        <v>12979.199999999999</v>
      </c>
      <c r="CJ100">
        <v>7</v>
      </c>
      <c r="CK100">
        <v>11356.8</v>
      </c>
      <c r="CL100">
        <v>9</v>
      </c>
      <c r="CM100">
        <v>14601.599999999999</v>
      </c>
      <c r="CN100">
        <v>5</v>
      </c>
      <c r="CO100">
        <v>8111.9999999999991</v>
      </c>
      <c r="CP100">
        <v>9</v>
      </c>
      <c r="CQ100">
        <v>14601.599999999999</v>
      </c>
      <c r="CR100">
        <v>9</v>
      </c>
      <c r="CS100">
        <v>14601.599999999999</v>
      </c>
      <c r="CT100">
        <v>7</v>
      </c>
      <c r="CU100">
        <v>11356.8</v>
      </c>
    </row>
    <row r="101" spans="2:99" x14ac:dyDescent="0.2">
      <c r="C101" s="118" t="s">
        <v>267</v>
      </c>
      <c r="D101">
        <v>6</v>
      </c>
      <c r="E101">
        <v>7142.4</v>
      </c>
      <c r="F101">
        <v>7</v>
      </c>
      <c r="G101">
        <v>8332.7999999999993</v>
      </c>
      <c r="H101">
        <v>5</v>
      </c>
      <c r="I101">
        <v>5951.9999999999991</v>
      </c>
      <c r="J101">
        <v>6</v>
      </c>
      <c r="K101">
        <v>7142.4</v>
      </c>
      <c r="L101">
        <v>4</v>
      </c>
      <c r="M101">
        <v>4761.5999999999995</v>
      </c>
      <c r="N101">
        <v>7</v>
      </c>
      <c r="O101">
        <v>8332.7999999999993</v>
      </c>
      <c r="P101">
        <v>5</v>
      </c>
      <c r="Q101">
        <v>5951.9999999999991</v>
      </c>
      <c r="R101">
        <v>8</v>
      </c>
      <c r="S101">
        <v>9523.1999999999989</v>
      </c>
      <c r="T101">
        <v>6</v>
      </c>
      <c r="U101">
        <v>7142.4</v>
      </c>
      <c r="V101">
        <v>6</v>
      </c>
      <c r="W101">
        <v>7142.4</v>
      </c>
      <c r="X101">
        <v>7</v>
      </c>
      <c r="Y101">
        <v>8332.7999999999993</v>
      </c>
      <c r="Z101">
        <v>7</v>
      </c>
      <c r="AA101">
        <v>8332.7999999999993</v>
      </c>
      <c r="AB101">
        <v>30</v>
      </c>
      <c r="AC101">
        <v>35711.999999999993</v>
      </c>
      <c r="AD101">
        <v>29</v>
      </c>
      <c r="AE101">
        <v>34521.599999999999</v>
      </c>
      <c r="AF101">
        <v>32</v>
      </c>
      <c r="AG101">
        <v>38092.799999999996</v>
      </c>
      <c r="AH101">
        <v>31</v>
      </c>
      <c r="AI101">
        <v>36902.399999999994</v>
      </c>
      <c r="AJ101">
        <v>15</v>
      </c>
      <c r="AK101">
        <v>17855.999999999996</v>
      </c>
      <c r="AL101">
        <v>10</v>
      </c>
      <c r="AM101">
        <v>11903.999999999998</v>
      </c>
      <c r="AN101">
        <v>14</v>
      </c>
      <c r="AO101">
        <v>16665.599999999999</v>
      </c>
      <c r="AP101">
        <v>11</v>
      </c>
      <c r="AQ101">
        <v>13094.399999999998</v>
      </c>
      <c r="AR101">
        <v>41</v>
      </c>
      <c r="AS101">
        <v>48806.399999999994</v>
      </c>
      <c r="AT101">
        <v>42</v>
      </c>
      <c r="AU101">
        <v>49996.799999999996</v>
      </c>
      <c r="AV101">
        <v>37</v>
      </c>
      <c r="AW101">
        <v>44044.799999999996</v>
      </c>
      <c r="AX101">
        <v>58</v>
      </c>
      <c r="AY101">
        <v>69043.199999999997</v>
      </c>
      <c r="AZ101">
        <v>29</v>
      </c>
      <c r="BA101">
        <v>34521.599999999999</v>
      </c>
      <c r="BB101">
        <v>38</v>
      </c>
      <c r="BC101">
        <v>45235.199999999997</v>
      </c>
      <c r="BD101">
        <v>53</v>
      </c>
      <c r="BE101">
        <v>63091.19999999999</v>
      </c>
      <c r="BF101">
        <v>48</v>
      </c>
      <c r="BG101">
        <v>57139.199999999997</v>
      </c>
      <c r="BH101">
        <v>10</v>
      </c>
      <c r="BI101">
        <v>11903.999999999998</v>
      </c>
      <c r="BJ101">
        <v>9</v>
      </c>
      <c r="BK101">
        <v>10713.599999999999</v>
      </c>
      <c r="BL101">
        <v>10</v>
      </c>
      <c r="BM101">
        <v>11903.999999999998</v>
      </c>
      <c r="BN101">
        <v>6</v>
      </c>
      <c r="BO101">
        <v>7142.4</v>
      </c>
      <c r="BP101">
        <v>21</v>
      </c>
      <c r="BQ101">
        <v>24998.399999999998</v>
      </c>
      <c r="BR101">
        <v>22</v>
      </c>
      <c r="BS101">
        <v>26188.799999999996</v>
      </c>
      <c r="BT101">
        <v>27</v>
      </c>
      <c r="BU101">
        <v>32140.799999999996</v>
      </c>
      <c r="BV101">
        <v>25</v>
      </c>
      <c r="BW101">
        <v>29759.999999999996</v>
      </c>
      <c r="BX101">
        <v>15</v>
      </c>
      <c r="BY101">
        <v>17855.999999999996</v>
      </c>
      <c r="BZ101">
        <v>21</v>
      </c>
      <c r="CA101">
        <v>24998.399999999998</v>
      </c>
      <c r="CB101">
        <v>19</v>
      </c>
      <c r="CC101">
        <v>22617.599999999999</v>
      </c>
      <c r="CD101">
        <v>12</v>
      </c>
      <c r="CE101">
        <v>14284.8</v>
      </c>
      <c r="CF101">
        <v>6</v>
      </c>
      <c r="CG101">
        <v>7142.4</v>
      </c>
      <c r="CH101">
        <v>8</v>
      </c>
      <c r="CI101">
        <v>9523.1999999999989</v>
      </c>
      <c r="CJ101">
        <v>9</v>
      </c>
      <c r="CK101">
        <v>10713.599999999999</v>
      </c>
      <c r="CL101">
        <v>9</v>
      </c>
      <c r="CM101">
        <v>10713.599999999999</v>
      </c>
      <c r="CN101">
        <v>6</v>
      </c>
      <c r="CO101">
        <v>7142.4</v>
      </c>
      <c r="CP101">
        <v>8</v>
      </c>
      <c r="CQ101">
        <v>9523.1999999999989</v>
      </c>
      <c r="CR101">
        <v>9</v>
      </c>
      <c r="CS101">
        <v>10713.599999999999</v>
      </c>
      <c r="CT101">
        <v>8</v>
      </c>
      <c r="CU101">
        <v>9523.1999999999989</v>
      </c>
    </row>
    <row r="102" spans="2:99" x14ac:dyDescent="0.2">
      <c r="C102" s="118" t="s">
        <v>268</v>
      </c>
      <c r="D102">
        <v>6</v>
      </c>
      <c r="E102">
        <v>11635.199999999999</v>
      </c>
      <c r="F102">
        <v>6</v>
      </c>
      <c r="G102">
        <v>11635.199999999999</v>
      </c>
      <c r="H102">
        <v>6</v>
      </c>
      <c r="I102">
        <v>11635.199999999999</v>
      </c>
      <c r="J102">
        <v>6</v>
      </c>
      <c r="K102">
        <v>11635.199999999999</v>
      </c>
      <c r="L102">
        <v>4</v>
      </c>
      <c r="M102">
        <v>7756.7999999999993</v>
      </c>
      <c r="N102">
        <v>6</v>
      </c>
      <c r="O102">
        <v>11635.199999999999</v>
      </c>
      <c r="P102">
        <v>5</v>
      </c>
      <c r="Q102">
        <v>9696</v>
      </c>
      <c r="R102">
        <v>6</v>
      </c>
      <c r="S102">
        <v>11635.199999999999</v>
      </c>
      <c r="T102">
        <v>5</v>
      </c>
      <c r="U102">
        <v>9696</v>
      </c>
      <c r="V102">
        <v>6</v>
      </c>
      <c r="W102">
        <v>11635.199999999999</v>
      </c>
      <c r="X102">
        <v>7</v>
      </c>
      <c r="Y102">
        <v>13574.399999999998</v>
      </c>
      <c r="Z102">
        <v>7</v>
      </c>
      <c r="AA102">
        <v>13574.399999999998</v>
      </c>
      <c r="AB102">
        <v>26</v>
      </c>
      <c r="AC102">
        <v>50419.199999999997</v>
      </c>
      <c r="AD102">
        <v>26</v>
      </c>
      <c r="AE102">
        <v>50419.199999999997</v>
      </c>
      <c r="AF102">
        <v>28</v>
      </c>
      <c r="AG102">
        <v>54297.599999999991</v>
      </c>
      <c r="AH102">
        <v>25</v>
      </c>
      <c r="AI102">
        <v>48479.999999999993</v>
      </c>
      <c r="AJ102">
        <v>14</v>
      </c>
      <c r="AK102">
        <v>27148.799999999996</v>
      </c>
      <c r="AL102">
        <v>11</v>
      </c>
      <c r="AM102">
        <v>21331.199999999997</v>
      </c>
      <c r="AN102">
        <v>13</v>
      </c>
      <c r="AO102">
        <v>25209.599999999999</v>
      </c>
      <c r="AP102">
        <v>11</v>
      </c>
      <c r="AQ102">
        <v>21331.199999999997</v>
      </c>
      <c r="AR102">
        <v>33</v>
      </c>
      <c r="AS102">
        <v>63993.599999999991</v>
      </c>
      <c r="AT102">
        <v>41</v>
      </c>
      <c r="AU102">
        <v>79507.199999999997</v>
      </c>
      <c r="AV102">
        <v>33</v>
      </c>
      <c r="AW102">
        <v>63993.599999999991</v>
      </c>
      <c r="AX102">
        <v>55</v>
      </c>
      <c r="AY102">
        <v>106655.99999999999</v>
      </c>
      <c r="AZ102">
        <v>26</v>
      </c>
      <c r="BA102">
        <v>50419.199999999997</v>
      </c>
      <c r="BB102">
        <v>31</v>
      </c>
      <c r="BC102">
        <v>60115.199999999997</v>
      </c>
      <c r="BD102">
        <v>45</v>
      </c>
      <c r="BE102">
        <v>87263.999999999985</v>
      </c>
      <c r="BF102">
        <v>46</v>
      </c>
      <c r="BG102">
        <v>89203.199999999997</v>
      </c>
      <c r="BH102">
        <v>10</v>
      </c>
      <c r="BI102">
        <v>19392</v>
      </c>
      <c r="BJ102">
        <v>9</v>
      </c>
      <c r="BK102">
        <v>17452.8</v>
      </c>
      <c r="BL102">
        <v>9</v>
      </c>
      <c r="BM102">
        <v>17452.8</v>
      </c>
      <c r="BN102">
        <v>6</v>
      </c>
      <c r="BO102">
        <v>11635.199999999999</v>
      </c>
      <c r="BP102">
        <v>23</v>
      </c>
      <c r="BQ102">
        <v>44601.599999999999</v>
      </c>
      <c r="BR102">
        <v>21</v>
      </c>
      <c r="BS102">
        <v>40723.199999999997</v>
      </c>
      <c r="BT102">
        <v>22</v>
      </c>
      <c r="BU102">
        <v>42662.399999999994</v>
      </c>
      <c r="BV102">
        <v>22</v>
      </c>
      <c r="BW102">
        <v>42662.399999999994</v>
      </c>
      <c r="BX102">
        <v>15</v>
      </c>
      <c r="BY102">
        <v>29087.999999999996</v>
      </c>
      <c r="BZ102">
        <v>21</v>
      </c>
      <c r="CA102">
        <v>40723.199999999997</v>
      </c>
      <c r="CB102">
        <v>18</v>
      </c>
      <c r="CC102">
        <v>34905.599999999999</v>
      </c>
      <c r="CD102">
        <v>12</v>
      </c>
      <c r="CE102">
        <v>23270.399999999998</v>
      </c>
      <c r="CF102">
        <v>6</v>
      </c>
      <c r="CG102">
        <v>11635.199999999999</v>
      </c>
      <c r="CH102">
        <v>8</v>
      </c>
      <c r="CI102">
        <v>15513.599999999999</v>
      </c>
      <c r="CJ102">
        <v>8</v>
      </c>
      <c r="CK102">
        <v>15513.599999999999</v>
      </c>
      <c r="CL102">
        <v>8</v>
      </c>
      <c r="CM102">
        <v>15513.599999999999</v>
      </c>
      <c r="CN102">
        <v>6</v>
      </c>
      <c r="CO102">
        <v>11635.199999999999</v>
      </c>
      <c r="CP102">
        <v>9</v>
      </c>
      <c r="CQ102">
        <v>17452.8</v>
      </c>
      <c r="CR102">
        <v>9</v>
      </c>
      <c r="CS102">
        <v>17452.8</v>
      </c>
      <c r="CT102">
        <v>7</v>
      </c>
      <c r="CU102">
        <v>13574.399999999998</v>
      </c>
    </row>
    <row r="103" spans="2:99" x14ac:dyDescent="0.2">
      <c r="C103" s="118" t="s">
        <v>269</v>
      </c>
      <c r="D103">
        <v>6</v>
      </c>
      <c r="E103">
        <v>12168</v>
      </c>
      <c r="F103">
        <v>6</v>
      </c>
      <c r="G103">
        <v>12168</v>
      </c>
      <c r="H103">
        <v>6</v>
      </c>
      <c r="I103">
        <v>12168</v>
      </c>
      <c r="J103">
        <v>5</v>
      </c>
      <c r="K103">
        <v>10140</v>
      </c>
      <c r="L103">
        <v>3</v>
      </c>
      <c r="M103">
        <v>6084</v>
      </c>
      <c r="N103">
        <v>7</v>
      </c>
      <c r="O103">
        <v>14196</v>
      </c>
      <c r="P103">
        <v>4</v>
      </c>
      <c r="Q103">
        <v>8112</v>
      </c>
      <c r="R103">
        <v>7</v>
      </c>
      <c r="S103">
        <v>14196</v>
      </c>
      <c r="T103">
        <v>6</v>
      </c>
      <c r="U103">
        <v>12168</v>
      </c>
      <c r="V103">
        <v>6</v>
      </c>
      <c r="W103">
        <v>12168</v>
      </c>
      <c r="X103">
        <v>8</v>
      </c>
      <c r="Y103">
        <v>16224</v>
      </c>
      <c r="Z103">
        <v>7</v>
      </c>
      <c r="AA103">
        <v>14196</v>
      </c>
      <c r="AB103">
        <v>25</v>
      </c>
      <c r="AC103">
        <v>50700</v>
      </c>
      <c r="AD103">
        <v>26</v>
      </c>
      <c r="AE103">
        <v>52728</v>
      </c>
      <c r="AF103">
        <v>25</v>
      </c>
      <c r="AG103">
        <v>50700</v>
      </c>
      <c r="AH103">
        <v>25</v>
      </c>
      <c r="AI103">
        <v>50700</v>
      </c>
      <c r="AJ103">
        <v>16</v>
      </c>
      <c r="AK103">
        <v>32448</v>
      </c>
      <c r="AL103">
        <v>9</v>
      </c>
      <c r="AM103">
        <v>18252</v>
      </c>
      <c r="AN103">
        <v>13</v>
      </c>
      <c r="AO103">
        <v>26364</v>
      </c>
      <c r="AP103">
        <v>11</v>
      </c>
      <c r="AQ103">
        <v>22308</v>
      </c>
      <c r="AR103">
        <v>37</v>
      </c>
      <c r="AS103">
        <v>75036</v>
      </c>
      <c r="AT103">
        <v>35</v>
      </c>
      <c r="AU103">
        <v>70980</v>
      </c>
      <c r="AV103">
        <v>38</v>
      </c>
      <c r="AW103">
        <v>77064</v>
      </c>
      <c r="AX103">
        <v>57</v>
      </c>
      <c r="AY103">
        <v>115596</v>
      </c>
      <c r="AZ103">
        <v>25</v>
      </c>
      <c r="BA103">
        <v>50700</v>
      </c>
      <c r="BB103">
        <v>32</v>
      </c>
      <c r="BC103">
        <v>64896</v>
      </c>
      <c r="BD103">
        <v>45</v>
      </c>
      <c r="BE103">
        <v>91260</v>
      </c>
      <c r="BF103">
        <v>41</v>
      </c>
      <c r="BG103">
        <v>83148</v>
      </c>
      <c r="BH103">
        <v>9</v>
      </c>
      <c r="BI103">
        <v>18252</v>
      </c>
      <c r="BJ103">
        <v>9</v>
      </c>
      <c r="BK103">
        <v>18252</v>
      </c>
      <c r="BL103">
        <v>10</v>
      </c>
      <c r="BM103">
        <v>20280</v>
      </c>
      <c r="BN103">
        <v>6</v>
      </c>
      <c r="BO103">
        <v>12168</v>
      </c>
      <c r="BP103">
        <v>23</v>
      </c>
      <c r="BQ103">
        <v>46644</v>
      </c>
      <c r="BR103">
        <v>21</v>
      </c>
      <c r="BS103">
        <v>42588</v>
      </c>
      <c r="BT103">
        <v>24</v>
      </c>
      <c r="BU103">
        <v>48672</v>
      </c>
      <c r="BV103">
        <v>25</v>
      </c>
      <c r="BW103">
        <v>50700</v>
      </c>
      <c r="BX103">
        <v>15</v>
      </c>
      <c r="BY103">
        <v>30420</v>
      </c>
      <c r="BZ103">
        <v>19</v>
      </c>
      <c r="CA103">
        <v>38532</v>
      </c>
      <c r="CB103">
        <v>19</v>
      </c>
      <c r="CC103">
        <v>38532</v>
      </c>
      <c r="CD103">
        <v>13</v>
      </c>
      <c r="CE103">
        <v>26364</v>
      </c>
      <c r="CF103">
        <v>6</v>
      </c>
      <c r="CG103">
        <v>12168</v>
      </c>
      <c r="CH103">
        <v>8</v>
      </c>
      <c r="CI103">
        <v>16224</v>
      </c>
      <c r="CJ103">
        <v>7</v>
      </c>
      <c r="CK103">
        <v>14196</v>
      </c>
      <c r="CL103">
        <v>9</v>
      </c>
      <c r="CM103">
        <v>18252</v>
      </c>
      <c r="CN103">
        <v>6</v>
      </c>
      <c r="CO103">
        <v>12168</v>
      </c>
      <c r="CP103">
        <v>8</v>
      </c>
      <c r="CQ103">
        <v>16224</v>
      </c>
      <c r="CR103">
        <v>9</v>
      </c>
      <c r="CS103">
        <v>18252</v>
      </c>
      <c r="CT103">
        <v>8</v>
      </c>
      <c r="CU103">
        <v>16224</v>
      </c>
    </row>
    <row r="104" spans="2:99" x14ac:dyDescent="0.2">
      <c r="C104" s="118" t="s">
        <v>270</v>
      </c>
      <c r="D104">
        <v>5</v>
      </c>
      <c r="E104">
        <v>10362</v>
      </c>
      <c r="F104">
        <v>6</v>
      </c>
      <c r="G104">
        <v>12434.400000000001</v>
      </c>
      <c r="H104">
        <v>5</v>
      </c>
      <c r="I104">
        <v>10362</v>
      </c>
      <c r="J104">
        <v>6</v>
      </c>
      <c r="K104">
        <v>12434.400000000001</v>
      </c>
      <c r="L104">
        <v>3</v>
      </c>
      <c r="M104">
        <v>6217.2000000000007</v>
      </c>
      <c r="N104">
        <v>6</v>
      </c>
      <c r="O104">
        <v>12434.400000000001</v>
      </c>
      <c r="P104">
        <v>5</v>
      </c>
      <c r="Q104">
        <v>10362</v>
      </c>
      <c r="R104">
        <v>7</v>
      </c>
      <c r="S104">
        <v>14506.800000000001</v>
      </c>
      <c r="T104">
        <v>5</v>
      </c>
      <c r="U104">
        <v>10362</v>
      </c>
      <c r="V104">
        <v>6</v>
      </c>
      <c r="W104">
        <v>12434.400000000001</v>
      </c>
      <c r="X104">
        <v>6</v>
      </c>
      <c r="Y104">
        <v>12434.400000000001</v>
      </c>
      <c r="Z104">
        <v>7</v>
      </c>
      <c r="AA104">
        <v>14506.800000000001</v>
      </c>
      <c r="AB104">
        <v>27</v>
      </c>
      <c r="AC104">
        <v>55954.8</v>
      </c>
      <c r="AD104">
        <v>23</v>
      </c>
      <c r="AE104">
        <v>47665.200000000004</v>
      </c>
      <c r="AF104">
        <v>24</v>
      </c>
      <c r="AG104">
        <v>49737.600000000006</v>
      </c>
      <c r="AH104">
        <v>25</v>
      </c>
      <c r="AI104">
        <v>51810</v>
      </c>
      <c r="AJ104">
        <v>14</v>
      </c>
      <c r="AK104">
        <v>29013.600000000002</v>
      </c>
      <c r="AL104">
        <v>10</v>
      </c>
      <c r="AM104">
        <v>20724</v>
      </c>
      <c r="AN104">
        <v>12</v>
      </c>
      <c r="AO104">
        <v>24868.800000000003</v>
      </c>
      <c r="AP104">
        <v>10</v>
      </c>
      <c r="AQ104">
        <v>20724</v>
      </c>
      <c r="AR104">
        <v>34</v>
      </c>
      <c r="AS104">
        <v>70461.600000000006</v>
      </c>
      <c r="AT104">
        <v>35</v>
      </c>
      <c r="AU104">
        <v>72534</v>
      </c>
      <c r="AV104">
        <v>35</v>
      </c>
      <c r="AW104">
        <v>72534</v>
      </c>
      <c r="AX104">
        <v>56</v>
      </c>
      <c r="AY104">
        <v>116054.40000000001</v>
      </c>
      <c r="AZ104">
        <v>25</v>
      </c>
      <c r="BA104">
        <v>51810</v>
      </c>
      <c r="BB104">
        <v>33</v>
      </c>
      <c r="BC104">
        <v>68389.2</v>
      </c>
      <c r="BD104">
        <v>42</v>
      </c>
      <c r="BE104">
        <v>87040.8</v>
      </c>
      <c r="BF104">
        <v>46</v>
      </c>
      <c r="BG104">
        <v>95330.400000000009</v>
      </c>
      <c r="BH104">
        <v>9</v>
      </c>
      <c r="BI104">
        <v>18651.600000000002</v>
      </c>
      <c r="BJ104">
        <v>8</v>
      </c>
      <c r="BK104">
        <v>16579.2</v>
      </c>
      <c r="BL104">
        <v>10</v>
      </c>
      <c r="BM104">
        <v>20724</v>
      </c>
      <c r="BN104">
        <v>6</v>
      </c>
      <c r="BO104">
        <v>12434.400000000001</v>
      </c>
      <c r="BP104">
        <v>20</v>
      </c>
      <c r="BQ104">
        <v>41448</v>
      </c>
      <c r="BR104">
        <v>20</v>
      </c>
      <c r="BS104">
        <v>41448</v>
      </c>
      <c r="BT104">
        <v>22</v>
      </c>
      <c r="BU104">
        <v>45592.800000000003</v>
      </c>
      <c r="BV104">
        <v>22</v>
      </c>
      <c r="BW104">
        <v>45592.800000000003</v>
      </c>
      <c r="BX104">
        <v>13</v>
      </c>
      <c r="BY104">
        <v>26941.200000000001</v>
      </c>
      <c r="BZ104">
        <v>20</v>
      </c>
      <c r="CA104">
        <v>41448</v>
      </c>
      <c r="CB104">
        <v>18</v>
      </c>
      <c r="CC104">
        <v>37303.200000000004</v>
      </c>
      <c r="CD104">
        <v>11</v>
      </c>
      <c r="CE104">
        <v>22796.400000000001</v>
      </c>
      <c r="CF104">
        <v>6</v>
      </c>
      <c r="CG104">
        <v>12434.400000000001</v>
      </c>
      <c r="CH104">
        <v>8</v>
      </c>
      <c r="CI104">
        <v>16579.2</v>
      </c>
      <c r="CJ104">
        <v>7</v>
      </c>
      <c r="CK104">
        <v>14506.800000000001</v>
      </c>
      <c r="CL104">
        <v>9</v>
      </c>
      <c r="CM104">
        <v>18651.600000000002</v>
      </c>
      <c r="CN104">
        <v>5</v>
      </c>
      <c r="CO104">
        <v>10362</v>
      </c>
      <c r="CP104">
        <v>8</v>
      </c>
      <c r="CQ104">
        <v>16579.2</v>
      </c>
      <c r="CR104">
        <v>8</v>
      </c>
      <c r="CS104">
        <v>16579.2</v>
      </c>
      <c r="CT104">
        <v>7</v>
      </c>
      <c r="CU104">
        <v>14506.800000000001</v>
      </c>
    </row>
    <row r="105" spans="2:99" x14ac:dyDescent="0.2">
      <c r="C105" s="118" t="s">
        <v>271</v>
      </c>
      <c r="D105">
        <v>6</v>
      </c>
      <c r="E105">
        <v>11988</v>
      </c>
      <c r="F105">
        <v>6</v>
      </c>
      <c r="G105">
        <v>11988</v>
      </c>
      <c r="H105">
        <v>5</v>
      </c>
      <c r="I105">
        <v>9990</v>
      </c>
      <c r="J105">
        <v>6</v>
      </c>
      <c r="K105">
        <v>11988</v>
      </c>
      <c r="L105">
        <v>4</v>
      </c>
      <c r="M105">
        <v>7992</v>
      </c>
      <c r="N105">
        <v>6</v>
      </c>
      <c r="O105">
        <v>11988</v>
      </c>
      <c r="P105">
        <v>5</v>
      </c>
      <c r="Q105">
        <v>9990</v>
      </c>
      <c r="R105">
        <v>7</v>
      </c>
      <c r="S105">
        <v>13986</v>
      </c>
      <c r="T105">
        <v>5</v>
      </c>
      <c r="U105">
        <v>9990</v>
      </c>
      <c r="V105">
        <v>6</v>
      </c>
      <c r="W105">
        <v>11988</v>
      </c>
      <c r="X105">
        <v>7</v>
      </c>
      <c r="Y105">
        <v>13986</v>
      </c>
      <c r="Z105">
        <v>7</v>
      </c>
      <c r="AA105">
        <v>13986</v>
      </c>
      <c r="AB105">
        <v>28</v>
      </c>
      <c r="AC105">
        <v>55944</v>
      </c>
      <c r="AD105">
        <v>24</v>
      </c>
      <c r="AE105">
        <v>47952</v>
      </c>
      <c r="AF105">
        <v>25</v>
      </c>
      <c r="AG105">
        <v>49950</v>
      </c>
      <c r="AH105">
        <v>26</v>
      </c>
      <c r="AI105">
        <v>51948</v>
      </c>
      <c r="AJ105">
        <v>16</v>
      </c>
      <c r="AK105">
        <v>31968</v>
      </c>
      <c r="AL105">
        <v>10</v>
      </c>
      <c r="AM105">
        <v>19980</v>
      </c>
      <c r="AN105">
        <v>12</v>
      </c>
      <c r="AO105">
        <v>23976</v>
      </c>
      <c r="AP105">
        <v>11</v>
      </c>
      <c r="AQ105">
        <v>21978</v>
      </c>
      <c r="AR105">
        <v>34</v>
      </c>
      <c r="AS105">
        <v>67932</v>
      </c>
      <c r="AT105">
        <v>39</v>
      </c>
      <c r="AU105">
        <v>77922</v>
      </c>
      <c r="AV105">
        <v>35</v>
      </c>
      <c r="AW105">
        <v>69930</v>
      </c>
      <c r="AX105">
        <v>52</v>
      </c>
      <c r="AY105">
        <v>103896</v>
      </c>
      <c r="AZ105">
        <v>27</v>
      </c>
      <c r="BA105">
        <v>53946</v>
      </c>
      <c r="BB105">
        <v>33</v>
      </c>
      <c r="BC105">
        <v>65934</v>
      </c>
      <c r="BD105">
        <v>45</v>
      </c>
      <c r="BE105">
        <v>89910</v>
      </c>
      <c r="BF105">
        <v>49</v>
      </c>
      <c r="BG105">
        <v>97902</v>
      </c>
      <c r="BH105">
        <v>9</v>
      </c>
      <c r="BI105">
        <v>17982</v>
      </c>
      <c r="BJ105">
        <v>9</v>
      </c>
      <c r="BK105">
        <v>17982</v>
      </c>
      <c r="BL105">
        <v>10</v>
      </c>
      <c r="BM105">
        <v>19980</v>
      </c>
      <c r="BN105">
        <v>6</v>
      </c>
      <c r="BO105">
        <v>11988</v>
      </c>
      <c r="BP105">
        <v>19</v>
      </c>
      <c r="BQ105">
        <v>37962</v>
      </c>
      <c r="BR105">
        <v>19</v>
      </c>
      <c r="BS105">
        <v>37962</v>
      </c>
      <c r="BT105">
        <v>23</v>
      </c>
      <c r="BU105">
        <v>45954</v>
      </c>
      <c r="BV105">
        <v>25</v>
      </c>
      <c r="BW105">
        <v>49950</v>
      </c>
      <c r="BX105">
        <v>13</v>
      </c>
      <c r="BY105">
        <v>25974</v>
      </c>
      <c r="BZ105">
        <v>22</v>
      </c>
      <c r="CA105">
        <v>43956</v>
      </c>
      <c r="CB105">
        <v>18</v>
      </c>
      <c r="CC105">
        <v>35964</v>
      </c>
      <c r="CD105">
        <v>12</v>
      </c>
      <c r="CE105">
        <v>23976</v>
      </c>
      <c r="CF105">
        <v>5</v>
      </c>
      <c r="CG105">
        <v>9990</v>
      </c>
      <c r="CH105">
        <v>9</v>
      </c>
      <c r="CI105">
        <v>17982</v>
      </c>
      <c r="CJ105">
        <v>7</v>
      </c>
      <c r="CK105">
        <v>13986</v>
      </c>
      <c r="CL105">
        <v>8</v>
      </c>
      <c r="CM105">
        <v>15984</v>
      </c>
      <c r="CN105">
        <v>5</v>
      </c>
      <c r="CO105">
        <v>9990</v>
      </c>
      <c r="CP105">
        <v>8</v>
      </c>
      <c r="CQ105">
        <v>15984</v>
      </c>
      <c r="CR105">
        <v>9</v>
      </c>
      <c r="CS105">
        <v>17982</v>
      </c>
      <c r="CT105">
        <v>7</v>
      </c>
      <c r="CU105">
        <v>13986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930</v>
      </c>
      <c r="E109">
        <f>SUM(L$6:L$19)+SUM(N$6:N$19)+SUM(P$6:P$19)+SUM(R$6:R$19)</f>
        <v>699</v>
      </c>
      <c r="F109">
        <f>SUM(T$6:T$19)+SUM(V$6:V$19)+SUM(X$6:X$19)+SUM(Z$6:Z$19)</f>
        <v>2644</v>
      </c>
      <c r="G109">
        <f>SUM(AB$6:AB$19)+SUM(AD$6:AD$19)+SUM(AF$6:AF$19)+SUM(AH$6:AH$19)</f>
        <v>480</v>
      </c>
      <c r="H109">
        <f>SUM(AJ$6:AJ$19)+SUM(AL$6:AL$19)+SUM(AN$6:AN$19)+SUM(AP$6:AP$19)</f>
        <v>292</v>
      </c>
      <c r="I109">
        <f>SUM(AR$6:AR$19)+SUM(AT$6:AT$19)+SUM(AV$6:AV$19)+SUM(AX$6:AX$19)</f>
        <v>377</v>
      </c>
      <c r="J109">
        <f>SUM(AZ$6:AZ$19)+SUM(BB$6:BB$19)+SUM(BD$6:BD$19)+SUM(BF$6:BF$19)</f>
        <v>499</v>
      </c>
      <c r="K109">
        <f>SUM(BH$6:BH$19)+SUM(BJ$6:BJ$19)+SUM(BL$6:BL$19)+SUM(BN$6:BN$19)</f>
        <v>1821</v>
      </c>
      <c r="L109">
        <f>SUM(BP$6:BP$19)+SUM(BR$6:BR$19)+SUM(BT$6:BT$19)+SUM(BV$6:BV$19)</f>
        <v>2384</v>
      </c>
      <c r="M109">
        <f>SUM(BX$6:BX$19)+SUM(BZ$6:BZ$19)+SUM(CB$6:CB$19)+SUM(CD$6:CD$19)</f>
        <v>335</v>
      </c>
      <c r="N109">
        <f>SUM(CF$6:CF$19)+SUM(CH$6:CH$19)+SUM(CJ$6:CJ$19)+SUM(CL$6:CL$19)</f>
        <v>769</v>
      </c>
      <c r="O109">
        <f>SUM(CN$6:CN$19)+SUM(CP$6:CP$19)+SUM(CR$6:CR$19)+SUM(CT$6:CT$19)</f>
        <v>1009</v>
      </c>
    </row>
    <row r="110" spans="2:99" x14ac:dyDescent="0.2">
      <c r="C110" s="118" t="s">
        <v>127</v>
      </c>
      <c r="D110">
        <f>SUM(D$20:D$36)+SUM(F$20:F$36)+SUM(H$20:H$36)+SUM(J$20:J$36)</f>
        <v>307</v>
      </c>
      <c r="E110">
        <f>SUM(L$20:L$36)+SUM(N$20:N$36)+SUM(P$20:P$36)+SUM(R$20:R$36)</f>
        <v>353</v>
      </c>
      <c r="F110">
        <f>SUM(T$20:T$36)+SUM(V$20:V$36)+SUM(X$20:X$36)+SUM(Z$20:Z$36)</f>
        <v>644</v>
      </c>
      <c r="G110">
        <f>SUM(AB$20:AB$36)+SUM(AD$20:AD$36)+SUM(AF$20:AF$36)+SUM(AH$20:AH$36)</f>
        <v>1583</v>
      </c>
      <c r="H110">
        <f>SUM(AJ$20:AJ$36)+SUM(AL$20:AL$36)+SUM(AN$20:AN$36)+SUM(AP$20:AP$36)</f>
        <v>312</v>
      </c>
      <c r="I110">
        <f>SUM(AR$20:AR$36)+SUM(AT$20:AT$36)+SUM(AV$20:AV$36)+SUM(AX$20:AX$36)</f>
        <v>306</v>
      </c>
      <c r="J110">
        <f>SUM(AZ$20:AZ$36)+SUM(BB$20:BB$36)+SUM(BD$20:BD$36)+SUM(BF$20:BF$36)</f>
        <v>2432</v>
      </c>
      <c r="K110">
        <f>SUM(BH$20:BH$36)+SUM(BJ$20:BJ$36)+SUM(BL$20:BL$36)+SUM(BN$20:BN$36)</f>
        <v>657</v>
      </c>
      <c r="L110">
        <f>SUM(BP$20:BP$36)+SUM(BR$20:BR$36)+SUM(BT$20:BT$36)+SUM(BV$20:BV$36)</f>
        <v>568</v>
      </c>
      <c r="M110">
        <f>SUM(BX$20:BX$36)+SUM(BZ$20:BZ$36)+SUM(CB$20:CB$36)+SUM(CD$20:CD$36)</f>
        <v>680</v>
      </c>
      <c r="N110">
        <f>SUM(CF$20:CF$36)+SUM(CH$20:CH$36)+SUM(CJ$20:CJ$36)+SUM(CL$20:CL$36)</f>
        <v>797</v>
      </c>
      <c r="O110">
        <f>SUM(CN$20:CN$36)+SUM(CP$20:CP$36)+SUM(CR$20:CR$36)+SUM(CT$20:CT$36)</f>
        <v>2852</v>
      </c>
    </row>
    <row r="111" spans="2:99" x14ac:dyDescent="0.2">
      <c r="C111" s="118" t="s">
        <v>128</v>
      </c>
      <c r="D111">
        <f>SUM(D$37:D$48)+SUM(F$37:F$48)+SUM(H$37:H$48)+SUM(J$37:J$48)</f>
        <v>379</v>
      </c>
      <c r="E111">
        <f>SUM(L$37:L$48)+SUM(N$37:N$48)+SUM(P$37:P$48)+SUM(R$37:R$48)</f>
        <v>625</v>
      </c>
      <c r="F111">
        <f>SUM(T$37:T$48)+SUM(V$37:V$48)+SUM(X$37:X$48)+SUM(Z$37:Z$48)</f>
        <v>417</v>
      </c>
      <c r="G111">
        <f>SUM(AB$37:AB$48)+SUM(AD$37:AD$48)+SUM(AF$37:AF$48)+SUM(AH$37:AH$48)</f>
        <v>2944</v>
      </c>
      <c r="H111">
        <f>SUM(AJ$37:AJ$48)+SUM(AL$37:AL$48)+SUM(AN$37:AN$48)+SUM(AP$37:AP$48)</f>
        <v>2549</v>
      </c>
      <c r="I111">
        <f>SUM(AR$37:AR$48)+SUM(AT$37:AT$48)+SUM(AV$37:AV$48)+SUM(AX$37:AX$48)</f>
        <v>306</v>
      </c>
      <c r="J111">
        <f>SUM(AZ$37:AZ$48)+SUM(BB$37:BB$48)+SUM(BD$37:BD$48)+SUM(BF$37:BF$48)</f>
        <v>4594</v>
      </c>
      <c r="K111">
        <f>SUM(BH$37:BH$48)+SUM(BJ$37:BJ$48)+SUM(BL$37:BL$48)+SUM(BN$37:BN$48)</f>
        <v>1556</v>
      </c>
      <c r="L111">
        <f>SUM(BP$37:BP$48)+SUM(BR$37:BR$48)+SUM(BT$37:BT$48)+SUM(BV$37:BV$48)</f>
        <v>526</v>
      </c>
      <c r="M111">
        <f>SUM(BX$37:BX$48)+SUM(BZ$37:BZ$48)+SUM(CB$37:CB$48)+SUM(CD$37:CD$48)</f>
        <v>781</v>
      </c>
      <c r="N111">
        <f>SUM(CF$37:CF$48)+SUM(CH$37:CH$48)+SUM(CJ$37:CJ$48)+SUM(CL$37:CL$48)</f>
        <v>1694</v>
      </c>
      <c r="O111">
        <f>SUM(CN$37:CN$48)+SUM(CP$37:CP$48)+SUM(CR$37:CR$48)+SUM(CT$37:CT$48)</f>
        <v>777</v>
      </c>
    </row>
    <row r="112" spans="2:99" x14ac:dyDescent="0.2">
      <c r="C112" s="118" t="s">
        <v>129</v>
      </c>
      <c r="D112">
        <f>SUM(D$49:D$70)+SUM(F$49:F$70)+SUM(H$49:H$70)+SUM(J$49:J$70)</f>
        <v>1937</v>
      </c>
      <c r="E112">
        <f>SUM(L$49:L$70)+SUM(N$49:N$70)+SUM(P$49:P$70)+SUM(R$49:R$70)</f>
        <v>575</v>
      </c>
      <c r="F112">
        <f>SUM(T$49:T$70)+SUM(V$49:V$70)+SUM(X$49:X$70)+SUM(Z$49:Z$70)</f>
        <v>1112</v>
      </c>
      <c r="G112">
        <f>SUM(AB$49:AB$70)+SUM(AD$49:AD$70)+SUM(AF$49:AF$70)+SUM(AH$49:AH$70)</f>
        <v>3005</v>
      </c>
      <c r="H112">
        <f>SUM(AJ$49:AJ$70)+SUM(AL$49:AL$70)+SUM(AN$49:AN$70)+SUM(AP$49:AP$70)</f>
        <v>353</v>
      </c>
      <c r="I112">
        <f>SUM(AR$49:AR$70)+SUM(AT$49:AT$70)+SUM(AV$49:AV$70)+SUM(AX$49:AX$70)</f>
        <v>797</v>
      </c>
      <c r="J112">
        <f>SUM(AZ$49:AZ$70)+SUM(BB$49:BB$70)+SUM(BD$49:BD$70)+SUM(BF$49:BF$70)</f>
        <v>2028</v>
      </c>
      <c r="K112">
        <f>SUM(BH$49:BH$70)+SUM(BJ$49:BJ$70)+SUM(BL$49:BL$70)+SUM(BN$49:BN$70)</f>
        <v>718</v>
      </c>
      <c r="L112">
        <f>SUM(BP$49:BP$70)+SUM(BR$49:BR$70)+SUM(BT$49:BT$70)+SUM(BV$49:BV$70)</f>
        <v>383</v>
      </c>
      <c r="M112">
        <f>SUM(BX$49:BX$70)+SUM(BZ$49:BZ$70)+SUM(CB$49:CB$70)+SUM(CD$49:CD$70)</f>
        <v>1189</v>
      </c>
      <c r="N112">
        <f>SUM(CF$49:CF$70)+SUM(CH$49:CH$70)+SUM(CJ$49:CJ$70)+SUM(CL$49:CL$70)</f>
        <v>436</v>
      </c>
      <c r="O112">
        <f>SUM(CN$49:CN$70)+SUM(CP$49:CP$70)+SUM(CR$49:CR$70)+SUM(CT$49:CT$70)</f>
        <v>1146</v>
      </c>
    </row>
    <row r="113" spans="2:15" x14ac:dyDescent="0.2">
      <c r="C113" s="118" t="s">
        <v>130</v>
      </c>
      <c r="D113">
        <f>SUM(D$71:D$86)+SUM(F$71:F$86)+SUM(H$71:H$86)+SUM(J$71:J$86)</f>
        <v>4351</v>
      </c>
      <c r="E113">
        <f>SUM(L$71:L$86)+SUM(N$71:N$86)+SUM(P$71:P$86)+SUM(R$71:R$86)</f>
        <v>220</v>
      </c>
      <c r="F113">
        <f>SUM(T$71:T$86)+SUM(V$71:V$86)+SUM(X$71:X$86)+SUM(Z$71:Z$86)</f>
        <v>4414</v>
      </c>
      <c r="G113">
        <f>SUM(AB$71:AB$86)+SUM(AD$71:AD$86)+SUM(AF$71:AF$86)+SUM(AH$71:AH$86)</f>
        <v>4518</v>
      </c>
      <c r="H113">
        <f>SUM(AJ$71:AJ$86)+SUM(AL$71:AL$86)+SUM(AN$71:AN$86)+SUM(AP$71:AP$86)</f>
        <v>2999</v>
      </c>
      <c r="I113">
        <f>SUM(AR$71:AR$86)+SUM(AT$71:AT$86)+SUM(AV$71:AV$86)+SUM(AX$71:AX$86)</f>
        <v>2091</v>
      </c>
      <c r="J113">
        <f>SUM(AZ$71:AZ$86)+SUM(BB$71:BB$86)+SUM(BD$71:BD$86)+SUM(BF$71:BF$86)</f>
        <v>379</v>
      </c>
      <c r="K113">
        <f>SUM(BH$71:BH$86)+SUM(BJ$71:BJ$86)+SUM(BL$71:BL$86)+SUM(BN$71:BN$86)</f>
        <v>3072</v>
      </c>
      <c r="L113">
        <f>SUM(BP$71:BP$86)+SUM(BR$71:BR$86)+SUM(BT$71:BT$86)+SUM(BV$71:BV$86)</f>
        <v>1147</v>
      </c>
      <c r="M113">
        <f>SUM(BX$71:BX$86)+SUM(BZ$71:BZ$86)+SUM(CB$71:CB$86)+SUM(CD$71:CD$86)</f>
        <v>235</v>
      </c>
      <c r="N113">
        <f>SUM(CF$71:CF$86)+SUM(CH$71:CH$86)+SUM(CJ$71:CJ$86)+SUM(CL$71:CL$86)</f>
        <v>408</v>
      </c>
      <c r="O113">
        <f>SUM(CN$71:CN$86)+SUM(CP$71:CP$86)+SUM(CR$71:CR$86)+SUM(CT$71:CT$86)</f>
        <v>357</v>
      </c>
    </row>
    <row r="114" spans="2:15" x14ac:dyDescent="0.2">
      <c r="C114" s="118" t="s">
        <v>131</v>
      </c>
      <c r="D114">
        <f>SUM(D$87:D$94)+SUM(F$87:F$94)+SUM(H$87:H$94)+SUM(J$87:J$94)</f>
        <v>144</v>
      </c>
      <c r="E114">
        <f>SUM(L$87:L$94)+SUM(N$87:N$94)+SUM(P$87:P$94)+SUM(R$87:R$94)</f>
        <v>841</v>
      </c>
      <c r="F114">
        <f>SUM(T$87:T$94)+SUM(V$87:V$94)+SUM(X$87:X$94)+SUM(Z$87:Z$94)</f>
        <v>130</v>
      </c>
      <c r="G114">
        <f>SUM(AB$87:AB$94)+SUM(AD$87:AD$94)+SUM(AF$87:AF$94)+SUM(AH$87:AH$94)</f>
        <v>157</v>
      </c>
      <c r="H114">
        <f>SUM(AJ$87:AJ$94)+SUM(AL$87:AL$94)+SUM(AN$87:AN$94)+SUM(AP$87:AP$94)</f>
        <v>177</v>
      </c>
      <c r="I114">
        <f>SUM(AR$87:AR$94)+SUM(AT$87:AT$94)+SUM(AV$87:AV$94)+SUM(AX$87:AX$94)</f>
        <v>241</v>
      </c>
      <c r="J114">
        <f>SUM(AZ$87:AZ$94)+SUM(BB$87:BB$94)+SUM(BD$87:BD$94)+SUM(BF$87:BF$94)</f>
        <v>590</v>
      </c>
      <c r="K114">
        <f>SUM(BH$87:BH$94)+SUM(BJ$87:BJ$94)+SUM(BL$87:BL$94)+SUM(BN$87:BN$94)</f>
        <v>428</v>
      </c>
      <c r="L114">
        <f>SUM(BP$87:BP$94)+SUM(BR$87:BR$94)+SUM(BT$87:BT$94)+SUM(BV$87:BV$94)</f>
        <v>617</v>
      </c>
      <c r="M114">
        <f>SUM(BX$87:BX$94)+SUM(BZ$87:BZ$94)+SUM(CB$87:CB$94)+SUM(CD$87:CD$94)</f>
        <v>860</v>
      </c>
      <c r="N114">
        <f>SUM(CF$87:CF$94)+SUM(CH$87:CH$94)+SUM(CJ$87:CJ$94)+SUM(CL$87:CL$94)</f>
        <v>827</v>
      </c>
      <c r="O114">
        <f>SUM(CN$87:CN$94)+SUM(CP$87:CP$94)+SUM(CR$87:CR$94)+SUM(CT$87:CT$94)</f>
        <v>1214</v>
      </c>
    </row>
    <row r="115" spans="2:15" x14ac:dyDescent="0.2">
      <c r="C115" s="118" t="s">
        <v>132</v>
      </c>
      <c r="D115">
        <f>SUM(D$95:D$105)+SUM(F$95:F$105)+SUM(H$95:H$105)+SUM(J$95:J$105)</f>
        <v>248</v>
      </c>
      <c r="E115">
        <f>SUM(L$95:L$105)+SUM(N$95:N$105)+SUM(P$95:P$105)+SUM(R$95:R$105)</f>
        <v>243</v>
      </c>
      <c r="F115">
        <f>SUM(T$95:T$105)+SUM(V$95:V$105)+SUM(X$95:X$105)+SUM(Z$95:Z$105)</f>
        <v>282</v>
      </c>
      <c r="G115">
        <f>SUM(AB$95:AB$105)+SUM(AD$95:AD$105)+SUM(AF$95:AF$105)+SUM(AH$95:AH$105)</f>
        <v>1158</v>
      </c>
      <c r="H115">
        <f>SUM(AJ$95:AJ$105)+SUM(AL$95:AL$105)+SUM(AN$95:AN$105)+SUM(AP$95:AP$105)</f>
        <v>532</v>
      </c>
      <c r="I115">
        <f>SUM(AR$95:AR$105)+SUM(AT$95:AT$105)+SUM(AV$95:AV$105)+SUM(AX$95:AX$105)</f>
        <v>1788</v>
      </c>
      <c r="J115">
        <f>SUM(AZ$95:AZ$105)+SUM(BB$95:BB$105)+SUM(BD$95:BD$105)+SUM(BF$95:BF$105)</f>
        <v>1661</v>
      </c>
      <c r="K115">
        <f>SUM(BH$95:BH$105)+SUM(BJ$95:BJ$105)+SUM(BL$95:BL$105)+SUM(BN$95:BN$105)</f>
        <v>371</v>
      </c>
      <c r="L115">
        <f>SUM(BP$95:BP$105)+SUM(BR$95:BR$105)+SUM(BT$95:BT$105)+SUM(BV$95:BV$105)</f>
        <v>972</v>
      </c>
      <c r="M115">
        <f>SUM(BX$95:BX$105)+SUM(BZ$95:BZ$105)+SUM(CB$95:CB$105)+SUM(CD$95:CD$105)</f>
        <v>716</v>
      </c>
      <c r="N115">
        <f>SUM(CF$95:CF$105)+SUM(CH$95:CH$105)+SUM(CJ$95:CJ$105)+SUM(CL$95:CL$105)</f>
        <v>327</v>
      </c>
      <c r="O115">
        <f>SUM(CN$95:CN$105)+SUM(CP$95:CP$105)+SUM(CR$95:CR$105)+SUM(CT$95:CT$105)</f>
        <v>333</v>
      </c>
    </row>
    <row r="116" spans="2:15" x14ac:dyDescent="0.2">
      <c r="C116" s="118" t="s">
        <v>278</v>
      </c>
      <c r="D116">
        <f t="shared" ref="D116:O116" si="0">SUM(D$109:D$115)</f>
        <v>8296</v>
      </c>
      <c r="E116">
        <f t="shared" si="0"/>
        <v>3556</v>
      </c>
      <c r="F116">
        <f t="shared" si="0"/>
        <v>9643</v>
      </c>
      <c r="G116">
        <f t="shared" si="0"/>
        <v>13845</v>
      </c>
      <c r="H116">
        <f t="shared" si="0"/>
        <v>7214</v>
      </c>
      <c r="I116">
        <f t="shared" si="0"/>
        <v>5906</v>
      </c>
      <c r="J116">
        <f t="shared" si="0"/>
        <v>12183</v>
      </c>
      <c r="K116">
        <f t="shared" si="0"/>
        <v>8623</v>
      </c>
      <c r="L116">
        <f t="shared" si="0"/>
        <v>6597</v>
      </c>
      <c r="M116">
        <f t="shared" si="0"/>
        <v>4796</v>
      </c>
      <c r="N116">
        <f t="shared" si="0"/>
        <v>5258</v>
      </c>
      <c r="O116">
        <f t="shared" si="0"/>
        <v>7688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D109*pricing!D33*2000</f>
        <v>3844303.9596341597</v>
      </c>
      <c r="E120">
        <f>E109*pricing!E33*2000</f>
        <v>3176691.0798707986</v>
      </c>
      <c r="F120">
        <f>F109*pricing!F33*2000</f>
        <v>6555316.1796673918</v>
      </c>
      <c r="G120">
        <f>G109*pricing!G33*2000</f>
        <v>2687971.027191848</v>
      </c>
      <c r="H120">
        <f>H109*pricing!H33*2000</f>
        <v>1998730.0552295707</v>
      </c>
      <c r="I120">
        <f>I109*pricing!I33*2000</f>
        <v>2241085.3673286051</v>
      </c>
      <c r="J120">
        <f>J109*pricing!J33*2000</f>
        <v>2653924.6553600891</v>
      </c>
      <c r="K120">
        <f>K109*pricing!K33*2000</f>
        <v>6133180.0652601663</v>
      </c>
      <c r="L120">
        <f>L109*pricing!L33*2000</f>
        <v>7339516.8574895244</v>
      </c>
      <c r="M120">
        <f>M109*pricing!M33*2000</f>
        <v>2281677.1558836452</v>
      </c>
      <c r="N120">
        <f>N109*pricing!N33*2000</f>
        <v>3772216.4847078775</v>
      </c>
      <c r="O120">
        <f>O109*pricing!O33*2000</f>
        <v>4549419.5696027242</v>
      </c>
    </row>
    <row r="121" spans="2:15" x14ac:dyDescent="0.2">
      <c r="C121" s="118" t="s">
        <v>127</v>
      </c>
      <c r="D121">
        <f>D110*pricing!D34*2000</f>
        <v>1877543.6233755839</v>
      </c>
      <c r="E121">
        <f>E110*pricing!E34*2000</f>
        <v>2096066.7606108324</v>
      </c>
      <c r="F121">
        <f>F110*pricing!F34*2000</f>
        <v>3104793.314405675</v>
      </c>
      <c r="G121">
        <f>G110*pricing!G34*2000</f>
        <v>5315469.3094430082</v>
      </c>
      <c r="H121">
        <f>H110*pricing!H34*2000</f>
        <v>1971444.1920439221</v>
      </c>
      <c r="I121">
        <f>I110*pricing!I34*2000</f>
        <v>1972174.3638203416</v>
      </c>
      <c r="J121">
        <f>J110*pricing!J34*2000</f>
        <v>6141792.1017630026</v>
      </c>
      <c r="K121">
        <f>K110*pricing!K34*2000</f>
        <v>3184546.6807413371</v>
      </c>
      <c r="L121">
        <f>L110*pricing!L34*2000</f>
        <v>2792180.3139614342</v>
      </c>
      <c r="M121">
        <f>M110*pricing!M34*2000</f>
        <v>3397077.2206376321</v>
      </c>
      <c r="N121">
        <f>N110*pricing!N34*2000</f>
        <v>3572372.1730382275</v>
      </c>
      <c r="O121">
        <f>O110*pricing!O34*2000</f>
        <v>7161681.0925977686</v>
      </c>
    </row>
    <row r="122" spans="2:15" x14ac:dyDescent="0.2">
      <c r="C122" s="118" t="s">
        <v>128</v>
      </c>
      <c r="D122">
        <f>D111*pricing!D35*2000</f>
        <v>2453356.2112622308</v>
      </c>
      <c r="E122">
        <f>E111*pricing!E35*2000</f>
        <v>3304574.1195006901</v>
      </c>
      <c r="F122">
        <f>F111*pricing!F35*2000</f>
        <v>2521813.0241750102</v>
      </c>
      <c r="G122">
        <f>G111*pricing!G35*2000</f>
        <v>7933675.6657939795</v>
      </c>
      <c r="H122">
        <f>H111*pricing!H35*2000</f>
        <v>6867660.7903339015</v>
      </c>
      <c r="I122">
        <f>I111*pricing!I35*2000</f>
        <v>2089551.4611778408</v>
      </c>
      <c r="J122">
        <f>J111*pricing!J35*2000</f>
        <v>9619377.5216028392</v>
      </c>
      <c r="K122">
        <f>K111*pricing!K35*2000</f>
        <v>5806191.0492370408</v>
      </c>
      <c r="L122">
        <f>L111*pricing!L35*2000</f>
        <v>3000635.8876359863</v>
      </c>
      <c r="M122">
        <f>M111*pricing!M35*2000</f>
        <v>3749954.5818525651</v>
      </c>
      <c r="N122">
        <f>N111*pricing!N35*2000</f>
        <v>5650921.1627619267</v>
      </c>
      <c r="O122">
        <f>O111*pricing!O35*2000</f>
        <v>3889444.1178707196</v>
      </c>
    </row>
    <row r="123" spans="2:15" x14ac:dyDescent="0.2">
      <c r="C123" s="118" t="s">
        <v>129</v>
      </c>
      <c r="D123">
        <f>D112*pricing!D36*2000</f>
        <v>7336748.3293182254</v>
      </c>
      <c r="E123">
        <f>E112*pricing!E36*2000</f>
        <v>3362557.6023442498</v>
      </c>
      <c r="F123">
        <f>F112*pricing!F36*2000</f>
        <v>4848593.0928437393</v>
      </c>
      <c r="G123">
        <f>G112*pricing!G36*2000</f>
        <v>8748026.5348819718</v>
      </c>
      <c r="H123">
        <f>H112*pricing!H36*2000</f>
        <v>2463347.3901220253</v>
      </c>
      <c r="I123">
        <f>I112*pricing!I36*2000</f>
        <v>4100026.3829017594</v>
      </c>
      <c r="J123">
        <f>J112*pricing!J36*2000</f>
        <v>6617426.94941366</v>
      </c>
      <c r="K123">
        <f>K112*pricing!K36*2000</f>
        <v>3929966.7219824251</v>
      </c>
      <c r="L123">
        <f>L112*pricing!L36*2000</f>
        <v>2643305.3209215226</v>
      </c>
      <c r="M123">
        <f>M112*pricing!M36*2000</f>
        <v>4860554.7113722051</v>
      </c>
      <c r="N123">
        <f>N112*pricing!N36*2000</f>
        <v>2802868.3494680575</v>
      </c>
      <c r="O123">
        <f>O112*pricing!O36*2000</f>
        <v>5335114.5697100936</v>
      </c>
    </row>
    <row r="124" spans="2:15" x14ac:dyDescent="0.2">
      <c r="C124" s="118" t="s">
        <v>130</v>
      </c>
      <c r="D124">
        <f>D113*pricing!D37*2000</f>
        <v>8783478.9342718534</v>
      </c>
      <c r="E124">
        <f>E113*pricing!E37*2000</f>
        <v>1492711.4169834065</v>
      </c>
      <c r="F124">
        <f>F113*pricing!F37*2000</f>
        <v>8871472.1794414259</v>
      </c>
      <c r="G124">
        <f>G113*pricing!G37*2000</f>
        <v>9262417.8654558435</v>
      </c>
      <c r="H124">
        <f>H113*pricing!H37*2000</f>
        <v>7132729.6953028962</v>
      </c>
      <c r="I124">
        <f>I113*pricing!I37*2000</f>
        <v>5627217.3663136009</v>
      </c>
      <c r="J124">
        <f>J113*pricing!J37*2000</f>
        <v>2270796.3795048855</v>
      </c>
      <c r="K124">
        <f>K113*pricing!K37*2000</f>
        <v>7894107.0933820922</v>
      </c>
      <c r="L124">
        <f>L113*pricing!L37*2000</f>
        <v>3821858.573126642</v>
      </c>
      <c r="M124">
        <f>M113*pricing!M37*2000</f>
        <v>1681750.1034904837</v>
      </c>
      <c r="N124">
        <f>N113*pricing!N37*2000</f>
        <v>2352870.6678870241</v>
      </c>
      <c r="O124">
        <f>O113*pricing!O37*2000</f>
        <v>2208132.1033877661</v>
      </c>
    </row>
    <row r="125" spans="2:15" x14ac:dyDescent="0.2">
      <c r="C125" s="118" t="s">
        <v>131</v>
      </c>
      <c r="D125">
        <f>D114*pricing!D38*2000</f>
        <v>904086.52915094153</v>
      </c>
      <c r="E125">
        <f>E114*pricing!E38*2000</f>
        <v>2351604.3490395434</v>
      </c>
      <c r="F125">
        <f>F114*pricing!F38*2000</f>
        <v>878556.58093201695</v>
      </c>
      <c r="G125">
        <f>G114*pricing!G38*2000</f>
        <v>943916.24374784715</v>
      </c>
      <c r="H125">
        <f>H114*pricing!H38*2000</f>
        <v>1036486.7303559561</v>
      </c>
      <c r="I125">
        <f>I114*pricing!I38*2000</f>
        <v>1294447.1990501485</v>
      </c>
      <c r="J125">
        <f>J114*pricing!J38*2000</f>
        <v>2358590.0859316546</v>
      </c>
      <c r="K125">
        <f>K114*pricing!K38*2000</f>
        <v>1785856.7741764206</v>
      </c>
      <c r="L125">
        <f>L114*pricing!L38*2000</f>
        <v>2243168.7477868344</v>
      </c>
      <c r="M125">
        <f>M114*pricing!M38*2000</f>
        <v>2722117.8461011872</v>
      </c>
      <c r="N125">
        <f>N114*pricing!N38*2000</f>
        <v>2598410.3863217393</v>
      </c>
      <c r="O125">
        <f>O114*pricing!O38*2000</f>
        <v>3308819.3995909579</v>
      </c>
    </row>
    <row r="126" spans="2:15" x14ac:dyDescent="0.2">
      <c r="C126" s="118" t="s">
        <v>132</v>
      </c>
      <c r="D126">
        <f>D115*pricing!D39*2000</f>
        <v>1709174.9290376187</v>
      </c>
      <c r="E126">
        <f>E115*pricing!E39*2000</f>
        <v>1653155.3726799989</v>
      </c>
      <c r="F126">
        <f>F115*pricing!F39*2000</f>
        <v>1667746.3995529297</v>
      </c>
      <c r="G126">
        <f>G115*pricing!G39*2000</f>
        <v>3208347.0829591826</v>
      </c>
      <c r="H126">
        <f>H115*pricing!H39*2000</f>
        <v>2542874.1008090684</v>
      </c>
      <c r="I126">
        <f>I115*pricing!I39*2000</f>
        <v>4834004.3087054286</v>
      </c>
      <c r="J126">
        <f>J115*pricing!J39*2000</f>
        <v>4596263.539061225</v>
      </c>
      <c r="K126">
        <f>K115*pricing!K39*2000</f>
        <v>1982203.4583106334</v>
      </c>
      <c r="L126">
        <f>L115*pricing!L39*2000</f>
        <v>3371324.7421686305</v>
      </c>
      <c r="M126">
        <f>M115*pricing!M39*2000</f>
        <v>2954854.2482399372</v>
      </c>
      <c r="N126">
        <f>N115*pricing!N39*2000</f>
        <v>1899606.7438461718</v>
      </c>
      <c r="O126">
        <f>O115*pricing!O39*2000</f>
        <v>2010463.42533237</v>
      </c>
    </row>
    <row r="127" spans="2:15" x14ac:dyDescent="0.2">
      <c r="C127" s="118" t="s">
        <v>278</v>
      </c>
      <c r="D127">
        <f>SUM(D$120:D$126)</f>
        <v>26908692.516050614</v>
      </c>
      <c r="E127">
        <f t="shared" ref="E127:O127" si="1">SUM(E$120:E$126)</f>
        <v>17437360.70102952</v>
      </c>
      <c r="F127">
        <f t="shared" si="1"/>
        <v>28448290.771018188</v>
      </c>
      <c r="G127">
        <f t="shared" si="1"/>
        <v>38099823.72947368</v>
      </c>
      <c r="H127">
        <f t="shared" si="1"/>
        <v>24013272.95419734</v>
      </c>
      <c r="I127">
        <f t="shared" si="1"/>
        <v>22158506.449297726</v>
      </c>
      <c r="J127">
        <f t="shared" si="1"/>
        <v>34258171.232637353</v>
      </c>
      <c r="K127">
        <f t="shared" si="1"/>
        <v>30716051.843090117</v>
      </c>
      <c r="L127">
        <f t="shared" si="1"/>
        <v>25211990.443090577</v>
      </c>
      <c r="M127">
        <f t="shared" si="1"/>
        <v>21647985.867577657</v>
      </c>
      <c r="N127">
        <f t="shared" si="1"/>
        <v>22649265.968031023</v>
      </c>
      <c r="O127">
        <f t="shared" si="1"/>
        <v>28463074.278092399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470672.39999999997</v>
      </c>
      <c r="E131" s="123">
        <f>SUM(M$6:M$19)+SUM(O$6:O$19)+SUM(Q$6:Q$19)+SUM(S$6:S$19)</f>
        <v>352879.20000000007</v>
      </c>
      <c r="F131" s="123">
        <f>SUM(U$6:U$19)+SUM(W$6:W$19)+SUM(Y$6:Y$19)+SUM(AA$6:AA$19)</f>
        <v>1327736.4000000001</v>
      </c>
      <c r="G131" s="123">
        <f>SUM(AC$6:AC$19)+SUM(AE$6:AE$19)+SUM(AG$6:AG$19)+SUM(AI$6:AI$19)</f>
        <v>242182.8</v>
      </c>
      <c r="H131" s="123">
        <f>SUM(AK$6:AK$19)+SUM(AM$6:AM$19)+SUM(AO$6:AO$19)+SUM(AQ$6:AQ$19)</f>
        <v>146998.79999999999</v>
      </c>
      <c r="I131" s="123">
        <f>SUM(AS$6:AS$19)+SUM(AU$6:AU$19)+SUM(AW$6:AW$19)+SUM(AY$6:AY$19)</f>
        <v>190898.40000000002</v>
      </c>
      <c r="J131" s="123">
        <f>SUM(BA$6:BA$19)+SUM(BC$6:BC$19)+SUM(BE$6:BE$19)+SUM(BG$6:BG$19)</f>
        <v>251374.80000000002</v>
      </c>
      <c r="K131" s="123">
        <f>SUM(BI$6:BI$19)+SUM(BK$6:BK$19)+SUM(BM$6:BM$19)+SUM(BO$6:BO$19)</f>
        <v>919030.8</v>
      </c>
      <c r="L131" s="123">
        <f>SUM(BQ$6:BQ$19)+SUM(BS$6:BS$19)+SUM(BU$6:BU$19)+SUM(BW$6:BW$19)</f>
        <v>1199988</v>
      </c>
      <c r="M131" s="123">
        <f>SUM(BY$6:BY$19)+SUM(CA$6:CA$19)+SUM(CC$6:CC$19)+SUM(CE$6:CE$19)</f>
        <v>168378</v>
      </c>
      <c r="N131" s="123">
        <f>SUM(CG$6:CG$19)+SUM(CI$6:CI$19)+SUM(CK$6:CK$19)+SUM(CM$6:CM$19)</f>
        <v>387811.19999999995</v>
      </c>
      <c r="O131" s="123">
        <f>SUM(CO$6:CO$19)+SUM(CQ$6:CQ$19)+SUM(CS$6:CS$19)+SUM(CU$6:CU$19)</f>
        <v>505509.6</v>
      </c>
    </row>
    <row r="132" spans="2:15" x14ac:dyDescent="0.2">
      <c r="C132" s="122" t="s">
        <v>127</v>
      </c>
      <c r="D132" s="123">
        <f>SUM(E$20:E$36)+SUM(G$20:G$36)+SUM(I$20:I$36)+SUM(K$20:K$36)</f>
        <v>130706.4</v>
      </c>
      <c r="E132" s="123">
        <f>SUM(M$20:M$36)+SUM(O$20:O$36)+SUM(Q$20:Q$36)+SUM(S$20:S$36)</f>
        <v>150031.19999999998</v>
      </c>
      <c r="F132" s="123">
        <f>SUM(U$20:U$36)+SUM(W$20:W$36)+SUM(Y$20:Y$36)+SUM(AA$20:AA$36)</f>
        <v>275943.59999999998</v>
      </c>
      <c r="G132" s="123">
        <f>SUM(AC$20:AC$36)+SUM(AE$20:AE$36)+SUM(AG$20:AG$36)+SUM(AI$20:AI$36)</f>
        <v>673878</v>
      </c>
      <c r="H132" s="123">
        <f>SUM(AK$20:AK$36)+SUM(AM$20:AM$36)+SUM(AO$20:AO$36)+SUM(AQ$20:AQ$36)</f>
        <v>134494.80000000002</v>
      </c>
      <c r="I132" s="123">
        <f>SUM(AS$20:AS$36)+SUM(AU$20:AU$36)+SUM(AW$20:AW$36)+SUM(AY$20:AY$36)</f>
        <v>129420</v>
      </c>
      <c r="J132" s="123">
        <f>SUM(BA$20:BA$36)+SUM(BC$20:BC$36)+SUM(BE$20:BE$36)+SUM(BG$20:BG$36)</f>
        <v>1024957.2</v>
      </c>
      <c r="K132" s="123">
        <f>SUM(BI$20:BI$36)+SUM(BK$20:BK$36)+SUM(BM$20:BM$36)+SUM(BO$20:BO$36)</f>
        <v>278439.59999999998</v>
      </c>
      <c r="L132" s="123">
        <f>SUM(BQ$20:BQ$36)+SUM(BS$20:BS$36)+SUM(BU$20:BU$36)+SUM(BW$20:BW$36)</f>
        <v>244372.8</v>
      </c>
      <c r="M132" s="123">
        <f>SUM(BY$20:BY$36)+SUM(CA$20:CA$36)+SUM(CC$20:CC$36)+SUM(CE$20:CE$36)</f>
        <v>288289.19999999995</v>
      </c>
      <c r="N132" s="123">
        <f>SUM(CG$20:CG$36)+SUM(CI$20:CI$36)+SUM(CK$20:CK$36)+SUM(CM$20:CM$36)</f>
        <v>338914.8</v>
      </c>
      <c r="O132" s="123">
        <f>SUM(CO$20:CO$36)+SUM(CQ$20:CQ$36)+SUM(CS$20:CS$36)+SUM(CU$20:CU$36)</f>
        <v>1215265.2</v>
      </c>
    </row>
    <row r="133" spans="2:15" x14ac:dyDescent="0.2">
      <c r="C133" s="122" t="s">
        <v>128</v>
      </c>
      <c r="D133" s="123">
        <f>SUM(E$37:E$48)+SUM(G$37:G$48)+SUM(I$37:I$48)+SUM(K$37:K$48)</f>
        <v>397918.80000000005</v>
      </c>
      <c r="E133" s="123">
        <f>SUM(M$37:M$48)+SUM(O$37:O$48)+SUM(Q$37:Q$48)+SUM(S$37:S$48)</f>
        <v>656577.6</v>
      </c>
      <c r="F133" s="123">
        <f>SUM(U$37:U$48)+SUM(W$37:W$48)+SUM(Y$37:Y$48)+SUM(AA$37:AA$48)</f>
        <v>437946</v>
      </c>
      <c r="G133" s="123">
        <f>SUM(AC$37:AC$48)+SUM(AE$37:AE$48)+SUM(AG$37:AG$48)+SUM(AI$37:AI$48)</f>
        <v>3075906</v>
      </c>
      <c r="H133" s="123">
        <f>SUM(AK$37:AK$48)+SUM(AM$37:AM$48)+SUM(AO$37:AO$48)+SUM(AQ$37:AQ$48)</f>
        <v>2651395.1999999997</v>
      </c>
      <c r="I133" s="123">
        <f>SUM(AS$37:AS$48)+SUM(AU$37:AU$48)+SUM(AW$37:AW$48)+SUM(AY$37:AY$48)</f>
        <v>319170</v>
      </c>
      <c r="J133" s="123">
        <f>SUM(BA$37:BA$48)+SUM(BC$37:BC$48)+SUM(BE$37:BE$48)+SUM(BG$37:BG$48)</f>
        <v>4787755.2</v>
      </c>
      <c r="K133" s="123">
        <f>SUM(BI$37:BI$48)+SUM(BK$37:BK$48)+SUM(BM$37:BM$48)+SUM(BO$37:BO$48)</f>
        <v>1629990</v>
      </c>
      <c r="L133" s="123">
        <f>SUM(BQ$37:BQ$48)+SUM(BS$37:BS$48)+SUM(BU$37:BU$48)+SUM(BW$37:BW$48)</f>
        <v>552735.6</v>
      </c>
      <c r="M133" s="123">
        <f>SUM(BY$37:BY$48)+SUM(CA$37:CA$48)+SUM(CC$37:CC$48)+SUM(CE$37:CE$48)</f>
        <v>819916.80000000005</v>
      </c>
      <c r="N133" s="123">
        <f>SUM(CG$37:CG$48)+SUM(CI$37:CI$48)+SUM(CK$37:CK$48)+SUM(CM$37:CM$48)</f>
        <v>1774738.7999999998</v>
      </c>
      <c r="O133" s="123">
        <f>SUM(CO$37:CO$48)+SUM(CQ$37:CQ$48)+SUM(CS$37:CS$48)+SUM(CU$37:CU$48)</f>
        <v>815955.60000000009</v>
      </c>
    </row>
    <row r="134" spans="2:15" x14ac:dyDescent="0.2">
      <c r="C134" s="122" t="s">
        <v>129</v>
      </c>
      <c r="D134" s="123">
        <f>SUM(E$49:E$70)+SUM(G$49:G$70)+SUM(I$49:I$70)+SUM(K$49:K$70)</f>
        <v>1626580.7999999998</v>
      </c>
      <c r="E134" s="123">
        <f>SUM(M$49:M$70)+SUM(O$49:O$70)+SUM(Q$49:Q$70)+SUM(S$49:S$70)</f>
        <v>487270.79999999993</v>
      </c>
      <c r="F134" s="123">
        <f>SUM(U$49:U$70)+SUM(W$49:W$70)+SUM(Y$49:Y$70)+SUM(AA$49:AA$70)</f>
        <v>942406.79999999993</v>
      </c>
      <c r="G134" s="123">
        <f>SUM(AC$49:AC$70)+SUM(AE$49:AE$70)+SUM(AG$49:AG$70)+SUM(AI$49:AI$70)</f>
        <v>2515848</v>
      </c>
      <c r="H134" s="123">
        <f>SUM(AK$49:AK$70)+SUM(AM$49:AM$70)+SUM(AO$49:AO$70)+SUM(AQ$49:AQ$70)</f>
        <v>300266.40000000002</v>
      </c>
      <c r="I134" s="123">
        <f>SUM(AS$49:AS$70)+SUM(AU$49:AU$70)+SUM(AW$49:AW$70)+SUM(AY$49:AY$70)</f>
        <v>672790.79999999993</v>
      </c>
      <c r="J134" s="123">
        <f>SUM(BA$49:BA$70)+SUM(BC$49:BC$70)+SUM(BE$49:BE$70)+SUM(BG$49:BG$70)</f>
        <v>1705733.9999999998</v>
      </c>
      <c r="K134" s="123">
        <f>SUM(BI$49:BI$70)+SUM(BK$49:BK$70)+SUM(BM$49:BM$70)+SUM(BO$49:BO$70)</f>
        <v>608758.79999999993</v>
      </c>
      <c r="L134" s="123">
        <f>SUM(BQ$49:BQ$70)+SUM(BS$49:BS$70)+SUM(BU$49:BU$70)+SUM(BW$49:BW$70)</f>
        <v>326799.59999999998</v>
      </c>
      <c r="M134" s="123">
        <f>SUM(BY$49:BY$70)+SUM(CA$49:CA$70)+SUM(CC$49:CC$70)+SUM(CE$49:CE$70)</f>
        <v>1011132</v>
      </c>
      <c r="N134" s="123">
        <f>SUM(CG$49:CG$70)+SUM(CI$49:CI$70)+SUM(CK$49:CK$70)+SUM(CM$49:CM$70)</f>
        <v>368444.39999999997</v>
      </c>
      <c r="O134" s="123">
        <f>SUM(CO$49:CO$70)+SUM(CQ$49:CQ$70)+SUM(CS$49:CS$70)+SUM(CU$49:CU$70)</f>
        <v>966312</v>
      </c>
    </row>
    <row r="135" spans="2:15" x14ac:dyDescent="0.2">
      <c r="C135" s="122" t="s">
        <v>130</v>
      </c>
      <c r="D135" s="123">
        <f>SUM(E$71:E$86)+SUM(G$71:G$86)+SUM(I$71:I$86)+SUM(K$71:K$86)</f>
        <v>2397817.1999999997</v>
      </c>
      <c r="E135" s="123">
        <f>SUM(M$71:M$86)+SUM(O$71:O$86)+SUM(Q$71:Q$86)+SUM(S$71:S$86)</f>
        <v>123675.59999999999</v>
      </c>
      <c r="F135" s="123">
        <f>SUM(U$71:U$86)+SUM(W$71:W$86)+SUM(Y$71:Y$86)+SUM(AA$71:AA$86)</f>
        <v>2436214.7999999998</v>
      </c>
      <c r="G135" s="123">
        <f>SUM(AC$71:AC$86)+SUM(AE$71:AE$86)+SUM(AG$71:AG$86)+SUM(AI$71:AI$86)</f>
        <v>2490847.1999999997</v>
      </c>
      <c r="H135" s="123">
        <f>SUM(AK$71:AK$86)+SUM(AM$71:AM$86)+SUM(AO$71:AO$86)+SUM(AQ$71:AQ$86)</f>
        <v>1656236.4</v>
      </c>
      <c r="I135" s="123">
        <f>SUM(AS$71:AS$86)+SUM(AU$71:AU$86)+SUM(AW$71:AW$86)+SUM(AY$71:AY$86)</f>
        <v>1161885.6000000001</v>
      </c>
      <c r="J135" s="123">
        <f>SUM(BA$71:BA$86)+SUM(BC$71:BC$86)+SUM(BE$71:BE$86)+SUM(BG$71:BG$86)</f>
        <v>212587.19999999998</v>
      </c>
      <c r="K135" s="123">
        <f>SUM(BI$71:BI$86)+SUM(BK$71:BK$86)+SUM(BM$71:BM$86)+SUM(BO$71:BO$86)</f>
        <v>1702321.2</v>
      </c>
      <c r="L135" s="123">
        <f>SUM(BQ$71:BQ$86)+SUM(BS$71:BS$86)+SUM(BU$71:BU$86)+SUM(BW$71:BW$86)</f>
        <v>637225.19999999995</v>
      </c>
      <c r="M135" s="123">
        <f>SUM(BY$71:BY$86)+SUM(CA$71:CA$86)+SUM(CC$71:CC$86)+SUM(CE$71:CE$86)</f>
        <v>133677.6</v>
      </c>
      <c r="N135" s="123">
        <f>SUM(CG$71:CG$86)+SUM(CI$71:CI$86)+SUM(CK$71:CK$86)+SUM(CM$71:CM$86)</f>
        <v>226671.59999999998</v>
      </c>
      <c r="O135" s="123">
        <f>SUM(CO$71:CO$86)+SUM(CQ$71:CQ$86)+SUM(CS$71:CS$86)+SUM(CU$71:CU$86)</f>
        <v>197947.2</v>
      </c>
    </row>
    <row r="136" spans="2:15" x14ac:dyDescent="0.2">
      <c r="C136" s="122" t="s">
        <v>131</v>
      </c>
      <c r="D136" s="123">
        <f>SUM(E$87:E$94)+SUM(G$87:G$94)+SUM(I$87:I$94)+SUM(K$87:K$94)</f>
        <v>292497.59999999998</v>
      </c>
      <c r="E136" s="123">
        <f>SUM(M$87:M$94)+SUM(O$87:O$94)+SUM(Q$87:Q$94)+SUM(S$87:S$94)</f>
        <v>1708765.1999999997</v>
      </c>
      <c r="F136" s="123">
        <f>SUM(U$87:U$94)+SUM(W$87:W$94)+SUM(Y$87:Y$94)+SUM(AA$87:AA$94)</f>
        <v>264306</v>
      </c>
      <c r="G136" s="123">
        <f>SUM(AC$87:AC$94)+SUM(AE$87:AE$94)+SUM(AG$87:AG$94)+SUM(AI$87:AI$94)</f>
        <v>320248.8</v>
      </c>
      <c r="H136" s="123">
        <f>SUM(AK$87:AK$94)+SUM(AM$87:AM$94)+SUM(AO$87:AO$94)+SUM(AQ$87:AQ$94)</f>
        <v>360094.79999999993</v>
      </c>
      <c r="I136" s="123">
        <f>SUM(AS$87:AS$94)+SUM(AU$87:AU$94)+SUM(AW$87:AW$94)+SUM(AY$87:AY$94)</f>
        <v>489737.99999999994</v>
      </c>
      <c r="J136" s="123">
        <f>SUM(BA$87:BA$94)+SUM(BC$87:BC$94)+SUM(BE$87:BE$94)+SUM(BG$87:BG$94)</f>
        <v>1196356.7999999998</v>
      </c>
      <c r="K136" s="123">
        <f>SUM(BI$87:BI$94)+SUM(BK$87:BK$94)+SUM(BM$87:BM$94)+SUM(BO$87:BO$94)</f>
        <v>868968</v>
      </c>
      <c r="L136" s="123">
        <f>SUM(BQ$87:BQ$94)+SUM(BS$87:BS$94)+SUM(BU$87:BU$94)+SUM(BW$87:BW$94)</f>
        <v>1252114.8</v>
      </c>
      <c r="M136" s="123">
        <f>SUM(BY$87:BY$94)+SUM(CA$87:CA$94)+SUM(CC$87:CC$94)+SUM(CE$87:CE$94)</f>
        <v>1740112.7999999998</v>
      </c>
      <c r="N136" s="123">
        <f>SUM(CG$87:CG$94)+SUM(CI$87:CI$94)+SUM(CK$87:CK$94)+SUM(CM$87:CM$94)</f>
        <v>1673876.4</v>
      </c>
      <c r="O136" s="123">
        <f>SUM(CO$87:CO$94)+SUM(CQ$87:CQ$94)+SUM(CS$87:CS$94)+SUM(CU$87:CU$94)</f>
        <v>2469170.3999999994</v>
      </c>
    </row>
    <row r="137" spans="2:15" x14ac:dyDescent="0.2">
      <c r="C137" s="122" t="s">
        <v>132</v>
      </c>
      <c r="D137" s="123">
        <f>SUM(E$95:E$105)+SUM(G$95:G$105)+SUM(I$95:I$105)+SUM(K$95:K$105)</f>
        <v>475798.79999999993</v>
      </c>
      <c r="E137" s="123">
        <f>SUM(M$95:M$105)+SUM(O$95:O$105)+SUM(Q$95:Q$105)+SUM(S$95:S$105)</f>
        <v>460950</v>
      </c>
      <c r="F137" s="123">
        <f>SUM(U$95:U$105)+SUM(W$95:W$105)+SUM(Y$95:Y$105)+SUM(AA$95:AA$105)</f>
        <v>539266.79999999993</v>
      </c>
      <c r="G137" s="123">
        <f>SUM(AC$95:AC$105)+SUM(AE$95:AE$105)+SUM(AG$95:AG$105)+SUM(AI$95:AI$105)</f>
        <v>2123365.2000000002</v>
      </c>
      <c r="H137" s="123">
        <f>SUM(AK$95:AK$105)+SUM(AM$95:AM$105)+SUM(AO$95:AO$105)+SUM(AQ$95:AQ$105)</f>
        <v>1009486.7999999999</v>
      </c>
      <c r="I137" s="123">
        <f>SUM(AS$95:AS$105)+SUM(AU$95:AU$105)+SUM(AW$95:AW$105)+SUM(AY$95:AY$105)</f>
        <v>3291175.1999999997</v>
      </c>
      <c r="J137" s="123">
        <f>SUM(BA$95:BA$105)+SUM(BC$95:BC$105)+SUM(BE$95:BE$105)+SUM(BG$95:BG$105)</f>
        <v>3055448.4000000004</v>
      </c>
      <c r="K137" s="123">
        <f>SUM(BI$95:BI$105)+SUM(BK$95:BK$105)+SUM(BM$95:BM$105)+SUM(BO$95:BO$105)</f>
        <v>704013.6</v>
      </c>
      <c r="L137" s="123">
        <f>SUM(BQ$95:BQ$105)+SUM(BS$95:BS$105)+SUM(BU$95:BU$105)+SUM(BW$95:BW$105)</f>
        <v>1796893.1999999997</v>
      </c>
      <c r="M137" s="123">
        <f>SUM(BY$95:BY$105)+SUM(CA$95:CA$105)+SUM(CC$95:CC$105)+SUM(CE$95:CE$105)</f>
        <v>1335189.6000000001</v>
      </c>
      <c r="N137" s="123">
        <f>SUM(CG$95:CG$105)+SUM(CI$95:CI$105)+SUM(CK$95:CK$105)+SUM(CM$95:CM$105)</f>
        <v>625243.19999999995</v>
      </c>
      <c r="O137" s="123">
        <f>SUM(CO$95:CO$105)+SUM(CQ$95:CQ$105)+SUM(CS$95:CS$105)+SUM(CU$95:CU$105)</f>
        <v>632433.6</v>
      </c>
    </row>
    <row r="138" spans="2:15" x14ac:dyDescent="0.2">
      <c r="C138" s="122" t="s">
        <v>278</v>
      </c>
      <c r="D138">
        <f t="shared" ref="D138:O138" si="2">SUM(D$131:D$137)</f>
        <v>5791991.9999999991</v>
      </c>
      <c r="E138">
        <f t="shared" si="2"/>
        <v>3940149.5999999996</v>
      </c>
      <c r="F138">
        <f t="shared" si="2"/>
        <v>6223820.3999999994</v>
      </c>
      <c r="G138">
        <f t="shared" si="2"/>
        <v>11442276</v>
      </c>
      <c r="H138">
        <f t="shared" si="2"/>
        <v>6258973.1999999993</v>
      </c>
      <c r="I138">
        <f t="shared" si="2"/>
        <v>6255078</v>
      </c>
      <c r="J138">
        <f t="shared" si="2"/>
        <v>12234213.6</v>
      </c>
      <c r="K138">
        <f t="shared" si="2"/>
        <v>6711521.9999999991</v>
      </c>
      <c r="L138">
        <f t="shared" si="2"/>
        <v>6010129.1999999993</v>
      </c>
      <c r="M138">
        <f t="shared" si="2"/>
        <v>5496696</v>
      </c>
      <c r="N138">
        <f t="shared" si="2"/>
        <v>5395700.3999999994</v>
      </c>
      <c r="O138">
        <f t="shared" si="2"/>
        <v>6802593.5999999996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8" t="s">
        <v>167</v>
      </c>
      <c r="B1" s="118" t="s">
        <v>168</v>
      </c>
      <c r="C1" s="118" t="s">
        <v>169</v>
      </c>
      <c r="D1" s="118" t="s">
        <v>170</v>
      </c>
      <c r="E1" s="118" t="s">
        <v>171</v>
      </c>
    </row>
    <row r="2" spans="1:5" x14ac:dyDescent="0.2">
      <c r="A2" s="118" t="s">
        <v>126</v>
      </c>
      <c r="B2" s="118" t="s">
        <v>172</v>
      </c>
      <c r="C2" t="s">
        <v>59</v>
      </c>
      <c r="D2">
        <v>482</v>
      </c>
      <c r="E2">
        <v>578.4</v>
      </c>
    </row>
    <row r="3" spans="1:5" x14ac:dyDescent="0.2">
      <c r="B3" s="118" t="s">
        <v>173</v>
      </c>
      <c r="C3" t="s">
        <v>59</v>
      </c>
      <c r="D3">
        <v>657</v>
      </c>
      <c r="E3">
        <v>788.4</v>
      </c>
    </row>
    <row r="4" spans="1:5" x14ac:dyDescent="0.2">
      <c r="B4" s="118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8" t="s">
        <v>175</v>
      </c>
      <c r="C5" t="s">
        <v>59</v>
      </c>
      <c r="D5">
        <v>585</v>
      </c>
      <c r="E5">
        <v>702</v>
      </c>
    </row>
    <row r="6" spans="1:5" x14ac:dyDescent="0.2">
      <c r="B6" s="118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8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8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8" t="s">
        <v>179</v>
      </c>
      <c r="C9" t="s">
        <v>59</v>
      </c>
      <c r="D9">
        <v>71</v>
      </c>
      <c r="E9">
        <v>85.2</v>
      </c>
    </row>
    <row r="10" spans="1:5" x14ac:dyDescent="0.2">
      <c r="B10" s="118" t="s">
        <v>180</v>
      </c>
      <c r="C10" t="s">
        <v>59</v>
      </c>
      <c r="D10">
        <v>407</v>
      </c>
      <c r="E10">
        <v>488.4</v>
      </c>
    </row>
    <row r="11" spans="1:5" x14ac:dyDescent="0.2">
      <c r="B11" s="118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8" t="s">
        <v>182</v>
      </c>
      <c r="C12" t="s">
        <v>59</v>
      </c>
      <c r="D12">
        <v>284</v>
      </c>
      <c r="E12">
        <v>340.8</v>
      </c>
    </row>
    <row r="13" spans="1:5" x14ac:dyDescent="0.2">
      <c r="B13" s="118" t="s">
        <v>183</v>
      </c>
      <c r="C13" t="s">
        <v>59</v>
      </c>
      <c r="D13">
        <v>352</v>
      </c>
      <c r="E13">
        <v>422.4</v>
      </c>
    </row>
    <row r="14" spans="1:5" x14ac:dyDescent="0.2">
      <c r="B14" s="118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8" t="s">
        <v>185</v>
      </c>
      <c r="C15" t="s">
        <v>59</v>
      </c>
      <c r="D15">
        <v>275</v>
      </c>
      <c r="E15">
        <v>330</v>
      </c>
    </row>
    <row r="16" spans="1:5" x14ac:dyDescent="0.2">
      <c r="A16" s="118" t="s">
        <v>127</v>
      </c>
      <c r="B16" s="118" t="s">
        <v>186</v>
      </c>
      <c r="C16" t="s">
        <v>59</v>
      </c>
      <c r="D16">
        <v>239</v>
      </c>
      <c r="E16">
        <v>286.8</v>
      </c>
    </row>
    <row r="17" spans="2:5" x14ac:dyDescent="0.2">
      <c r="B17" s="118" t="s">
        <v>187</v>
      </c>
      <c r="C17" t="s">
        <v>59</v>
      </c>
      <c r="D17">
        <v>52</v>
      </c>
      <c r="E17">
        <v>62.4</v>
      </c>
    </row>
    <row r="18" spans="2:5" x14ac:dyDescent="0.2">
      <c r="B18" s="118" t="s">
        <v>188</v>
      </c>
      <c r="C18" t="s">
        <v>59</v>
      </c>
      <c r="D18">
        <v>156</v>
      </c>
      <c r="E18">
        <v>187.2</v>
      </c>
    </row>
    <row r="19" spans="2:5" x14ac:dyDescent="0.2">
      <c r="B19" s="118" t="s">
        <v>189</v>
      </c>
      <c r="C19" t="s">
        <v>59</v>
      </c>
      <c r="D19">
        <v>245</v>
      </c>
      <c r="E19">
        <v>294</v>
      </c>
    </row>
    <row r="20" spans="2:5" x14ac:dyDescent="0.2">
      <c r="B20" s="118" t="s">
        <v>190</v>
      </c>
      <c r="C20" t="s">
        <v>59</v>
      </c>
      <c r="D20">
        <v>306</v>
      </c>
      <c r="E20">
        <v>367.2</v>
      </c>
    </row>
    <row r="21" spans="2:5" x14ac:dyDescent="0.2">
      <c r="B21" s="118" t="s">
        <v>191</v>
      </c>
      <c r="C21" t="s">
        <v>59</v>
      </c>
      <c r="D21">
        <v>442</v>
      </c>
      <c r="E21">
        <v>530.4</v>
      </c>
    </row>
    <row r="22" spans="2:5" x14ac:dyDescent="0.2">
      <c r="B22" s="118" t="s">
        <v>192</v>
      </c>
      <c r="C22" t="s">
        <v>59</v>
      </c>
      <c r="D22">
        <v>405</v>
      </c>
      <c r="E22">
        <v>486</v>
      </c>
    </row>
    <row r="23" spans="2:5" x14ac:dyDescent="0.2">
      <c r="B23" s="118" t="s">
        <v>193</v>
      </c>
      <c r="C23" t="s">
        <v>59</v>
      </c>
      <c r="D23">
        <v>356</v>
      </c>
      <c r="E23">
        <v>427.2</v>
      </c>
    </row>
    <row r="24" spans="2:5" x14ac:dyDescent="0.2">
      <c r="B24" s="118" t="s">
        <v>194</v>
      </c>
      <c r="C24" t="s">
        <v>59</v>
      </c>
      <c r="D24">
        <v>615</v>
      </c>
      <c r="E24">
        <v>738</v>
      </c>
    </row>
    <row r="25" spans="2:5" x14ac:dyDescent="0.2">
      <c r="B25" s="118" t="s">
        <v>195</v>
      </c>
      <c r="C25" t="s">
        <v>59</v>
      </c>
      <c r="D25">
        <v>282</v>
      </c>
      <c r="E25">
        <v>338.4</v>
      </c>
    </row>
    <row r="26" spans="2:5" x14ac:dyDescent="0.2">
      <c r="B26" s="118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8" t="s">
        <v>197</v>
      </c>
      <c r="C27" t="s">
        <v>59</v>
      </c>
      <c r="D27">
        <v>284</v>
      </c>
      <c r="E27">
        <v>340.8</v>
      </c>
    </row>
    <row r="28" spans="2:5" x14ac:dyDescent="0.2">
      <c r="B28" s="118" t="s">
        <v>198</v>
      </c>
      <c r="C28" t="s">
        <v>59</v>
      </c>
      <c r="D28">
        <v>700</v>
      </c>
      <c r="E28">
        <v>840</v>
      </c>
    </row>
    <row r="29" spans="2:5" x14ac:dyDescent="0.2">
      <c r="B29" s="118" t="s">
        <v>199</v>
      </c>
      <c r="C29" t="s">
        <v>59</v>
      </c>
      <c r="D29">
        <v>395</v>
      </c>
      <c r="E29">
        <v>474</v>
      </c>
    </row>
    <row r="30" spans="2:5" x14ac:dyDescent="0.2">
      <c r="B30" s="118" t="s">
        <v>200</v>
      </c>
      <c r="C30" t="s">
        <v>59</v>
      </c>
      <c r="D30">
        <v>457</v>
      </c>
      <c r="E30">
        <v>548.4</v>
      </c>
    </row>
    <row r="31" spans="2:5" x14ac:dyDescent="0.2">
      <c r="B31" s="118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8" t="s">
        <v>202</v>
      </c>
      <c r="C32" t="s">
        <v>59</v>
      </c>
      <c r="D32">
        <v>634</v>
      </c>
      <c r="E32">
        <v>760.8</v>
      </c>
    </row>
    <row r="33" spans="1:5" x14ac:dyDescent="0.2">
      <c r="A33" s="118" t="s">
        <v>128</v>
      </c>
      <c r="B33" s="118" t="s">
        <v>203</v>
      </c>
      <c r="C33" t="s">
        <v>59</v>
      </c>
      <c r="D33">
        <v>717</v>
      </c>
      <c r="E33">
        <v>860.4</v>
      </c>
    </row>
    <row r="34" spans="1:5" x14ac:dyDescent="0.2">
      <c r="B34" s="118" t="s">
        <v>204</v>
      </c>
      <c r="C34" t="s">
        <v>59</v>
      </c>
      <c r="D34">
        <v>1035</v>
      </c>
      <c r="E34">
        <v>1242</v>
      </c>
    </row>
    <row r="35" spans="1:5" x14ac:dyDescent="0.2">
      <c r="B35" s="118" t="s">
        <v>205</v>
      </c>
      <c r="C35" t="s">
        <v>59</v>
      </c>
      <c r="D35">
        <v>1186</v>
      </c>
      <c r="E35">
        <v>1423.2</v>
      </c>
    </row>
    <row r="36" spans="1:5" x14ac:dyDescent="0.2">
      <c r="B36" s="118" t="s">
        <v>206</v>
      </c>
      <c r="C36" t="s">
        <v>59</v>
      </c>
      <c r="D36">
        <v>604</v>
      </c>
      <c r="E36">
        <v>724.8</v>
      </c>
    </row>
    <row r="37" spans="1:5" x14ac:dyDescent="0.2">
      <c r="B37" s="118" t="s">
        <v>207</v>
      </c>
      <c r="C37" t="s">
        <v>59</v>
      </c>
      <c r="D37">
        <v>550</v>
      </c>
      <c r="E37">
        <v>660</v>
      </c>
    </row>
    <row r="38" spans="1:5" x14ac:dyDescent="0.2">
      <c r="B38" s="118" t="s">
        <v>208</v>
      </c>
      <c r="C38" t="s">
        <v>59</v>
      </c>
      <c r="D38">
        <v>705</v>
      </c>
      <c r="E38">
        <v>846</v>
      </c>
    </row>
    <row r="39" spans="1:5" x14ac:dyDescent="0.2">
      <c r="B39" s="118" t="s">
        <v>209</v>
      </c>
      <c r="C39" t="s">
        <v>59</v>
      </c>
      <c r="D39">
        <v>852</v>
      </c>
      <c r="E39">
        <v>1022.4</v>
      </c>
    </row>
    <row r="40" spans="1:5" x14ac:dyDescent="0.2">
      <c r="B40" s="118" t="s">
        <v>210</v>
      </c>
      <c r="C40" t="s">
        <v>59</v>
      </c>
      <c r="D40">
        <v>852</v>
      </c>
      <c r="E40">
        <v>1022.4</v>
      </c>
    </row>
    <row r="41" spans="1:5" x14ac:dyDescent="0.2">
      <c r="B41" s="118" t="s">
        <v>211</v>
      </c>
      <c r="C41" t="s">
        <v>59</v>
      </c>
      <c r="D41">
        <v>1041</v>
      </c>
      <c r="E41">
        <v>1249.2</v>
      </c>
    </row>
    <row r="42" spans="1:5" x14ac:dyDescent="0.2">
      <c r="B42" s="118" t="s">
        <v>212</v>
      </c>
      <c r="C42" t="s">
        <v>59</v>
      </c>
      <c r="D42">
        <v>1010</v>
      </c>
      <c r="E42">
        <v>1212</v>
      </c>
    </row>
    <row r="43" spans="1:5" x14ac:dyDescent="0.2">
      <c r="B43" s="118" t="s">
        <v>213</v>
      </c>
      <c r="C43" t="s">
        <v>59</v>
      </c>
      <c r="D43">
        <v>1273</v>
      </c>
      <c r="E43">
        <v>1527.6</v>
      </c>
    </row>
    <row r="44" spans="1:5" x14ac:dyDescent="0.2">
      <c r="B44" s="118" t="s">
        <v>214</v>
      </c>
      <c r="C44" t="s">
        <v>59</v>
      </c>
      <c r="D44">
        <v>723</v>
      </c>
      <c r="E44">
        <v>867.6</v>
      </c>
    </row>
    <row r="45" spans="1:5" x14ac:dyDescent="0.2">
      <c r="A45" s="118" t="s">
        <v>129</v>
      </c>
      <c r="B45" s="118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8" t="s">
        <v>216</v>
      </c>
      <c r="C46" t="s">
        <v>59</v>
      </c>
      <c r="D46">
        <v>235</v>
      </c>
      <c r="E46">
        <v>282</v>
      </c>
    </row>
    <row r="47" spans="1:5" x14ac:dyDescent="0.2">
      <c r="B47" s="118" t="s">
        <v>217</v>
      </c>
      <c r="C47" t="s">
        <v>59</v>
      </c>
      <c r="D47">
        <v>712</v>
      </c>
      <c r="E47">
        <v>854.4</v>
      </c>
    </row>
    <row r="48" spans="1:5" x14ac:dyDescent="0.2">
      <c r="B48" s="118" t="s">
        <v>218</v>
      </c>
      <c r="C48" t="s">
        <v>59</v>
      </c>
      <c r="D48">
        <v>450</v>
      </c>
      <c r="E48">
        <v>540</v>
      </c>
    </row>
    <row r="49" spans="2:5" x14ac:dyDescent="0.2">
      <c r="B49" s="118" t="s">
        <v>219</v>
      </c>
      <c r="C49" t="s">
        <v>59</v>
      </c>
      <c r="D49">
        <v>339</v>
      </c>
      <c r="E49">
        <v>406.8</v>
      </c>
    </row>
    <row r="50" spans="2:5" x14ac:dyDescent="0.2">
      <c r="B50" s="118" t="s">
        <v>220</v>
      </c>
      <c r="C50" t="s">
        <v>59</v>
      </c>
      <c r="D50">
        <v>279</v>
      </c>
      <c r="E50">
        <v>334.8</v>
      </c>
    </row>
    <row r="51" spans="2:5" x14ac:dyDescent="0.2">
      <c r="B51" s="118" t="s">
        <v>221</v>
      </c>
      <c r="C51" t="s">
        <v>59</v>
      </c>
      <c r="D51">
        <v>553</v>
      </c>
      <c r="E51">
        <v>663.6</v>
      </c>
    </row>
    <row r="52" spans="2:5" x14ac:dyDescent="0.2">
      <c r="B52" s="118" t="s">
        <v>222</v>
      </c>
      <c r="C52" t="s">
        <v>22</v>
      </c>
      <c r="D52">
        <v>959</v>
      </c>
      <c r="E52">
        <v>1150.8</v>
      </c>
    </row>
    <row r="53" spans="2:5" x14ac:dyDescent="0.2">
      <c r="B53" s="118" t="s">
        <v>223</v>
      </c>
      <c r="C53" t="s">
        <v>59</v>
      </c>
      <c r="D53">
        <v>1176</v>
      </c>
      <c r="E53">
        <v>1411.2</v>
      </c>
    </row>
    <row r="54" spans="2:5" x14ac:dyDescent="0.2">
      <c r="B54" s="118" t="s">
        <v>224</v>
      </c>
      <c r="C54" t="s">
        <v>22</v>
      </c>
      <c r="D54">
        <v>981</v>
      </c>
      <c r="E54">
        <v>1177.2</v>
      </c>
    </row>
    <row r="55" spans="2:5" x14ac:dyDescent="0.2">
      <c r="B55" s="118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8" t="s">
        <v>226</v>
      </c>
      <c r="C56" t="s">
        <v>59</v>
      </c>
      <c r="D56">
        <v>543</v>
      </c>
      <c r="E56">
        <v>651.6</v>
      </c>
    </row>
    <row r="57" spans="2:5" x14ac:dyDescent="0.2">
      <c r="B57" s="118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8" t="s">
        <v>228</v>
      </c>
      <c r="C58" t="s">
        <v>59</v>
      </c>
      <c r="D58">
        <v>1421</v>
      </c>
      <c r="E58">
        <v>1705.2</v>
      </c>
    </row>
    <row r="59" spans="2:5" x14ac:dyDescent="0.2">
      <c r="B59" s="118" t="s">
        <v>229</v>
      </c>
      <c r="C59" t="s">
        <v>59</v>
      </c>
      <c r="D59">
        <v>663</v>
      </c>
      <c r="E59">
        <v>795.6</v>
      </c>
    </row>
    <row r="60" spans="2:5" x14ac:dyDescent="0.2">
      <c r="B60" s="118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8" t="s">
        <v>231</v>
      </c>
      <c r="C61" t="s">
        <v>59</v>
      </c>
      <c r="D61">
        <v>855</v>
      </c>
      <c r="E61">
        <v>1026</v>
      </c>
    </row>
    <row r="62" spans="2:5" x14ac:dyDescent="0.2">
      <c r="B62" s="118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8" t="s">
        <v>233</v>
      </c>
      <c r="C63" t="s">
        <v>59</v>
      </c>
      <c r="D63">
        <v>936</v>
      </c>
      <c r="E63">
        <v>1123.2</v>
      </c>
    </row>
    <row r="64" spans="2:5" x14ac:dyDescent="0.2">
      <c r="B64" s="118" t="s">
        <v>234</v>
      </c>
      <c r="C64" t="s">
        <v>59</v>
      </c>
      <c r="D64">
        <v>861</v>
      </c>
      <c r="E64">
        <v>1033.2</v>
      </c>
    </row>
    <row r="65" spans="1:5" x14ac:dyDescent="0.2">
      <c r="B65" s="118" t="s">
        <v>235</v>
      </c>
      <c r="C65" t="s">
        <v>59</v>
      </c>
      <c r="D65">
        <v>632</v>
      </c>
      <c r="E65">
        <v>758.4</v>
      </c>
    </row>
    <row r="66" spans="1:5" x14ac:dyDescent="0.2">
      <c r="B66" s="118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8" t="s">
        <v>130</v>
      </c>
      <c r="B67" s="118" t="s">
        <v>237</v>
      </c>
      <c r="C67" t="s">
        <v>22</v>
      </c>
      <c r="D67">
        <v>470</v>
      </c>
      <c r="E67">
        <v>564</v>
      </c>
    </row>
    <row r="68" spans="1:5" x14ac:dyDescent="0.2">
      <c r="B68" s="118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8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8" t="s">
        <v>240</v>
      </c>
      <c r="C70" t="s">
        <v>22</v>
      </c>
      <c r="D70">
        <v>336</v>
      </c>
      <c r="E70">
        <v>403.2</v>
      </c>
    </row>
    <row r="71" spans="1:5" x14ac:dyDescent="0.2">
      <c r="B71" s="118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8" t="s">
        <v>242</v>
      </c>
      <c r="C72" t="s">
        <v>22</v>
      </c>
      <c r="D72">
        <v>649</v>
      </c>
      <c r="E72">
        <v>778.8</v>
      </c>
    </row>
    <row r="73" spans="1:5" x14ac:dyDescent="0.2">
      <c r="B73" s="118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8" t="s">
        <v>244</v>
      </c>
      <c r="C74" t="s">
        <v>22</v>
      </c>
      <c r="D74">
        <v>460</v>
      </c>
      <c r="E74">
        <v>552</v>
      </c>
    </row>
    <row r="75" spans="1:5" x14ac:dyDescent="0.2">
      <c r="B75" s="118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8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8" t="s">
        <v>247</v>
      </c>
      <c r="C77" t="s">
        <v>22</v>
      </c>
      <c r="D77">
        <v>628</v>
      </c>
      <c r="E77">
        <v>753.6</v>
      </c>
    </row>
    <row r="78" spans="1:5" x14ac:dyDescent="0.2">
      <c r="B78" s="118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8" t="s">
        <v>249</v>
      </c>
      <c r="C79" t="s">
        <v>22</v>
      </c>
      <c r="D79">
        <v>717</v>
      </c>
      <c r="E79">
        <v>860.4</v>
      </c>
    </row>
    <row r="80" spans="1:5" x14ac:dyDescent="0.2">
      <c r="B80" s="118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8" t="s">
        <v>251</v>
      </c>
      <c r="C81" t="s">
        <v>22</v>
      </c>
      <c r="D81">
        <v>125</v>
      </c>
      <c r="E81">
        <v>150</v>
      </c>
    </row>
    <row r="82" spans="1:5" x14ac:dyDescent="0.2">
      <c r="B82" s="118" t="s">
        <v>252</v>
      </c>
      <c r="C82" t="s">
        <v>22</v>
      </c>
      <c r="D82">
        <v>450</v>
      </c>
      <c r="E82">
        <v>540</v>
      </c>
    </row>
    <row r="83" spans="1:5" x14ac:dyDescent="0.2">
      <c r="A83" s="118" t="s">
        <v>131</v>
      </c>
      <c r="B83" s="118" t="s">
        <v>253</v>
      </c>
      <c r="C83" t="s">
        <v>22</v>
      </c>
      <c r="D83">
        <v>1629</v>
      </c>
      <c r="E83">
        <v>1954.8</v>
      </c>
    </row>
    <row r="84" spans="1:5" x14ac:dyDescent="0.2">
      <c r="B84" s="118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8" t="s">
        <v>255</v>
      </c>
      <c r="C85" t="s">
        <v>22</v>
      </c>
      <c r="D85">
        <v>1998</v>
      </c>
      <c r="E85">
        <v>2397.6</v>
      </c>
    </row>
    <row r="86" spans="1:5" x14ac:dyDescent="0.2">
      <c r="B86" s="118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8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8" t="s">
        <v>258</v>
      </c>
      <c r="C88" t="s">
        <v>22</v>
      </c>
      <c r="D88">
        <v>1184</v>
      </c>
      <c r="E88">
        <v>1420.8</v>
      </c>
    </row>
    <row r="89" spans="1:5" x14ac:dyDescent="0.2">
      <c r="B89" s="118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8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8" t="s">
        <v>132</v>
      </c>
      <c r="B91" s="118" t="s">
        <v>261</v>
      </c>
      <c r="C91" t="s">
        <v>22</v>
      </c>
      <c r="D91">
        <v>1444</v>
      </c>
      <c r="E91">
        <v>1732.8</v>
      </c>
    </row>
    <row r="92" spans="1:5" x14ac:dyDescent="0.2">
      <c r="B92" s="118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8" t="s">
        <v>263</v>
      </c>
      <c r="C93" t="s">
        <v>22</v>
      </c>
      <c r="D93">
        <v>1524</v>
      </c>
      <c r="E93">
        <v>1828.8</v>
      </c>
    </row>
    <row r="94" spans="1:5" x14ac:dyDescent="0.2">
      <c r="B94" s="118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8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8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8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8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8" t="s">
        <v>269</v>
      </c>
      <c r="C99" t="s">
        <v>22</v>
      </c>
      <c r="D99">
        <v>1690</v>
      </c>
      <c r="E99">
        <v>2028</v>
      </c>
    </row>
    <row r="100" spans="2:5" x14ac:dyDescent="0.2">
      <c r="B100" s="118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8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2015-09-29T18:51:13Z</dcterms:modified>
</cp:coreProperties>
</file>