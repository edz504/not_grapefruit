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2015_16TeamFolders\MomPop\Results\"/>
    </mc:Choice>
  </mc:AlternateContent>
  <bookViews>
    <workbookView xWindow="0" yWindow="0" windowWidth="18795" windowHeight="768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37" i="20" l="1"/>
  <c r="S16" i="20"/>
  <c r="S15" i="20"/>
  <c r="S14" i="20"/>
  <c r="H40" i="20"/>
  <c r="H39" i="20"/>
  <c r="H38" i="20"/>
  <c r="S36" i="20" s="1"/>
  <c r="H35" i="20"/>
  <c r="S42" i="20" s="1"/>
  <c r="H34" i="20"/>
  <c r="S39" i="20" s="1"/>
  <c r="H33" i="20"/>
  <c r="H30" i="20"/>
  <c r="S40" i="20" s="1"/>
  <c r="H29" i="20"/>
  <c r="H28" i="20"/>
  <c r="H2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D121" i="10" s="1"/>
  <c r="E110" i="10"/>
  <c r="E121" i="10" s="1"/>
  <c r="F110" i="10"/>
  <c r="G110" i="10"/>
  <c r="H110" i="10"/>
  <c r="I110" i="10"/>
  <c r="J110" i="10"/>
  <c r="J121" i="10" s="1"/>
  <c r="K110" i="10"/>
  <c r="L110" i="10"/>
  <c r="M110" i="10"/>
  <c r="M121" i="10" s="1"/>
  <c r="N110" i="10"/>
  <c r="O110" i="10"/>
  <c r="D111" i="10"/>
  <c r="D122" i="10" s="1"/>
  <c r="E111" i="10"/>
  <c r="F111" i="10"/>
  <c r="F122" i="10" s="1"/>
  <c r="G111" i="10"/>
  <c r="H111" i="10"/>
  <c r="I111" i="10"/>
  <c r="I122" i="10" s="1"/>
  <c r="J111" i="10"/>
  <c r="K111" i="10"/>
  <c r="K122" i="10" s="1"/>
  <c r="L111" i="10"/>
  <c r="L122" i="10" s="1"/>
  <c r="M111" i="10"/>
  <c r="N111" i="10"/>
  <c r="N122" i="10" s="1"/>
  <c r="O111" i="10"/>
  <c r="D112" i="10"/>
  <c r="D123" i="10" s="1"/>
  <c r="E112" i="10"/>
  <c r="E123" i="10" s="1"/>
  <c r="F112" i="10"/>
  <c r="G112" i="10"/>
  <c r="G123" i="10" s="1"/>
  <c r="H112" i="10"/>
  <c r="H123" i="10" s="1"/>
  <c r="I112" i="10"/>
  <c r="J112" i="10"/>
  <c r="J123" i="10" s="1"/>
  <c r="K112" i="10"/>
  <c r="L112" i="10"/>
  <c r="L123" i="10" s="1"/>
  <c r="M112" i="10"/>
  <c r="M123" i="10" s="1"/>
  <c r="N112" i="10"/>
  <c r="O112" i="10"/>
  <c r="O123" i="10" s="1"/>
  <c r="D113" i="10"/>
  <c r="D124" i="10" s="1"/>
  <c r="E113" i="10"/>
  <c r="F113" i="10"/>
  <c r="F124" i="10" s="1"/>
  <c r="G113" i="10"/>
  <c r="H113" i="10"/>
  <c r="H124" i="10" s="1"/>
  <c r="I113" i="10"/>
  <c r="I124" i="10" s="1"/>
  <c r="J113" i="10"/>
  <c r="K113" i="10"/>
  <c r="K124" i="10" s="1"/>
  <c r="L113" i="10"/>
  <c r="L124" i="10" s="1"/>
  <c r="M113" i="10"/>
  <c r="N113" i="10"/>
  <c r="N124" i="10" s="1"/>
  <c r="O113" i="10"/>
  <c r="D114" i="10"/>
  <c r="D125" i="10" s="1"/>
  <c r="E114" i="10"/>
  <c r="E125" i="10" s="1"/>
  <c r="F114" i="10"/>
  <c r="G114" i="10"/>
  <c r="G125" i="10" s="1"/>
  <c r="H114" i="10"/>
  <c r="I114" i="10"/>
  <c r="J114" i="10"/>
  <c r="J125" i="10" s="1"/>
  <c r="K114" i="10"/>
  <c r="L114" i="10"/>
  <c r="L125" i="10" s="1"/>
  <c r="M114" i="10"/>
  <c r="M125" i="10" s="1"/>
  <c r="N114" i="10"/>
  <c r="O114" i="10"/>
  <c r="O125" i="10" s="1"/>
  <c r="D115" i="10"/>
  <c r="D126" i="10" s="1"/>
  <c r="E115" i="10"/>
  <c r="F115" i="10"/>
  <c r="F126" i="10" s="1"/>
  <c r="G115" i="10"/>
  <c r="H115" i="10"/>
  <c r="I115" i="10"/>
  <c r="I126" i="10" s="1"/>
  <c r="J115" i="10"/>
  <c r="K115" i="10"/>
  <c r="K126" i="10" s="1"/>
  <c r="L115" i="10"/>
  <c r="L126" i="10" s="1"/>
  <c r="M115" i="10"/>
  <c r="N115" i="10"/>
  <c r="N126" i="10" s="1"/>
  <c r="O115" i="10"/>
  <c r="E116" i="10"/>
  <c r="J116" i="10"/>
  <c r="M116" i="10"/>
  <c r="E120" i="10"/>
  <c r="G120" i="10"/>
  <c r="H120" i="10"/>
  <c r="H127" i="10" s="1"/>
  <c r="J120" i="10"/>
  <c r="L120" i="10"/>
  <c r="L127" i="10" s="1"/>
  <c r="M120" i="10"/>
  <c r="O120" i="10"/>
  <c r="F121" i="10"/>
  <c r="H121" i="10"/>
  <c r="I121" i="10"/>
  <c r="K121" i="10"/>
  <c r="L121" i="10"/>
  <c r="N121" i="10"/>
  <c r="E122" i="10"/>
  <c r="G122" i="10"/>
  <c r="H122" i="10"/>
  <c r="J122" i="10"/>
  <c r="M122" i="10"/>
  <c r="O122" i="10"/>
  <c r="F123" i="10"/>
  <c r="I123" i="10"/>
  <c r="K123" i="10"/>
  <c r="N123" i="10"/>
  <c r="E124" i="10"/>
  <c r="G124" i="10"/>
  <c r="J124" i="10"/>
  <c r="M124" i="10"/>
  <c r="O124" i="10"/>
  <c r="F125" i="10"/>
  <c r="H125" i="10"/>
  <c r="I125" i="10"/>
  <c r="K125" i="10"/>
  <c r="N125" i="10"/>
  <c r="E126" i="10"/>
  <c r="G126" i="10"/>
  <c r="H126" i="10"/>
  <c r="J126" i="10"/>
  <c r="M126" i="10"/>
  <c r="O126" i="10"/>
  <c r="J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H138" i="10" s="1"/>
  <c r="I134" i="10"/>
  <c r="J134" i="10"/>
  <c r="J138" i="10" s="1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09" i="11"/>
  <c r="D120" i="11" s="1"/>
  <c r="E109" i="11"/>
  <c r="F109" i="11"/>
  <c r="G109" i="11"/>
  <c r="H109" i="11"/>
  <c r="I109" i="11"/>
  <c r="J109" i="11"/>
  <c r="K109" i="11"/>
  <c r="L109" i="11"/>
  <c r="L120" i="11" s="1"/>
  <c r="M109" i="11"/>
  <c r="N109" i="11"/>
  <c r="O109" i="11"/>
  <c r="D110" i="11"/>
  <c r="D121" i="11" s="1"/>
  <c r="E110" i="11"/>
  <c r="F110" i="11"/>
  <c r="G110" i="11"/>
  <c r="H110" i="11"/>
  <c r="H121" i="11" s="1"/>
  <c r="I110" i="11"/>
  <c r="J110" i="11"/>
  <c r="K110" i="11"/>
  <c r="L110" i="11"/>
  <c r="L121" i="11" s="1"/>
  <c r="M110" i="11"/>
  <c r="N110" i="11"/>
  <c r="O110" i="11"/>
  <c r="D111" i="11"/>
  <c r="D122" i="11" s="1"/>
  <c r="E111" i="11"/>
  <c r="F111" i="11"/>
  <c r="G111" i="11"/>
  <c r="H111" i="11"/>
  <c r="H122" i="11" s="1"/>
  <c r="I111" i="11"/>
  <c r="J111" i="11"/>
  <c r="K111" i="11"/>
  <c r="L111" i="11"/>
  <c r="L122" i="11" s="1"/>
  <c r="M111" i="11"/>
  <c r="N111" i="11"/>
  <c r="O111" i="11"/>
  <c r="D112" i="11"/>
  <c r="D123" i="11" s="1"/>
  <c r="E112" i="11"/>
  <c r="F112" i="11"/>
  <c r="G112" i="11"/>
  <c r="H112" i="11"/>
  <c r="H123" i="11" s="1"/>
  <c r="I112" i="11"/>
  <c r="J112" i="11"/>
  <c r="K112" i="11"/>
  <c r="L112" i="11"/>
  <c r="L123" i="11" s="1"/>
  <c r="M112" i="11"/>
  <c r="M116" i="11" s="1"/>
  <c r="N112" i="11"/>
  <c r="O112" i="11"/>
  <c r="D113" i="11"/>
  <c r="D124" i="11" s="1"/>
  <c r="E113" i="11"/>
  <c r="F113" i="11"/>
  <c r="G113" i="11"/>
  <c r="H113" i="11"/>
  <c r="H124" i="11" s="1"/>
  <c r="I113" i="11"/>
  <c r="J113" i="11"/>
  <c r="K113" i="11"/>
  <c r="L113" i="11"/>
  <c r="L124" i="11" s="1"/>
  <c r="M113" i="11"/>
  <c r="N113" i="11"/>
  <c r="O113" i="11"/>
  <c r="D114" i="11"/>
  <c r="D125" i="11" s="1"/>
  <c r="E114" i="11"/>
  <c r="F114" i="11"/>
  <c r="G114" i="11"/>
  <c r="H114" i="11"/>
  <c r="H125" i="11" s="1"/>
  <c r="I114" i="11"/>
  <c r="J114" i="11"/>
  <c r="K114" i="11"/>
  <c r="L114" i="11"/>
  <c r="L125" i="11" s="1"/>
  <c r="M114" i="11"/>
  <c r="N114" i="11"/>
  <c r="O114" i="11"/>
  <c r="D115" i="11"/>
  <c r="D126" i="11" s="1"/>
  <c r="E115" i="11"/>
  <c r="F115" i="11"/>
  <c r="G115" i="11"/>
  <c r="H115" i="11"/>
  <c r="H126" i="11" s="1"/>
  <c r="I115" i="11"/>
  <c r="J115" i="11"/>
  <c r="K115" i="11"/>
  <c r="L115" i="11"/>
  <c r="L126" i="11" s="1"/>
  <c r="M115" i="11"/>
  <c r="N115" i="11"/>
  <c r="O115" i="11"/>
  <c r="E116" i="11"/>
  <c r="G116" i="11"/>
  <c r="J116" i="11"/>
  <c r="L116" i="11"/>
  <c r="O116" i="11"/>
  <c r="E120" i="11"/>
  <c r="F120" i="11"/>
  <c r="F127" i="11" s="1"/>
  <c r="G120" i="11"/>
  <c r="I120" i="11"/>
  <c r="I127" i="11" s="1"/>
  <c r="J120" i="11"/>
  <c r="K120" i="11"/>
  <c r="M120" i="11"/>
  <c r="N120" i="11"/>
  <c r="O120" i="11"/>
  <c r="E121" i="11"/>
  <c r="F121" i="11"/>
  <c r="G121" i="11"/>
  <c r="I121" i="11"/>
  <c r="J121" i="11"/>
  <c r="J127" i="11" s="1"/>
  <c r="K121" i="11"/>
  <c r="M121" i="11"/>
  <c r="N121" i="11"/>
  <c r="O121" i="11"/>
  <c r="E122" i="11"/>
  <c r="F122" i="11"/>
  <c r="G122" i="11"/>
  <c r="I122" i="11"/>
  <c r="J122" i="11"/>
  <c r="K122" i="11"/>
  <c r="M122" i="11"/>
  <c r="N122" i="11"/>
  <c r="O122" i="11"/>
  <c r="E123" i="11"/>
  <c r="F123" i="11"/>
  <c r="G123" i="11"/>
  <c r="I123" i="11"/>
  <c r="J123" i="11"/>
  <c r="K123" i="11"/>
  <c r="M123" i="11"/>
  <c r="N123" i="11"/>
  <c r="O123" i="11"/>
  <c r="E124" i="11"/>
  <c r="F124" i="11"/>
  <c r="G124" i="11"/>
  <c r="I124" i="11"/>
  <c r="J124" i="11"/>
  <c r="K124" i="11"/>
  <c r="M124" i="11"/>
  <c r="N124" i="11"/>
  <c r="O124" i="11"/>
  <c r="E125" i="11"/>
  <c r="F125" i="11"/>
  <c r="G125" i="11"/>
  <c r="I125" i="11"/>
  <c r="J125" i="11"/>
  <c r="K125" i="11"/>
  <c r="M125" i="11"/>
  <c r="N125" i="11"/>
  <c r="O125" i="11"/>
  <c r="E126" i="11"/>
  <c r="F126" i="11"/>
  <c r="G126" i="11"/>
  <c r="I126" i="11"/>
  <c r="J126" i="11"/>
  <c r="K126" i="11"/>
  <c r="M126" i="11"/>
  <c r="N126" i="11"/>
  <c r="O126" i="11"/>
  <c r="E127" i="11"/>
  <c r="M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M138" i="11" s="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G138" i="11"/>
  <c r="J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D121" i="12" s="1"/>
  <c r="E110" i="12"/>
  <c r="E121" i="12" s="1"/>
  <c r="F110" i="12"/>
  <c r="G110" i="12"/>
  <c r="H110" i="12"/>
  <c r="I110" i="12"/>
  <c r="J110" i="12"/>
  <c r="K110" i="12"/>
  <c r="L110" i="12"/>
  <c r="M110" i="12"/>
  <c r="M121" i="12" s="1"/>
  <c r="N110" i="12"/>
  <c r="O110" i="12"/>
  <c r="D111" i="12"/>
  <c r="D122" i="12" s="1"/>
  <c r="E111" i="12"/>
  <c r="F111" i="12"/>
  <c r="F122" i="12" s="1"/>
  <c r="G111" i="12"/>
  <c r="H111" i="12"/>
  <c r="I111" i="12"/>
  <c r="I122" i="12" s="1"/>
  <c r="J111" i="12"/>
  <c r="K111" i="12"/>
  <c r="K122" i="12" s="1"/>
  <c r="L111" i="12"/>
  <c r="L122" i="12" s="1"/>
  <c r="M111" i="12"/>
  <c r="N111" i="12"/>
  <c r="N122" i="12" s="1"/>
  <c r="O111" i="12"/>
  <c r="D112" i="12"/>
  <c r="E112" i="12"/>
  <c r="E123" i="12" s="1"/>
  <c r="F112" i="12"/>
  <c r="G112" i="12"/>
  <c r="G123" i="12" s="1"/>
  <c r="H112" i="12"/>
  <c r="H123" i="12" s="1"/>
  <c r="I112" i="12"/>
  <c r="J112" i="12"/>
  <c r="J123" i="12" s="1"/>
  <c r="K112" i="12"/>
  <c r="L112" i="12"/>
  <c r="M112" i="12"/>
  <c r="M123" i="12" s="1"/>
  <c r="N112" i="12"/>
  <c r="O112" i="12"/>
  <c r="O123" i="12" s="1"/>
  <c r="D113" i="12"/>
  <c r="D124" i="12" s="1"/>
  <c r="E113" i="12"/>
  <c r="F113" i="12"/>
  <c r="F124" i="12" s="1"/>
  <c r="G113" i="12"/>
  <c r="H113" i="12"/>
  <c r="I113" i="12"/>
  <c r="I124" i="12" s="1"/>
  <c r="J113" i="12"/>
  <c r="K113" i="12"/>
  <c r="K124" i="12" s="1"/>
  <c r="L113" i="12"/>
  <c r="L124" i="12" s="1"/>
  <c r="M113" i="12"/>
  <c r="N113" i="12"/>
  <c r="N124" i="12" s="1"/>
  <c r="O113" i="12"/>
  <c r="D114" i="12"/>
  <c r="E114" i="12"/>
  <c r="E125" i="12" s="1"/>
  <c r="F114" i="12"/>
  <c r="G114" i="12"/>
  <c r="G125" i="12" s="1"/>
  <c r="H114" i="12"/>
  <c r="H125" i="12" s="1"/>
  <c r="I114" i="12"/>
  <c r="J114" i="12"/>
  <c r="J125" i="12" s="1"/>
  <c r="K114" i="12"/>
  <c r="L114" i="12"/>
  <c r="M114" i="12"/>
  <c r="M125" i="12" s="1"/>
  <c r="N114" i="12"/>
  <c r="O114" i="12"/>
  <c r="O125" i="12" s="1"/>
  <c r="D115" i="12"/>
  <c r="D126" i="12" s="1"/>
  <c r="E115" i="12"/>
  <c r="F115" i="12"/>
  <c r="F126" i="12" s="1"/>
  <c r="G115" i="12"/>
  <c r="H115" i="12"/>
  <c r="H126" i="12" s="1"/>
  <c r="I115" i="12"/>
  <c r="I126" i="12" s="1"/>
  <c r="J115" i="12"/>
  <c r="K115" i="12"/>
  <c r="K126" i="12" s="1"/>
  <c r="L115" i="12"/>
  <c r="L126" i="12" s="1"/>
  <c r="M115" i="12"/>
  <c r="N115" i="12"/>
  <c r="N126" i="12" s="1"/>
  <c r="O115" i="12"/>
  <c r="E116" i="12"/>
  <c r="M116" i="12"/>
  <c r="E120" i="12"/>
  <c r="G120" i="12"/>
  <c r="H120" i="12"/>
  <c r="J120" i="12"/>
  <c r="M120" i="12"/>
  <c r="O120" i="12"/>
  <c r="F121" i="12"/>
  <c r="I121" i="12"/>
  <c r="K121" i="12"/>
  <c r="L121" i="12"/>
  <c r="N121" i="12"/>
  <c r="E122" i="12"/>
  <c r="G122" i="12"/>
  <c r="H122" i="12"/>
  <c r="J122" i="12"/>
  <c r="M122" i="12"/>
  <c r="O122" i="12"/>
  <c r="D123" i="12"/>
  <c r="F123" i="12"/>
  <c r="I123" i="12"/>
  <c r="K123" i="12"/>
  <c r="L123" i="12"/>
  <c r="N123" i="12"/>
  <c r="E124" i="12"/>
  <c r="G124" i="12"/>
  <c r="H124" i="12"/>
  <c r="J124" i="12"/>
  <c r="M124" i="12"/>
  <c r="O124" i="12"/>
  <c r="D125" i="12"/>
  <c r="F125" i="12"/>
  <c r="I125" i="12"/>
  <c r="K125" i="12"/>
  <c r="L125" i="12"/>
  <c r="N125" i="12"/>
  <c r="E126" i="12"/>
  <c r="G126" i="12"/>
  <c r="J126" i="12"/>
  <c r="M126" i="12"/>
  <c r="O126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J138" i="12"/>
  <c r="M138" i="12"/>
  <c r="D109" i="13"/>
  <c r="D120" i="13" s="1"/>
  <c r="E109" i="13"/>
  <c r="F109" i="13"/>
  <c r="G109" i="13"/>
  <c r="H109" i="13"/>
  <c r="I109" i="13"/>
  <c r="J109" i="13"/>
  <c r="K109" i="13"/>
  <c r="L109" i="13"/>
  <c r="L120" i="13" s="1"/>
  <c r="M109" i="13"/>
  <c r="N109" i="13"/>
  <c r="O109" i="13"/>
  <c r="D110" i="13"/>
  <c r="D121" i="13" s="1"/>
  <c r="E110" i="13"/>
  <c r="F110" i="13"/>
  <c r="G110" i="13"/>
  <c r="H110" i="13"/>
  <c r="H121" i="13" s="1"/>
  <c r="I110" i="13"/>
  <c r="J110" i="13"/>
  <c r="K110" i="13"/>
  <c r="L110" i="13"/>
  <c r="M110" i="13"/>
  <c r="N110" i="13"/>
  <c r="O110" i="13"/>
  <c r="D111" i="13"/>
  <c r="D122" i="13" s="1"/>
  <c r="E111" i="13"/>
  <c r="F111" i="13"/>
  <c r="G111" i="13"/>
  <c r="H111" i="13"/>
  <c r="H122" i="13" s="1"/>
  <c r="I111" i="13"/>
  <c r="J111" i="13"/>
  <c r="K111" i="13"/>
  <c r="L111" i="13"/>
  <c r="L122" i="13" s="1"/>
  <c r="M111" i="13"/>
  <c r="N111" i="13"/>
  <c r="O111" i="13"/>
  <c r="D112" i="13"/>
  <c r="E112" i="13"/>
  <c r="F112" i="13"/>
  <c r="G112" i="13"/>
  <c r="H112" i="13"/>
  <c r="H123" i="13" s="1"/>
  <c r="I112" i="13"/>
  <c r="J112" i="13"/>
  <c r="K112" i="13"/>
  <c r="L112" i="13"/>
  <c r="L123" i="13" s="1"/>
  <c r="M112" i="13"/>
  <c r="M116" i="13" s="1"/>
  <c r="N112" i="13"/>
  <c r="O112" i="13"/>
  <c r="D113" i="13"/>
  <c r="D124" i="13" s="1"/>
  <c r="E113" i="13"/>
  <c r="F113" i="13"/>
  <c r="G113" i="13"/>
  <c r="H113" i="13"/>
  <c r="I113" i="13"/>
  <c r="J113" i="13"/>
  <c r="K113" i="13"/>
  <c r="L113" i="13"/>
  <c r="L124" i="13" s="1"/>
  <c r="M113" i="13"/>
  <c r="N113" i="13"/>
  <c r="O113" i="13"/>
  <c r="D114" i="13"/>
  <c r="D125" i="13" s="1"/>
  <c r="E114" i="13"/>
  <c r="F114" i="13"/>
  <c r="G114" i="13"/>
  <c r="H114" i="13"/>
  <c r="H125" i="13" s="1"/>
  <c r="I114" i="13"/>
  <c r="J114" i="13"/>
  <c r="K114" i="13"/>
  <c r="L114" i="13"/>
  <c r="M114" i="13"/>
  <c r="N114" i="13"/>
  <c r="O114" i="13"/>
  <c r="D115" i="13"/>
  <c r="D126" i="13" s="1"/>
  <c r="E115" i="13"/>
  <c r="F115" i="13"/>
  <c r="G115" i="13"/>
  <c r="H115" i="13"/>
  <c r="H126" i="13" s="1"/>
  <c r="I115" i="13"/>
  <c r="J115" i="13"/>
  <c r="K115" i="13"/>
  <c r="L115" i="13"/>
  <c r="L126" i="13" s="1"/>
  <c r="M115" i="13"/>
  <c r="N115" i="13"/>
  <c r="O115" i="13"/>
  <c r="D116" i="13"/>
  <c r="E116" i="13"/>
  <c r="G116" i="13"/>
  <c r="J116" i="13"/>
  <c r="O116" i="13"/>
  <c r="E120" i="13"/>
  <c r="F120" i="13"/>
  <c r="G120" i="13"/>
  <c r="H120" i="13"/>
  <c r="I120" i="13"/>
  <c r="J120" i="13"/>
  <c r="K120" i="13"/>
  <c r="M120" i="13"/>
  <c r="N120" i="13"/>
  <c r="O120" i="13"/>
  <c r="E121" i="13"/>
  <c r="E127" i="13" s="1"/>
  <c r="F121" i="13"/>
  <c r="G121" i="13"/>
  <c r="I121" i="13"/>
  <c r="J121" i="13"/>
  <c r="K121" i="13"/>
  <c r="L121" i="13"/>
  <c r="M121" i="13"/>
  <c r="N121" i="13"/>
  <c r="O121" i="13"/>
  <c r="E122" i="13"/>
  <c r="F122" i="13"/>
  <c r="G122" i="13"/>
  <c r="I122" i="13"/>
  <c r="J122" i="13"/>
  <c r="K122" i="13"/>
  <c r="M122" i="13"/>
  <c r="N122" i="13"/>
  <c r="O122" i="13"/>
  <c r="D123" i="13"/>
  <c r="D127" i="13" s="1"/>
  <c r="E123" i="13"/>
  <c r="F123" i="13"/>
  <c r="G123" i="13"/>
  <c r="I123" i="13"/>
  <c r="J123" i="13"/>
  <c r="K123" i="13"/>
  <c r="M123" i="13"/>
  <c r="N123" i="13"/>
  <c r="O123" i="13"/>
  <c r="E124" i="13"/>
  <c r="F124" i="13"/>
  <c r="G124" i="13"/>
  <c r="H124" i="13"/>
  <c r="I124" i="13"/>
  <c r="J124" i="13"/>
  <c r="K124" i="13"/>
  <c r="M124" i="13"/>
  <c r="N124" i="13"/>
  <c r="O124" i="13"/>
  <c r="E125" i="13"/>
  <c r="F125" i="13"/>
  <c r="G125" i="13"/>
  <c r="I125" i="13"/>
  <c r="J125" i="13"/>
  <c r="J127" i="13" s="1"/>
  <c r="K125" i="13"/>
  <c r="L125" i="13"/>
  <c r="M125" i="13"/>
  <c r="N125" i="13"/>
  <c r="O125" i="13"/>
  <c r="E126" i="13"/>
  <c r="F126" i="13"/>
  <c r="G126" i="13"/>
  <c r="I126" i="13"/>
  <c r="J126" i="13"/>
  <c r="K126" i="13"/>
  <c r="M126" i="13"/>
  <c r="N126" i="13"/>
  <c r="O126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M138" i="13" s="1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G138" i="13"/>
  <c r="J138" i="13"/>
  <c r="O138" i="13"/>
  <c r="AZ14" i="14"/>
  <c r="AY259" i="14" s="1"/>
  <c r="AY181" i="14"/>
  <c r="AY179" i="14"/>
  <c r="AY177" i="14"/>
  <c r="AY260" i="14" s="1"/>
  <c r="AY175" i="14"/>
  <c r="AX259" i="14"/>
  <c r="AY14" i="14"/>
  <c r="AX181" i="14"/>
  <c r="AX179" i="14"/>
  <c r="AX177" i="14"/>
  <c r="AX175" i="14"/>
  <c r="AX260" i="14" s="1"/>
  <c r="AW259" i="14"/>
  <c r="AX14" i="14"/>
  <c r="AW181" i="14"/>
  <c r="AW179" i="14"/>
  <c r="AW177" i="14"/>
  <c r="AW175" i="14"/>
  <c r="AW14" i="14"/>
  <c r="AV259" i="14" s="1"/>
  <c r="AV181" i="14"/>
  <c r="AV179" i="14"/>
  <c r="AV177" i="14"/>
  <c r="AV175" i="14"/>
  <c r="AU259" i="14"/>
  <c r="AV14" i="14"/>
  <c r="AU181" i="14"/>
  <c r="AU179" i="14"/>
  <c r="AU177" i="14"/>
  <c r="AU175" i="14"/>
  <c r="AU260" i="14" s="1"/>
  <c r="AT259" i="14"/>
  <c r="AU14" i="14"/>
  <c r="AT181" i="14"/>
  <c r="AT179" i="14"/>
  <c r="AT177" i="14"/>
  <c r="AT175" i="14"/>
  <c r="AT260" i="14" s="1"/>
  <c r="AT14" i="14"/>
  <c r="AS259" i="14" s="1"/>
  <c r="AS181" i="14"/>
  <c r="AS179" i="14"/>
  <c r="AS177" i="14"/>
  <c r="AS175" i="14"/>
  <c r="AR259" i="14"/>
  <c r="AS14" i="14"/>
  <c r="AR181" i="14"/>
  <c r="AR179" i="14"/>
  <c r="AR177" i="14"/>
  <c r="AR175" i="14"/>
  <c r="AQ260" i="14"/>
  <c r="AR14" i="14"/>
  <c r="AQ259" i="14" s="1"/>
  <c r="AQ181" i="14"/>
  <c r="AQ179" i="14"/>
  <c r="AQ177" i="14"/>
  <c r="AQ175" i="14"/>
  <c r="AP260" i="14"/>
  <c r="AP259" i="14"/>
  <c r="AQ14" i="14"/>
  <c r="AP181" i="14"/>
  <c r="AP179" i="14"/>
  <c r="AP177" i="14"/>
  <c r="AP175" i="14"/>
  <c r="AP14" i="14"/>
  <c r="AO259" i="14" s="1"/>
  <c r="AO181" i="14"/>
  <c r="AO179" i="14"/>
  <c r="AO177" i="14"/>
  <c r="AO175" i="14"/>
  <c r="AN260" i="14"/>
  <c r="AO14" i="14"/>
  <c r="AN259" i="14" s="1"/>
  <c r="AN181" i="14"/>
  <c r="AN179" i="14"/>
  <c r="AN177" i="14"/>
  <c r="AN175" i="14"/>
  <c r="AM259" i="14"/>
  <c r="AN14" i="14"/>
  <c r="AM181" i="14"/>
  <c r="AM179" i="14"/>
  <c r="AM177" i="14"/>
  <c r="AM175" i="14"/>
  <c r="AM260" i="14" s="1"/>
  <c r="AL259" i="14"/>
  <c r="AM14" i="14"/>
  <c r="AL181" i="14"/>
  <c r="AL179" i="14"/>
  <c r="AL177" i="14"/>
  <c r="AL175" i="14"/>
  <c r="AL260" i="14" s="1"/>
  <c r="AL14" i="14"/>
  <c r="AK259" i="14" s="1"/>
  <c r="AK181" i="14"/>
  <c r="AK179" i="14"/>
  <c r="AK177" i="14"/>
  <c r="AK260" i="14" s="1"/>
  <c r="AK175" i="14"/>
  <c r="AJ259" i="14"/>
  <c r="AK14" i="14"/>
  <c r="AJ181" i="14"/>
  <c r="AJ179" i="14"/>
  <c r="AJ177" i="14"/>
  <c r="AJ175" i="14"/>
  <c r="AJ14" i="14"/>
  <c r="AI259" i="14" s="1"/>
  <c r="AI181" i="14"/>
  <c r="AI179" i="14"/>
  <c r="AI260" i="14" s="1"/>
  <c r="AI177" i="14"/>
  <c r="AI175" i="14"/>
  <c r="AH259" i="14"/>
  <c r="AI14" i="14"/>
  <c r="AH181" i="14"/>
  <c r="AH179" i="14"/>
  <c r="AH177" i="14"/>
  <c r="AH175" i="14"/>
  <c r="AH260" i="14" s="1"/>
  <c r="AH14" i="14"/>
  <c r="AG259" i="14" s="1"/>
  <c r="AG181" i="14"/>
  <c r="AG179" i="14"/>
  <c r="AG177" i="14"/>
  <c r="AG175" i="14"/>
  <c r="AF260" i="14"/>
  <c r="AG14" i="14"/>
  <c r="AF259" i="14" s="1"/>
  <c r="AF181" i="14"/>
  <c r="AF179" i="14"/>
  <c r="AF177" i="14"/>
  <c r="AF175" i="14"/>
  <c r="AE260" i="14"/>
  <c r="AE259" i="14"/>
  <c r="AF14" i="14"/>
  <c r="AE181" i="14"/>
  <c r="AE179" i="14"/>
  <c r="AE177" i="14"/>
  <c r="AE175" i="14"/>
  <c r="AE14" i="14"/>
  <c r="AD259" i="14" s="1"/>
  <c r="AD181" i="14"/>
  <c r="AD179" i="14"/>
  <c r="AD177" i="14"/>
  <c r="AD175" i="14"/>
  <c r="AD14" i="14"/>
  <c r="AC259" i="14" s="1"/>
  <c r="AC181" i="14"/>
  <c r="AC179" i="14"/>
  <c r="AC177" i="14"/>
  <c r="AC175" i="14"/>
  <c r="AB259" i="14"/>
  <c r="AC14" i="14"/>
  <c r="AB181" i="14"/>
  <c r="AB179" i="14"/>
  <c r="AB177" i="14"/>
  <c r="AB175" i="14"/>
  <c r="AB260" i="14" s="1"/>
  <c r="AB14" i="14"/>
  <c r="AA259" i="14" s="1"/>
  <c r="AA181" i="14"/>
  <c r="AA179" i="14"/>
  <c r="AA177" i="14"/>
  <c r="AA260" i="14" s="1"/>
  <c r="AA175" i="14"/>
  <c r="Z259" i="14"/>
  <c r="AA14" i="14"/>
  <c r="Z181" i="14"/>
  <c r="Z179" i="14"/>
  <c r="Z177" i="14"/>
  <c r="Z175" i="14"/>
  <c r="Z260" i="14" s="1"/>
  <c r="Z14" i="14"/>
  <c r="Y259" i="14" s="1"/>
  <c r="Y181" i="14"/>
  <c r="Y179" i="14"/>
  <c r="Y177" i="14"/>
  <c r="Y175" i="14"/>
  <c r="Y260" i="14" s="1"/>
  <c r="Y14" i="14"/>
  <c r="X259" i="14" s="1"/>
  <c r="X181" i="14"/>
  <c r="X179" i="14"/>
  <c r="X177" i="14"/>
  <c r="X260" i="14" s="1"/>
  <c r="X175" i="14"/>
  <c r="W259" i="14"/>
  <c r="X14" i="14"/>
  <c r="W181" i="14"/>
  <c r="W179" i="14"/>
  <c r="W177" i="14"/>
  <c r="W175" i="14"/>
  <c r="W260" i="14" s="1"/>
  <c r="W14" i="14"/>
  <c r="V259" i="14" s="1"/>
  <c r="V181" i="14"/>
  <c r="V179" i="14"/>
  <c r="V177" i="14"/>
  <c r="V175" i="14"/>
  <c r="U260" i="14"/>
  <c r="V14" i="14"/>
  <c r="U259" i="14" s="1"/>
  <c r="U181" i="14"/>
  <c r="U179" i="14"/>
  <c r="U177" i="14"/>
  <c r="U175" i="14"/>
  <c r="T259" i="14"/>
  <c r="U14" i="14"/>
  <c r="T181" i="14"/>
  <c r="T179" i="14"/>
  <c r="T177" i="14"/>
  <c r="T175" i="14"/>
  <c r="T14" i="14"/>
  <c r="S259" i="14" s="1"/>
  <c r="S181" i="14"/>
  <c r="S179" i="14"/>
  <c r="S177" i="14"/>
  <c r="S260" i="14" s="1"/>
  <c r="S175" i="14"/>
  <c r="R259" i="14"/>
  <c r="S14" i="14"/>
  <c r="R181" i="14"/>
  <c r="R179" i="14"/>
  <c r="R177" i="14"/>
  <c r="R175" i="14"/>
  <c r="R260" i="14" s="1"/>
  <c r="Q259" i="14"/>
  <c r="R14" i="14"/>
  <c r="Q181" i="14"/>
  <c r="Q179" i="14"/>
  <c r="Q177" i="14"/>
  <c r="Q175" i="14"/>
  <c r="Q260" i="14" s="1"/>
  <c r="Q14" i="14"/>
  <c r="P259" i="14" s="1"/>
  <c r="P181" i="14"/>
  <c r="P179" i="14"/>
  <c r="P177" i="14"/>
  <c r="P175" i="14"/>
  <c r="O259" i="14"/>
  <c r="P14" i="14"/>
  <c r="O181" i="14"/>
  <c r="O179" i="14"/>
  <c r="O177" i="14"/>
  <c r="O175" i="14"/>
  <c r="N259" i="14"/>
  <c r="O14" i="14"/>
  <c r="N181" i="14"/>
  <c r="N179" i="14"/>
  <c r="N177" i="14"/>
  <c r="N175" i="14"/>
  <c r="N14" i="14"/>
  <c r="M259" i="14" s="1"/>
  <c r="M181" i="14"/>
  <c r="M179" i="14"/>
  <c r="M177" i="14"/>
  <c r="M175" i="14"/>
  <c r="L259" i="14"/>
  <c r="M14" i="14"/>
  <c r="L181" i="14"/>
  <c r="L179" i="14"/>
  <c r="L177" i="14"/>
  <c r="L175" i="14"/>
  <c r="K260" i="14"/>
  <c r="L14" i="14"/>
  <c r="K259" i="14" s="1"/>
  <c r="K181" i="14"/>
  <c r="K179" i="14"/>
  <c r="K177" i="14"/>
  <c r="K175" i="14"/>
  <c r="J259" i="14"/>
  <c r="K14" i="14"/>
  <c r="J181" i="14"/>
  <c r="J179" i="14"/>
  <c r="J177" i="14"/>
  <c r="J260" i="14" s="1"/>
  <c r="J175" i="14"/>
  <c r="J14" i="14"/>
  <c r="I181" i="14"/>
  <c r="I179" i="14"/>
  <c r="I177" i="14"/>
  <c r="I175" i="14"/>
  <c r="I260" i="14" s="1"/>
  <c r="H260" i="14"/>
  <c r="I14" i="14"/>
  <c r="H259" i="14" s="1"/>
  <c r="H181" i="14"/>
  <c r="H179" i="14"/>
  <c r="H177" i="14"/>
  <c r="H175" i="14"/>
  <c r="G259" i="14"/>
  <c r="H14" i="14"/>
  <c r="G181" i="14"/>
  <c r="G179" i="14"/>
  <c r="G177" i="14"/>
  <c r="G175" i="14"/>
  <c r="G260" i="14" s="1"/>
  <c r="F259" i="14"/>
  <c r="G14" i="14"/>
  <c r="F181" i="14"/>
  <c r="F179" i="14"/>
  <c r="F177" i="14"/>
  <c r="F175" i="14"/>
  <c r="F14" i="14"/>
  <c r="E259" i="14" s="1"/>
  <c r="E181" i="14"/>
  <c r="E179" i="14"/>
  <c r="E177" i="14"/>
  <c r="E175" i="14"/>
  <c r="E260" i="14" s="1"/>
  <c r="D259" i="14"/>
  <c r="E14" i="14"/>
  <c r="D181" i="14"/>
  <c r="D179" i="14"/>
  <c r="D177" i="14"/>
  <c r="D175" i="14"/>
  <c r="AZ14" i="15"/>
  <c r="AY259" i="15" s="1"/>
  <c r="AY181" i="15"/>
  <c r="AY179" i="15"/>
  <c r="AY177" i="15"/>
  <c r="AY260" i="15" s="1"/>
  <c r="AY175" i="15"/>
  <c r="AX259" i="15"/>
  <c r="AY14" i="15"/>
  <c r="AX181" i="15"/>
  <c r="AX179" i="15"/>
  <c r="AX177" i="15"/>
  <c r="AX175" i="15"/>
  <c r="AX260" i="15" s="1"/>
  <c r="AX14" i="15"/>
  <c r="AW259" i="15" s="1"/>
  <c r="AW181" i="15"/>
  <c r="AW179" i="15"/>
  <c r="AW177" i="15"/>
  <c r="AW175" i="15"/>
  <c r="AV260" i="15"/>
  <c r="AW14" i="15"/>
  <c r="AV259" i="15" s="1"/>
  <c r="AV181" i="15"/>
  <c r="AV179" i="15"/>
  <c r="AV177" i="15"/>
  <c r="AV175" i="15"/>
  <c r="AU260" i="15"/>
  <c r="AU259" i="15"/>
  <c r="AV14" i="15"/>
  <c r="AU181" i="15"/>
  <c r="AU179" i="15"/>
  <c r="AU177" i="15"/>
  <c r="AU175" i="15"/>
  <c r="AT259" i="15"/>
  <c r="AU14" i="15"/>
  <c r="AT181" i="15"/>
  <c r="AT179" i="15"/>
  <c r="AT177" i="15"/>
  <c r="AT175" i="15"/>
  <c r="AS260" i="15"/>
  <c r="AT14" i="15"/>
  <c r="AS259" i="15" s="1"/>
  <c r="AS181" i="15"/>
  <c r="AS179" i="15"/>
  <c r="AS177" i="15"/>
  <c r="AS175" i="15"/>
  <c r="AR259" i="15"/>
  <c r="AS14" i="15"/>
  <c r="AR181" i="15"/>
  <c r="AR179" i="15"/>
  <c r="AR177" i="15"/>
  <c r="AR175" i="15"/>
  <c r="AR14" i="15"/>
  <c r="AQ259" i="15" s="1"/>
  <c r="AQ181" i="15"/>
  <c r="AQ179" i="15"/>
  <c r="AQ177" i="15"/>
  <c r="AQ260" i="15" s="1"/>
  <c r="AQ175" i="15"/>
  <c r="AP259" i="15"/>
  <c r="AQ14" i="15"/>
  <c r="AP181" i="15"/>
  <c r="AP179" i="15"/>
  <c r="AP177" i="15"/>
  <c r="AP175" i="15"/>
  <c r="AP260" i="15" s="1"/>
  <c r="AP14" i="15"/>
  <c r="AO259" i="15" s="1"/>
  <c r="AO181" i="15"/>
  <c r="AO179" i="15"/>
  <c r="AO177" i="15"/>
  <c r="AO175" i="15"/>
  <c r="AO260" i="15" s="1"/>
  <c r="AO14" i="15"/>
  <c r="AN259" i="15" s="1"/>
  <c r="AN181" i="15"/>
  <c r="AN179" i="15"/>
  <c r="AN177" i="15"/>
  <c r="AN260" i="15" s="1"/>
  <c r="AN175" i="15"/>
  <c r="AM259" i="15"/>
  <c r="AN14" i="15"/>
  <c r="AM181" i="15"/>
  <c r="AM179" i="15"/>
  <c r="AM177" i="15"/>
  <c r="AM175" i="15"/>
  <c r="AM14" i="15"/>
  <c r="AL259" i="15" s="1"/>
  <c r="AL181" i="15"/>
  <c r="AL179" i="15"/>
  <c r="AL177" i="15"/>
  <c r="AL175" i="15"/>
  <c r="AL14" i="15"/>
  <c r="AK259" i="15" s="1"/>
  <c r="AK181" i="15"/>
  <c r="AK179" i="15"/>
  <c r="AK177" i="15"/>
  <c r="AK260" i="15" s="1"/>
  <c r="AK175" i="15"/>
  <c r="AJ259" i="15"/>
  <c r="AK14" i="15"/>
  <c r="AJ181" i="15"/>
  <c r="AJ179" i="15"/>
  <c r="AJ177" i="15"/>
  <c r="AJ175" i="15"/>
  <c r="AI260" i="15"/>
  <c r="AJ14" i="15"/>
  <c r="AI259" i="15" s="1"/>
  <c r="AI181" i="15"/>
  <c r="AI179" i="15"/>
  <c r="AI177" i="15"/>
  <c r="AI175" i="15"/>
  <c r="AH259" i="15"/>
  <c r="AI14" i="15"/>
  <c r="AH181" i="15"/>
  <c r="AH179" i="15"/>
  <c r="AH177" i="15"/>
  <c r="AH175" i="15"/>
  <c r="AH260" i="15" s="1"/>
  <c r="AG259" i="15"/>
  <c r="AH14" i="15"/>
  <c r="AG181" i="15"/>
  <c r="AG179" i="15"/>
  <c r="AG177" i="15"/>
  <c r="AG175" i="15"/>
  <c r="AG14" i="15"/>
  <c r="AF259" i="15" s="1"/>
  <c r="AF181" i="15"/>
  <c r="AF179" i="15"/>
  <c r="AF177" i="15"/>
  <c r="AF175" i="15"/>
  <c r="AE259" i="15"/>
  <c r="AF14" i="15"/>
  <c r="AE181" i="15"/>
  <c r="AE179" i="15"/>
  <c r="AE177" i="15"/>
  <c r="AE175" i="15"/>
  <c r="AD259" i="15"/>
  <c r="AE14" i="15"/>
  <c r="AD181" i="15"/>
  <c r="AD179" i="15"/>
  <c r="AD177" i="15"/>
  <c r="AD175" i="15"/>
  <c r="AD260" i="15" s="1"/>
  <c r="AD14" i="15"/>
  <c r="AC259" i="15" s="1"/>
  <c r="AC181" i="15"/>
  <c r="AC179" i="15"/>
  <c r="AC177" i="15"/>
  <c r="AC175" i="15"/>
  <c r="AB259" i="15"/>
  <c r="AC14" i="15"/>
  <c r="AB181" i="15"/>
  <c r="AB179" i="15"/>
  <c r="AB177" i="15"/>
  <c r="AB175" i="15"/>
  <c r="AA260" i="15"/>
  <c r="AB14" i="15"/>
  <c r="AA259" i="15" s="1"/>
  <c r="AA181" i="15"/>
  <c r="AA179" i="15"/>
  <c r="AA177" i="15"/>
  <c r="AA175" i="15"/>
  <c r="Z259" i="15"/>
  <c r="AA14" i="15"/>
  <c r="Z181" i="15"/>
  <c r="Z179" i="15"/>
  <c r="Z177" i="15"/>
  <c r="Z260" i="15" s="1"/>
  <c r="Z175" i="15"/>
  <c r="Y259" i="15"/>
  <c r="Z14" i="15"/>
  <c r="Y181" i="15"/>
  <c r="Y179" i="15"/>
  <c r="Y177" i="15"/>
  <c r="Y175" i="15"/>
  <c r="Y260" i="15" s="1"/>
  <c r="Y14" i="15"/>
  <c r="X259" i="15" s="1"/>
  <c r="X181" i="15"/>
  <c r="X260" i="15" s="1"/>
  <c r="X179" i="15"/>
  <c r="X177" i="15"/>
  <c r="X175" i="15"/>
  <c r="W259" i="15"/>
  <c r="X14" i="15"/>
  <c r="W181" i="15"/>
  <c r="W179" i="15"/>
  <c r="W177" i="15"/>
  <c r="W175" i="15"/>
  <c r="V259" i="15"/>
  <c r="W14" i="15"/>
  <c r="V181" i="15"/>
  <c r="V179" i="15"/>
  <c r="V177" i="15"/>
  <c r="V175" i="15"/>
  <c r="V260" i="15" s="1"/>
  <c r="V14" i="15"/>
  <c r="U259" i="15" s="1"/>
  <c r="U181" i="15"/>
  <c r="U179" i="15"/>
  <c r="U177" i="15"/>
  <c r="U175" i="15"/>
  <c r="U260" i="15" s="1"/>
  <c r="T259" i="15"/>
  <c r="U14" i="15"/>
  <c r="T181" i="15"/>
  <c r="T179" i="15"/>
  <c r="T177" i="15"/>
  <c r="T175" i="15"/>
  <c r="T14" i="15"/>
  <c r="S259" i="15" s="1"/>
  <c r="S181" i="15"/>
  <c r="S179" i="15"/>
  <c r="S177" i="15"/>
  <c r="S175" i="15"/>
  <c r="R259" i="15"/>
  <c r="S14" i="15"/>
  <c r="R181" i="15"/>
  <c r="R179" i="15"/>
  <c r="R177" i="15"/>
  <c r="R175" i="15"/>
  <c r="R260" i="15" s="1"/>
  <c r="R14" i="15"/>
  <c r="Q259" i="15" s="1"/>
  <c r="Q181" i="15"/>
  <c r="Q179" i="15"/>
  <c r="Q177" i="15"/>
  <c r="Q175" i="15"/>
  <c r="P260" i="15"/>
  <c r="Q14" i="15"/>
  <c r="P259" i="15" s="1"/>
  <c r="P181" i="15"/>
  <c r="P179" i="15"/>
  <c r="P177" i="15"/>
  <c r="P175" i="15"/>
  <c r="O259" i="15"/>
  <c r="P14" i="15"/>
  <c r="O181" i="15"/>
  <c r="O260" i="15" s="1"/>
  <c r="O179" i="15"/>
  <c r="O177" i="15"/>
  <c r="O175" i="15"/>
  <c r="N259" i="15"/>
  <c r="O14" i="15"/>
  <c r="N181" i="15"/>
  <c r="N179" i="15"/>
  <c r="N177" i="15"/>
  <c r="N175" i="15"/>
  <c r="N14" i="15"/>
  <c r="M259" i="15" s="1"/>
  <c r="M181" i="15"/>
  <c r="M179" i="15"/>
  <c r="M177" i="15"/>
  <c r="M175" i="15"/>
  <c r="M260" i="15" s="1"/>
  <c r="L259" i="15"/>
  <c r="M14" i="15"/>
  <c r="L181" i="15"/>
  <c r="L179" i="15"/>
  <c r="L177" i="15"/>
  <c r="L175" i="15"/>
  <c r="L260" i="15" s="1"/>
  <c r="L14" i="15"/>
  <c r="K259" i="15" s="1"/>
  <c r="K181" i="15"/>
  <c r="K179" i="15"/>
  <c r="K177" i="15"/>
  <c r="K260" i="15" s="1"/>
  <c r="K175" i="15"/>
  <c r="J260" i="15"/>
  <c r="J259" i="15"/>
  <c r="K14" i="15"/>
  <c r="J181" i="15"/>
  <c r="J179" i="15"/>
  <c r="J177" i="15"/>
  <c r="J175" i="15"/>
  <c r="J14" i="15"/>
  <c r="I259" i="15" s="1"/>
  <c r="I181" i="15"/>
  <c r="I179" i="15"/>
  <c r="I177" i="15"/>
  <c r="I175" i="15"/>
  <c r="I260" i="15" s="1"/>
  <c r="I14" i="15"/>
  <c r="H259" i="15" s="1"/>
  <c r="H181" i="15"/>
  <c r="H179" i="15"/>
  <c r="H177" i="15"/>
  <c r="H260" i="15" s="1"/>
  <c r="H175" i="15"/>
  <c r="G260" i="15"/>
  <c r="G259" i="15"/>
  <c r="H14" i="15"/>
  <c r="G181" i="15"/>
  <c r="G179" i="15"/>
  <c r="G177" i="15"/>
  <c r="G175" i="15"/>
  <c r="G14" i="15"/>
  <c r="F259" i="15" s="1"/>
  <c r="F181" i="15"/>
  <c r="F179" i="15"/>
  <c r="F177" i="15"/>
  <c r="F175" i="15"/>
  <c r="F14" i="15"/>
  <c r="E181" i="15"/>
  <c r="E179" i="15"/>
  <c r="E177" i="15"/>
  <c r="E260" i="15" s="1"/>
  <c r="E175" i="15"/>
  <c r="D259" i="15"/>
  <c r="E14" i="15"/>
  <c r="D181" i="15"/>
  <c r="D179" i="15"/>
  <c r="D177" i="15"/>
  <c r="D175" i="15"/>
  <c r="AY14" i="16"/>
  <c r="AY15" i="16"/>
  <c r="AY16" i="16"/>
  <c r="AY17" i="16"/>
  <c r="AY29" i="16"/>
  <c r="AX14" i="16"/>
  <c r="AX10" i="16" s="1"/>
  <c r="AX13" i="16" s="1"/>
  <c r="AX15" i="16"/>
  <c r="AX16" i="16"/>
  <c r="AX17" i="16"/>
  <c r="AX29" i="16"/>
  <c r="AW14" i="16"/>
  <c r="AW15" i="16"/>
  <c r="AW16" i="16"/>
  <c r="AW17" i="16"/>
  <c r="AW29" i="16"/>
  <c r="AV14" i="16"/>
  <c r="AV15" i="16"/>
  <c r="AV16" i="16"/>
  <c r="AV10" i="16"/>
  <c r="AV13" i="16" s="1"/>
  <c r="AV17" i="16"/>
  <c r="AV29" i="16"/>
  <c r="AU14" i="16"/>
  <c r="AU10" i="16" s="1"/>
  <c r="AU13" i="16" s="1"/>
  <c r="AU15" i="16"/>
  <c r="AU16" i="16"/>
  <c r="AU17" i="16"/>
  <c r="AU29" i="16"/>
  <c r="AT21" i="16"/>
  <c r="AT22" i="16"/>
  <c r="AT23" i="16"/>
  <c r="AT24" i="16"/>
  <c r="AT29" i="16"/>
  <c r="AT33" i="16"/>
  <c r="AT39" i="16" s="1"/>
  <c r="AT44" i="16"/>
  <c r="AS21" i="16"/>
  <c r="AS22" i="16"/>
  <c r="AS23" i="16"/>
  <c r="AS24" i="16"/>
  <c r="AS29" i="16"/>
  <c r="AS33" i="16"/>
  <c r="AS34" i="16"/>
  <c r="AS40" i="16" s="1"/>
  <c r="AS44" i="16"/>
  <c r="AS45" i="16"/>
  <c r="AS51" i="16"/>
  <c r="AR21" i="16"/>
  <c r="AR22" i="16"/>
  <c r="AR29" i="16"/>
  <c r="AQ14" i="16"/>
  <c r="AR15" i="16" s="1"/>
  <c r="AS16" i="16" s="1"/>
  <c r="AT17" i="16" s="1"/>
  <c r="AQ15" i="16"/>
  <c r="AR16" i="16" s="1"/>
  <c r="AS17" i="16" s="1"/>
  <c r="AQ16" i="16"/>
  <c r="AR17" i="16" s="1"/>
  <c r="AQ17" i="16"/>
  <c r="AQ29" i="16"/>
  <c r="AP14" i="16"/>
  <c r="AP15" i="16"/>
  <c r="AP16" i="16"/>
  <c r="AP10" i="16"/>
  <c r="AP13" i="16" s="1"/>
  <c r="AP17" i="16"/>
  <c r="AP29" i="16"/>
  <c r="AO14" i="16"/>
  <c r="AO15" i="16"/>
  <c r="AO10" i="16" s="1"/>
  <c r="AO16" i="16"/>
  <c r="AO13" i="16"/>
  <c r="AO17" i="16"/>
  <c r="AO29" i="16"/>
  <c r="AN14" i="16"/>
  <c r="AN15" i="16"/>
  <c r="AN16" i="16"/>
  <c r="AN10" i="16" s="1"/>
  <c r="AN13" i="16" s="1"/>
  <c r="AN17" i="16"/>
  <c r="AN29" i="16"/>
  <c r="AM14" i="16"/>
  <c r="AM15" i="16"/>
  <c r="AM16" i="16"/>
  <c r="AM10" i="16"/>
  <c r="AM13" i="16" s="1"/>
  <c r="AM17" i="16"/>
  <c r="AM29" i="16"/>
  <c r="AL15" i="16"/>
  <c r="AL16" i="16"/>
  <c r="AL21" i="16"/>
  <c r="AL23" i="16" s="1"/>
  <c r="AL22" i="16"/>
  <c r="AL24" i="16"/>
  <c r="AL29" i="16"/>
  <c r="AL33" i="16"/>
  <c r="AL39" i="16" s="1"/>
  <c r="AL44" i="16"/>
  <c r="AL50" i="16" s="1"/>
  <c r="AK14" i="16"/>
  <c r="AK15" i="16"/>
  <c r="AK16" i="16"/>
  <c r="AL17" i="16" s="1"/>
  <c r="AK17" i="16"/>
  <c r="AK21" i="16"/>
  <c r="AK29" i="16"/>
  <c r="AJ14" i="16"/>
  <c r="AJ15" i="16"/>
  <c r="AJ10" i="16" s="1"/>
  <c r="AJ13" i="16" s="1"/>
  <c r="AJ16" i="16"/>
  <c r="AJ17" i="16"/>
  <c r="AJ29" i="16"/>
  <c r="AI14" i="16"/>
  <c r="AI10" i="16" s="1"/>
  <c r="AI15" i="16"/>
  <c r="AI16" i="16"/>
  <c r="AI13" i="16"/>
  <c r="AI17" i="16"/>
  <c r="AI29" i="16"/>
  <c r="AH14" i="16"/>
  <c r="AH15" i="16"/>
  <c r="AH16" i="16"/>
  <c r="AH10" i="16"/>
  <c r="AH13" i="16" s="1"/>
  <c r="AH17" i="16"/>
  <c r="AH29" i="16"/>
  <c r="AG14" i="16"/>
  <c r="AG15" i="16"/>
  <c r="AG16" i="16"/>
  <c r="AG17" i="16"/>
  <c r="AG29" i="16"/>
  <c r="AF14" i="16"/>
  <c r="AF15" i="16"/>
  <c r="AF16" i="16"/>
  <c r="AF17" i="16"/>
  <c r="AF29" i="16"/>
  <c r="AE14" i="16"/>
  <c r="AE15" i="16"/>
  <c r="AE16" i="16"/>
  <c r="AE10" i="16"/>
  <c r="AE13" i="16"/>
  <c r="AE17" i="16"/>
  <c r="AE29" i="16"/>
  <c r="AD14" i="16"/>
  <c r="AD15" i="16"/>
  <c r="AD16" i="16"/>
  <c r="AD17" i="16"/>
  <c r="AD29" i="16"/>
  <c r="AC14" i="16"/>
  <c r="AC15" i="16"/>
  <c r="AC10" i="16" s="1"/>
  <c r="AC13" i="16" s="1"/>
  <c r="AC16" i="16"/>
  <c r="AC17" i="16"/>
  <c r="AC29" i="16"/>
  <c r="AB14" i="16"/>
  <c r="AB15" i="16"/>
  <c r="AB16" i="16"/>
  <c r="AB10" i="16"/>
  <c r="AB13" i="16" s="1"/>
  <c r="AB17" i="16"/>
  <c r="AB29" i="16"/>
  <c r="AA14" i="16"/>
  <c r="AA15" i="16"/>
  <c r="AA16" i="16"/>
  <c r="AA17" i="16"/>
  <c r="AA29" i="16"/>
  <c r="Z14" i="16"/>
  <c r="Z15" i="16"/>
  <c r="Z16" i="16"/>
  <c r="Z10" i="16" s="1"/>
  <c r="Z13" i="16" s="1"/>
  <c r="Z17" i="16"/>
  <c r="Z29" i="16"/>
  <c r="Y14" i="16"/>
  <c r="Y15" i="16"/>
  <c r="Y10" i="16" s="1"/>
  <c r="Y13" i="16" s="1"/>
  <c r="Y16" i="16"/>
  <c r="Y17" i="16"/>
  <c r="Y29" i="16"/>
  <c r="X14" i="16"/>
  <c r="X15" i="16"/>
  <c r="X16" i="16"/>
  <c r="X17" i="16"/>
  <c r="X22" i="16"/>
  <c r="X29" i="16"/>
  <c r="W14" i="16"/>
  <c r="W15" i="16"/>
  <c r="W10" i="16" s="1"/>
  <c r="W13" i="16" s="1"/>
  <c r="W16" i="16"/>
  <c r="W17" i="16"/>
  <c r="W29" i="16"/>
  <c r="V14" i="16"/>
  <c r="V15" i="16"/>
  <c r="V10" i="16" s="1"/>
  <c r="V16" i="16"/>
  <c r="V13" i="16"/>
  <c r="V17" i="16"/>
  <c r="V29" i="16"/>
  <c r="U14" i="16"/>
  <c r="U10" i="16" s="1"/>
  <c r="U13" i="16" s="1"/>
  <c r="U15" i="16"/>
  <c r="U16" i="16"/>
  <c r="U17" i="16"/>
  <c r="U29" i="16"/>
  <c r="T14" i="16"/>
  <c r="T15" i="16"/>
  <c r="T10" i="16" s="1"/>
  <c r="T13" i="16" s="1"/>
  <c r="T16" i="16"/>
  <c r="T17" i="16"/>
  <c r="T29" i="16"/>
  <c r="S14" i="16"/>
  <c r="S10" i="16" s="1"/>
  <c r="S15" i="16"/>
  <c r="S16" i="16"/>
  <c r="S13" i="16"/>
  <c r="S17" i="16"/>
  <c r="S29" i="16"/>
  <c r="R14" i="16"/>
  <c r="R10" i="16" s="1"/>
  <c r="R13" i="16" s="1"/>
  <c r="R15" i="16"/>
  <c r="R16" i="16"/>
  <c r="R17" i="16"/>
  <c r="R29" i="16"/>
  <c r="Q14" i="16"/>
  <c r="Q15" i="16"/>
  <c r="Q10" i="16" s="1"/>
  <c r="Q13" i="16" s="1"/>
  <c r="Q16" i="16"/>
  <c r="Q17" i="16"/>
  <c r="Q22" i="16"/>
  <c r="Q29" i="16"/>
  <c r="P14" i="16"/>
  <c r="P10" i="16" s="1"/>
  <c r="P15" i="16"/>
  <c r="P16" i="16"/>
  <c r="P13" i="16"/>
  <c r="Q21" i="16" s="1"/>
  <c r="P17" i="16"/>
  <c r="P29" i="16"/>
  <c r="O14" i="16"/>
  <c r="O15" i="16"/>
  <c r="O16" i="16"/>
  <c r="O17" i="16"/>
  <c r="O29" i="16"/>
  <c r="N14" i="16"/>
  <c r="N15" i="16"/>
  <c r="N10" i="16" s="1"/>
  <c r="N13" i="16" s="1"/>
  <c r="N16" i="16"/>
  <c r="N17" i="16"/>
  <c r="N29" i="16"/>
  <c r="M14" i="16"/>
  <c r="M15" i="16"/>
  <c r="M16" i="16"/>
  <c r="M10" i="16" s="1"/>
  <c r="M13" i="16"/>
  <c r="M17" i="16"/>
  <c r="M29" i="16"/>
  <c r="L14" i="16"/>
  <c r="L10" i="16" s="1"/>
  <c r="L15" i="16"/>
  <c r="L16" i="16"/>
  <c r="L13" i="16"/>
  <c r="L17" i="16"/>
  <c r="L29" i="16"/>
  <c r="K14" i="16"/>
  <c r="K10" i="16" s="1"/>
  <c r="K13" i="16" s="1"/>
  <c r="K15" i="16"/>
  <c r="K16" i="16"/>
  <c r="K17" i="16"/>
  <c r="K29" i="16"/>
  <c r="J14" i="16"/>
  <c r="J15" i="16"/>
  <c r="J16" i="16"/>
  <c r="J10" i="16" s="1"/>
  <c r="J13" i="16" s="1"/>
  <c r="J17" i="16"/>
  <c r="J29" i="16"/>
  <c r="I14" i="16"/>
  <c r="I10" i="16" s="1"/>
  <c r="I15" i="16"/>
  <c r="I16" i="16"/>
  <c r="I13" i="16"/>
  <c r="J21" i="16" s="1"/>
  <c r="I17" i="16"/>
  <c r="I29" i="16"/>
  <c r="H14" i="16"/>
  <c r="H15" i="16"/>
  <c r="H16" i="16"/>
  <c r="H17" i="16"/>
  <c r="H29" i="16"/>
  <c r="G14" i="16"/>
  <c r="G15" i="16"/>
  <c r="G16" i="16"/>
  <c r="G10" i="16"/>
  <c r="G13" i="16" s="1"/>
  <c r="G17" i="16"/>
  <c r="G21" i="16"/>
  <c r="G29" i="16"/>
  <c r="F14" i="16"/>
  <c r="F15" i="16"/>
  <c r="F16" i="16"/>
  <c r="F10" i="16" s="1"/>
  <c r="F13" i="16"/>
  <c r="G22" i="16" s="1"/>
  <c r="F17" i="16"/>
  <c r="F21" i="16"/>
  <c r="F29" i="16"/>
  <c r="E14" i="16"/>
  <c r="E15" i="16"/>
  <c r="E16" i="16"/>
  <c r="E10" i="16"/>
  <c r="E13" i="16" s="1"/>
  <c r="F22" i="16" s="1"/>
  <c r="E17" i="16"/>
  <c r="E27" i="16"/>
  <c r="F27" i="16" s="1"/>
  <c r="G27" i="16" s="1"/>
  <c r="E29" i="16"/>
  <c r="E30" i="16"/>
  <c r="D14" i="16"/>
  <c r="D15" i="16"/>
  <c r="D16" i="16"/>
  <c r="D10" i="16"/>
  <c r="D17" i="16"/>
  <c r="D27" i="16"/>
  <c r="D29" i="16"/>
  <c r="D30" i="16"/>
  <c r="AY14" i="17"/>
  <c r="AY10" i="17" s="1"/>
  <c r="AY13" i="17" s="1"/>
  <c r="AY15" i="17"/>
  <c r="AY16" i="17"/>
  <c r="AY17" i="17"/>
  <c r="AY29" i="17"/>
  <c r="AX14" i="17"/>
  <c r="AX10" i="17" s="1"/>
  <c r="AX13" i="17" s="1"/>
  <c r="AX15" i="17"/>
  <c r="AX16" i="17"/>
  <c r="AX17" i="17"/>
  <c r="AX29" i="17"/>
  <c r="AW14" i="17"/>
  <c r="AW15" i="17"/>
  <c r="AW16" i="17"/>
  <c r="AW17" i="17"/>
  <c r="AW29" i="17"/>
  <c r="AV14" i="17"/>
  <c r="AV15" i="17"/>
  <c r="AV16" i="17"/>
  <c r="AV10" i="17"/>
  <c r="AV13" i="17"/>
  <c r="AV17" i="17"/>
  <c r="AV29" i="17"/>
  <c r="AU14" i="17"/>
  <c r="AU15" i="17"/>
  <c r="AU16" i="17"/>
  <c r="AU10" i="17"/>
  <c r="AU13" i="17" s="1"/>
  <c r="AU17" i="17"/>
  <c r="AU29" i="17"/>
  <c r="AT14" i="17"/>
  <c r="AT15" i="17"/>
  <c r="AT16" i="17"/>
  <c r="AT10" i="17" s="1"/>
  <c r="AT13" i="17"/>
  <c r="AT17" i="17"/>
  <c r="AT29" i="17"/>
  <c r="AS14" i="17"/>
  <c r="AS15" i="17"/>
  <c r="AS16" i="17"/>
  <c r="AS10" i="17"/>
  <c r="AS13" i="17" s="1"/>
  <c r="AS17" i="17"/>
  <c r="AS29" i="17"/>
  <c r="AR14" i="17"/>
  <c r="AR15" i="17"/>
  <c r="AR16" i="17"/>
  <c r="AR17" i="17"/>
  <c r="AR29" i="17"/>
  <c r="AQ14" i="17"/>
  <c r="AQ15" i="17"/>
  <c r="AQ16" i="17"/>
  <c r="AQ17" i="17"/>
  <c r="AQ29" i="17"/>
  <c r="AP14" i="17"/>
  <c r="AP15" i="17"/>
  <c r="AP16" i="17"/>
  <c r="AP10" i="17"/>
  <c r="AP13" i="17" s="1"/>
  <c r="AP17" i="17"/>
  <c r="AP29" i="17"/>
  <c r="AO14" i="17"/>
  <c r="AO10" i="17" s="1"/>
  <c r="AO15" i="17"/>
  <c r="AO16" i="17"/>
  <c r="AO13" i="17"/>
  <c r="AO17" i="17"/>
  <c r="AO29" i="17"/>
  <c r="AN14" i="17"/>
  <c r="AN10" i="17" s="1"/>
  <c r="AN13" i="17" s="1"/>
  <c r="AN15" i="17"/>
  <c r="AN16" i="17"/>
  <c r="AN17" i="17"/>
  <c r="AN29" i="17"/>
  <c r="AM14" i="17"/>
  <c r="AM15" i="17"/>
  <c r="AM16" i="17"/>
  <c r="AM17" i="17"/>
  <c r="AM29" i="17"/>
  <c r="AL14" i="17"/>
  <c r="AL15" i="17"/>
  <c r="AL10" i="17" s="1"/>
  <c r="AL13" i="17" s="1"/>
  <c r="AL16" i="17"/>
  <c r="AL17" i="17"/>
  <c r="AL29" i="17"/>
  <c r="AK14" i="17"/>
  <c r="AK15" i="17"/>
  <c r="AK16" i="17"/>
  <c r="AK10" i="17"/>
  <c r="AK13" i="17" s="1"/>
  <c r="AK17" i="17"/>
  <c r="AK29" i="17"/>
  <c r="AJ14" i="17"/>
  <c r="AJ15" i="17"/>
  <c r="AJ10" i="17" s="1"/>
  <c r="AJ13" i="17" s="1"/>
  <c r="AJ16" i="17"/>
  <c r="AJ17" i="17"/>
  <c r="AJ29" i="17"/>
  <c r="AI14" i="17"/>
  <c r="AI15" i="17"/>
  <c r="AI16" i="17"/>
  <c r="AI17" i="17"/>
  <c r="AI21" i="17"/>
  <c r="AI29" i="17"/>
  <c r="AH14" i="17"/>
  <c r="AH15" i="17"/>
  <c r="AH16" i="17"/>
  <c r="AH10" i="17"/>
  <c r="AH13" i="17" s="1"/>
  <c r="AH17" i="17"/>
  <c r="AH29" i="17"/>
  <c r="AG14" i="17"/>
  <c r="AG10" i="17" s="1"/>
  <c r="AG15" i="17"/>
  <c r="AG16" i="17"/>
  <c r="AG13" i="17"/>
  <c r="AG17" i="17"/>
  <c r="AG29" i="17"/>
  <c r="AF17" i="17"/>
  <c r="AF21" i="17"/>
  <c r="AF44" i="17" s="1"/>
  <c r="AF46" i="17" s="1"/>
  <c r="AF22" i="17"/>
  <c r="AF34" i="17" s="1"/>
  <c r="AF23" i="17"/>
  <c r="AF29" i="17"/>
  <c r="AF33" i="17"/>
  <c r="AF35" i="17"/>
  <c r="AF39" i="17"/>
  <c r="AF40" i="17"/>
  <c r="AF45" i="17"/>
  <c r="AF51" i="17" s="1"/>
  <c r="AF50" i="17"/>
  <c r="AE14" i="17"/>
  <c r="AF15" i="17" s="1"/>
  <c r="AE15" i="17"/>
  <c r="AF16" i="17" s="1"/>
  <c r="AE16" i="17"/>
  <c r="AE17" i="17"/>
  <c r="AE29" i="17"/>
  <c r="AD14" i="17"/>
  <c r="AD15" i="17"/>
  <c r="AD16" i="17"/>
  <c r="AD10" i="17"/>
  <c r="AD13" i="17" s="1"/>
  <c r="AD17" i="17"/>
  <c r="AD29" i="17"/>
  <c r="AC14" i="17"/>
  <c r="AC15" i="17"/>
  <c r="AC16" i="17"/>
  <c r="AC10" i="17"/>
  <c r="AC13" i="17" s="1"/>
  <c r="AC17" i="17"/>
  <c r="AC29" i="17"/>
  <c r="AB14" i="17"/>
  <c r="AB15" i="17"/>
  <c r="AB16" i="17"/>
  <c r="AB10" i="17"/>
  <c r="AB13" i="17"/>
  <c r="AB17" i="17"/>
  <c r="AB29" i="17"/>
  <c r="AA14" i="17"/>
  <c r="AA15" i="17"/>
  <c r="AA16" i="17"/>
  <c r="AA17" i="17"/>
  <c r="AA29" i="17"/>
  <c r="Z14" i="17"/>
  <c r="Z15" i="17"/>
  <c r="Z10" i="17" s="1"/>
  <c r="Z13" i="17" s="1"/>
  <c r="Z16" i="17"/>
  <c r="Z17" i="17"/>
  <c r="Z29" i="17"/>
  <c r="Y14" i="17"/>
  <c r="Y15" i="17"/>
  <c r="Y16" i="17"/>
  <c r="Y17" i="17"/>
  <c r="Y29" i="17"/>
  <c r="X14" i="17"/>
  <c r="X10" i="17" s="1"/>
  <c r="X13" i="17" s="1"/>
  <c r="X15" i="17"/>
  <c r="X16" i="17"/>
  <c r="X17" i="17"/>
  <c r="X29" i="17"/>
  <c r="W14" i="17"/>
  <c r="W15" i="17"/>
  <c r="W16" i="17"/>
  <c r="W17" i="17"/>
  <c r="W29" i="17"/>
  <c r="V14" i="17"/>
  <c r="V15" i="17"/>
  <c r="V16" i="17"/>
  <c r="V17" i="17"/>
  <c r="V29" i="17"/>
  <c r="U14" i="17"/>
  <c r="U15" i="17"/>
  <c r="U16" i="17"/>
  <c r="U10" i="17"/>
  <c r="U13" i="17" s="1"/>
  <c r="U17" i="17"/>
  <c r="U29" i="17"/>
  <c r="T14" i="17"/>
  <c r="T15" i="17"/>
  <c r="T10" i="17" s="1"/>
  <c r="T16" i="17"/>
  <c r="T13" i="17"/>
  <c r="T17" i="17"/>
  <c r="T29" i="17"/>
  <c r="S17" i="17"/>
  <c r="S21" i="17"/>
  <c r="S33" i="17" s="1"/>
  <c r="S22" i="17"/>
  <c r="S23" i="17"/>
  <c r="S24" i="17"/>
  <c r="S29" i="17"/>
  <c r="S34" i="17"/>
  <c r="S40" i="17" s="1"/>
  <c r="S44" i="17"/>
  <c r="S45" i="17"/>
  <c r="S46" i="17"/>
  <c r="S50" i="17"/>
  <c r="S51" i="17"/>
  <c r="R14" i="17"/>
  <c r="S15" i="17" s="1"/>
  <c r="R15" i="17"/>
  <c r="R16" i="17"/>
  <c r="R17" i="17"/>
  <c r="R29" i="17"/>
  <c r="Q14" i="17"/>
  <c r="Q10" i="17" s="1"/>
  <c r="Q15" i="17"/>
  <c r="Q16" i="17"/>
  <c r="Q13" i="17"/>
  <c r="Q17" i="17"/>
  <c r="Q29" i="17"/>
  <c r="P14" i="17"/>
  <c r="P10" i="17" s="1"/>
  <c r="P13" i="17" s="1"/>
  <c r="P15" i="17"/>
  <c r="P16" i="17"/>
  <c r="P17" i="17"/>
  <c r="P29" i="17"/>
  <c r="O14" i="17"/>
  <c r="O15" i="17"/>
  <c r="O16" i="17"/>
  <c r="O17" i="17"/>
  <c r="O29" i="17"/>
  <c r="N14" i="17"/>
  <c r="N15" i="17"/>
  <c r="N10" i="17" s="1"/>
  <c r="N13" i="17" s="1"/>
  <c r="N16" i="17"/>
  <c r="N17" i="17"/>
  <c r="N29" i="17"/>
  <c r="M14" i="17"/>
  <c r="M15" i="17"/>
  <c r="M16" i="17"/>
  <c r="M10" i="17"/>
  <c r="M13" i="17" s="1"/>
  <c r="M17" i="17"/>
  <c r="M29" i="17"/>
  <c r="L14" i="17"/>
  <c r="L15" i="17"/>
  <c r="L10" i="17" s="1"/>
  <c r="L16" i="17"/>
  <c r="L13" i="17"/>
  <c r="L17" i="17"/>
  <c r="L29" i="17"/>
  <c r="K14" i="17"/>
  <c r="K15" i="17"/>
  <c r="K16" i="17"/>
  <c r="K17" i="17"/>
  <c r="K29" i="17"/>
  <c r="J21" i="17"/>
  <c r="J33" i="17" s="1"/>
  <c r="J22" i="17"/>
  <c r="J34" i="17" s="1"/>
  <c r="J40" i="17" s="1"/>
  <c r="J24" i="17"/>
  <c r="J29" i="17"/>
  <c r="J45" i="17"/>
  <c r="J51" i="17"/>
  <c r="I14" i="17"/>
  <c r="I10" i="17" s="1"/>
  <c r="I15" i="17"/>
  <c r="J16" i="17" s="1"/>
  <c r="I16" i="17"/>
  <c r="J17" i="17" s="1"/>
  <c r="I13" i="17"/>
  <c r="J14" i="17" s="1"/>
  <c r="I17" i="17"/>
  <c r="I29" i="17"/>
  <c r="H14" i="17"/>
  <c r="H10" i="17" s="1"/>
  <c r="H13" i="17" s="1"/>
  <c r="H15" i="17"/>
  <c r="H16" i="17"/>
  <c r="H17" i="17"/>
  <c r="H29" i="17"/>
  <c r="G14" i="17"/>
  <c r="G15" i="17"/>
  <c r="G16" i="17"/>
  <c r="G17" i="17"/>
  <c r="G29" i="17"/>
  <c r="F14" i="17"/>
  <c r="F15" i="17"/>
  <c r="F10" i="17" s="1"/>
  <c r="F13" i="17" s="1"/>
  <c r="F16" i="17"/>
  <c r="F17" i="17"/>
  <c r="F29" i="17"/>
  <c r="E14" i="17"/>
  <c r="E15" i="17"/>
  <c r="E16" i="17"/>
  <c r="E10" i="17"/>
  <c r="E13" i="17" s="1"/>
  <c r="E17" i="17"/>
  <c r="E27" i="17"/>
  <c r="F27" i="17" s="1"/>
  <c r="E29" i="17"/>
  <c r="D14" i="17"/>
  <c r="D15" i="17"/>
  <c r="D10" i="17" s="1"/>
  <c r="D16" i="17"/>
  <c r="D17" i="17"/>
  <c r="D21" i="17"/>
  <c r="D22" i="17"/>
  <c r="D24" i="17" s="1"/>
  <c r="D23" i="17"/>
  <c r="D27" i="17"/>
  <c r="D29" i="17"/>
  <c r="D30" i="17"/>
  <c r="D33" i="17"/>
  <c r="D39" i="17" s="1"/>
  <c r="D44" i="17"/>
  <c r="D50" i="17"/>
  <c r="AY14" i="18"/>
  <c r="AY15" i="18"/>
  <c r="AY16" i="18"/>
  <c r="AY17" i="18"/>
  <c r="AY29" i="18"/>
  <c r="AX14" i="18"/>
  <c r="AX15" i="18"/>
  <c r="AX10" i="18" s="1"/>
  <c r="AX13" i="18" s="1"/>
  <c r="AX16" i="18"/>
  <c r="AX17" i="18"/>
  <c r="AX29" i="18"/>
  <c r="AW14" i="18"/>
  <c r="AW15" i="18"/>
  <c r="AW16" i="18"/>
  <c r="AW17" i="18"/>
  <c r="AW29" i="18"/>
  <c r="AV14" i="18"/>
  <c r="AV10" i="18" s="1"/>
  <c r="AV13" i="18" s="1"/>
  <c r="AV15" i="18"/>
  <c r="AV16" i="18"/>
  <c r="AV17" i="18"/>
  <c r="AV29" i="18"/>
  <c r="AU14" i="18"/>
  <c r="AU15" i="18"/>
  <c r="AU16" i="18"/>
  <c r="AU17" i="18"/>
  <c r="AU21" i="18"/>
  <c r="AU29" i="18"/>
  <c r="AT14" i="18"/>
  <c r="AT10" i="18" s="1"/>
  <c r="AT13" i="18" s="1"/>
  <c r="AU22" i="18" s="1"/>
  <c r="AT15" i="18"/>
  <c r="AT16" i="18"/>
  <c r="AT17" i="18"/>
  <c r="AT29" i="18"/>
  <c r="AT34" i="18"/>
  <c r="AT40" i="18" s="1"/>
  <c r="AS14" i="18"/>
  <c r="AS15" i="18"/>
  <c r="AS16" i="18"/>
  <c r="AS10" i="18"/>
  <c r="AS13" i="18" s="1"/>
  <c r="AT22" i="18" s="1"/>
  <c r="AT24" i="18" s="1"/>
  <c r="AS17" i="18"/>
  <c r="AS29" i="18"/>
  <c r="AR14" i="18"/>
  <c r="AR10" i="18" s="1"/>
  <c r="AR13" i="18" s="1"/>
  <c r="AR15" i="18"/>
  <c r="AR16" i="18"/>
  <c r="AR17" i="18"/>
  <c r="AR21" i="18"/>
  <c r="AR23" i="18" s="1"/>
  <c r="AR29" i="18"/>
  <c r="AR33" i="18"/>
  <c r="AR34" i="18"/>
  <c r="AR40" i="18" s="1"/>
  <c r="AQ14" i="18"/>
  <c r="AQ15" i="18"/>
  <c r="AQ10" i="18" s="1"/>
  <c r="AQ13" i="18" s="1"/>
  <c r="AR22" i="18" s="1"/>
  <c r="AQ16" i="18"/>
  <c r="AQ17" i="18"/>
  <c r="AQ29" i="18"/>
  <c r="AP14" i="18"/>
  <c r="AP15" i="18"/>
  <c r="AP16" i="18"/>
  <c r="AP17" i="18"/>
  <c r="AP29" i="18"/>
  <c r="AO14" i="18"/>
  <c r="AO10" i="18" s="1"/>
  <c r="AO13" i="18" s="1"/>
  <c r="AO15" i="18"/>
  <c r="AO16" i="18"/>
  <c r="AO17" i="18"/>
  <c r="AO29" i="18"/>
  <c r="AN14" i="18"/>
  <c r="AN15" i="18"/>
  <c r="AN16" i="18"/>
  <c r="AN17" i="18"/>
  <c r="AN29" i="18"/>
  <c r="AM14" i="18"/>
  <c r="AM15" i="18"/>
  <c r="AM10" i="18" s="1"/>
  <c r="AM13" i="18" s="1"/>
  <c r="AM16" i="18"/>
  <c r="AM17" i="18"/>
  <c r="AM29" i="18"/>
  <c r="AL14" i="18"/>
  <c r="AL15" i="18"/>
  <c r="AL16" i="18"/>
  <c r="AL17" i="18"/>
  <c r="AL29" i="18"/>
  <c r="AK14" i="18"/>
  <c r="AK15" i="18"/>
  <c r="AK10" i="18" s="1"/>
  <c r="AK13" i="18" s="1"/>
  <c r="AK16" i="18"/>
  <c r="AK17" i="18"/>
  <c r="AK29" i="18"/>
  <c r="AJ14" i="18"/>
  <c r="AJ10" i="18" s="1"/>
  <c r="AJ15" i="18"/>
  <c r="AJ16" i="18"/>
  <c r="AJ13" i="18"/>
  <c r="AJ17" i="18"/>
  <c r="AJ21" i="18"/>
  <c r="AJ33" i="18" s="1"/>
  <c r="AJ23" i="18"/>
  <c r="AJ29" i="18"/>
  <c r="AJ44" i="18"/>
  <c r="AJ50" i="18" s="1"/>
  <c r="AI14" i="18"/>
  <c r="AI15" i="18"/>
  <c r="AI16" i="18"/>
  <c r="AI10" i="18"/>
  <c r="AI13" i="18" s="1"/>
  <c r="AI17" i="18"/>
  <c r="AI29" i="18"/>
  <c r="AH14" i="18"/>
  <c r="AH15" i="18"/>
  <c r="AH16" i="18"/>
  <c r="AH17" i="18"/>
  <c r="AH29" i="18"/>
  <c r="AG14" i="18"/>
  <c r="AG15" i="18"/>
  <c r="AG10" i="18" s="1"/>
  <c r="AG13" i="18" s="1"/>
  <c r="AG16" i="18"/>
  <c r="AG17" i="18"/>
  <c r="AG29" i="18"/>
  <c r="AF14" i="18"/>
  <c r="AF10" i="18" s="1"/>
  <c r="AF13" i="18" s="1"/>
  <c r="AF15" i="18"/>
  <c r="AF16" i="18"/>
  <c r="AF17" i="18"/>
  <c r="AF29" i="18"/>
  <c r="AE14" i="18"/>
  <c r="AE15" i="18"/>
  <c r="AE16" i="18"/>
  <c r="AE10" i="18"/>
  <c r="AE13" i="18" s="1"/>
  <c r="AF22" i="18" s="1"/>
  <c r="AF24" i="18" s="1"/>
  <c r="AE17" i="18"/>
  <c r="AE29" i="18"/>
  <c r="AD14" i="18"/>
  <c r="AD10" i="18" s="1"/>
  <c r="AD13" i="18" s="1"/>
  <c r="AD15" i="18"/>
  <c r="AD16" i="18"/>
  <c r="AD17" i="18"/>
  <c r="AD29" i="18"/>
  <c r="AC14" i="18"/>
  <c r="AC15" i="18"/>
  <c r="AC16" i="18"/>
  <c r="AC10" i="18"/>
  <c r="AC13" i="18" s="1"/>
  <c r="AC17" i="18"/>
  <c r="AC29" i="18"/>
  <c r="AB14" i="18"/>
  <c r="AB15" i="18"/>
  <c r="AB16" i="18"/>
  <c r="AB17" i="18"/>
  <c r="AB29" i="18"/>
  <c r="AA14" i="18"/>
  <c r="AA15" i="18"/>
  <c r="AA16" i="18"/>
  <c r="AA10" i="18"/>
  <c r="AA13" i="18" s="1"/>
  <c r="AA17" i="18"/>
  <c r="AA29" i="18"/>
  <c r="Z14" i="18"/>
  <c r="Z10" i="18" s="1"/>
  <c r="Z15" i="18"/>
  <c r="Z16" i="18"/>
  <c r="Z13" i="18"/>
  <c r="AA21" i="18" s="1"/>
  <c r="Z17" i="18"/>
  <c r="Z29" i="18"/>
  <c r="Y14" i="18"/>
  <c r="Y15" i="18"/>
  <c r="Y16" i="18"/>
  <c r="Y17" i="18"/>
  <c r="Y29" i="18"/>
  <c r="X14" i="18"/>
  <c r="X15" i="18"/>
  <c r="X16" i="18"/>
  <c r="X17" i="18"/>
  <c r="X29" i="18"/>
  <c r="X34" i="18"/>
  <c r="X40" i="18"/>
  <c r="W14" i="18"/>
  <c r="W15" i="18"/>
  <c r="W10" i="18" s="1"/>
  <c r="W13" i="18" s="1"/>
  <c r="X22" i="18" s="1"/>
  <c r="W16" i="18"/>
  <c r="W17" i="18"/>
  <c r="W29" i="18"/>
  <c r="V14" i="18"/>
  <c r="V10" i="18" s="1"/>
  <c r="V13" i="18" s="1"/>
  <c r="V15" i="18"/>
  <c r="V16" i="18"/>
  <c r="V17" i="18"/>
  <c r="V29" i="18"/>
  <c r="U14" i="18"/>
  <c r="U15" i="18"/>
  <c r="U16" i="18"/>
  <c r="U10" i="18"/>
  <c r="U13" i="18"/>
  <c r="V22" i="18" s="1"/>
  <c r="U17" i="18"/>
  <c r="U22" i="18"/>
  <c r="U24" i="18"/>
  <c r="U29" i="18"/>
  <c r="T14" i="18"/>
  <c r="T15" i="18"/>
  <c r="T16" i="18"/>
  <c r="T10" i="18"/>
  <c r="T13" i="18" s="1"/>
  <c r="U21" i="18" s="1"/>
  <c r="T17" i="18"/>
  <c r="T29" i="18"/>
  <c r="S14" i="18"/>
  <c r="S15" i="18"/>
  <c r="S16" i="18"/>
  <c r="S17" i="18"/>
  <c r="S29" i="18"/>
  <c r="R14" i="18"/>
  <c r="R10" i="18" s="1"/>
  <c r="R13" i="18" s="1"/>
  <c r="R15" i="18"/>
  <c r="R16" i="18"/>
  <c r="R17" i="18"/>
  <c r="R29" i="18"/>
  <c r="Q14" i="18"/>
  <c r="Q15" i="18"/>
  <c r="Q16" i="18"/>
  <c r="Q10" i="18"/>
  <c r="Q13" i="18" s="1"/>
  <c r="Q17" i="18"/>
  <c r="Q29" i="18"/>
  <c r="P14" i="18"/>
  <c r="P15" i="18"/>
  <c r="P16" i="18"/>
  <c r="P17" i="18"/>
  <c r="P29" i="18"/>
  <c r="O14" i="18"/>
  <c r="O10" i="18" s="1"/>
  <c r="O13" i="18" s="1"/>
  <c r="O15" i="18"/>
  <c r="O16" i="18"/>
  <c r="O17" i="18"/>
  <c r="O29" i="18"/>
  <c r="N14" i="18"/>
  <c r="N15" i="18"/>
  <c r="N10" i="18" s="1"/>
  <c r="N13" i="18" s="1"/>
  <c r="N16" i="18"/>
  <c r="N17" i="18"/>
  <c r="N21" i="18"/>
  <c r="N29" i="18"/>
  <c r="M14" i="18"/>
  <c r="M10" i="18" s="1"/>
  <c r="M13" i="18" s="1"/>
  <c r="N22" i="18" s="1"/>
  <c r="M15" i="18"/>
  <c r="M16" i="18"/>
  <c r="M17" i="18"/>
  <c r="M22" i="18"/>
  <c r="M29" i="18"/>
  <c r="M44" i="18"/>
  <c r="L14" i="18"/>
  <c r="L10" i="18" s="1"/>
  <c r="L13" i="18" s="1"/>
  <c r="M21" i="18" s="1"/>
  <c r="L15" i="18"/>
  <c r="L16" i="18"/>
  <c r="L17" i="18"/>
  <c r="L29" i="18"/>
  <c r="K14" i="18"/>
  <c r="K15" i="18"/>
  <c r="K16" i="18"/>
  <c r="K17" i="18"/>
  <c r="K21" i="18"/>
  <c r="K29" i="18"/>
  <c r="J14" i="18"/>
  <c r="J15" i="18"/>
  <c r="J16" i="18"/>
  <c r="J10" i="18"/>
  <c r="J13" i="18" s="1"/>
  <c r="K22" i="18" s="1"/>
  <c r="J17" i="18"/>
  <c r="J29" i="18"/>
  <c r="I14" i="18"/>
  <c r="I10" i="18" s="1"/>
  <c r="I13" i="18" s="1"/>
  <c r="I15" i="18"/>
  <c r="I16" i="18"/>
  <c r="I17" i="18"/>
  <c r="I29" i="18"/>
  <c r="H14" i="18"/>
  <c r="H10" i="18" s="1"/>
  <c r="H15" i="18"/>
  <c r="H16" i="18"/>
  <c r="H13" i="18"/>
  <c r="I22" i="18" s="1"/>
  <c r="I34" i="18" s="1"/>
  <c r="I40" i="18" s="1"/>
  <c r="H17" i="18"/>
  <c r="H29" i="18"/>
  <c r="G14" i="18"/>
  <c r="G15" i="18"/>
  <c r="G16" i="18"/>
  <c r="G10" i="18"/>
  <c r="G13" i="18" s="1"/>
  <c r="H21" i="18" s="1"/>
  <c r="H23" i="18" s="1"/>
  <c r="G17" i="18"/>
  <c r="G29" i="18"/>
  <c r="F14" i="18"/>
  <c r="F15" i="18"/>
  <c r="F16" i="18"/>
  <c r="F10" i="18"/>
  <c r="F13" i="18"/>
  <c r="F17" i="18"/>
  <c r="F29" i="18"/>
  <c r="E17" i="18"/>
  <c r="E21" i="18"/>
  <c r="E22" i="18"/>
  <c r="E23" i="18"/>
  <c r="E27" i="18"/>
  <c r="F27" i="18" s="1"/>
  <c r="F30" i="18" s="1"/>
  <c r="E29" i="18"/>
  <c r="E33" i="18"/>
  <c r="E39" i="18" s="1"/>
  <c r="E44" i="18"/>
  <c r="E50" i="18"/>
  <c r="D14" i="18"/>
  <c r="E15" i="18" s="1"/>
  <c r="D15" i="18"/>
  <c r="E16" i="18" s="1"/>
  <c r="D16" i="18"/>
  <c r="D10" i="18"/>
  <c r="D17" i="18"/>
  <c r="D21" i="18"/>
  <c r="D23" i="18"/>
  <c r="D24" i="18"/>
  <c r="D27" i="18"/>
  <c r="D29" i="18"/>
  <c r="D30" i="18"/>
  <c r="D33" i="18"/>
  <c r="D45" i="18"/>
  <c r="D51" i="18" s="1"/>
  <c r="B21" i="16"/>
  <c r="B21" i="17"/>
  <c r="B21" i="18"/>
  <c r="B22" i="18" s="1"/>
  <c r="D22" i="18" s="1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 s="1"/>
  <c r="D19" i="19"/>
  <c r="D28" i="19" s="1"/>
  <c r="E19" i="19"/>
  <c r="E28" i="19" s="1"/>
  <c r="F19" i="19"/>
  <c r="F28" i="19" s="1"/>
  <c r="G19" i="19"/>
  <c r="G28" i="19" s="1"/>
  <c r="H19" i="19"/>
  <c r="H28" i="19" s="1"/>
  <c r="I19" i="19"/>
  <c r="I28" i="19" s="1"/>
  <c r="J19" i="19"/>
  <c r="J28" i="19" s="1"/>
  <c r="K19" i="19"/>
  <c r="K28" i="19" s="1"/>
  <c r="L19" i="19"/>
  <c r="L28" i="19" s="1"/>
  <c r="M19" i="19"/>
  <c r="M28" i="19" s="1"/>
  <c r="N19" i="19"/>
  <c r="N28" i="19" s="1"/>
  <c r="C20" i="19"/>
  <c r="C29" i="19" s="1"/>
  <c r="D20" i="19"/>
  <c r="D29" i="19" s="1"/>
  <c r="E20" i="19"/>
  <c r="E29" i="19" s="1"/>
  <c r="F20" i="19"/>
  <c r="F29" i="19" s="1"/>
  <c r="G20" i="19"/>
  <c r="G29" i="19" s="1"/>
  <c r="H20" i="19"/>
  <c r="H29" i="19" s="1"/>
  <c r="I20" i="19"/>
  <c r="I29" i="19" s="1"/>
  <c r="J20" i="19"/>
  <c r="J29" i="19" s="1"/>
  <c r="K20" i="19"/>
  <c r="K29" i="19" s="1"/>
  <c r="L20" i="19"/>
  <c r="L29" i="19" s="1"/>
  <c r="M20" i="19"/>
  <c r="M29" i="19" s="1"/>
  <c r="N20" i="19"/>
  <c r="N29" i="19" s="1"/>
  <c r="C21" i="19"/>
  <c r="C30" i="19" s="1"/>
  <c r="D21" i="19"/>
  <c r="D30" i="19" s="1"/>
  <c r="E21" i="19"/>
  <c r="E30" i="19" s="1"/>
  <c r="F21" i="19"/>
  <c r="F30" i="19" s="1"/>
  <c r="G21" i="19"/>
  <c r="G30" i="19" s="1"/>
  <c r="H21" i="19"/>
  <c r="H30" i="19" s="1"/>
  <c r="I21" i="19"/>
  <c r="I30" i="19" s="1"/>
  <c r="J21" i="19"/>
  <c r="J30" i="19" s="1"/>
  <c r="K21" i="19"/>
  <c r="K30" i="19" s="1"/>
  <c r="L21" i="19"/>
  <c r="L30" i="19" s="1"/>
  <c r="M21" i="19"/>
  <c r="M30" i="19" s="1"/>
  <c r="N21" i="19"/>
  <c r="N30" i="19" s="1"/>
  <c r="C22" i="19"/>
  <c r="C31" i="19" s="1"/>
  <c r="D22" i="19"/>
  <c r="D31" i="19" s="1"/>
  <c r="E22" i="19"/>
  <c r="E31" i="19" s="1"/>
  <c r="F22" i="19"/>
  <c r="F31" i="19" s="1"/>
  <c r="G22" i="19"/>
  <c r="G31" i="19" s="1"/>
  <c r="H22" i="19"/>
  <c r="H31" i="19" s="1"/>
  <c r="I22" i="19"/>
  <c r="I31" i="19" s="1"/>
  <c r="J22" i="19"/>
  <c r="J31" i="19" s="1"/>
  <c r="K22" i="19"/>
  <c r="K31" i="19" s="1"/>
  <c r="L22" i="19"/>
  <c r="L31" i="19" s="1"/>
  <c r="M22" i="19"/>
  <c r="M31" i="19" s="1"/>
  <c r="N22" i="19"/>
  <c r="N31" i="19" s="1"/>
  <c r="C23" i="19"/>
  <c r="C32" i="19" s="1"/>
  <c r="D23" i="19"/>
  <c r="D32" i="19" s="1"/>
  <c r="E23" i="19"/>
  <c r="E32" i="19" s="1"/>
  <c r="F23" i="19"/>
  <c r="F32" i="19" s="1"/>
  <c r="G23" i="19"/>
  <c r="G32" i="19" s="1"/>
  <c r="H23" i="19"/>
  <c r="H32" i="19" s="1"/>
  <c r="I23" i="19"/>
  <c r="I32" i="19" s="1"/>
  <c r="J23" i="19"/>
  <c r="J32" i="19" s="1"/>
  <c r="K23" i="19"/>
  <c r="K32" i="19" s="1"/>
  <c r="L23" i="19"/>
  <c r="L32" i="19" s="1"/>
  <c r="M23" i="19"/>
  <c r="M32" i="19" s="1"/>
  <c r="N23" i="19"/>
  <c r="N32" i="19" s="1"/>
  <c r="C24" i="19"/>
  <c r="C33" i="19" s="1"/>
  <c r="D24" i="19"/>
  <c r="D33" i="19" s="1"/>
  <c r="E24" i="19"/>
  <c r="E33" i="19" s="1"/>
  <c r="F24" i="19"/>
  <c r="F33" i="19" s="1"/>
  <c r="G24" i="19"/>
  <c r="G33" i="19" s="1"/>
  <c r="H24" i="19"/>
  <c r="H33" i="19" s="1"/>
  <c r="I24" i="19"/>
  <c r="I33" i="19" s="1"/>
  <c r="J24" i="19"/>
  <c r="J33" i="19" s="1"/>
  <c r="K24" i="19"/>
  <c r="K33" i="19" s="1"/>
  <c r="L24" i="19"/>
  <c r="L33" i="19" s="1"/>
  <c r="M24" i="19"/>
  <c r="M33" i="19" s="1"/>
  <c r="N24" i="19"/>
  <c r="N33" i="19" s="1"/>
  <c r="B22" i="16"/>
  <c r="M50" i="18" l="1"/>
  <c r="R21" i="18"/>
  <c r="R22" i="18"/>
  <c r="AY22" i="18"/>
  <c r="AY21" i="18"/>
  <c r="Y22" i="17"/>
  <c r="Y21" i="17"/>
  <c r="K33" i="18"/>
  <c r="K23" i="18"/>
  <c r="K44" i="18"/>
  <c r="O22" i="18"/>
  <c r="O21" i="18"/>
  <c r="P21" i="18"/>
  <c r="P22" i="18"/>
  <c r="AE21" i="18"/>
  <c r="AE22" i="18"/>
  <c r="AU33" i="18"/>
  <c r="AU44" i="18"/>
  <c r="AU23" i="18"/>
  <c r="AI23" i="17"/>
  <c r="AI33" i="17"/>
  <c r="AI44" i="17"/>
  <c r="AH22" i="18"/>
  <c r="AH21" i="18"/>
  <c r="AN22" i="18"/>
  <c r="AN21" i="18"/>
  <c r="B22" i="17"/>
  <c r="AT21" i="17"/>
  <c r="AO21" i="17"/>
  <c r="AM21" i="17"/>
  <c r="AK21" i="17"/>
  <c r="K45" i="18"/>
  <c r="K51" i="18" s="1"/>
  <c r="K34" i="18"/>
  <c r="K40" i="18" s="1"/>
  <c r="K24" i="18"/>
  <c r="N34" i="18"/>
  <c r="N40" i="18" s="1"/>
  <c r="N24" i="18"/>
  <c r="U23" i="18"/>
  <c r="U44" i="18"/>
  <c r="U33" i="18"/>
  <c r="AS21" i="18"/>
  <c r="AS22" i="18"/>
  <c r="AW21" i="18"/>
  <c r="AW22" i="18"/>
  <c r="AE21" i="17"/>
  <c r="M33" i="18"/>
  <c r="M23" i="18"/>
  <c r="N45" i="18"/>
  <c r="N51" i="18" s="1"/>
  <c r="AA23" i="18"/>
  <c r="AA44" i="18"/>
  <c r="AA33" i="18"/>
  <c r="AU22" i="17"/>
  <c r="AU21" i="17"/>
  <c r="W21" i="18"/>
  <c r="W22" i="18"/>
  <c r="D39" i="18"/>
  <c r="D13" i="18"/>
  <c r="E14" i="18" s="1"/>
  <c r="E10" i="18" s="1"/>
  <c r="E13" i="18" s="1"/>
  <c r="N23" i="18"/>
  <c r="N44" i="18"/>
  <c r="N33" i="18"/>
  <c r="AL22" i="18"/>
  <c r="AL21" i="18"/>
  <c r="G21" i="17"/>
  <c r="J39" i="17"/>
  <c r="J35" i="17"/>
  <c r="AA22" i="17"/>
  <c r="AA21" i="17"/>
  <c r="G33" i="16"/>
  <c r="G44" i="16"/>
  <c r="G23" i="16"/>
  <c r="Q45" i="16"/>
  <c r="Q51" i="16" s="1"/>
  <c r="Q34" i="16"/>
  <c r="Q40" i="16" s="1"/>
  <c r="Q24" i="16"/>
  <c r="G22" i="18"/>
  <c r="G21" i="18"/>
  <c r="J21" i="18"/>
  <c r="J22" i="18"/>
  <c r="M24" i="18"/>
  <c r="M45" i="18"/>
  <c r="M51" i="18" s="1"/>
  <c r="M34" i="18"/>
  <c r="M40" i="18" s="1"/>
  <c r="S21" i="18"/>
  <c r="S22" i="18"/>
  <c r="AK21" i="18"/>
  <c r="AK22" i="18"/>
  <c r="AP21" i="18"/>
  <c r="AP22" i="18"/>
  <c r="AU45" i="18"/>
  <c r="AU51" i="18" s="1"/>
  <c r="AU24" i="18"/>
  <c r="AU34" i="18"/>
  <c r="AU40" i="18" s="1"/>
  <c r="F33" i="16"/>
  <c r="F23" i="16"/>
  <c r="F44" i="16"/>
  <c r="AD22" i="18"/>
  <c r="AD21" i="18"/>
  <c r="AC22" i="17"/>
  <c r="AC21" i="17"/>
  <c r="AG21" i="18"/>
  <c r="AG22" i="18"/>
  <c r="V24" i="18"/>
  <c r="V34" i="18"/>
  <c r="V40" i="18" s="1"/>
  <c r="X45" i="18"/>
  <c r="X51" i="18" s="1"/>
  <c r="X24" i="18"/>
  <c r="D13" i="17"/>
  <c r="U22" i="17"/>
  <c r="U21" i="17"/>
  <c r="AM22" i="17"/>
  <c r="AY21" i="17"/>
  <c r="AK23" i="16"/>
  <c r="AK33" i="16"/>
  <c r="AK44" i="16"/>
  <c r="G27" i="18"/>
  <c r="I24" i="18"/>
  <c r="K10" i="18"/>
  <c r="K13" i="18" s="1"/>
  <c r="AB22" i="18"/>
  <c r="AB21" i="18"/>
  <c r="AF21" i="18"/>
  <c r="F21" i="17"/>
  <c r="F22" i="17"/>
  <c r="I21" i="17"/>
  <c r="N21" i="17"/>
  <c r="R10" i="17"/>
  <c r="R13" i="17" s="1"/>
  <c r="S14" i="17" s="1"/>
  <c r="S16" i="17"/>
  <c r="V21" i="17"/>
  <c r="V22" i="17"/>
  <c r="AQ22" i="17"/>
  <c r="AQ21" i="17"/>
  <c r="O10" i="16"/>
  <c r="O13" i="16" s="1"/>
  <c r="X24" i="16"/>
  <c r="X45" i="16"/>
  <c r="X51" i="16" s="1"/>
  <c r="X34" i="16"/>
  <c r="X40" i="16" s="1"/>
  <c r="D22" i="16"/>
  <c r="AY22" i="16"/>
  <c r="AO22" i="16"/>
  <c r="AJ22" i="16"/>
  <c r="D44" i="18"/>
  <c r="E24" i="18"/>
  <c r="E45" i="18"/>
  <c r="E34" i="18"/>
  <c r="P10" i="18"/>
  <c r="P13" i="18" s="1"/>
  <c r="X21" i="18"/>
  <c r="Y10" i="18"/>
  <c r="Y13" i="18" s="1"/>
  <c r="AJ39" i="18"/>
  <c r="AT45" i="18"/>
  <c r="AT51" i="18" s="1"/>
  <c r="K22" i="16"/>
  <c r="T22" i="16"/>
  <c r="T21" i="16"/>
  <c r="U21" i="16"/>
  <c r="U22" i="16"/>
  <c r="V22" i="16"/>
  <c r="V21" i="16"/>
  <c r="D127" i="11"/>
  <c r="D34" i="18"/>
  <c r="D40" i="18" s="1"/>
  <c r="AZ17" i="18"/>
  <c r="H44" i="18"/>
  <c r="H22" i="18"/>
  <c r="I45" i="18"/>
  <c r="I51" i="18" s="1"/>
  <c r="I21" i="18"/>
  <c r="S10" i="18"/>
  <c r="S13" i="18" s="1"/>
  <c r="AR44" i="18"/>
  <c r="O22" i="17"/>
  <c r="O21" i="17"/>
  <c r="AH22" i="17"/>
  <c r="AH21" i="17"/>
  <c r="J22" i="16"/>
  <c r="M21" i="16"/>
  <c r="M22" i="16"/>
  <c r="O22" i="16"/>
  <c r="O21" i="16"/>
  <c r="U45" i="18"/>
  <c r="U51" i="18" s="1"/>
  <c r="U34" i="18"/>
  <c r="U40" i="18" s="1"/>
  <c r="AF45" i="18"/>
  <c r="AF51" i="18" s="1"/>
  <c r="AF34" i="18"/>
  <c r="AF40" i="18" s="1"/>
  <c r="AR35" i="18"/>
  <c r="AR39" i="18"/>
  <c r="J23" i="17"/>
  <c r="J44" i="17"/>
  <c r="R21" i="17"/>
  <c r="AI22" i="17"/>
  <c r="D13" i="16"/>
  <c r="J33" i="16"/>
  <c r="J44" i="16"/>
  <c r="J23" i="16"/>
  <c r="J121" i="12"/>
  <c r="J127" i="12" s="1"/>
  <c r="J116" i="12"/>
  <c r="N116" i="12"/>
  <c r="N120" i="12"/>
  <c r="N127" i="12" s="1"/>
  <c r="F116" i="12"/>
  <c r="F120" i="12"/>
  <c r="F127" i="12" s="1"/>
  <c r="E30" i="18"/>
  <c r="H33" i="18"/>
  <c r="AA22" i="18"/>
  <c r="AH10" i="18"/>
  <c r="AH13" i="18" s="1"/>
  <c r="AL10" i="18"/>
  <c r="AL13" i="18" s="1"/>
  <c r="AZ17" i="17"/>
  <c r="F30" i="17"/>
  <c r="G27" i="17"/>
  <c r="Q21" i="17"/>
  <c r="R22" i="17"/>
  <c r="AD21" i="17"/>
  <c r="AD22" i="17"/>
  <c r="AE22" i="17"/>
  <c r="AW21" i="17"/>
  <c r="F24" i="16"/>
  <c r="F34" i="16"/>
  <c r="F40" i="16" s="1"/>
  <c r="F45" i="16"/>
  <c r="F51" i="16" s="1"/>
  <c r="G24" i="16"/>
  <c r="G34" i="16"/>
  <c r="G40" i="16" s="1"/>
  <c r="G45" i="16"/>
  <c r="G51" i="16" s="1"/>
  <c r="Q23" i="16"/>
  <c r="Q44" i="16"/>
  <c r="Q33" i="16"/>
  <c r="V45" i="18"/>
  <c r="V51" i="18" s="1"/>
  <c r="V21" i="18"/>
  <c r="X10" i="18"/>
  <c r="X13" i="18" s="1"/>
  <c r="AR24" i="18"/>
  <c r="AR45" i="18"/>
  <c r="AR51" i="18" s="1"/>
  <c r="AT21" i="18"/>
  <c r="AA10" i="17"/>
  <c r="AA13" i="17" s="1"/>
  <c r="AK22" i="17"/>
  <c r="AL21" i="17"/>
  <c r="AL22" i="17"/>
  <c r="AP21" i="17"/>
  <c r="AP22" i="17"/>
  <c r="W22" i="16"/>
  <c r="W21" i="16"/>
  <c r="AI21" i="16"/>
  <c r="AI22" i="16"/>
  <c r="L127" i="11"/>
  <c r="AW21" i="16"/>
  <c r="D21" i="16"/>
  <c r="AN10" i="18"/>
  <c r="AN13" i="18" s="1"/>
  <c r="AP10" i="18"/>
  <c r="AP13" i="18" s="1"/>
  <c r="AY10" i="18"/>
  <c r="AY13" i="18" s="1"/>
  <c r="V10" i="17"/>
  <c r="V13" i="17" s="1"/>
  <c r="K21" i="16"/>
  <c r="X21" i="16"/>
  <c r="H116" i="12"/>
  <c r="H121" i="12"/>
  <c r="H127" i="12" s="1"/>
  <c r="L116" i="12"/>
  <c r="L120" i="12"/>
  <c r="L127" i="12" s="1"/>
  <c r="D116" i="12"/>
  <c r="H8" i="20" s="1"/>
  <c r="D120" i="12"/>
  <c r="D127" i="12" s="1"/>
  <c r="AW10" i="17"/>
  <c r="AW13" i="17" s="1"/>
  <c r="N22" i="16"/>
  <c r="N21" i="16"/>
  <c r="R22" i="16"/>
  <c r="R21" i="16"/>
  <c r="Z22" i="16"/>
  <c r="Z21" i="16"/>
  <c r="AA21" i="16"/>
  <c r="AA22" i="16"/>
  <c r="AJ22" i="18"/>
  <c r="K10" i="17"/>
  <c r="K13" i="17" s="1"/>
  <c r="M22" i="17"/>
  <c r="AV21" i="17"/>
  <c r="AV22" i="17"/>
  <c r="AZ17" i="16"/>
  <c r="L22" i="16"/>
  <c r="L21" i="16"/>
  <c r="AC21" i="16"/>
  <c r="AC22" i="16"/>
  <c r="D116" i="11"/>
  <c r="H116" i="11"/>
  <c r="H120" i="11"/>
  <c r="H127" i="11" s="1"/>
  <c r="S21" i="16"/>
  <c r="S22" i="16"/>
  <c r="AT50" i="16"/>
  <c r="AB10" i="18"/>
  <c r="AB13" i="18" s="1"/>
  <c r="AW10" i="18"/>
  <c r="AW13" i="18" s="1"/>
  <c r="M21" i="17"/>
  <c r="S35" i="17"/>
  <c r="S39" i="17"/>
  <c r="AI10" i="17"/>
  <c r="AI13" i="17" s="1"/>
  <c r="G30" i="16"/>
  <c r="H27" i="16"/>
  <c r="F30" i="16"/>
  <c r="AD21" i="16"/>
  <c r="AD22" i="16"/>
  <c r="AF22" i="16"/>
  <c r="AF21" i="16"/>
  <c r="AJ21" i="16"/>
  <c r="AK10" i="16"/>
  <c r="AK13" i="16" s="1"/>
  <c r="AL14" i="16" s="1"/>
  <c r="AL10" i="16" s="1"/>
  <c r="AL13" i="16" s="1"/>
  <c r="I259" i="14"/>
  <c r="AZ259" i="14" s="1"/>
  <c r="BA14" i="14"/>
  <c r="W10" i="17"/>
  <c r="W13" i="17" s="1"/>
  <c r="Y10" i="17"/>
  <c r="Y13" i="17" s="1"/>
  <c r="H21" i="16"/>
  <c r="H22" i="16"/>
  <c r="AS35" i="16"/>
  <c r="AS39" i="16"/>
  <c r="S260" i="15"/>
  <c r="AM260" i="15"/>
  <c r="N127" i="13"/>
  <c r="H116" i="10"/>
  <c r="L116" i="10"/>
  <c r="D120" i="10"/>
  <c r="D127" i="10" s="1"/>
  <c r="D116" i="10"/>
  <c r="D45" i="17"/>
  <c r="E30" i="17"/>
  <c r="J15" i="17"/>
  <c r="J10" i="17" s="1"/>
  <c r="AE10" i="17"/>
  <c r="AE13" i="17" s="1"/>
  <c r="AF14" i="17" s="1"/>
  <c r="AF10" i="17" s="1"/>
  <c r="AF13" i="17" s="1"/>
  <c r="AF24" i="17"/>
  <c r="D260" i="15"/>
  <c r="M138" i="10"/>
  <c r="E138" i="10"/>
  <c r="I138" i="10"/>
  <c r="AU10" i="18"/>
  <c r="AU13" i="18" s="1"/>
  <c r="D34" i="17"/>
  <c r="G10" i="17"/>
  <c r="G13" i="17" s="1"/>
  <c r="O10" i="17"/>
  <c r="O13" i="17" s="1"/>
  <c r="AM10" i="17"/>
  <c r="AM13" i="17" s="1"/>
  <c r="AR10" i="17"/>
  <c r="AR13" i="17" s="1"/>
  <c r="AP22" i="16"/>
  <c r="AP21" i="16"/>
  <c r="E259" i="15"/>
  <c r="AZ259" i="15" s="1"/>
  <c r="BA14" i="15"/>
  <c r="G127" i="13"/>
  <c r="X10" i="16"/>
  <c r="X13" i="16" s="1"/>
  <c r="AF10" i="16"/>
  <c r="AF13" i="16" s="1"/>
  <c r="AK22" i="16"/>
  <c r="AO21" i="16"/>
  <c r="AQ21" i="16"/>
  <c r="AQ22" i="16"/>
  <c r="O260" i="14"/>
  <c r="AC260" i="14"/>
  <c r="L138" i="13"/>
  <c r="H138" i="13"/>
  <c r="H127" i="13"/>
  <c r="L116" i="13"/>
  <c r="H116" i="13"/>
  <c r="H138" i="12"/>
  <c r="L138" i="10"/>
  <c r="D138" i="10"/>
  <c r="AQ10" i="17"/>
  <c r="AQ13" i="17" s="1"/>
  <c r="F127" i="13"/>
  <c r="S7" i="20" s="1"/>
  <c r="N138" i="12"/>
  <c r="F138" i="12"/>
  <c r="H10" i="16"/>
  <c r="H13" i="16" s="1"/>
  <c r="AS46" i="16"/>
  <c r="AS50" i="16"/>
  <c r="AV21" i="16"/>
  <c r="AV22" i="16"/>
  <c r="L127" i="13"/>
  <c r="L138" i="12"/>
  <c r="AA10" i="16"/>
  <c r="AA13" i="16" s="1"/>
  <c r="AF260" i="15"/>
  <c r="AW260" i="14"/>
  <c r="K127" i="13"/>
  <c r="O138" i="12"/>
  <c r="G138" i="12"/>
  <c r="K138" i="12"/>
  <c r="O116" i="12"/>
  <c r="O121" i="12"/>
  <c r="O127" i="12" s="1"/>
  <c r="G121" i="12"/>
  <c r="G127" i="12" s="1"/>
  <c r="G116" i="12"/>
  <c r="K116" i="12"/>
  <c r="K120" i="12"/>
  <c r="K127" i="12" s="1"/>
  <c r="AL34" i="16"/>
  <c r="AL45" i="16"/>
  <c r="AR34" i="16"/>
  <c r="AR40" i="16" s="1"/>
  <c r="AR45" i="16"/>
  <c r="AR51" i="16" s="1"/>
  <c r="AR24" i="16"/>
  <c r="AS260" i="14"/>
  <c r="O127" i="13"/>
  <c r="I127" i="13"/>
  <c r="I138" i="12"/>
  <c r="M127" i="12"/>
  <c r="E127" i="12"/>
  <c r="I116" i="12"/>
  <c r="I120" i="12"/>
  <c r="I127" i="12" s="1"/>
  <c r="AN21" i="16"/>
  <c r="AN22" i="16"/>
  <c r="AY10" i="16"/>
  <c r="AY13" i="16" s="1"/>
  <c r="M127" i="13"/>
  <c r="L138" i="11"/>
  <c r="H138" i="11"/>
  <c r="N127" i="11"/>
  <c r="AG10" i="16"/>
  <c r="AG13" i="16" s="1"/>
  <c r="AW22" i="16"/>
  <c r="W260" i="15"/>
  <c r="AE260" i="15"/>
  <c r="F260" i="14"/>
  <c r="N260" i="14"/>
  <c r="AO260" i="14"/>
  <c r="O138" i="10"/>
  <c r="G138" i="10"/>
  <c r="K138" i="10"/>
  <c r="N116" i="10"/>
  <c r="N120" i="10"/>
  <c r="N127" i="10" s="1"/>
  <c r="F116" i="10"/>
  <c r="F120" i="10"/>
  <c r="F127" i="10" s="1"/>
  <c r="AY21" i="16"/>
  <c r="AG260" i="15"/>
  <c r="AR260" i="15"/>
  <c r="M260" i="14"/>
  <c r="T260" i="14"/>
  <c r="AV260" i="14"/>
  <c r="O116" i="10"/>
  <c r="O121" i="10"/>
  <c r="O127" i="10" s="1"/>
  <c r="G121" i="10"/>
  <c r="G127" i="10" s="1"/>
  <c r="G116" i="10"/>
  <c r="K116" i="10"/>
  <c r="K120" i="10"/>
  <c r="K127" i="10" s="1"/>
  <c r="T19" i="20"/>
  <c r="AD10" i="16"/>
  <c r="AD13" i="16" s="1"/>
  <c r="AC260" i="15"/>
  <c r="AJ260" i="15"/>
  <c r="P260" i="14"/>
  <c r="O127" i="11"/>
  <c r="G127" i="11"/>
  <c r="K127" i="11"/>
  <c r="N138" i="10"/>
  <c r="F138" i="10"/>
  <c r="M127" i="10"/>
  <c r="E127" i="10"/>
  <c r="I116" i="10"/>
  <c r="I120" i="10"/>
  <c r="I127" i="10" s="1"/>
  <c r="T43" i="20"/>
  <c r="AR23" i="16"/>
  <c r="AR44" i="16"/>
  <c r="AR33" i="16"/>
  <c r="AT34" i="16"/>
  <c r="AT45" i="16"/>
  <c r="AT51" i="16" s="1"/>
  <c r="Q260" i="15"/>
  <c r="AW260" i="15"/>
  <c r="AG260" i="14"/>
  <c r="N138" i="13"/>
  <c r="F138" i="13"/>
  <c r="S31" i="20" s="1"/>
  <c r="T32" i="20" s="1"/>
  <c r="N116" i="13"/>
  <c r="F116" i="13"/>
  <c r="H7" i="20" s="1"/>
  <c r="N138" i="11"/>
  <c r="F138" i="11"/>
  <c r="N116" i="11"/>
  <c r="F116" i="11"/>
  <c r="F260" i="15"/>
  <c r="T260" i="15"/>
  <c r="AL260" i="15"/>
  <c r="D260" i="14"/>
  <c r="V260" i="14"/>
  <c r="AJ260" i="14"/>
  <c r="K138" i="13"/>
  <c r="K116" i="13"/>
  <c r="K138" i="11"/>
  <c r="K116" i="11"/>
  <c r="AQ10" i="16"/>
  <c r="AQ13" i="16" s="1"/>
  <c r="AR14" i="16" s="1"/>
  <c r="AW10" i="16"/>
  <c r="AW13" i="16" s="1"/>
  <c r="N260" i="15"/>
  <c r="AB260" i="15"/>
  <c r="AT260" i="15"/>
  <c r="L260" i="14"/>
  <c r="AD260" i="14"/>
  <c r="AR260" i="14"/>
  <c r="I138" i="13"/>
  <c r="I116" i="13"/>
  <c r="I138" i="11"/>
  <c r="I116" i="11"/>
  <c r="J13" i="17" l="1"/>
  <c r="AG22" i="17"/>
  <c r="AG21" i="17"/>
  <c r="AD45" i="16"/>
  <c r="AD51" i="16" s="1"/>
  <c r="AD24" i="16"/>
  <c r="AD34" i="16"/>
  <c r="AD40" i="16" s="1"/>
  <c r="M33" i="17"/>
  <c r="M23" i="17"/>
  <c r="M44" i="17"/>
  <c r="AV34" i="17"/>
  <c r="AV40" i="17" s="1"/>
  <c r="AV24" i="17"/>
  <c r="AV45" i="17"/>
  <c r="AV51" i="17" s="1"/>
  <c r="Z44" i="16"/>
  <c r="Z23" i="16"/>
  <c r="Z33" i="16"/>
  <c r="AT33" i="18"/>
  <c r="AT44" i="18"/>
  <c r="AT23" i="18"/>
  <c r="AM21" i="18"/>
  <c r="AM22" i="18"/>
  <c r="AI24" i="17"/>
  <c r="AI45" i="17"/>
  <c r="AI51" i="17" s="1"/>
  <c r="AI34" i="17"/>
  <c r="AI40" i="17" s="1"/>
  <c r="AH34" i="17"/>
  <c r="AH40" i="17" s="1"/>
  <c r="AH24" i="17"/>
  <c r="AH45" i="17"/>
  <c r="AH51" i="17" s="1"/>
  <c r="U23" i="16"/>
  <c r="U44" i="16"/>
  <c r="U33" i="16"/>
  <c r="AO45" i="16"/>
  <c r="AO51" i="16" s="1"/>
  <c r="AO24" i="16"/>
  <c r="AO34" i="16"/>
  <c r="AO40" i="16" s="1"/>
  <c r="F34" i="17"/>
  <c r="F40" i="17" s="1"/>
  <c r="F24" i="17"/>
  <c r="F45" i="17"/>
  <c r="F51" i="17" s="1"/>
  <c r="U24" i="17"/>
  <c r="U45" i="17"/>
  <c r="U51" i="17" s="1"/>
  <c r="U34" i="17"/>
  <c r="U40" i="17" s="1"/>
  <c r="G33" i="18"/>
  <c r="G23" i="18"/>
  <c r="G44" i="18"/>
  <c r="N39" i="18"/>
  <c r="N35" i="18"/>
  <c r="U39" i="18"/>
  <c r="U35" i="18"/>
  <c r="AH24" i="18"/>
  <c r="AH45" i="18"/>
  <c r="AH51" i="18" s="1"/>
  <c r="AH34" i="18"/>
  <c r="AH40" i="18" s="1"/>
  <c r="Y33" i="17"/>
  <c r="Y44" i="17"/>
  <c r="Y23" i="17"/>
  <c r="AX22" i="16"/>
  <c r="AX21" i="16"/>
  <c r="AD44" i="16"/>
  <c r="AD23" i="16"/>
  <c r="AD33" i="16"/>
  <c r="Z24" i="16"/>
  <c r="Z45" i="16"/>
  <c r="Z51" i="16" s="1"/>
  <c r="Z34" i="16"/>
  <c r="Z40" i="16" s="1"/>
  <c r="AQ21" i="18"/>
  <c r="AQ22" i="18"/>
  <c r="AD34" i="17"/>
  <c r="AD40" i="17" s="1"/>
  <c r="AD45" i="17"/>
  <c r="AD51" i="17" s="1"/>
  <c r="AD24" i="17"/>
  <c r="T33" i="16"/>
  <c r="T44" i="16"/>
  <c r="T23" i="16"/>
  <c r="AY24" i="16"/>
  <c r="AY45" i="16"/>
  <c r="AY51" i="16" s="1"/>
  <c r="AY34" i="16"/>
  <c r="AY40" i="16" s="1"/>
  <c r="F23" i="17"/>
  <c r="F33" i="17"/>
  <c r="F44" i="17"/>
  <c r="E22" i="17"/>
  <c r="E21" i="17"/>
  <c r="F39" i="16"/>
  <c r="F35" i="16"/>
  <c r="AA24" i="17"/>
  <c r="AA45" i="17"/>
  <c r="AA51" i="17" s="1"/>
  <c r="AA34" i="17"/>
  <c r="AA40" i="17" s="1"/>
  <c r="W34" i="18"/>
  <c r="W40" i="18" s="1"/>
  <c r="W24" i="18"/>
  <c r="W45" i="18"/>
  <c r="W51" i="18" s="1"/>
  <c r="U46" i="18"/>
  <c r="U50" i="18"/>
  <c r="P34" i="18"/>
  <c r="P40" i="18" s="1"/>
  <c r="P45" i="18"/>
  <c r="P51" i="18" s="1"/>
  <c r="P24" i="18"/>
  <c r="AS15" i="16"/>
  <c r="AT16" i="16" s="1"/>
  <c r="AR10" i="16"/>
  <c r="AR13" i="16" s="1"/>
  <c r="AS14" i="16" s="1"/>
  <c r="AQ33" i="16"/>
  <c r="AQ44" i="16"/>
  <c r="AQ23" i="16"/>
  <c r="AV22" i="18"/>
  <c r="AV21" i="18"/>
  <c r="H9" i="20"/>
  <c r="R23" i="16"/>
  <c r="R44" i="16"/>
  <c r="R33" i="16"/>
  <c r="AP34" i="17"/>
  <c r="AP40" i="17" s="1"/>
  <c r="AP24" i="17"/>
  <c r="AP45" i="17"/>
  <c r="AP51" i="17" s="1"/>
  <c r="AA24" i="18"/>
  <c r="AA45" i="18"/>
  <c r="AA51" i="18" s="1"/>
  <c r="AA34" i="18"/>
  <c r="AA40" i="18" s="1"/>
  <c r="J46" i="17"/>
  <c r="J50" i="17"/>
  <c r="D24" i="16"/>
  <c r="D45" i="16"/>
  <c r="D51" i="16" s="1"/>
  <c r="D34" i="16"/>
  <c r="D40" i="16" s="1"/>
  <c r="AF33" i="18"/>
  <c r="AF23" i="18"/>
  <c r="AF44" i="18"/>
  <c r="M35" i="18"/>
  <c r="M39" i="18"/>
  <c r="AO33" i="17"/>
  <c r="AO23" i="17"/>
  <c r="AO44" i="17"/>
  <c r="P23" i="18"/>
  <c r="P33" i="18"/>
  <c r="P44" i="18"/>
  <c r="AR50" i="16"/>
  <c r="AR46" i="16"/>
  <c r="AL40" i="16"/>
  <c r="AL35" i="16"/>
  <c r="AV34" i="16"/>
  <c r="AV40" i="16" s="1"/>
  <c r="AV24" i="16"/>
  <c r="AV45" i="16"/>
  <c r="AV51" i="16" s="1"/>
  <c r="AO33" i="16"/>
  <c r="AO23" i="16"/>
  <c r="AO44" i="16"/>
  <c r="I27" i="16"/>
  <c r="H30" i="16"/>
  <c r="AC34" i="16"/>
  <c r="AC40" i="16" s="1"/>
  <c r="AC24" i="16"/>
  <c r="AC45" i="16"/>
  <c r="AC51" i="16" s="1"/>
  <c r="R24" i="16"/>
  <c r="R34" i="16"/>
  <c r="R40" i="16" s="1"/>
  <c r="R45" i="16"/>
  <c r="R51" i="16" s="1"/>
  <c r="Y21" i="18"/>
  <c r="Y22" i="18"/>
  <c r="R34" i="17"/>
  <c r="R40" i="17" s="1"/>
  <c r="R45" i="17"/>
  <c r="R51" i="17" s="1"/>
  <c r="R24" i="17"/>
  <c r="AR46" i="18"/>
  <c r="AR50" i="18"/>
  <c r="K45" i="16"/>
  <c r="K51" i="16" s="1"/>
  <c r="K34" i="16"/>
  <c r="K40" i="16" s="1"/>
  <c r="K24" i="16"/>
  <c r="AB33" i="18"/>
  <c r="AB44" i="18"/>
  <c r="AB23" i="18"/>
  <c r="AC33" i="17"/>
  <c r="AC44" i="17"/>
  <c r="AC23" i="17"/>
  <c r="AU33" i="17"/>
  <c r="AU23" i="17"/>
  <c r="AU44" i="17"/>
  <c r="AT23" i="17"/>
  <c r="AT33" i="17"/>
  <c r="AT44" i="17"/>
  <c r="O44" i="18"/>
  <c r="O33" i="18"/>
  <c r="O23" i="18"/>
  <c r="AN34" i="16"/>
  <c r="AN40" i="16" s="1"/>
  <c r="AN24" i="16"/>
  <c r="AN45" i="16"/>
  <c r="AN51" i="16" s="1"/>
  <c r="AV33" i="16"/>
  <c r="AV23" i="16"/>
  <c r="AV44" i="16"/>
  <c r="AR22" i="17"/>
  <c r="AR21" i="17"/>
  <c r="AK24" i="16"/>
  <c r="AK34" i="16"/>
  <c r="AK40" i="16" s="1"/>
  <c r="AK45" i="16"/>
  <c r="AK51" i="16" s="1"/>
  <c r="AS21" i="17"/>
  <c r="AS22" i="17"/>
  <c r="H10" i="20"/>
  <c r="AM22" i="16"/>
  <c r="AM21" i="16"/>
  <c r="AT46" i="16"/>
  <c r="AC44" i="16"/>
  <c r="AC23" i="16"/>
  <c r="AC33" i="16"/>
  <c r="AJ24" i="18"/>
  <c r="AJ45" i="18"/>
  <c r="AJ34" i="18"/>
  <c r="N33" i="16"/>
  <c r="N23" i="16"/>
  <c r="N44" i="16"/>
  <c r="AW33" i="16"/>
  <c r="AW23" i="16"/>
  <c r="AW44" i="16"/>
  <c r="AL34" i="17"/>
  <c r="AL40" i="17" s="1"/>
  <c r="AL24" i="17"/>
  <c r="AL45" i="17"/>
  <c r="AL51" i="17" s="1"/>
  <c r="V23" i="18"/>
  <c r="V33" i="18"/>
  <c r="V44" i="18"/>
  <c r="Q33" i="17"/>
  <c r="Q23" i="17"/>
  <c r="Q44" i="17"/>
  <c r="J50" i="16"/>
  <c r="M34" i="16"/>
  <c r="M40" i="16" s="1"/>
  <c r="M24" i="16"/>
  <c r="M45" i="16"/>
  <c r="M51" i="16" s="1"/>
  <c r="T22" i="18"/>
  <c r="T21" i="18"/>
  <c r="S9" i="20"/>
  <c r="AB24" i="18"/>
  <c r="AB45" i="18"/>
  <c r="AB51" i="18" s="1"/>
  <c r="AB34" i="18"/>
  <c r="AB40" i="18" s="1"/>
  <c r="AY23" i="17"/>
  <c r="AY44" i="17"/>
  <c r="AY33" i="17"/>
  <c r="AC24" i="17"/>
  <c r="AC45" i="17"/>
  <c r="AC51" i="17" s="1"/>
  <c r="AC34" i="17"/>
  <c r="AC40" i="17" s="1"/>
  <c r="G33" i="17"/>
  <c r="G44" i="17"/>
  <c r="G23" i="17"/>
  <c r="AZ10" i="18"/>
  <c r="AU24" i="17"/>
  <c r="AU34" i="17"/>
  <c r="AU40" i="17" s="1"/>
  <c r="AU45" i="17"/>
  <c r="AU51" i="17" s="1"/>
  <c r="AW24" i="18"/>
  <c r="AW45" i="18"/>
  <c r="AW51" i="18" s="1"/>
  <c r="AW34" i="18"/>
  <c r="AW40" i="18" s="1"/>
  <c r="I22" i="17"/>
  <c r="AW22" i="17"/>
  <c r="Q22" i="17"/>
  <c r="N22" i="17"/>
  <c r="AO22" i="17"/>
  <c r="O24" i="18"/>
  <c r="O45" i="18"/>
  <c r="O51" i="18" s="1"/>
  <c r="O34" i="18"/>
  <c r="O40" i="18" s="1"/>
  <c r="R34" i="18"/>
  <c r="R40" i="18" s="1"/>
  <c r="R24" i="18"/>
  <c r="R45" i="18"/>
  <c r="R51" i="18" s="1"/>
  <c r="AW45" i="16"/>
  <c r="AW51" i="16" s="1"/>
  <c r="AW34" i="16"/>
  <c r="AW40" i="16" s="1"/>
  <c r="AW24" i="16"/>
  <c r="AN33" i="16"/>
  <c r="AN44" i="16"/>
  <c r="AN23" i="16"/>
  <c r="AG22" i="16"/>
  <c r="AG21" i="16"/>
  <c r="AN21" i="17"/>
  <c r="AN22" i="17"/>
  <c r="S10" i="20"/>
  <c r="H45" i="16"/>
  <c r="H51" i="16" s="1"/>
  <c r="H34" i="16"/>
  <c r="H40" i="16" s="1"/>
  <c r="H24" i="16"/>
  <c r="AJ23" i="16"/>
  <c r="AJ44" i="16"/>
  <c r="AJ33" i="16"/>
  <c r="AJ21" i="17"/>
  <c r="AJ22" i="17"/>
  <c r="L44" i="16"/>
  <c r="L23" i="16"/>
  <c r="L33" i="16"/>
  <c r="N45" i="16"/>
  <c r="N51" i="16" s="1"/>
  <c r="N24" i="16"/>
  <c r="N34" i="16"/>
  <c r="N40" i="16" s="1"/>
  <c r="X44" i="16"/>
  <c r="X23" i="16"/>
  <c r="X33" i="16"/>
  <c r="AL23" i="17"/>
  <c r="AL33" i="17"/>
  <c r="AL44" i="17"/>
  <c r="H27" i="17"/>
  <c r="G30" i="17"/>
  <c r="J35" i="16"/>
  <c r="J39" i="16"/>
  <c r="M44" i="16"/>
  <c r="M23" i="16"/>
  <c r="M33" i="16"/>
  <c r="I33" i="18"/>
  <c r="I44" i="18"/>
  <c r="I23" i="18"/>
  <c r="V33" i="16"/>
  <c r="V23" i="16"/>
  <c r="V44" i="16"/>
  <c r="D46" i="18"/>
  <c r="D50" i="18"/>
  <c r="S10" i="17"/>
  <c r="S13" i="17" s="1"/>
  <c r="L22" i="18"/>
  <c r="L21" i="18"/>
  <c r="AY22" i="17"/>
  <c r="AD33" i="18"/>
  <c r="AD23" i="18"/>
  <c r="AD44" i="18"/>
  <c r="AP24" i="18"/>
  <c r="AP45" i="18"/>
  <c r="AP51" i="18" s="1"/>
  <c r="AP34" i="18"/>
  <c r="AP40" i="18" s="1"/>
  <c r="G22" i="17"/>
  <c r="AA39" i="18"/>
  <c r="AA35" i="18"/>
  <c r="AW23" i="18"/>
  <c r="AW44" i="18"/>
  <c r="AW33" i="18"/>
  <c r="AN33" i="18"/>
  <c r="AN23" i="18"/>
  <c r="AN44" i="18"/>
  <c r="AU50" i="18"/>
  <c r="AU46" i="18"/>
  <c r="K50" i="18"/>
  <c r="K46" i="18"/>
  <c r="R44" i="18"/>
  <c r="R33" i="18"/>
  <c r="R23" i="18"/>
  <c r="AY23" i="16"/>
  <c r="AY44" i="16"/>
  <c r="AY33" i="16"/>
  <c r="AB22" i="16"/>
  <c r="AB21" i="16"/>
  <c r="D40" i="17"/>
  <c r="D35" i="17"/>
  <c r="Z22" i="17"/>
  <c r="Z21" i="17"/>
  <c r="W44" i="16"/>
  <c r="W23" i="16"/>
  <c r="W33" i="16"/>
  <c r="AE45" i="17"/>
  <c r="AE51" i="17" s="1"/>
  <c r="AE24" i="17"/>
  <c r="AE34" i="17"/>
  <c r="AE40" i="17" s="1"/>
  <c r="H50" i="18"/>
  <c r="X33" i="18"/>
  <c r="X44" i="18"/>
  <c r="X23" i="18"/>
  <c r="AQ44" i="17"/>
  <c r="AQ23" i="17"/>
  <c r="AQ33" i="17"/>
  <c r="AK23" i="18"/>
  <c r="AK44" i="18"/>
  <c r="AK33" i="18"/>
  <c r="AA44" i="17"/>
  <c r="AA33" i="17"/>
  <c r="AA23" i="17"/>
  <c r="AK33" i="17"/>
  <c r="AK44" i="17"/>
  <c r="AK23" i="17"/>
  <c r="AE23" i="18"/>
  <c r="AE44" i="18"/>
  <c r="AE33" i="18"/>
  <c r="AZ260" i="14"/>
  <c r="AT40" i="16"/>
  <c r="AT35" i="16"/>
  <c r="AQ24" i="16"/>
  <c r="AQ45" i="16"/>
  <c r="AQ51" i="16" s="1"/>
  <c r="AQ34" i="16"/>
  <c r="AQ40" i="16" s="1"/>
  <c r="X21" i="17"/>
  <c r="X22" i="17"/>
  <c r="AX21" i="18"/>
  <c r="AX22" i="18"/>
  <c r="AV44" i="17"/>
  <c r="AV33" i="17"/>
  <c r="AV23" i="17"/>
  <c r="W24" i="16"/>
  <c r="W45" i="16"/>
  <c r="W51" i="16" s="1"/>
  <c r="W34" i="16"/>
  <c r="W40" i="16" s="1"/>
  <c r="AI22" i="18"/>
  <c r="AI21" i="18"/>
  <c r="R23" i="17"/>
  <c r="R44" i="17"/>
  <c r="R33" i="17"/>
  <c r="O33" i="17"/>
  <c r="O44" i="17"/>
  <c r="O23" i="17"/>
  <c r="Q22" i="18"/>
  <c r="Q21" i="18"/>
  <c r="AQ24" i="17"/>
  <c r="AQ45" i="17"/>
  <c r="AQ51" i="17" s="1"/>
  <c r="AQ34" i="17"/>
  <c r="AQ40" i="17" s="1"/>
  <c r="AK50" i="16"/>
  <c r="AG34" i="18"/>
  <c r="AG40" i="18" s="1"/>
  <c r="AG45" i="18"/>
  <c r="AG51" i="18" s="1"/>
  <c r="AG24" i="18"/>
  <c r="S45" i="18"/>
  <c r="S51" i="18" s="1"/>
  <c r="S34" i="18"/>
  <c r="S40" i="18" s="1"/>
  <c r="S24" i="18"/>
  <c r="G24" i="18"/>
  <c r="G34" i="18"/>
  <c r="G40" i="18" s="1"/>
  <c r="G45" i="18"/>
  <c r="G51" i="18" s="1"/>
  <c r="N50" i="18"/>
  <c r="N46" i="18"/>
  <c r="AM33" i="17"/>
  <c r="AM44" i="17"/>
  <c r="AM23" i="17"/>
  <c r="AI50" i="17"/>
  <c r="AI46" i="17"/>
  <c r="Y24" i="17"/>
  <c r="Y45" i="17"/>
  <c r="Y51" i="17" s="1"/>
  <c r="Y34" i="17"/>
  <c r="Y40" i="17" s="1"/>
  <c r="AR39" i="16"/>
  <c r="AR35" i="16"/>
  <c r="AL51" i="16"/>
  <c r="AL46" i="16"/>
  <c r="AP44" i="16"/>
  <c r="AP33" i="16"/>
  <c r="AP23" i="16"/>
  <c r="AC21" i="18"/>
  <c r="AC22" i="18"/>
  <c r="M24" i="17"/>
  <c r="M45" i="17"/>
  <c r="M51" i="17" s="1"/>
  <c r="M34" i="17"/>
  <c r="M40" i="17" s="1"/>
  <c r="AO21" i="18"/>
  <c r="AO22" i="18"/>
  <c r="AD23" i="17"/>
  <c r="AD33" i="17"/>
  <c r="AD44" i="17"/>
  <c r="O44" i="16"/>
  <c r="O23" i="16"/>
  <c r="O33" i="16"/>
  <c r="O45" i="17"/>
  <c r="O51" i="17" s="1"/>
  <c r="O24" i="17"/>
  <c r="O34" i="17"/>
  <c r="O40" i="17" s="1"/>
  <c r="T34" i="16"/>
  <c r="T40" i="16" s="1"/>
  <c r="T45" i="16"/>
  <c r="T51" i="16" s="1"/>
  <c r="T24" i="16"/>
  <c r="E40" i="18"/>
  <c r="E35" i="18"/>
  <c r="V34" i="17"/>
  <c r="V40" i="17" s="1"/>
  <c r="V45" i="17"/>
  <c r="V51" i="17" s="1"/>
  <c r="V24" i="17"/>
  <c r="AK39" i="16"/>
  <c r="AG44" i="18"/>
  <c r="AG33" i="18"/>
  <c r="AG23" i="18"/>
  <c r="S33" i="18"/>
  <c r="S23" i="18"/>
  <c r="S44" i="18"/>
  <c r="W23" i="18"/>
  <c r="W33" i="18"/>
  <c r="W44" i="18"/>
  <c r="AI39" i="17"/>
  <c r="AY33" i="18"/>
  <c r="AY23" i="18"/>
  <c r="AY44" i="18"/>
  <c r="AE22" i="16"/>
  <c r="AE21" i="16"/>
  <c r="AP34" i="16"/>
  <c r="AP40" i="16" s="1"/>
  <c r="AP45" i="16"/>
  <c r="AP51" i="16" s="1"/>
  <c r="AP24" i="16"/>
  <c r="D51" i="17"/>
  <c r="D46" i="17"/>
  <c r="L21" i="17"/>
  <c r="L22" i="17"/>
  <c r="D44" i="16"/>
  <c r="D33" i="16"/>
  <c r="D23" i="16"/>
  <c r="AP23" i="17"/>
  <c r="AP44" i="17"/>
  <c r="AP33" i="17"/>
  <c r="H39" i="18"/>
  <c r="O24" i="16"/>
  <c r="O34" i="16"/>
  <c r="O40" i="16" s="1"/>
  <c r="O45" i="16"/>
  <c r="O51" i="16" s="1"/>
  <c r="E51" i="18"/>
  <c r="E46" i="18"/>
  <c r="V23" i="17"/>
  <c r="V33" i="17"/>
  <c r="V44" i="17"/>
  <c r="F21" i="18"/>
  <c r="F22" i="18"/>
  <c r="AE33" i="17"/>
  <c r="AE23" i="17"/>
  <c r="AE44" i="17"/>
  <c r="AY24" i="18"/>
  <c r="AY45" i="18"/>
  <c r="AY51" i="18" s="1"/>
  <c r="AY34" i="18"/>
  <c r="AY40" i="18" s="1"/>
  <c r="AH22" i="16"/>
  <c r="AH21" i="16"/>
  <c r="Y22" i="16"/>
  <c r="Y21" i="16"/>
  <c r="P21" i="17"/>
  <c r="P22" i="17"/>
  <c r="AZ260" i="15"/>
  <c r="H33" i="16"/>
  <c r="H23" i="16"/>
  <c r="H44" i="16"/>
  <c r="AF33" i="16"/>
  <c r="AF44" i="16"/>
  <c r="AF23" i="16"/>
  <c r="S34" i="16"/>
  <c r="S40" i="16" s="1"/>
  <c r="S45" i="16"/>
  <c r="S51" i="16" s="1"/>
  <c r="S24" i="16"/>
  <c r="L34" i="16"/>
  <c r="L40" i="16" s="1"/>
  <c r="L45" i="16"/>
  <c r="L51" i="16" s="1"/>
  <c r="L24" i="16"/>
  <c r="AA34" i="16"/>
  <c r="AA40" i="16" s="1"/>
  <c r="AA45" i="16"/>
  <c r="AA51" i="16" s="1"/>
  <c r="AA24" i="16"/>
  <c r="AX21" i="17"/>
  <c r="AX22" i="17"/>
  <c r="K23" i="16"/>
  <c r="K33" i="16"/>
  <c r="K44" i="16"/>
  <c r="AI24" i="16"/>
  <c r="AI45" i="16"/>
  <c r="AI51" i="16" s="1"/>
  <c r="AI34" i="16"/>
  <c r="AI40" i="16" s="1"/>
  <c r="AK24" i="17"/>
  <c r="AK45" i="17"/>
  <c r="AK51" i="17" s="1"/>
  <c r="AK34" i="17"/>
  <c r="AK40" i="17" s="1"/>
  <c r="Q39" i="16"/>
  <c r="Q35" i="16"/>
  <c r="E21" i="16"/>
  <c r="E22" i="16"/>
  <c r="J24" i="16"/>
  <c r="J34" i="16"/>
  <c r="J40" i="16" s="1"/>
  <c r="J45" i="16"/>
  <c r="J51" i="16" s="1"/>
  <c r="V45" i="16"/>
  <c r="V51" i="16" s="1"/>
  <c r="V24" i="16"/>
  <c r="V34" i="16"/>
  <c r="V40" i="16" s="1"/>
  <c r="P21" i="16"/>
  <c r="P22" i="16"/>
  <c r="N23" i="17"/>
  <c r="N33" i="17"/>
  <c r="N44" i="17"/>
  <c r="AM45" i="17"/>
  <c r="AM51" i="17" s="1"/>
  <c r="AM24" i="17"/>
  <c r="AM34" i="17"/>
  <c r="AM40" i="17" s="1"/>
  <c r="AD24" i="18"/>
  <c r="AD34" i="18"/>
  <c r="AD40" i="18" s="1"/>
  <c r="AD45" i="18"/>
  <c r="AD51" i="18" s="1"/>
  <c r="AP33" i="18"/>
  <c r="AP23" i="18"/>
  <c r="AP44" i="18"/>
  <c r="J34" i="18"/>
  <c r="J40" i="18" s="1"/>
  <c r="J24" i="18"/>
  <c r="J45" i="18"/>
  <c r="J51" i="18" s="1"/>
  <c r="G46" i="16"/>
  <c r="G50" i="16"/>
  <c r="AL33" i="18"/>
  <c r="AL44" i="18"/>
  <c r="AL23" i="18"/>
  <c r="D35" i="18"/>
  <c r="AA50" i="18"/>
  <c r="AS34" i="18"/>
  <c r="AS40" i="18" s="1"/>
  <c r="AS45" i="18"/>
  <c r="AS51" i="18" s="1"/>
  <c r="AS24" i="18"/>
  <c r="AN45" i="18"/>
  <c r="AN51" i="18" s="1"/>
  <c r="AN34" i="18"/>
  <c r="AN40" i="18" s="1"/>
  <c r="AN24" i="18"/>
  <c r="AU39" i="18"/>
  <c r="AU35" i="18"/>
  <c r="I21" i="16"/>
  <c r="I22" i="16"/>
  <c r="H21" i="17"/>
  <c r="H22" i="17"/>
  <c r="AT22" i="17"/>
  <c r="AF24" i="16"/>
  <c r="AF34" i="16"/>
  <c r="AF40" i="16" s="1"/>
  <c r="AF45" i="16"/>
  <c r="AF51" i="16" s="1"/>
  <c r="S23" i="16"/>
  <c r="S33" i="16"/>
  <c r="S44" i="16"/>
  <c r="AA23" i="16"/>
  <c r="AA44" i="16"/>
  <c r="AA33" i="16"/>
  <c r="S8" i="20"/>
  <c r="T11" i="20" s="1"/>
  <c r="T45" i="20" s="1"/>
  <c r="W22" i="17"/>
  <c r="W21" i="17"/>
  <c r="AI44" i="16"/>
  <c r="AI33" i="16"/>
  <c r="AI23" i="16"/>
  <c r="AB21" i="17"/>
  <c r="AB22" i="17"/>
  <c r="Q50" i="16"/>
  <c r="Q46" i="16"/>
  <c r="AW33" i="17"/>
  <c r="AW23" i="17"/>
  <c r="AW44" i="17"/>
  <c r="AH23" i="17"/>
  <c r="AH44" i="17"/>
  <c r="AH33" i="17"/>
  <c r="H34" i="18"/>
  <c r="H40" i="18" s="1"/>
  <c r="H45" i="18"/>
  <c r="H51" i="18" s="1"/>
  <c r="H24" i="18"/>
  <c r="U34" i="16"/>
  <c r="U40" i="16" s="1"/>
  <c r="U24" i="16"/>
  <c r="U45" i="16"/>
  <c r="U51" i="16" s="1"/>
  <c r="Z21" i="18"/>
  <c r="Z22" i="18"/>
  <c r="AJ45" i="16"/>
  <c r="AJ51" i="16" s="1"/>
  <c r="AJ24" i="16"/>
  <c r="AJ34" i="16"/>
  <c r="AJ40" i="16" s="1"/>
  <c r="I33" i="17"/>
  <c r="I23" i="17"/>
  <c r="I44" i="17"/>
  <c r="G30" i="18"/>
  <c r="H27" i="18"/>
  <c r="U33" i="17"/>
  <c r="U23" i="17"/>
  <c r="U44" i="17"/>
  <c r="F50" i="16"/>
  <c r="F46" i="16"/>
  <c r="AK34" i="18"/>
  <c r="AK40" i="18" s="1"/>
  <c r="AK24" i="18"/>
  <c r="AK45" i="18"/>
  <c r="AK51" i="18" s="1"/>
  <c r="J33" i="18"/>
  <c r="J23" i="18"/>
  <c r="J44" i="18"/>
  <c r="G35" i="16"/>
  <c r="G39" i="16"/>
  <c r="AL24" i="18"/>
  <c r="AL34" i="18"/>
  <c r="AL40" i="18" s="1"/>
  <c r="AL45" i="18"/>
  <c r="AL51" i="18" s="1"/>
  <c r="AS23" i="18"/>
  <c r="AS44" i="18"/>
  <c r="AS33" i="18"/>
  <c r="AH33" i="18"/>
  <c r="AH44" i="18"/>
  <c r="AH23" i="18"/>
  <c r="AE34" i="18"/>
  <c r="AE40" i="18" s="1"/>
  <c r="AE45" i="18"/>
  <c r="AE51" i="18" s="1"/>
  <c r="AE24" i="18"/>
  <c r="K39" i="18"/>
  <c r="K35" i="18"/>
  <c r="M46" i="18"/>
  <c r="E23" i="16" l="1"/>
  <c r="E33" i="16"/>
  <c r="E44" i="16"/>
  <c r="AF46" i="16"/>
  <c r="AF50" i="16"/>
  <c r="S39" i="18"/>
  <c r="S35" i="18"/>
  <c r="AP46" i="16"/>
  <c r="AP50" i="16"/>
  <c r="O50" i="17"/>
  <c r="O46" i="17"/>
  <c r="AE46" i="18"/>
  <c r="AE50" i="18"/>
  <c r="AY46" i="16"/>
  <c r="AY50" i="16"/>
  <c r="V39" i="16"/>
  <c r="V35" i="16"/>
  <c r="AJ23" i="17"/>
  <c r="AJ44" i="17"/>
  <c r="AJ33" i="17"/>
  <c r="AO24" i="17"/>
  <c r="AO45" i="17"/>
  <c r="AO51" i="17" s="1"/>
  <c r="AO34" i="17"/>
  <c r="AO40" i="17" s="1"/>
  <c r="Q50" i="17"/>
  <c r="AJ51" i="18"/>
  <c r="AJ46" i="18"/>
  <c r="AV46" i="16"/>
  <c r="AV50" i="16"/>
  <c r="O46" i="18"/>
  <c r="O50" i="18"/>
  <c r="AC50" i="17"/>
  <c r="AC46" i="17"/>
  <c r="R35" i="16"/>
  <c r="R39" i="16"/>
  <c r="AQ35" i="16"/>
  <c r="AQ39" i="16"/>
  <c r="E33" i="17"/>
  <c r="E44" i="17"/>
  <c r="E23" i="17"/>
  <c r="AM23" i="18"/>
  <c r="AM44" i="18"/>
  <c r="AM33" i="18"/>
  <c r="AG33" i="17"/>
  <c r="AG44" i="17"/>
  <c r="AG23" i="17"/>
  <c r="I27" i="18"/>
  <c r="H30" i="18"/>
  <c r="Z24" i="18"/>
  <c r="Z45" i="18"/>
  <c r="Z51" i="18" s="1"/>
  <c r="Z34" i="18"/>
  <c r="Z40" i="18" s="1"/>
  <c r="AH39" i="17"/>
  <c r="AH35" i="17"/>
  <c r="AA46" i="18"/>
  <c r="K46" i="16"/>
  <c r="K50" i="16"/>
  <c r="AF39" i="16"/>
  <c r="AF35" i="16"/>
  <c r="Y24" i="16"/>
  <c r="Y45" i="16"/>
  <c r="Y51" i="16" s="1"/>
  <c r="Y34" i="16"/>
  <c r="Y40" i="16" s="1"/>
  <c r="AE35" i="17"/>
  <c r="AE39" i="17"/>
  <c r="O35" i="16"/>
  <c r="O39" i="16"/>
  <c r="AK46" i="16"/>
  <c r="O35" i="17"/>
  <c r="O39" i="17"/>
  <c r="AK50" i="18"/>
  <c r="AK46" i="18"/>
  <c r="Z23" i="17"/>
  <c r="Z44" i="17"/>
  <c r="Z33" i="17"/>
  <c r="AN50" i="18"/>
  <c r="AN46" i="18"/>
  <c r="G45" i="17"/>
  <c r="G51" i="17" s="1"/>
  <c r="G24" i="17"/>
  <c r="G34" i="17"/>
  <c r="G40" i="17" s="1"/>
  <c r="L44" i="18"/>
  <c r="L23" i="18"/>
  <c r="L33" i="18"/>
  <c r="AJ39" i="16"/>
  <c r="AJ35" i="16"/>
  <c r="AN44" i="17"/>
  <c r="AN33" i="17"/>
  <c r="AN23" i="17"/>
  <c r="N34" i="17"/>
  <c r="N40" i="17" s="1"/>
  <c r="N24" i="17"/>
  <c r="N45" i="17"/>
  <c r="N51" i="17" s="1"/>
  <c r="T44" i="18"/>
  <c r="T33" i="18"/>
  <c r="T23" i="18"/>
  <c r="AW50" i="16"/>
  <c r="AW46" i="16"/>
  <c r="AS24" i="17"/>
  <c r="AS45" i="17"/>
  <c r="AS51" i="17" s="1"/>
  <c r="AS34" i="17"/>
  <c r="AS40" i="17" s="1"/>
  <c r="AT50" i="17"/>
  <c r="AC35" i="17"/>
  <c r="AC39" i="17"/>
  <c r="AO39" i="16"/>
  <c r="AO35" i="16"/>
  <c r="P50" i="18"/>
  <c r="P46" i="18"/>
  <c r="AF50" i="18"/>
  <c r="AF46" i="18"/>
  <c r="R46" i="16"/>
  <c r="R50" i="16"/>
  <c r="AT15" i="16"/>
  <c r="AS10" i="16"/>
  <c r="E24" i="17"/>
  <c r="E45" i="17"/>
  <c r="E51" i="17" s="1"/>
  <c r="E34" i="17"/>
  <c r="E40" i="17" s="1"/>
  <c r="T50" i="16"/>
  <c r="T46" i="16"/>
  <c r="Y50" i="17"/>
  <c r="Y46" i="17"/>
  <c r="AG24" i="17"/>
  <c r="AG45" i="17"/>
  <c r="AG51" i="17" s="1"/>
  <c r="AG34" i="17"/>
  <c r="AG40" i="17" s="1"/>
  <c r="Z33" i="18"/>
  <c r="Z23" i="18"/>
  <c r="Z44" i="18"/>
  <c r="AH46" i="17"/>
  <c r="AH50" i="17"/>
  <c r="AB34" i="17"/>
  <c r="AB40" i="17" s="1"/>
  <c r="AB45" i="17"/>
  <c r="AB51" i="17" s="1"/>
  <c r="AB24" i="17"/>
  <c r="AA39" i="16"/>
  <c r="AA35" i="16"/>
  <c r="K39" i="16"/>
  <c r="K35" i="16"/>
  <c r="H50" i="16"/>
  <c r="H46" i="16"/>
  <c r="AH44" i="16"/>
  <c r="AH23" i="16"/>
  <c r="AH33" i="16"/>
  <c r="F34" i="18"/>
  <c r="F40" i="18" s="1"/>
  <c r="F45" i="18"/>
  <c r="F51" i="18" s="1"/>
  <c r="F24" i="18"/>
  <c r="AZ22" i="18"/>
  <c r="D35" i="16"/>
  <c r="D39" i="16"/>
  <c r="AI35" i="17"/>
  <c r="AG35" i="18"/>
  <c r="AG39" i="18"/>
  <c r="R39" i="17"/>
  <c r="R35" i="17"/>
  <c r="H46" i="18"/>
  <c r="Z45" i="17"/>
  <c r="Z51" i="17" s="1"/>
  <c r="Z34" i="17"/>
  <c r="Z40" i="17" s="1"/>
  <c r="Z24" i="17"/>
  <c r="L34" i="18"/>
  <c r="L40" i="18" s="1"/>
  <c r="L24" i="18"/>
  <c r="L45" i="18"/>
  <c r="L51" i="18" s="1"/>
  <c r="I50" i="18"/>
  <c r="I46" i="18"/>
  <c r="H30" i="17"/>
  <c r="I27" i="17"/>
  <c r="AJ50" i="16"/>
  <c r="AJ46" i="16"/>
  <c r="AG23" i="16"/>
  <c r="AG33" i="16"/>
  <c r="AG44" i="16"/>
  <c r="Q24" i="17"/>
  <c r="Q45" i="17"/>
  <c r="Q51" i="17" s="1"/>
  <c r="Q34" i="17"/>
  <c r="Q40" i="17" s="1"/>
  <c r="AY39" i="17"/>
  <c r="T45" i="18"/>
  <c r="T51" i="18" s="1"/>
  <c r="T34" i="18"/>
  <c r="T40" i="18" s="1"/>
  <c r="T24" i="18"/>
  <c r="Q39" i="17"/>
  <c r="AC39" i="16"/>
  <c r="AC35" i="16"/>
  <c r="AS23" i="17"/>
  <c r="AS44" i="17"/>
  <c r="AS33" i="17"/>
  <c r="AV35" i="16"/>
  <c r="AV39" i="16"/>
  <c r="AT39" i="17"/>
  <c r="AT35" i="17"/>
  <c r="P39" i="18"/>
  <c r="P35" i="18"/>
  <c r="F46" i="17"/>
  <c r="F50" i="17"/>
  <c r="T35" i="16"/>
  <c r="T39" i="16"/>
  <c r="Y35" i="17"/>
  <c r="Y39" i="17"/>
  <c r="G46" i="18"/>
  <c r="G50" i="18"/>
  <c r="AT50" i="18"/>
  <c r="AT46" i="18"/>
  <c r="M50" i="17"/>
  <c r="M46" i="17"/>
  <c r="J35" i="18"/>
  <c r="J39" i="18"/>
  <c r="W45" i="17"/>
  <c r="W51" i="17" s="1"/>
  <c r="W24" i="17"/>
  <c r="W34" i="17"/>
  <c r="W40" i="17" s="1"/>
  <c r="X35" i="18"/>
  <c r="X39" i="18"/>
  <c r="X50" i="16"/>
  <c r="X46" i="16"/>
  <c r="AB23" i="17"/>
  <c r="AB44" i="17"/>
  <c r="AB33" i="17"/>
  <c r="AH45" i="16"/>
  <c r="AH51" i="16" s="1"/>
  <c r="AH24" i="16"/>
  <c r="AH34" i="16"/>
  <c r="AH40" i="16" s="1"/>
  <c r="W46" i="18"/>
  <c r="W50" i="18"/>
  <c r="AV39" i="17"/>
  <c r="AV35" i="17"/>
  <c r="AQ35" i="17"/>
  <c r="AQ39" i="17"/>
  <c r="V46" i="18"/>
  <c r="V50" i="18"/>
  <c r="AB46" i="18"/>
  <c r="AB50" i="18"/>
  <c r="F39" i="17"/>
  <c r="F35" i="17"/>
  <c r="AT35" i="18"/>
  <c r="AT39" i="18"/>
  <c r="H35" i="16"/>
  <c r="H39" i="16"/>
  <c r="AE44" i="16"/>
  <c r="AE23" i="16"/>
  <c r="AE33" i="16"/>
  <c r="AC34" i="18"/>
  <c r="AC40" i="18" s="1"/>
  <c r="AC45" i="18"/>
  <c r="AC51" i="18" s="1"/>
  <c r="AC24" i="18"/>
  <c r="AM35" i="17"/>
  <c r="AM39" i="17"/>
  <c r="AV46" i="17"/>
  <c r="AV50" i="17"/>
  <c r="AK35" i="17"/>
  <c r="AK39" i="17"/>
  <c r="R46" i="18"/>
  <c r="R50" i="18"/>
  <c r="M35" i="16"/>
  <c r="M39" i="16"/>
  <c r="AL39" i="17"/>
  <c r="AL35" i="17"/>
  <c r="I24" i="17"/>
  <c r="I45" i="17"/>
  <c r="I51" i="17" s="1"/>
  <c r="I34" i="17"/>
  <c r="I40" i="17" s="1"/>
  <c r="V39" i="18"/>
  <c r="V35" i="18"/>
  <c r="N50" i="16"/>
  <c r="N46" i="16"/>
  <c r="AC46" i="16"/>
  <c r="AC50" i="16"/>
  <c r="AU46" i="17"/>
  <c r="AU50" i="17"/>
  <c r="AO50" i="17"/>
  <c r="AV44" i="18"/>
  <c r="AV33" i="18"/>
  <c r="AV23" i="18"/>
  <c r="G35" i="18"/>
  <c r="G39" i="18"/>
  <c r="Z35" i="16"/>
  <c r="Z39" i="16"/>
  <c r="M35" i="17"/>
  <c r="M39" i="17"/>
  <c r="AZ10" i="17"/>
  <c r="AH35" i="18"/>
  <c r="AH39" i="18"/>
  <c r="I35" i="17"/>
  <c r="I39" i="17"/>
  <c r="AW50" i="17"/>
  <c r="AI35" i="16"/>
  <c r="AI39" i="16"/>
  <c r="S46" i="16"/>
  <c r="S50" i="16"/>
  <c r="H44" i="17"/>
  <c r="H33" i="17"/>
  <c r="H23" i="17"/>
  <c r="AL35" i="18"/>
  <c r="AL39" i="18"/>
  <c r="AP39" i="18"/>
  <c r="AP35" i="18"/>
  <c r="N39" i="17"/>
  <c r="AX23" i="17"/>
  <c r="AX33" i="17"/>
  <c r="AX44" i="17"/>
  <c r="V39" i="17"/>
  <c r="V35" i="17"/>
  <c r="L34" i="17"/>
  <c r="L40" i="17" s="1"/>
  <c r="L24" i="17"/>
  <c r="L45" i="17"/>
  <c r="L51" i="17" s="1"/>
  <c r="AE34" i="16"/>
  <c r="AE40" i="16" s="1"/>
  <c r="AE24" i="16"/>
  <c r="AE45" i="16"/>
  <c r="AE51" i="16" s="1"/>
  <c r="AK35" i="16"/>
  <c r="AD39" i="17"/>
  <c r="AD35" i="17"/>
  <c r="AC23" i="18"/>
  <c r="AC44" i="18"/>
  <c r="AC33" i="18"/>
  <c r="Q33" i="18"/>
  <c r="Q44" i="18"/>
  <c r="Q23" i="18"/>
  <c r="AI23" i="18"/>
  <c r="AI44" i="18"/>
  <c r="AI33" i="18"/>
  <c r="AX24" i="18"/>
  <c r="AX34" i="18"/>
  <c r="AX40" i="18" s="1"/>
  <c r="AX45" i="18"/>
  <c r="AX51" i="18" s="1"/>
  <c r="AQ46" i="17"/>
  <c r="AQ50" i="17"/>
  <c r="AB33" i="16"/>
  <c r="AB44" i="16"/>
  <c r="AB23" i="16"/>
  <c r="AW50" i="18"/>
  <c r="AW46" i="18"/>
  <c r="AD50" i="18"/>
  <c r="AD46" i="18"/>
  <c r="AN46" i="16"/>
  <c r="AN50" i="16"/>
  <c r="G50" i="17"/>
  <c r="G46" i="17"/>
  <c r="Y34" i="18"/>
  <c r="Y40" i="18" s="1"/>
  <c r="Y24" i="18"/>
  <c r="Y45" i="18"/>
  <c r="Y51" i="18" s="1"/>
  <c r="AV24" i="18"/>
  <c r="AV45" i="18"/>
  <c r="AV51" i="18" s="1"/>
  <c r="AV34" i="18"/>
  <c r="AV40" i="18" s="1"/>
  <c r="AD46" i="16"/>
  <c r="AD50" i="16"/>
  <c r="K22" i="17"/>
  <c r="AZ22" i="17" s="1"/>
  <c r="K21" i="17"/>
  <c r="P44" i="16"/>
  <c r="P33" i="16"/>
  <c r="P23" i="16"/>
  <c r="AY35" i="18"/>
  <c r="AY39" i="18"/>
  <c r="AO44" i="18"/>
  <c r="AO23" i="18"/>
  <c r="AO33" i="18"/>
  <c r="AK39" i="18"/>
  <c r="AK35" i="18"/>
  <c r="AA50" i="16"/>
  <c r="AA46" i="16"/>
  <c r="AP50" i="18"/>
  <c r="AP46" i="18"/>
  <c r="D50" i="16"/>
  <c r="D46" i="16"/>
  <c r="O46" i="16"/>
  <c r="O50" i="16"/>
  <c r="R46" i="17"/>
  <c r="R50" i="17"/>
  <c r="T21" i="17"/>
  <c r="T22" i="17"/>
  <c r="AL46" i="17"/>
  <c r="AL50" i="17"/>
  <c r="AG45" i="16"/>
  <c r="AG51" i="16" s="1"/>
  <c r="AG34" i="16"/>
  <c r="AG40" i="16" s="1"/>
  <c r="AG24" i="16"/>
  <c r="AY50" i="17"/>
  <c r="AW39" i="16"/>
  <c r="AW35" i="16"/>
  <c r="AF35" i="18"/>
  <c r="AF39" i="18"/>
  <c r="AD35" i="16"/>
  <c r="AD39" i="16"/>
  <c r="AH50" i="18"/>
  <c r="AH46" i="18"/>
  <c r="AL50" i="18"/>
  <c r="AL46" i="18"/>
  <c r="N50" i="17"/>
  <c r="AX24" i="17"/>
  <c r="AX34" i="17"/>
  <c r="AX40" i="17" s="1"/>
  <c r="AX45" i="17"/>
  <c r="AX51" i="17" s="1"/>
  <c r="H35" i="18"/>
  <c r="W39" i="18"/>
  <c r="W35" i="18"/>
  <c r="AB35" i="18"/>
  <c r="AB39" i="18"/>
  <c r="AI50" i="16"/>
  <c r="AI46" i="16"/>
  <c r="I34" i="16"/>
  <c r="I40" i="16" s="1"/>
  <c r="I24" i="16"/>
  <c r="I45" i="16"/>
  <c r="I51" i="16" s="1"/>
  <c r="P34" i="17"/>
  <c r="P40" i="17" s="1"/>
  <c r="P24" i="17"/>
  <c r="P45" i="17"/>
  <c r="P51" i="17" s="1"/>
  <c r="AP39" i="17"/>
  <c r="AP35" i="17"/>
  <c r="L23" i="17"/>
  <c r="L44" i="17"/>
  <c r="L33" i="17"/>
  <c r="AY46" i="18"/>
  <c r="AY50" i="18"/>
  <c r="S50" i="18"/>
  <c r="S46" i="18"/>
  <c r="Q24" i="18"/>
  <c r="Q34" i="18"/>
  <c r="Q40" i="18" s="1"/>
  <c r="Q45" i="18"/>
  <c r="Q51" i="18" s="1"/>
  <c r="AI34" i="18"/>
  <c r="AI40" i="18" s="1"/>
  <c r="AI45" i="18"/>
  <c r="AI51" i="18" s="1"/>
  <c r="AI24" i="18"/>
  <c r="AX23" i="18"/>
  <c r="AX44" i="18"/>
  <c r="AX33" i="18"/>
  <c r="AA35" i="17"/>
  <c r="AA39" i="17"/>
  <c r="W35" i="16"/>
  <c r="W39" i="16"/>
  <c r="AB45" i="16"/>
  <c r="AB51" i="16" s="1"/>
  <c r="AB24" i="16"/>
  <c r="AB34" i="16"/>
  <c r="AB40" i="16" s="1"/>
  <c r="V50" i="16"/>
  <c r="V46" i="16"/>
  <c r="M46" i="16"/>
  <c r="M50" i="16"/>
  <c r="X35" i="16"/>
  <c r="X39" i="16"/>
  <c r="L50" i="16"/>
  <c r="L46" i="16"/>
  <c r="AN35" i="16"/>
  <c r="AN39" i="16"/>
  <c r="G35" i="17"/>
  <c r="G39" i="17"/>
  <c r="N39" i="16"/>
  <c r="N35" i="16"/>
  <c r="AM33" i="16"/>
  <c r="AM44" i="16"/>
  <c r="AM23" i="16"/>
  <c r="AR44" i="17"/>
  <c r="AR23" i="17"/>
  <c r="AR33" i="17"/>
  <c r="AU35" i="17"/>
  <c r="AU39" i="17"/>
  <c r="Y44" i="18"/>
  <c r="Y23" i="18"/>
  <c r="Y33" i="18"/>
  <c r="J27" i="16"/>
  <c r="I30" i="16"/>
  <c r="AO35" i="17"/>
  <c r="AO39" i="17"/>
  <c r="AQ45" i="18"/>
  <c r="AQ51" i="18" s="1"/>
  <c r="AQ24" i="18"/>
  <c r="AQ34" i="18"/>
  <c r="AQ40" i="18" s="1"/>
  <c r="AX44" i="16"/>
  <c r="AX33" i="16"/>
  <c r="AX23" i="16"/>
  <c r="U35" i="16"/>
  <c r="U39" i="16"/>
  <c r="Z46" i="16"/>
  <c r="Z50" i="16"/>
  <c r="U35" i="17"/>
  <c r="U39" i="17"/>
  <c r="Y23" i="16"/>
  <c r="Y44" i="16"/>
  <c r="Y33" i="16"/>
  <c r="X44" i="17"/>
  <c r="X23" i="17"/>
  <c r="X33" i="17"/>
  <c r="W46" i="16"/>
  <c r="W50" i="16"/>
  <c r="AY45" i="17"/>
  <c r="AY51" i="17" s="1"/>
  <c r="AY34" i="17"/>
  <c r="AY40" i="17" s="1"/>
  <c r="AY24" i="17"/>
  <c r="AN34" i="17"/>
  <c r="AN40" i="17" s="1"/>
  <c r="AN24" i="17"/>
  <c r="AN45" i="17"/>
  <c r="AN51" i="17" s="1"/>
  <c r="I50" i="17"/>
  <c r="I46" i="17"/>
  <c r="AT34" i="17"/>
  <c r="AT40" i="17" s="1"/>
  <c r="AT45" i="17"/>
  <c r="AT51" i="17" s="1"/>
  <c r="AT24" i="17"/>
  <c r="F23" i="18"/>
  <c r="F44" i="18"/>
  <c r="F33" i="18"/>
  <c r="AZ21" i="18"/>
  <c r="AG46" i="18"/>
  <c r="AG50" i="18"/>
  <c r="AM50" i="17"/>
  <c r="AM46" i="17"/>
  <c r="AK50" i="17"/>
  <c r="AK46" i="17"/>
  <c r="R39" i="18"/>
  <c r="R35" i="18"/>
  <c r="AN35" i="18"/>
  <c r="AN39" i="18"/>
  <c r="I35" i="18"/>
  <c r="I39" i="18"/>
  <c r="AW24" i="17"/>
  <c r="AW34" i="17"/>
  <c r="AW40" i="17" s="1"/>
  <c r="AW45" i="17"/>
  <c r="AW51" i="17" s="1"/>
  <c r="H34" i="17"/>
  <c r="H40" i="17" s="1"/>
  <c r="H24" i="17"/>
  <c r="H45" i="17"/>
  <c r="H51" i="17" s="1"/>
  <c r="V46" i="17"/>
  <c r="V50" i="17"/>
  <c r="AD46" i="17"/>
  <c r="AD50" i="17"/>
  <c r="AW35" i="18"/>
  <c r="AW39" i="18"/>
  <c r="L35" i="16"/>
  <c r="L39" i="16"/>
  <c r="AS39" i="18"/>
  <c r="AS35" i="18"/>
  <c r="J46" i="18"/>
  <c r="J50" i="18"/>
  <c r="U50" i="17"/>
  <c r="U46" i="17"/>
  <c r="S39" i="16"/>
  <c r="S35" i="16"/>
  <c r="AS46" i="18"/>
  <c r="AS50" i="18"/>
  <c r="AW35" i="17"/>
  <c r="AW39" i="17"/>
  <c r="W33" i="17"/>
  <c r="W23" i="17"/>
  <c r="W44" i="17"/>
  <c r="I44" i="16"/>
  <c r="I33" i="16"/>
  <c r="I23" i="16"/>
  <c r="P24" i="16"/>
  <c r="P45" i="16"/>
  <c r="P51" i="16" s="1"/>
  <c r="P34" i="16"/>
  <c r="P40" i="16" s="1"/>
  <c r="E34" i="16"/>
  <c r="E40" i="16" s="1"/>
  <c r="E24" i="16"/>
  <c r="E45" i="16"/>
  <c r="E51" i="16" s="1"/>
  <c r="P44" i="17"/>
  <c r="P33" i="17"/>
  <c r="P23" i="17"/>
  <c r="AE50" i="17"/>
  <c r="AE46" i="17"/>
  <c r="AP46" i="17"/>
  <c r="AP50" i="17"/>
  <c r="AO34" i="18"/>
  <c r="AO40" i="18" s="1"/>
  <c r="AO24" i="18"/>
  <c r="AO45" i="18"/>
  <c r="AO51" i="18" s="1"/>
  <c r="AP35" i="16"/>
  <c r="AP39" i="16"/>
  <c r="X34" i="17"/>
  <c r="X40" i="17" s="1"/>
  <c r="X45" i="17"/>
  <c r="X51" i="17" s="1"/>
  <c r="X24" i="17"/>
  <c r="AE39" i="18"/>
  <c r="AE35" i="18"/>
  <c r="AA50" i="17"/>
  <c r="AA46" i="17"/>
  <c r="X50" i="18"/>
  <c r="X46" i="18"/>
  <c r="AY35" i="16"/>
  <c r="AY39" i="16"/>
  <c r="AD35" i="18"/>
  <c r="AD39" i="18"/>
  <c r="AJ34" i="17"/>
  <c r="AJ40" i="17" s="1"/>
  <c r="AJ24" i="17"/>
  <c r="AJ45" i="17"/>
  <c r="AJ51" i="17" s="1"/>
  <c r="J46" i="16"/>
  <c r="AJ40" i="18"/>
  <c r="AJ35" i="18"/>
  <c r="AM24" i="16"/>
  <c r="AM34" i="16"/>
  <c r="AM40" i="16" s="1"/>
  <c r="AM45" i="16"/>
  <c r="AM51" i="16" s="1"/>
  <c r="AR34" i="17"/>
  <c r="AR40" i="17" s="1"/>
  <c r="AR45" i="17"/>
  <c r="AR51" i="17" s="1"/>
  <c r="AR24" i="17"/>
  <c r="O35" i="18"/>
  <c r="O39" i="18"/>
  <c r="AO50" i="16"/>
  <c r="AO46" i="16"/>
  <c r="AQ46" i="16"/>
  <c r="AQ50" i="16"/>
  <c r="AQ23" i="18"/>
  <c r="AQ44" i="18"/>
  <c r="AQ33" i="18"/>
  <c r="AX45" i="16"/>
  <c r="AX51" i="16" s="1"/>
  <c r="AX24" i="16"/>
  <c r="AX34" i="16"/>
  <c r="AX40" i="16" s="1"/>
  <c r="U46" i="16"/>
  <c r="U50" i="16"/>
  <c r="AM34" i="18"/>
  <c r="AM40" i="18" s="1"/>
  <c r="AM45" i="18"/>
  <c r="AM51" i="18" s="1"/>
  <c r="AM24" i="18"/>
  <c r="L39" i="17" l="1"/>
  <c r="L35" i="17"/>
  <c r="AO46" i="18"/>
  <c r="AO50" i="18"/>
  <c r="AJ50" i="17"/>
  <c r="AJ46" i="17"/>
  <c r="AQ39" i="18"/>
  <c r="AQ35" i="18"/>
  <c r="AX35" i="16"/>
  <c r="AX39" i="16"/>
  <c r="AY46" i="17"/>
  <c r="AI46" i="18"/>
  <c r="AI50" i="18"/>
  <c r="AZ24" i="17"/>
  <c r="E35" i="16"/>
  <c r="E39" i="16"/>
  <c r="Y46" i="18"/>
  <c r="Y50" i="18"/>
  <c r="P46" i="16"/>
  <c r="P50" i="16"/>
  <c r="Q35" i="18"/>
  <c r="Q39" i="18"/>
  <c r="AX35" i="17"/>
  <c r="AX39" i="17"/>
  <c r="AS46" i="17"/>
  <c r="AS50" i="17"/>
  <c r="E35" i="17"/>
  <c r="E39" i="17"/>
  <c r="P39" i="17"/>
  <c r="P35" i="17"/>
  <c r="AZ23" i="18"/>
  <c r="X46" i="17"/>
  <c r="X50" i="17"/>
  <c r="N46" i="17"/>
  <c r="AO35" i="18"/>
  <c r="AO39" i="18"/>
  <c r="K23" i="17"/>
  <c r="K33" i="17"/>
  <c r="K44" i="17"/>
  <c r="AC39" i="18"/>
  <c r="AC35" i="18"/>
  <c r="H39" i="17"/>
  <c r="H35" i="17"/>
  <c r="AB39" i="17"/>
  <c r="AB35" i="17"/>
  <c r="AY35" i="17"/>
  <c r="AH35" i="16"/>
  <c r="AH39" i="16"/>
  <c r="Z35" i="18"/>
  <c r="Z39" i="18"/>
  <c r="AT46" i="17"/>
  <c r="T35" i="18"/>
  <c r="T39" i="18"/>
  <c r="AG35" i="17"/>
  <c r="AG39" i="17"/>
  <c r="I50" i="16"/>
  <c r="I46" i="16"/>
  <c r="J27" i="17"/>
  <c r="I30" i="17"/>
  <c r="AH50" i="16"/>
  <c r="AH46" i="16"/>
  <c r="E46" i="16"/>
  <c r="E50" i="16"/>
  <c r="T23" i="17"/>
  <c r="T44" i="17"/>
  <c r="T33" i="17"/>
  <c r="AB50" i="16"/>
  <c r="AB46" i="16"/>
  <c r="F50" i="18"/>
  <c r="F46" i="18"/>
  <c r="AM35" i="16"/>
  <c r="AM39" i="16"/>
  <c r="AN46" i="17"/>
  <c r="AN50" i="17"/>
  <c r="AG50" i="17"/>
  <c r="AG46" i="17"/>
  <c r="P46" i="17"/>
  <c r="P50" i="17"/>
  <c r="I39" i="16"/>
  <c r="I35" i="16"/>
  <c r="Y39" i="16"/>
  <c r="Y35" i="16"/>
  <c r="K24" i="17"/>
  <c r="K45" i="17"/>
  <c r="K51" i="17" s="1"/>
  <c r="K34" i="17"/>
  <c r="K40" i="17" s="1"/>
  <c r="AC46" i="18"/>
  <c r="AC50" i="18"/>
  <c r="N35" i="17"/>
  <c r="H46" i="17"/>
  <c r="H50" i="17"/>
  <c r="AB50" i="17"/>
  <c r="AB46" i="17"/>
  <c r="T46" i="18"/>
  <c r="T50" i="18"/>
  <c r="AM39" i="18"/>
  <c r="AM35" i="18"/>
  <c r="AJ39" i="17"/>
  <c r="AJ35" i="17"/>
  <c r="AR39" i="17"/>
  <c r="AR35" i="17"/>
  <c r="AI39" i="18"/>
  <c r="AI35" i="18"/>
  <c r="L35" i="18"/>
  <c r="L39" i="18"/>
  <c r="AM46" i="18"/>
  <c r="AM50" i="18"/>
  <c r="W50" i="17"/>
  <c r="W46" i="17"/>
  <c r="Z46" i="17"/>
  <c r="Z50" i="17"/>
  <c r="AX46" i="16"/>
  <c r="AX50" i="16"/>
  <c r="AR50" i="17"/>
  <c r="AR46" i="17"/>
  <c r="AB35" i="16"/>
  <c r="AB39" i="16"/>
  <c r="AV35" i="18"/>
  <c r="AV39" i="18"/>
  <c r="AE46" i="16"/>
  <c r="AE50" i="16"/>
  <c r="W35" i="17"/>
  <c r="W39" i="17"/>
  <c r="Y39" i="18"/>
  <c r="Y35" i="18"/>
  <c r="AX39" i="18"/>
  <c r="AX35" i="18"/>
  <c r="AV46" i="18"/>
  <c r="AV50" i="18"/>
  <c r="AG50" i="16"/>
  <c r="AG46" i="16"/>
  <c r="AZ24" i="18"/>
  <c r="I30" i="18"/>
  <c r="J27" i="18"/>
  <c r="AZ23" i="17"/>
  <c r="Y50" i="16"/>
  <c r="Y46" i="16"/>
  <c r="T34" i="17"/>
  <c r="T40" i="17" s="1"/>
  <c r="T45" i="17"/>
  <c r="T51" i="17" s="1"/>
  <c r="T24" i="17"/>
  <c r="AE39" i="16"/>
  <c r="AE35" i="16"/>
  <c r="Z39" i="17"/>
  <c r="Z35" i="17"/>
  <c r="L50" i="17"/>
  <c r="L46" i="17"/>
  <c r="AQ46" i="18"/>
  <c r="AQ50" i="18"/>
  <c r="J30" i="16"/>
  <c r="K27" i="16"/>
  <c r="Q35" i="17"/>
  <c r="AS13" i="16"/>
  <c r="AT14" i="16" s="1"/>
  <c r="AT10" i="16" s="1"/>
  <c r="AT13" i="16" s="1"/>
  <c r="L46" i="18"/>
  <c r="L50" i="18"/>
  <c r="AZ21" i="17"/>
  <c r="Q46" i="17"/>
  <c r="F39" i="18"/>
  <c r="F35" i="18"/>
  <c r="X39" i="17"/>
  <c r="X35" i="17"/>
  <c r="AM50" i="16"/>
  <c r="AM46" i="16"/>
  <c r="AX46" i="18"/>
  <c r="AX50" i="18"/>
  <c r="P35" i="16"/>
  <c r="P39" i="16"/>
  <c r="Q50" i="18"/>
  <c r="Q46" i="18"/>
  <c r="AX46" i="17"/>
  <c r="AX50" i="17"/>
  <c r="AW46" i="17"/>
  <c r="AO46" i="17"/>
  <c r="AS35" i="17"/>
  <c r="AS39" i="17"/>
  <c r="AG39" i="16"/>
  <c r="AG35" i="16"/>
  <c r="Z50" i="18"/>
  <c r="Z46" i="18"/>
  <c r="AN39" i="17"/>
  <c r="AN35" i="17"/>
  <c r="E50" i="17"/>
  <c r="E46" i="17"/>
  <c r="K35" i="17" l="1"/>
  <c r="K39" i="17"/>
  <c r="J30" i="18"/>
  <c r="K27" i="18"/>
  <c r="T39" i="17"/>
  <c r="T35" i="17"/>
  <c r="J30" i="17"/>
  <c r="K27" i="17"/>
  <c r="AZ10" i="16"/>
  <c r="T50" i="17"/>
  <c r="T46" i="17"/>
  <c r="AU22" i="16"/>
  <c r="AU21" i="16"/>
  <c r="L27" i="16"/>
  <c r="K30" i="16"/>
  <c r="K50" i="17"/>
  <c r="K46" i="17"/>
  <c r="L27" i="17" l="1"/>
  <c r="K30" i="17"/>
  <c r="M27" i="16"/>
  <c r="L30" i="16"/>
  <c r="AU33" i="16"/>
  <c r="AU44" i="16"/>
  <c r="AU23" i="16"/>
  <c r="AZ23" i="16" s="1"/>
  <c r="AZ21" i="16"/>
  <c r="AU34" i="16"/>
  <c r="AU40" i="16" s="1"/>
  <c r="AU45" i="16"/>
  <c r="AU51" i="16" s="1"/>
  <c r="AU24" i="16"/>
  <c r="AZ24" i="16" s="1"/>
  <c r="AZ22" i="16"/>
  <c r="L27" i="18"/>
  <c r="K30" i="18"/>
  <c r="AU50" i="16" l="1"/>
  <c r="AU46" i="16"/>
  <c r="L30" i="18"/>
  <c r="M27" i="18"/>
  <c r="AU35" i="16"/>
  <c r="AU39" i="16"/>
  <c r="M27" i="17"/>
  <c r="L30" i="17"/>
  <c r="N27" i="16"/>
  <c r="M30" i="16"/>
  <c r="N27" i="17" l="1"/>
  <c r="M30" i="17"/>
  <c r="N30" i="16"/>
  <c r="O27" i="16"/>
  <c r="N27" i="18"/>
  <c r="M30" i="18"/>
  <c r="N30" i="17" l="1"/>
  <c r="O27" i="17"/>
  <c r="O27" i="18"/>
  <c r="N30" i="18"/>
  <c r="O30" i="16"/>
  <c r="P27" i="16"/>
  <c r="Q27" i="16" l="1"/>
  <c r="P30" i="16"/>
  <c r="P27" i="17"/>
  <c r="O30" i="17"/>
  <c r="O30" i="18"/>
  <c r="P27" i="18"/>
  <c r="Q30" i="16" l="1"/>
  <c r="R27" i="16"/>
  <c r="Q27" i="18"/>
  <c r="P30" i="18"/>
  <c r="P30" i="17"/>
  <c r="Q27" i="17"/>
  <c r="R30" i="16" l="1"/>
  <c r="S27" i="16"/>
  <c r="R27" i="17"/>
  <c r="Q30" i="17"/>
  <c r="R27" i="18"/>
  <c r="Q30" i="18"/>
  <c r="R30" i="18" l="1"/>
  <c r="S27" i="18"/>
  <c r="T27" i="16"/>
  <c r="S30" i="16"/>
  <c r="R30" i="17"/>
  <c r="S27" i="17"/>
  <c r="T27" i="17" l="1"/>
  <c r="S30" i="17"/>
  <c r="T27" i="18"/>
  <c r="S30" i="18"/>
  <c r="U27" i="16"/>
  <c r="T30" i="16"/>
  <c r="U27" i="17" l="1"/>
  <c r="T30" i="17"/>
  <c r="U30" i="16"/>
  <c r="V27" i="16"/>
  <c r="U27" i="18"/>
  <c r="T30" i="18"/>
  <c r="V27" i="17" l="1"/>
  <c r="U30" i="17"/>
  <c r="U30" i="18"/>
  <c r="V27" i="18"/>
  <c r="W27" i="16"/>
  <c r="V30" i="16"/>
  <c r="V30" i="17" l="1"/>
  <c r="W27" i="17"/>
  <c r="W30" i="16"/>
  <c r="X27" i="16"/>
  <c r="V30" i="18"/>
  <c r="W27" i="18"/>
  <c r="W30" i="18" l="1"/>
  <c r="X27" i="18"/>
  <c r="X27" i="17"/>
  <c r="W30" i="17"/>
  <c r="Y27" i="16"/>
  <c r="X30" i="16"/>
  <c r="Z27" i="16" l="1"/>
  <c r="Y30" i="16"/>
  <c r="Y27" i="18"/>
  <c r="X30" i="18"/>
  <c r="X30" i="17"/>
  <c r="Y27" i="17"/>
  <c r="Z30" i="16" l="1"/>
  <c r="AA27" i="16"/>
  <c r="Z27" i="17"/>
  <c r="Y30" i="17"/>
  <c r="Y30" i="18"/>
  <c r="Z27" i="18"/>
  <c r="AA27" i="18" l="1"/>
  <c r="Z30" i="18"/>
  <c r="AB27" i="16"/>
  <c r="AA30" i="16"/>
  <c r="Z30" i="17"/>
  <c r="AA27" i="17"/>
  <c r="AB27" i="17" l="1"/>
  <c r="AA30" i="17"/>
  <c r="AA30" i="18"/>
  <c r="AB27" i="18"/>
  <c r="AC27" i="16"/>
  <c r="AB30" i="16"/>
  <c r="AC27" i="17" l="1"/>
  <c r="AB30" i="17"/>
  <c r="AC30" i="16"/>
  <c r="AD27" i="16"/>
  <c r="AC27" i="18"/>
  <c r="AB30" i="18"/>
  <c r="AD27" i="17" l="1"/>
  <c r="AC30" i="17"/>
  <c r="AD27" i="18"/>
  <c r="AC30" i="18"/>
  <c r="AE27" i="16"/>
  <c r="AD30" i="16"/>
  <c r="AD30" i="17" l="1"/>
  <c r="AE27" i="17"/>
  <c r="AF27" i="16"/>
  <c r="AE30" i="16"/>
  <c r="AE27" i="18"/>
  <c r="AD30" i="18"/>
  <c r="AF27" i="17" l="1"/>
  <c r="AE30" i="17"/>
  <c r="AE30" i="18"/>
  <c r="AF27" i="18"/>
  <c r="AF30" i="16"/>
  <c r="AG27" i="16"/>
  <c r="AF30" i="17" l="1"/>
  <c r="AG27" i="17"/>
  <c r="AH27" i="16"/>
  <c r="AG30" i="16"/>
  <c r="AG27" i="18"/>
  <c r="AF30" i="18"/>
  <c r="AG30" i="18" l="1"/>
  <c r="AH27" i="18"/>
  <c r="AH27" i="17"/>
  <c r="AG30" i="17"/>
  <c r="AH30" i="16"/>
  <c r="AI27" i="16"/>
  <c r="AJ27" i="16" l="1"/>
  <c r="AI30" i="16"/>
  <c r="AI27" i="18"/>
  <c r="AH30" i="18"/>
  <c r="AH30" i="17"/>
  <c r="AI27" i="17"/>
  <c r="AJ30" i="16" l="1"/>
  <c r="AK27" i="16"/>
  <c r="AJ27" i="17"/>
  <c r="AI30" i="17"/>
  <c r="AI30" i="18"/>
  <c r="AJ27" i="18"/>
  <c r="AL27" i="16" l="1"/>
  <c r="AK30" i="16"/>
  <c r="AK27" i="18"/>
  <c r="AJ30" i="18"/>
  <c r="AK27" i="17"/>
  <c r="AJ30" i="17"/>
  <c r="AM27" i="16" l="1"/>
  <c r="AL30" i="16"/>
  <c r="AL27" i="17"/>
  <c r="AK30" i="17"/>
  <c r="AL27" i="18"/>
  <c r="AK30" i="18"/>
  <c r="AN27" i="16" l="1"/>
  <c r="AM30" i="16"/>
  <c r="AM27" i="18"/>
  <c r="AL30" i="18"/>
  <c r="AL30" i="17"/>
  <c r="AM27" i="17"/>
  <c r="AN30" i="16" l="1"/>
  <c r="AO27" i="16"/>
  <c r="AN27" i="17"/>
  <c r="AM30" i="17"/>
  <c r="AM30" i="18"/>
  <c r="AN27" i="18"/>
  <c r="AO27" i="18" l="1"/>
  <c r="AN30" i="18"/>
  <c r="AP27" i="16"/>
  <c r="AO30" i="16"/>
  <c r="AN30" i="17"/>
  <c r="AO27" i="17"/>
  <c r="AO30" i="18" l="1"/>
  <c r="AP27" i="18"/>
  <c r="AP27" i="17"/>
  <c r="AO30" i="17"/>
  <c r="AP30" i="16"/>
  <c r="AQ27" i="16"/>
  <c r="AR27" i="16" l="1"/>
  <c r="AQ30" i="16"/>
  <c r="AQ27" i="18"/>
  <c r="AP30" i="18"/>
  <c r="AP30" i="17"/>
  <c r="AQ27" i="17"/>
  <c r="AR30" i="16" l="1"/>
  <c r="AS27" i="16"/>
  <c r="AR27" i="17"/>
  <c r="AQ30" i="17"/>
  <c r="AQ30" i="18"/>
  <c r="AR27" i="18"/>
  <c r="AS27" i="18" l="1"/>
  <c r="AR30" i="18"/>
  <c r="AS30" i="16"/>
  <c r="AT27" i="16"/>
  <c r="AR30" i="17"/>
  <c r="AS27" i="17"/>
  <c r="AS30" i="18" l="1"/>
  <c r="AT27" i="18"/>
  <c r="AT27" i="17"/>
  <c r="AS30" i="17"/>
  <c r="AU27" i="16"/>
  <c r="AT30" i="16"/>
  <c r="AV27" i="16" l="1"/>
  <c r="AU30" i="16"/>
  <c r="AT30" i="18"/>
  <c r="AU27" i="18"/>
  <c r="AT30" i="17"/>
  <c r="AU27" i="17"/>
  <c r="AV30" i="16" l="1"/>
  <c r="AW27" i="16"/>
  <c r="AV27" i="17"/>
  <c r="AU30" i="17"/>
  <c r="AV27" i="18"/>
  <c r="AU30" i="18"/>
  <c r="AX27" i="16" l="1"/>
  <c r="AW30" i="16"/>
  <c r="AV30" i="18"/>
  <c r="AW27" i="18"/>
  <c r="AW27" i="17"/>
  <c r="AV30" i="17"/>
  <c r="AX30" i="16" l="1"/>
  <c r="AY27" i="16"/>
  <c r="AY30" i="16" s="1"/>
  <c r="AZ30" i="16" s="1"/>
  <c r="AW30" i="17"/>
  <c r="AX27" i="17"/>
  <c r="AX27" i="18"/>
  <c r="AW30" i="18"/>
  <c r="AX30" i="18" l="1"/>
  <c r="AY27" i="18"/>
  <c r="AY30" i="18" s="1"/>
  <c r="AZ30" i="18" s="1"/>
  <c r="AX30" i="17"/>
  <c r="AY27" i="17"/>
  <c r="AY30" i="17" s="1"/>
  <c r="AZ30" i="17" s="1"/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 s="1"/>
  <c r="G38" i="5"/>
  <c r="H38" i="5"/>
  <c r="G39" i="5"/>
  <c r="H39" i="5"/>
  <c r="G40" i="5"/>
  <c r="H40" i="5" s="1"/>
  <c r="G41" i="5"/>
  <c r="H41" i="5" s="1"/>
  <c r="G42" i="5"/>
  <c r="H42" i="5"/>
  <c r="G43" i="5"/>
  <c r="H43" i="5"/>
  <c r="G44" i="5"/>
  <c r="H44" i="5" s="1"/>
  <c r="G45" i="5"/>
  <c r="H45" i="5" s="1"/>
  <c r="G46" i="5"/>
  <c r="H46" i="5"/>
  <c r="G47" i="5"/>
  <c r="H47" i="5"/>
  <c r="G48" i="5"/>
  <c r="H48" i="5" s="1"/>
  <c r="G49" i="5"/>
  <c r="H49" i="5" s="1"/>
  <c r="G50" i="5"/>
  <c r="H50" i="5"/>
  <c r="G51" i="5"/>
  <c r="H51" i="5"/>
  <c r="G52" i="5"/>
  <c r="H52" i="5" s="1"/>
  <c r="G53" i="5"/>
  <c r="H53" i="5" s="1"/>
  <c r="G54" i="5"/>
  <c r="H54" i="5"/>
  <c r="G55" i="5"/>
  <c r="H55" i="5"/>
  <c r="G56" i="5"/>
  <c r="H56" i="5" s="1"/>
  <c r="G57" i="5"/>
  <c r="H57" i="5" s="1"/>
  <c r="G58" i="5"/>
  <c r="H58" i="5"/>
  <c r="G59" i="5"/>
  <c r="H59" i="5"/>
  <c r="G60" i="5"/>
  <c r="H60" i="5" s="1"/>
  <c r="G61" i="5"/>
  <c r="H61" i="5" s="1"/>
  <c r="G62" i="5"/>
  <c r="H62" i="5"/>
  <c r="G63" i="5"/>
  <c r="H63" i="5"/>
  <c r="G64" i="5"/>
  <c r="H64" i="5" s="1"/>
  <c r="G65" i="5"/>
  <c r="H65" i="5" s="1"/>
  <c r="G66" i="5"/>
  <c r="H66" i="5"/>
  <c r="G67" i="5"/>
  <c r="H67" i="5"/>
  <c r="G68" i="5"/>
  <c r="H68" i="5" s="1"/>
  <c r="G69" i="5"/>
  <c r="H69" i="5" s="1"/>
  <c r="G70" i="5"/>
  <c r="H70" i="5"/>
  <c r="G71" i="5"/>
  <c r="H71" i="5"/>
  <c r="G72" i="5"/>
  <c r="H72" i="5" s="1"/>
  <c r="G73" i="5"/>
  <c r="H73" i="5" s="1"/>
  <c r="G74" i="5"/>
  <c r="H74" i="5"/>
  <c r="G75" i="5"/>
  <c r="H75" i="5"/>
  <c r="G76" i="5"/>
  <c r="H76" i="5" s="1"/>
  <c r="G77" i="5"/>
  <c r="H77" i="5" s="1"/>
  <c r="G78" i="5"/>
  <c r="H78" i="5"/>
  <c r="G79" i="5"/>
  <c r="H79" i="5"/>
  <c r="G80" i="5"/>
  <c r="H80" i="5" s="1"/>
  <c r="G81" i="5"/>
  <c r="H81" i="5" s="1"/>
  <c r="G82" i="5"/>
  <c r="H82" i="5"/>
  <c r="G83" i="5"/>
  <c r="H83" i="5"/>
  <c r="G84" i="5"/>
  <c r="H84" i="5" s="1"/>
  <c r="G85" i="5"/>
  <c r="H85" i="5" s="1"/>
  <c r="G86" i="5"/>
  <c r="H86" i="5"/>
  <c r="G87" i="5"/>
  <c r="H87" i="5"/>
  <c r="G88" i="5"/>
  <c r="H88" i="5" s="1"/>
  <c r="G89" i="5"/>
  <c r="H89" i="5" s="1"/>
  <c r="G90" i="5"/>
  <c r="H90" i="5"/>
  <c r="G91" i="5"/>
  <c r="H91" i="5"/>
  <c r="G92" i="5"/>
  <c r="H92" i="5" s="1"/>
  <c r="G93" i="5"/>
  <c r="H93" i="5" s="1"/>
  <c r="G94" i="5"/>
  <c r="H94" i="5"/>
  <c r="G95" i="5"/>
  <c r="H95" i="5"/>
  <c r="G96" i="5"/>
  <c r="H96" i="5" s="1"/>
  <c r="G97" i="5"/>
  <c r="H97" i="5" s="1"/>
  <c r="G98" i="5"/>
  <c r="H98" i="5"/>
  <c r="G99" i="5"/>
  <c r="H99" i="5"/>
  <c r="G100" i="5"/>
  <c r="H100" i="5" s="1"/>
  <c r="G101" i="5"/>
  <c r="H101" i="5" s="1"/>
  <c r="G102" i="5"/>
  <c r="H102" i="5"/>
  <c r="G103" i="5"/>
  <c r="H103" i="5"/>
  <c r="G104" i="5"/>
  <c r="H104" i="5" s="1"/>
  <c r="G105" i="5"/>
  <c r="H105" i="5" s="1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<sst xmlns="http://schemas.openxmlformats.org/spreadsheetml/2006/main" count="2532" uniqueCount="414">
  <si>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</si>
  <si>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</si>
  <si>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</si>
  <si>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</si>
  <si>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</si>
  <si>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</si>
  <si>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</si>
  <si>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</si>
  <si>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</si>
  <si>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</si>
  <si>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</si>
  <si>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</si>
  <si>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</si>
  <si>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</si>
  <si>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</si>
  <si>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</si>
  <si>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</si>
  <si>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</si>
  <si>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</si>
  <si>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</si>
  <si>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</si>
  <si>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</si>
  <si>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</si>
  <si>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</si>
  <si>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</si>
  <si>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</si>
  <si>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</si>
  <si>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</si>
  <si>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</si>
  <si>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</si>
  <si>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</si>
  <si>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</si>
  <si>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</si>
  <si>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</si>
  <si>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</si>
  <si>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</si>
  <si>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</si>
  <si>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</si>
  <si>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</si>
  <si>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</si>
  <si>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</si>
  <si>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</si>
  <si>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</si>
  <si>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</si>
  <si>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</si>
  <si>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</si>
  <si>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</si>
  <si>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</si>
  <si>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</si>
  <si>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</si>
  <si>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</si>
  <si>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</si>
  <si>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</si>
  <si>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</si>
  <si>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</si>
  <si>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</si>
  <si>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</si>
  <si>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</si>
  <si>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</si>
  <si>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</si>
  <si>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</si>
  <si>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</si>
  <si>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</si>
  <si>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</si>
  <si>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</si>
  <si>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</si>
  <si>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</si>
  <si>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</si>
  <si>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</si>
  <si>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</si>
  <si>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</si>
  <si>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</si>
  <si>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</si>
  <si>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</si>
  <si>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</si>
  <si>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</si>
  <si>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</si>
  <si>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</si>
  <si>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</si>
  <si>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</si>
  <si>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</si>
  <si>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</si>
  <si>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</si>
  <si>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</si>
  <si>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</si>
  <si>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</si>
  <si>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</si>
  <si>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</si>
  <si>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</si>
  <si>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</si>
  <si>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</si>
  <si>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</si>
  <si>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</si>
  <si>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</si>
  <si>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</si>
  <si>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</si>
  <si>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</si>
  <si>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</si>
  <si>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</si>
  <si>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</si>
  <si>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</si>
  <si>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</si>
  <si>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</si>
  <si>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</si>
  <si>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</si>
  <si>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</si>
  <si>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</si>
  <si>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</si>
  <si>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</si>
  <si>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</si>
  <si>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</si>
  <si>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</si>
  <si>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</si>
  <si>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</si>
  <si>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</si>
  <si>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</si>
  <si>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</si>
  <si>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</si>
  <si>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</si>
  <si>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</si>
  <si>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</si>
  <si>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</si>
  <si>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</si>
  <si>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</si>
  <si>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</si>
  <si>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</si>
  <si>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</si>
  <si>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</si>
  <si>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</si>
  <si>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</si>
  <si>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</si>
  <si>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</si>
  <si>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</si>
  <si>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</si>
  <si>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</si>
  <si>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</si>
  <si>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</si>
  <si>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</si>
  <si>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</si>
  <si>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</si>
  <si>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</si>
  <si>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</si>
  <si>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</si>
  <si>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</si>
  <si>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</si>
  <si>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</si>
  <si>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</si>
  <si>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</si>
  <si>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</si>
  <si>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</si>
  <si>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</si>
  <si>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</si>
  <si>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</si>
  <si>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</si>
  <si>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</si>
  <si>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</si>
  <si>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</si>
  <si>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</si>
  <si>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</si>
  <si>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</si>
  <si>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</si>
  <si>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</si>
  <si>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</si>
  <si>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</si>
  <si>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</si>
  <si>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</si>
  <si>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</si>
  <si>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</si>
  <si>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</si>
  <si>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</si>
  <si>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</si>
  <si>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</si>
  <si>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</si>
  <si>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</si>
  <si>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</si>
  <si>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</si>
  <si>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</si>
  <si>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</si>
  <si>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</si>
  <si>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</si>
  <si>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</si>
  <si>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</si>
  <si>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</si>
  <si>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</si>
  <si>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</si>
  <si>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</si>
  <si>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</si>
  <si>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</si>
  <si>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</si>
  <si>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</si>
  <si>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</si>
  <si>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</si>
  <si>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</si>
  <si>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</si>
  <si>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</si>
  <si>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</si>
  <si>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</si>
  <si>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</si>
  <si>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</si>
  <si>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</si>
  <si>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</si>
  <si>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</si>
  <si>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</si>
  <si>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</si>
  <si>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</si>
  <si>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</si>
  <si>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</si>
  <si>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</si>
  <si>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</si>
  <si>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</si>
  <si>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</si>
  <si>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</si>
  <si>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</si>
  <si>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</si>
  <si>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</si>
  <si>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</si>
  <si>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</si>
  <si>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</si>
  <si>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</si>
  <si>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</si>
  <si>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</si>
  <si>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</si>
  <si>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</si>
  <si>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</si>
  <si>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</si>
  <si>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</si>
  <si>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</si>
  <si>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</si>
  <si>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</si>
  <si>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</si>
  <si>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</si>
  <si>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</si>
  <si>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</si>
  <si>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</si>
  <si>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</si>
  <si>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</si>
  <si>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</si>
  <si>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</si>
  <si>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</si>
  <si>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</si>
  <si>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</si>
  <si>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</si>
  <si>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</si>
  <si>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</si>
  <si>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</si>
  <si>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</si>
  <si>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</si>
  <si>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</si>
  <si>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</si>
  <si>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</si>
  <si>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</si>
  <si>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</si>
  <si>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</si>
  <si>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</si>
  <si>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</si>
  <si>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</si>
  <si>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</si>
  <si>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</si>
  <si>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</si>
  <si>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</si>
  <si>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</si>
  <si>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</si>
  <si>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</si>
  <si>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</si>
  <si>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</si>
  <si>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</si>
  <si>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</si>
  <si>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</si>
  <si>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</si>
  <si>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</si>
  <si>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</si>
  <si>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</si>
  <si>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</si>
  <si>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</si>
  <si>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</si>
  <si>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</si>
  <si>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</si>
  <si>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</si>
  <si>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</si>
  <si>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</si>
  <si>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</si>
  <si>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</si>
  <si>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</si>
  <si>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</si>
  <si>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</si>
  <si>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</si>
  <si>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</si>
  <si>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</si>
  <si>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</si>
  <si>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</si>
  <si>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</si>
  <si>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</si>
  <si>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</si>
  <si>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</si>
  <si>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</si>
  <si>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</si>
  <si>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</si>
  <si>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</si>
  <si>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</si>
  <si>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</si>
  <si>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</si>
  <si>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</si>
  <si>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</si>
  <si>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</si>
  <si>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</si>
  <si>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</si>
  <si>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</si>
  <si>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</si>
  <si>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</si>
  <si>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</si>
  <si>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</si>
  <si>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</si>
  <si>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</si>
  <si>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Yes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</si>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</sst>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16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5" borderId="0" xfId="0" applyFill="1"/>
    <xf numFmtId="0" fontId="0" fillId="0" borderId="0" xfId="0" applyFill="1"/>
    <xf numFmtId="0" fontId="2" fillId="0" borderId="0" xfId="0" applyFont="1"/>
    <xf numFmtId="0" fontId="2" fillId="0" borderId="0" xfId="0" applyFont="1" applyFill="1"/>
    <xf numFmtId="0" fontId="0" fillId="6" borderId="0" xfId="0" applyFill="1"/>
    <xf numFmtId="0" fontId="0" fillId="0" borderId="0" xfId="0" applyFill="1" applyBorder="1"/>
    <xf numFmtId="0" fontId="0" fillId="0" borderId="5" xfId="0" applyBorder="1"/>
    <xf numFmtId="0" fontId="0" fillId="0" borderId="11" xfId="0" applyBorder="1"/>
    <xf numFmtId="0" fontId="0" fillId="0" borderId="6" xfId="0" applyBorder="1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right"/>
    </xf>
    <xf numFmtId="0" fontId="0" fillId="0" borderId="8" xfId="0" applyFill="1" applyBorder="1"/>
    <xf numFmtId="0" fontId="0" fillId="5" borderId="13" xfId="0" applyFill="1" applyBorder="1" applyAlignment="1">
      <alignment horizontal="right"/>
    </xf>
    <xf numFmtId="0" fontId="0" fillId="7" borderId="8" xfId="0" applyFill="1" applyBorder="1"/>
    <xf numFmtId="0" fontId="0" fillId="0" borderId="13" xfId="0" applyBorder="1"/>
    <xf numFmtId="0" fontId="0" fillId="5" borderId="0" xfId="0" applyFill="1" applyAlignment="1">
      <alignment horizontal="right"/>
    </xf>
    <xf numFmtId="0" fontId="0" fillId="7" borderId="0" xfId="0" applyFill="1" applyBorder="1"/>
    <xf numFmtId="0" fontId="0" fillId="2" borderId="0" xfId="0" applyFill="1" applyBorder="1"/>
    <xf numFmtId="0" fontId="0" fillId="7" borderId="13" xfId="0" applyFill="1" applyBorder="1"/>
    <xf numFmtId="0" fontId="0" fillId="5" borderId="9" xfId="0" applyFill="1" applyBorder="1" applyAlignment="1">
      <alignment horizontal="right"/>
    </xf>
    <xf numFmtId="0" fontId="0" fillId="7" borderId="9" xfId="0" applyFill="1" applyBorder="1"/>
    <xf numFmtId="0" fontId="0" fillId="0" borderId="9" xfId="0" applyBorder="1"/>
    <xf numFmtId="0" fontId="0" fillId="0" borderId="8" xfId="0" applyBorder="1"/>
    <xf numFmtId="0" fontId="0" fillId="5" borderId="1" xfId="0" applyFill="1" applyBorder="1" applyAlignment="1">
      <alignment horizontal="right"/>
    </xf>
    <xf numFmtId="0" fontId="0" fillId="3" borderId="0" xfId="0" applyFill="1" applyBorder="1"/>
    <xf numFmtId="0" fontId="0" fillId="0" borderId="3" xfId="0" applyBorder="1"/>
    <xf numFmtId="0" fontId="0" fillId="8" borderId="8" xfId="0" applyFill="1" applyBorder="1"/>
    <xf numFmtId="0" fontId="0" fillId="8" borderId="0" xfId="0" applyFill="1" applyBorder="1"/>
    <xf numFmtId="0" fontId="0" fillId="5" borderId="6" xfId="0" applyFill="1" applyBorder="1" applyAlignment="1">
      <alignment horizontal="right"/>
    </xf>
    <xf numFmtId="0" fontId="0" fillId="9" borderId="8" xfId="0" applyFill="1" applyBorder="1" applyAlignment="1">
      <alignment horizontal="right"/>
    </xf>
    <xf numFmtId="0" fontId="0" fillId="5" borderId="13" xfId="0" applyFill="1" applyBorder="1"/>
    <xf numFmtId="10" fontId="0" fillId="0" borderId="13" xfId="0" applyNumberFormat="1" applyBorder="1"/>
    <xf numFmtId="0" fontId="0" fillId="5" borderId="9" xfId="0" applyFill="1" applyBorder="1"/>
    <xf numFmtId="0" fontId="0" fillId="5" borderId="8" xfId="0" applyFill="1" applyBorder="1"/>
    <xf numFmtId="0" fontId="0" fillId="6" borderId="9" xfId="0" applyFill="1" applyBorder="1"/>
    <xf numFmtId="0" fontId="0" fillId="0" borderId="9" xfId="0" applyFill="1" applyBorder="1"/>
    <xf numFmtId="0" fontId="0" fillId="0" borderId="10" xfId="0" applyFill="1" applyBorder="1"/>
    <xf numFmtId="0" fontId="0" fillId="6" borderId="8" xfId="0" applyFill="1" applyBorder="1"/>
    <xf numFmtId="0" fontId="0" fillId="0" borderId="15" xfId="0" applyFill="1" applyBorder="1"/>
    <xf numFmtId="0" fontId="0" fillId="0" borderId="0" xfId="0" applyFill="1" applyBorder="1" applyAlignment="1">
      <alignment horizontal="left"/>
    </xf>
    <xf numFmtId="0" fontId="0" fillId="7" borderId="13" xfId="0" applyFill="1" applyBorder="1" applyAlignment="1">
      <alignment horizontal="right"/>
    </xf>
    <xf numFmtId="0" fontId="0" fillId="0" borderId="13" xfId="0" applyFill="1" applyBorder="1"/>
    <xf numFmtId="0" fontId="4" fillId="0" borderId="9" xfId="0" applyFont="1" applyFill="1" applyBorder="1"/>
    <xf numFmtId="0" fontId="4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4" fillId="0" borderId="0" xfId="0" applyFont="1" applyFill="1" applyBorder="1" applyAlignment="1"/>
    <xf numFmtId="0" fontId="4" fillId="5" borderId="13" xfId="0" applyFont="1" applyFill="1" applyBorder="1" applyAlignment="1">
      <alignment horizontal="right"/>
    </xf>
    <xf numFmtId="0" fontId="4" fillId="7" borderId="13" xfId="0" applyFont="1" applyFill="1" applyBorder="1" applyAlignment="1"/>
    <xf numFmtId="0" fontId="0" fillId="0" borderId="5" xfId="0" applyFill="1" applyBorder="1"/>
    <xf numFmtId="0" fontId="1" fillId="0" borderId="0" xfId="0" applyFont="1" applyBorder="1"/>
    <xf numFmtId="0" fontId="0" fillId="0" borderId="9" xfId="0" applyFill="1" applyBorder="1" applyAlignment="1">
      <alignment horizontal="right"/>
    </xf>
    <xf numFmtId="10" fontId="0" fillId="5" borderId="13" xfId="0" applyNumberFormat="1" applyFill="1" applyBorder="1"/>
    <xf numFmtId="0" fontId="0" fillId="5" borderId="0" xfId="0" applyFill="1" applyBorder="1" applyAlignment="1">
      <alignment horizontal="right"/>
    </xf>
    <xf numFmtId="10" fontId="0" fillId="0" borderId="0" xfId="0" applyNumberFormat="1" applyFill="1" applyBorder="1"/>
    <xf numFmtId="0" fontId="0" fillId="0" borderId="12" xfId="0" applyFill="1" applyBorder="1"/>
    <xf numFmtId="0" fontId="0" fillId="5" borderId="8" xfId="0" applyFill="1" applyBorder="1" applyAlignment="1">
      <alignment horizontal="right"/>
    </xf>
    <xf numFmtId="10" fontId="0" fillId="0" borderId="8" xfId="0" applyNumberFormat="1" applyFill="1" applyBorder="1"/>
    <xf numFmtId="0" fontId="0" fillId="6" borderId="9" xfId="0" applyFill="1" applyBorder="1" applyAlignment="1">
      <alignment horizontal="right"/>
    </xf>
    <xf numFmtId="0" fontId="0" fillId="6" borderId="8" xfId="0" applyFill="1" applyBorder="1" applyAlignment="1">
      <alignment horizontal="right"/>
    </xf>
    <xf numFmtId="0" fontId="0" fillId="0" borderId="8" xfId="0" applyNumberFormat="1" applyFill="1" applyBorder="1"/>
    <xf numFmtId="0" fontId="1" fillId="0" borderId="0" xfId="0" applyFont="1" applyFill="1" applyBorder="1" applyAlignment="1"/>
    <xf numFmtId="0" fontId="0" fillId="0" borderId="2" xfId="0" applyBorder="1"/>
    <xf numFmtId="0" fontId="0" fillId="5" borderId="0" xfId="0" applyFill="1" applyBorder="1"/>
    <xf numFmtId="0" fontId="0" fillId="0" borderId="7" xfId="0" applyBorder="1"/>
    <xf numFmtId="0" fontId="0" fillId="0" borderId="4" xfId="0" applyBorder="1"/>
    <xf numFmtId="0" fontId="0" fillId="0" borderId="3" xfId="0" applyFill="1" applyBorder="1"/>
    <xf numFmtId="0" fontId="0" fillId="6" borderId="13" xfId="0" applyFill="1" applyBorder="1" applyAlignment="1">
      <alignment horizontal="right"/>
    </xf>
    <xf numFmtId="0" fontId="0" fillId="10" borderId="0" xfId="0" applyFill="1"/>
    <xf numFmtId="0" fontId="4" fillId="10" borderId="0" xfId="0" applyFont="1" applyFill="1"/>
    <xf numFmtId="0" fontId="4" fillId="0" borderId="0" xfId="0" applyFont="1" applyFill="1"/>
    <xf numFmtId="0" fontId="4" fillId="5" borderId="0" xfId="0" applyFont="1" applyFill="1"/>
    <xf numFmtId="0" fontId="0" fillId="6" borderId="0" xfId="0" applyNumberFormat="1" applyFill="1" applyAlignment="1"/>
    <xf numFmtId="0" fontId="0" fillId="0" borderId="0" xfId="0" applyAlignment="1">
      <alignment horizontal="right"/>
    </xf>
    <xf numFmtId="0" fontId="0" fillId="6" borderId="0" xfId="0" applyFill="1" applyBorder="1"/>
    <xf numFmtId="0" fontId="0" fillId="0" borderId="0" xfId="0" applyNumberFormat="1"/>
    <xf numFmtId="0" fontId="7" fillId="0" borderId="0" xfId="0" applyFont="1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NumberFormat="1" applyFont="1" applyAlignment="1">
      <alignment horizontal="left"/>
    </xf>
    <xf numFmtId="1" fontId="0" fillId="0" borderId="10" xfId="0" applyNumberFormat="1" applyBorder="1"/>
    <xf numFmtId="164" fontId="0" fillId="0" borderId="10" xfId="0" applyNumberFormat="1" applyBorder="1"/>
    <xf numFmtId="1" fontId="0" fillId="0" borderId="12" xfId="0" applyNumberFormat="1" applyBorder="1"/>
    <xf numFmtId="164" fontId="0" fillId="0" borderId="12" xfId="0" applyNumberFormat="1" applyBorder="1"/>
    <xf numFmtId="1" fontId="0" fillId="0" borderId="15" xfId="0" applyNumberFormat="1" applyBorder="1"/>
    <xf numFmtId="164" fontId="0" fillId="0" borderId="15" xfId="0" applyNumberFormat="1" applyBorder="1"/>
    <xf numFmtId="164" fontId="0" fillId="0" borderId="13" xfId="0" applyNumberFormat="1" applyBorder="1"/>
    <xf numFmtId="1" fontId="0" fillId="0" borderId="5" xfId="0" applyNumberFormat="1" applyBorder="1"/>
    <xf numFmtId="1" fontId="0" fillId="0" borderId="10" xfId="0" applyNumberFormat="1" applyFill="1" applyBorder="1"/>
    <xf numFmtId="1" fontId="0" fillId="0" borderId="12" xfId="0" applyNumberFormat="1" applyFill="1" applyBorder="1"/>
    <xf numFmtId="1" fontId="0" fillId="0" borderId="15" xfId="0" applyNumberFormat="1" applyFill="1" applyBorder="1"/>
    <xf numFmtId="0" fontId="0" fillId="0" borderId="9" xfId="0" applyBorder="1" applyAlignment="1">
      <alignment horizontal="right"/>
    </xf>
    <xf numFmtId="164" fontId="0" fillId="0" borderId="0" xfId="0" applyNumberFormat="1"/>
    <xf numFmtId="0" fontId="13" fillId="0" borderId="0" xfId="0" applyFont="1"/>
    <xf numFmtId="164" fontId="0" fillId="0" borderId="27" xfId="0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112" t="s">
        <v>165</v>
      </c>
      <c r="E4" s="113"/>
      <c r="F4" s="114"/>
    </row>
    <row r="5" spans="2:6" x14ac:dyDescent="0.2">
      <c r="B5" s="6"/>
      <c r="C5" s="7" t="s">
        <v>111</v>
      </c>
      <c r="D5" s="115">
        <v>2010</v>
      </c>
      <c r="E5" s="116"/>
      <c r="F5" s="117"/>
    </row>
    <row r="6" spans="2:6" x14ac:dyDescent="0.2">
      <c r="B6" s="3"/>
      <c r="C6" s="3"/>
      <c r="D6" s="3"/>
      <c r="E6" s="3"/>
      <c r="F6" s="3"/>
    </row>
    <row r="8" spans="2:6" x14ac:dyDescent="0.2">
      <c r="B8">
        <v>3</v>
      </c>
      <c r="C8" t="s">
        <v>338</v>
      </c>
      <c r="D8">
        <v>2</v>
      </c>
      <c r="E8" t="s">
        <v>339</v>
      </c>
    </row>
    <row r="10" spans="2:6" x14ac:dyDescent="0.2">
      <c r="C10" t="s">
        <v>5</v>
      </c>
      <c r="E10" t="s">
        <v>22</v>
      </c>
    </row>
    <row r="11" spans="2:6" x14ac:dyDescent="0.2">
      <c r="C11" t="s">
        <v>10</v>
      </c>
      <c r="E11" t="s">
        <v>59</v>
      </c>
    </row>
    <row r="12" spans="2:6" x14ac:dyDescent="0.2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/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91">
        <v>-33</v>
      </c>
      <c r="D6" s="15">
        <v>378</v>
      </c>
      <c r="E6" s="15" t="s">
        <v>166</v>
      </c>
      <c r="F6" s="15" t="s">
        <v>6</v>
      </c>
      <c r="G6" s="15">
        <f t="shared" ref="G6:G15" si="0">$D6+$C6</f>
        <v>345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91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91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91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91">
        <v>-14</v>
      </c>
      <c r="D10" s="15">
        <v>514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 x14ac:dyDescent="0.2">
      <c r="B11" s="14" t="s">
        <v>11</v>
      </c>
      <c r="C11" s="91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91">
        <v>-45</v>
      </c>
      <c r="D12" s="15">
        <v>3634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 x14ac:dyDescent="0.2">
      <c r="B13" s="14" t="s">
        <v>13</v>
      </c>
      <c r="C13" s="91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91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91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92">
        <v>-1</v>
      </c>
      <c r="D21" s="15">
        <v>12</v>
      </c>
      <c r="E21" s="15"/>
      <c r="F21" s="15" t="s">
        <v>6</v>
      </c>
      <c r="G21" s="15">
        <f t="shared" ref="G21:G30" si="2">$D21+$C21</f>
        <v>11</v>
      </c>
      <c r="H21" s="17"/>
    </row>
    <row r="22" spans="2:8" x14ac:dyDescent="0.2">
      <c r="B22" s="14" t="s">
        <v>7</v>
      </c>
      <c r="C22" s="92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92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92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92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 x14ac:dyDescent="0.2">
      <c r="B26" s="14" t="s">
        <v>11</v>
      </c>
      <c r="C26" s="92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92">
        <v>-3</v>
      </c>
      <c r="D27" s="15">
        <v>56</v>
      </c>
      <c r="E27" s="15"/>
      <c r="F27" s="15" t="s">
        <v>6</v>
      </c>
      <c r="G27" s="15">
        <f t="shared" si="2"/>
        <v>53</v>
      </c>
      <c r="H27" s="17"/>
    </row>
    <row r="28" spans="2:8" x14ac:dyDescent="0.2">
      <c r="B28" s="14" t="s">
        <v>13</v>
      </c>
      <c r="C28" s="92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92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92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90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40000</v>
      </c>
      <c r="E39" s="15" t="s">
        <v>166</v>
      </c>
      <c r="F39" s="15" t="s">
        <v>6</v>
      </c>
      <c r="G39" s="15">
        <f t="shared" si="3"/>
        <v>40000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43000</v>
      </c>
      <c r="E76" s="15" t="s">
        <v>166</v>
      </c>
      <c r="F76" s="15" t="s">
        <v>6</v>
      </c>
      <c r="G76" s="15">
        <f t="shared" si="5"/>
        <v>43000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/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93">
        <v>3188.7746637991713</v>
      </c>
      <c r="D6" s="94">
        <v>3188.7746637991713</v>
      </c>
      <c r="E6" s="94">
        <v>3188.7746637991713</v>
      </c>
      <c r="F6" s="94">
        <v>3188.7746637991713</v>
      </c>
      <c r="G6" s="94">
        <v>3188.7746637991713</v>
      </c>
      <c r="H6" s="94">
        <v>3188.7746637991713</v>
      </c>
      <c r="I6" s="94">
        <v>3188.7746637991713</v>
      </c>
      <c r="J6" s="94">
        <v>3188.7746637991713</v>
      </c>
      <c r="K6" s="94">
        <v>3188.7746637991713</v>
      </c>
      <c r="L6" s="94">
        <v>3188.7746637991713</v>
      </c>
      <c r="M6" s="94">
        <v>3188.7746637991713</v>
      </c>
      <c r="N6" s="94">
        <v>3188.7746637991713</v>
      </c>
    </row>
    <row r="7" spans="2:14" x14ac:dyDescent="0.2">
      <c r="B7" s="36" t="s">
        <v>105</v>
      </c>
      <c r="C7" s="95">
        <v>0</v>
      </c>
      <c r="D7" s="95">
        <v>0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5">
        <v>0</v>
      </c>
      <c r="L7" s="95">
        <v>0</v>
      </c>
      <c r="M7" s="95">
        <v>0</v>
      </c>
      <c r="N7" s="95">
        <v>0</v>
      </c>
    </row>
    <row r="8" spans="2:14" x14ac:dyDescent="0.2">
      <c r="B8" s="36" t="s">
        <v>106</v>
      </c>
      <c r="C8" s="95">
        <v>3145.1776730264419</v>
      </c>
      <c r="D8" s="96">
        <v>3145.1776730264419</v>
      </c>
      <c r="E8" s="96">
        <v>3145.1776730264419</v>
      </c>
      <c r="F8" s="96">
        <v>3145.1776730264419</v>
      </c>
      <c r="G8" s="96">
        <v>3145.1776730264419</v>
      </c>
      <c r="H8" s="96">
        <v>3145.1776730264419</v>
      </c>
      <c r="I8" s="96">
        <v>3145.1776730264419</v>
      </c>
      <c r="J8" s="96">
        <v>3145.1776730264419</v>
      </c>
      <c r="K8" s="96">
        <v>3145.1776730264419</v>
      </c>
      <c r="L8" s="96">
        <v>3145.1776730264419</v>
      </c>
      <c r="M8" s="96">
        <v>3145.1776730264419</v>
      </c>
      <c r="N8" s="96">
        <v>3145.1776730264419</v>
      </c>
    </row>
    <row r="9" spans="2:14" x14ac:dyDescent="0.2">
      <c r="B9" s="36" t="s">
        <v>107</v>
      </c>
      <c r="C9" s="95">
        <v>2841.2776441785122</v>
      </c>
      <c r="D9" s="96">
        <v>2841.2776441785122</v>
      </c>
      <c r="E9" s="96">
        <v>2841.2776441785122</v>
      </c>
      <c r="F9" s="96">
        <v>2841.2776441785122</v>
      </c>
      <c r="G9" s="96">
        <v>2841.2776441785122</v>
      </c>
      <c r="H9" s="96">
        <v>2841.2776441785122</v>
      </c>
      <c r="I9" s="96">
        <v>2841.2776441785122</v>
      </c>
      <c r="J9" s="96">
        <v>2841.2776441785122</v>
      </c>
      <c r="K9" s="96">
        <v>2841.2776441785122</v>
      </c>
      <c r="L9" s="96">
        <v>2841.2776441785122</v>
      </c>
      <c r="M9" s="96">
        <v>2841.2776441785122</v>
      </c>
      <c r="N9" s="96">
        <v>2841.2776441785122</v>
      </c>
    </row>
    <row r="10" spans="2:14" x14ac:dyDescent="0.2">
      <c r="B10" s="36" t="s">
        <v>108</v>
      </c>
      <c r="C10" s="95">
        <v>0</v>
      </c>
      <c r="D10" s="96">
        <v>0</v>
      </c>
      <c r="E10" s="96">
        <v>0</v>
      </c>
      <c r="F10" s="96">
        <v>0</v>
      </c>
      <c r="G10" s="96">
        <v>0</v>
      </c>
      <c r="H10" s="96">
        <v>0</v>
      </c>
      <c r="I10" s="96">
        <v>0</v>
      </c>
      <c r="J10" s="96">
        <v>0</v>
      </c>
      <c r="K10" s="96">
        <v>0</v>
      </c>
      <c r="L10" s="96">
        <v>0</v>
      </c>
      <c r="M10" s="96">
        <v>0</v>
      </c>
      <c r="N10" s="96">
        <v>0</v>
      </c>
    </row>
    <row r="11" spans="2:14" x14ac:dyDescent="0.2">
      <c r="B11" s="37" t="s">
        <v>109</v>
      </c>
      <c r="C11" s="95">
        <v>0</v>
      </c>
      <c r="D11" s="96">
        <v>0</v>
      </c>
      <c r="E11" s="96">
        <v>0</v>
      </c>
      <c r="F11" s="96">
        <v>0</v>
      </c>
      <c r="G11" s="96">
        <v>0</v>
      </c>
      <c r="H11" s="96">
        <v>0</v>
      </c>
      <c r="I11" s="96">
        <v>0</v>
      </c>
      <c r="J11" s="96">
        <v>0</v>
      </c>
      <c r="K11" s="96">
        <v>0</v>
      </c>
      <c r="L11" s="96">
        <v>0</v>
      </c>
      <c r="M11" s="96">
        <v>0</v>
      </c>
      <c r="N11" s="96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7">
        <v>1</v>
      </c>
      <c r="D17" s="97">
        <v>1</v>
      </c>
      <c r="E17" s="97">
        <v>1</v>
      </c>
      <c r="F17" s="97">
        <v>5</v>
      </c>
      <c r="G17" s="97">
        <v>1</v>
      </c>
      <c r="H17" s="97">
        <v>10</v>
      </c>
      <c r="I17" s="29" t="s">
        <v>110</v>
      </c>
    </row>
    <row r="18" spans="2:33" x14ac:dyDescent="0.2">
      <c r="B18" s="36" t="s">
        <v>105</v>
      </c>
      <c r="C18" s="98">
        <v>1</v>
      </c>
      <c r="D18" s="98">
        <v>1</v>
      </c>
      <c r="E18" s="98">
        <v>1</v>
      </c>
      <c r="F18" s="98">
        <v>5</v>
      </c>
      <c r="G18" s="98">
        <v>1</v>
      </c>
      <c r="H18" s="98">
        <v>10</v>
      </c>
      <c r="I18" s="29" t="s">
        <v>110</v>
      </c>
    </row>
    <row r="19" spans="2:33" x14ac:dyDescent="0.2">
      <c r="B19" s="36" t="s">
        <v>106</v>
      </c>
      <c r="C19" s="98">
        <v>1</v>
      </c>
      <c r="D19" s="98">
        <v>1</v>
      </c>
      <c r="E19" s="98">
        <v>1</v>
      </c>
      <c r="F19" s="98">
        <v>5</v>
      </c>
      <c r="G19" s="98">
        <v>1</v>
      </c>
      <c r="H19" s="98">
        <v>10</v>
      </c>
      <c r="I19" s="29" t="s">
        <v>110</v>
      </c>
    </row>
    <row r="20" spans="2:33" x14ac:dyDescent="0.2">
      <c r="B20" s="36" t="s">
        <v>107</v>
      </c>
      <c r="C20" s="98">
        <v>1</v>
      </c>
      <c r="D20" s="98">
        <v>1</v>
      </c>
      <c r="E20" s="98">
        <v>1</v>
      </c>
      <c r="F20" s="98">
        <v>5</v>
      </c>
      <c r="G20" s="98">
        <v>1</v>
      </c>
      <c r="H20" s="98">
        <v>10</v>
      </c>
    </row>
    <row r="21" spans="2:33" x14ac:dyDescent="0.2">
      <c r="B21" s="36" t="s">
        <v>108</v>
      </c>
      <c r="C21" s="98">
        <v>1</v>
      </c>
      <c r="D21" s="98">
        <v>1</v>
      </c>
      <c r="E21" s="98">
        <v>1</v>
      </c>
      <c r="F21" s="98">
        <v>5</v>
      </c>
      <c r="G21" s="98">
        <v>1</v>
      </c>
      <c r="H21" s="98">
        <v>10</v>
      </c>
    </row>
    <row r="22" spans="2:33" x14ac:dyDescent="0.2">
      <c r="B22" s="37" t="s">
        <v>109</v>
      </c>
      <c r="C22" s="98">
        <v>1</v>
      </c>
      <c r="D22" s="98">
        <v>1</v>
      </c>
      <c r="E22" s="98">
        <v>1</v>
      </c>
      <c r="F22" s="98">
        <v>5</v>
      </c>
      <c r="G22" s="98">
        <v>1</v>
      </c>
      <c r="H22" s="98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2005</v>
      </c>
      <c r="E28" s="49"/>
      <c r="F28" s="45">
        <f>basic_info!$D$5-4</f>
        <v>2006</v>
      </c>
      <c r="G28" s="49"/>
      <c r="H28" s="45">
        <f>basic_info!$D$5-3</f>
        <v>2007</v>
      </c>
      <c r="I28" s="49"/>
      <c r="J28" s="45">
        <f>basic_info!$D$5-2</f>
        <v>2008</v>
      </c>
      <c r="K28" s="49"/>
      <c r="L28" s="45">
        <f>basic_info!$D$5-1</f>
        <v>2009</v>
      </c>
      <c r="N28" s="45">
        <f>basic_info!$D$5</f>
        <v>2010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2010</v>
      </c>
      <c r="D30" s="44">
        <v>0.6808876388132572</v>
      </c>
      <c r="E30" s="35">
        <v>400000</v>
      </c>
      <c r="F30" s="47">
        <v>0.71201828987937288</v>
      </c>
      <c r="G30" s="46"/>
      <c r="H30" s="47">
        <v>0.87454112416799612</v>
      </c>
      <c r="I30" s="46"/>
      <c r="J30" s="47">
        <v>0.87348276589188312</v>
      </c>
      <c r="K30" s="46"/>
      <c r="L30" s="47">
        <v>0.74769820265075293</v>
      </c>
      <c r="M30" s="46"/>
      <c r="N30" s="60"/>
      <c r="O30" s="71" t="s">
        <v>162</v>
      </c>
      <c r="P30" s="41">
        <f>M30+K30+I30+E30+G30</f>
        <v>400000</v>
      </c>
      <c r="Q30" s="70"/>
    </row>
    <row r="31" spans="2:33" x14ac:dyDescent="0.2">
      <c r="B31" s="36"/>
      <c r="C31" s="47">
        <f>basic_info!$D$5+1</f>
        <v>2011</v>
      </c>
      <c r="D31" s="76"/>
      <c r="E31" s="75"/>
      <c r="F31" s="69">
        <v>0.66759713542461396</v>
      </c>
      <c r="G31" s="79">
        <v>400000</v>
      </c>
      <c r="H31" s="61">
        <v>0.81134172439645946</v>
      </c>
      <c r="I31" s="62">
        <v>100000</v>
      </c>
      <c r="J31" s="61">
        <v>0.81188912511999345</v>
      </c>
      <c r="K31" s="62">
        <v>200000</v>
      </c>
      <c r="L31" s="61">
        <v>0.69770012734349673</v>
      </c>
      <c r="M31" s="62"/>
      <c r="N31" s="63">
        <v>0.81979439563375311</v>
      </c>
      <c r="O31" s="86"/>
      <c r="P31" s="63">
        <f>O31+M31+K31+I31+G31</f>
        <v>700000</v>
      </c>
    </row>
    <row r="32" spans="2:33" x14ac:dyDescent="0.2">
      <c r="B32" s="36"/>
      <c r="C32" s="47">
        <f>basic_info!$D$5+2</f>
        <v>2012</v>
      </c>
      <c r="D32" s="76"/>
      <c r="E32" s="75"/>
      <c r="F32" s="75"/>
      <c r="G32" s="75"/>
      <c r="H32" s="69">
        <v>0.77419792761206629</v>
      </c>
      <c r="I32" s="79">
        <v>100000</v>
      </c>
      <c r="J32" s="61">
        <v>0.75988620984963406</v>
      </c>
      <c r="K32" s="62"/>
      <c r="L32" s="61">
        <v>0.70400269357188838</v>
      </c>
      <c r="M32" s="62"/>
      <c r="N32" s="63">
        <v>0.75933230319260714</v>
      </c>
      <c r="O32" s="86"/>
      <c r="P32" s="63">
        <f>O32+M32+K32+I32</f>
        <v>100000</v>
      </c>
    </row>
    <row r="33" spans="2:17" x14ac:dyDescent="0.2">
      <c r="B33" s="36"/>
      <c r="C33" s="47">
        <f>basic_info!$D$5+3</f>
        <v>2013</v>
      </c>
      <c r="D33" s="76"/>
      <c r="E33" s="75"/>
      <c r="F33" s="75"/>
      <c r="G33" s="75"/>
      <c r="H33" s="75"/>
      <c r="I33" s="75"/>
      <c r="J33" s="69">
        <v>0.72473765751123431</v>
      </c>
      <c r="K33" s="79">
        <v>100000</v>
      </c>
      <c r="L33" s="61">
        <v>0.71441382370859263</v>
      </c>
      <c r="M33" s="62"/>
      <c r="N33" s="63">
        <v>0.69091416758853352</v>
      </c>
      <c r="O33" s="86"/>
      <c r="P33" s="63">
        <f>O33+M33+K33</f>
        <v>100000</v>
      </c>
    </row>
    <row r="34" spans="2:17" x14ac:dyDescent="0.2">
      <c r="B34" s="36"/>
      <c r="C34" s="47">
        <f>basic_info!$D$5+4</f>
        <v>2014</v>
      </c>
      <c r="D34" s="76"/>
      <c r="E34" s="75"/>
      <c r="F34" s="75"/>
      <c r="G34" s="75"/>
      <c r="H34" s="75"/>
      <c r="I34" s="75"/>
      <c r="J34" s="75"/>
      <c r="K34" s="75"/>
      <c r="L34" s="69">
        <v>0.67398288510441784</v>
      </c>
      <c r="M34" s="79">
        <v>300000</v>
      </c>
      <c r="N34" s="63">
        <v>0.7025784495475329</v>
      </c>
      <c r="O34" s="86"/>
      <c r="P34" s="63">
        <f>O34+M34</f>
        <v>300000</v>
      </c>
    </row>
    <row r="35" spans="2:17" x14ac:dyDescent="0.2">
      <c r="B35" s="37"/>
      <c r="C35" s="72">
        <f>basic_info!$D$5+5</f>
        <v>2015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0.71552384896278387</v>
      </c>
      <c r="O35" s="86"/>
      <c r="P35" s="65">
        <f>O35</f>
        <v>0</v>
      </c>
    </row>
    <row r="36" spans="2:17" x14ac:dyDescent="0.2">
      <c r="B36" s="41" t="s">
        <v>113</v>
      </c>
      <c r="C36" s="36">
        <f>basic_info!$D$5</f>
        <v>2010</v>
      </c>
      <c r="D36" s="44">
        <v>0.95771333889663224</v>
      </c>
      <c r="E36" s="35">
        <v>300000</v>
      </c>
      <c r="F36" s="73">
        <v>0.89726357364389364</v>
      </c>
      <c r="G36" s="74"/>
      <c r="H36" s="73">
        <v>0.95780442275518196</v>
      </c>
      <c r="I36" s="74"/>
      <c r="J36" s="73">
        <v>1.0668653165767679</v>
      </c>
      <c r="K36" s="74"/>
      <c r="L36" s="66">
        <v>1.1624333463677974</v>
      </c>
      <c r="M36" s="67"/>
      <c r="N36" s="68"/>
      <c r="O36" s="71" t="s">
        <v>162</v>
      </c>
      <c r="P36" s="41">
        <f>M36+K36+I36+E36+G36</f>
        <v>300000</v>
      </c>
      <c r="Q36" s="70"/>
    </row>
    <row r="37" spans="2:17" x14ac:dyDescent="0.2">
      <c r="B37" s="36"/>
      <c r="C37" s="47">
        <f>basic_info!$D$5+1</f>
        <v>2011</v>
      </c>
      <c r="D37" s="76"/>
      <c r="E37" s="75"/>
      <c r="F37" s="69">
        <v>0.89032073213160046</v>
      </c>
      <c r="G37" s="79"/>
      <c r="H37" s="61">
        <v>0.91383547859681491</v>
      </c>
      <c r="I37" s="62">
        <v>100000</v>
      </c>
      <c r="J37" s="61">
        <v>1.0175796433406761</v>
      </c>
      <c r="K37" s="62"/>
      <c r="L37" s="61">
        <v>1.0991066984060751</v>
      </c>
      <c r="M37" s="62"/>
      <c r="N37" s="61">
        <v>1.1501363751654021</v>
      </c>
      <c r="O37" s="86"/>
      <c r="P37" s="63">
        <f>O37+M37+K37+I37+G37</f>
        <v>100000</v>
      </c>
    </row>
    <row r="38" spans="2:17" x14ac:dyDescent="0.2">
      <c r="B38" s="36"/>
      <c r="C38" s="47">
        <f>basic_info!$D$5+2</f>
        <v>2012</v>
      </c>
      <c r="D38" s="76"/>
      <c r="E38" s="75"/>
      <c r="F38" s="75"/>
      <c r="G38" s="75"/>
      <c r="H38" s="69">
        <v>0.87400841210782521</v>
      </c>
      <c r="I38" s="79">
        <v>100000</v>
      </c>
      <c r="J38" s="61">
        <v>0.98773074448833686</v>
      </c>
      <c r="K38" s="62">
        <v>100000</v>
      </c>
      <c r="L38" s="61">
        <v>1.0158087168858814</v>
      </c>
      <c r="M38" s="62"/>
      <c r="N38" s="61">
        <v>1.1144936542893142</v>
      </c>
      <c r="O38" s="86"/>
      <c r="P38" s="63">
        <f>O38+M38+K38+I38</f>
        <v>200000</v>
      </c>
    </row>
    <row r="39" spans="2:17" x14ac:dyDescent="0.2">
      <c r="B39" s="36"/>
      <c r="C39" s="47">
        <f>basic_info!$D$5+3</f>
        <v>2013</v>
      </c>
      <c r="D39" s="76"/>
      <c r="E39" s="75"/>
      <c r="F39" s="75"/>
      <c r="G39" s="75"/>
      <c r="H39" s="75"/>
      <c r="I39" s="75"/>
      <c r="J39" s="69">
        <v>0.97905324764549728</v>
      </c>
      <c r="K39" s="79"/>
      <c r="L39" s="61">
        <v>1.004390797006619</v>
      </c>
      <c r="M39" s="62"/>
      <c r="N39" s="61">
        <v>1.1358391365953338</v>
      </c>
      <c r="O39" s="86">
        <v>300000</v>
      </c>
      <c r="P39" s="63">
        <f>O39+M39+K39</f>
        <v>300000</v>
      </c>
    </row>
    <row r="40" spans="2:17" x14ac:dyDescent="0.2">
      <c r="B40" s="36"/>
      <c r="C40" s="47">
        <f>basic_info!$D$5+4</f>
        <v>2014</v>
      </c>
      <c r="D40" s="76"/>
      <c r="E40" s="75"/>
      <c r="F40" s="75"/>
      <c r="G40" s="75"/>
      <c r="H40" s="75"/>
      <c r="I40" s="75"/>
      <c r="J40" s="75"/>
      <c r="K40" s="75"/>
      <c r="L40" s="69">
        <v>0.92318454591929922</v>
      </c>
      <c r="M40" s="79">
        <v>200000</v>
      </c>
      <c r="N40" s="61">
        <v>1.0932932166591005</v>
      </c>
      <c r="O40" s="86"/>
      <c r="P40" s="63">
        <f>O40+M40</f>
        <v>200000</v>
      </c>
    </row>
    <row r="41" spans="2:17" x14ac:dyDescent="0.2">
      <c r="B41" s="37"/>
      <c r="C41" s="72">
        <f>basic_info!$D$5+5</f>
        <v>2015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1.023757758513093</v>
      </c>
      <c r="O41" s="86"/>
      <c r="P41" s="64">
        <f>O41</f>
        <v>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9">
        <v>8.3333333333333321</v>
      </c>
      <c r="D47" s="99">
        <v>8.3333333333333321</v>
      </c>
      <c r="E47" s="99">
        <v>8.3333333333333321</v>
      </c>
      <c r="F47" s="99">
        <v>8.3333333333333321</v>
      </c>
      <c r="G47" s="99">
        <v>8.3333333333333321</v>
      </c>
      <c r="H47" s="99">
        <v>8.3333333333333321</v>
      </c>
      <c r="I47" s="99">
        <v>8.3333333333333321</v>
      </c>
      <c r="J47" s="99">
        <v>8.3333333333333321</v>
      </c>
      <c r="K47" s="99">
        <v>8.3333333333333321</v>
      </c>
      <c r="L47" s="99">
        <v>8.3333333333333321</v>
      </c>
      <c r="M47" s="99">
        <v>8.3333333333333321</v>
      </c>
      <c r="N47" s="99">
        <v>8.3333333333333321</v>
      </c>
      <c r="O47" s="33">
        <f>SUM(C47:N47)</f>
        <v>99.999999999999957</v>
      </c>
    </row>
    <row r="48" spans="2:17" x14ac:dyDescent="0.2">
      <c r="B48" s="37" t="s">
        <v>113</v>
      </c>
      <c r="C48" s="99">
        <v>8.3333333333333321</v>
      </c>
      <c r="D48" s="99">
        <v>8.3333333333333321</v>
      </c>
      <c r="E48" s="99">
        <v>8.3333333333333321</v>
      </c>
      <c r="F48" s="99">
        <v>8.3333333333333321</v>
      </c>
      <c r="G48" s="99">
        <v>8.3333333333333321</v>
      </c>
      <c r="H48" s="99">
        <v>8.3333333333333321</v>
      </c>
      <c r="I48" s="99">
        <v>8.3333333333333321</v>
      </c>
      <c r="J48" s="99">
        <v>8.3333333333333321</v>
      </c>
      <c r="K48" s="99">
        <v>8.3333333333333321</v>
      </c>
      <c r="L48" s="99">
        <v>8.3333333333333321</v>
      </c>
      <c r="M48" s="99">
        <v>8.3333333333333321</v>
      </c>
      <c r="N48" s="99">
        <v>8.3333333333333321</v>
      </c>
      <c r="O48" s="33">
        <f>SUM(C48:N48)</f>
        <v>99.999999999999957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topLeftCell="A8" workbookViewId="0">
      <selection activeCell="B34" sqref="B34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100">
        <v>5.9442510992530169</v>
      </c>
      <c r="D6" s="100">
        <v>0</v>
      </c>
      <c r="E6" s="100">
        <v>16.796543416825408</v>
      </c>
      <c r="F6" s="100">
        <v>20.296095823784803</v>
      </c>
      <c r="G6" s="100">
        <v>56.963109660136773</v>
      </c>
      <c r="H6" s="89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100">
        <v>0</v>
      </c>
      <c r="D7" s="100">
        <v>35.851145264248849</v>
      </c>
      <c r="E7" s="100">
        <v>0</v>
      </c>
      <c r="F7" s="100">
        <v>49.0974</v>
      </c>
      <c r="G7" s="100">
        <v>15.05145473575115</v>
      </c>
      <c r="H7" s="89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100">
        <v>0</v>
      </c>
      <c r="D8" s="100">
        <v>17.597717034956052</v>
      </c>
      <c r="E8" s="100">
        <v>0</v>
      </c>
      <c r="F8" s="100">
        <v>71.234499999999997</v>
      </c>
      <c r="G8" s="100">
        <v>11.167782965043955</v>
      </c>
      <c r="H8" s="89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100">
        <v>100</v>
      </c>
      <c r="D9" s="100"/>
      <c r="E9" s="100"/>
      <c r="F9" s="100"/>
      <c r="G9" s="100">
        <v>0</v>
      </c>
      <c r="H9" s="89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100">
        <v>100</v>
      </c>
      <c r="D10" s="100"/>
      <c r="E10" s="100"/>
      <c r="F10" s="100"/>
      <c r="G10" s="100">
        <v>0</v>
      </c>
      <c r="H10" s="89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101">
        <v>100</v>
      </c>
      <c r="D11" s="101"/>
      <c r="E11" s="101"/>
      <c r="F11" s="101"/>
      <c r="G11" s="101">
        <v>0</v>
      </c>
      <c r="H11" s="88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87">
        <v>50</v>
      </c>
      <c r="D19" s="44">
        <f>100-$C$19</f>
        <v>50</v>
      </c>
      <c r="E19" s="87">
        <v>50</v>
      </c>
      <c r="F19" s="44">
        <f>100-$E$19</f>
        <v>50</v>
      </c>
      <c r="G19" s="87">
        <v>70</v>
      </c>
      <c r="H19" s="33">
        <f>100-$G$19</f>
        <v>30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102">
        <v>20.318862659041606</v>
      </c>
      <c r="D27" s="102">
        <v>74.123400000000004</v>
      </c>
      <c r="E27" s="102">
        <v>0</v>
      </c>
      <c r="F27" s="102">
        <v>30.720414303461887</v>
      </c>
      <c r="G27" s="102">
        <v>0</v>
      </c>
      <c r="H27" s="102">
        <v>0</v>
      </c>
      <c r="I27" s="103">
        <v>0</v>
      </c>
      <c r="P27" s="50"/>
      <c r="Q27" s="50"/>
      <c r="R27" s="50"/>
    </row>
    <row r="28" spans="2:18" x14ac:dyDescent="0.2">
      <c r="B28" s="45" t="s">
        <v>59</v>
      </c>
      <c r="C28" s="102">
        <v>79.681137340958401</v>
      </c>
      <c r="D28" s="102">
        <v>25.876599999999996</v>
      </c>
      <c r="E28" s="102">
        <v>100</v>
      </c>
      <c r="F28" s="102">
        <v>69.279585696538106</v>
      </c>
      <c r="G28" s="102">
        <v>100</v>
      </c>
      <c r="H28" s="102">
        <v>100</v>
      </c>
      <c r="I28" s="103">
        <v>100</v>
      </c>
      <c r="P28" s="50"/>
      <c r="Q28" s="50"/>
      <c r="R28" s="50"/>
    </row>
    <row r="29" spans="2:18" x14ac:dyDescent="0.2">
      <c r="B29" s="45" t="s">
        <v>150</v>
      </c>
      <c r="C29" s="90">
        <f>SUM($C$27:$C$28)</f>
        <v>100</v>
      </c>
      <c r="D29" s="90">
        <f>SUM($D$27:$D$28)</f>
        <v>100</v>
      </c>
      <c r="E29" s="90">
        <f>SUM($E$27:$E$28)</f>
        <v>100</v>
      </c>
      <c r="F29" s="90">
        <f>SUM($F$27:$F$28)</f>
        <v>100</v>
      </c>
      <c r="G29" s="90">
        <f>SUM($G$27:$G$28)</f>
        <v>100</v>
      </c>
      <c r="H29" s="90">
        <f>SUM($H$27:$H$28)</f>
        <v>100</v>
      </c>
      <c r="I29" s="88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105">
        <v>33.1483782973865</v>
      </c>
      <c r="D36" s="105">
        <v>33.1483782973865</v>
      </c>
      <c r="E36" s="105">
        <v>33.1483782973865</v>
      </c>
      <c r="F36" s="105">
        <v>33.1483782973865</v>
      </c>
      <c r="G36" s="105">
        <v>33.1483782973865</v>
      </c>
      <c r="H36" s="105">
        <v>33.1483782973865</v>
      </c>
      <c r="I36" s="105">
        <v>33.1483782973865</v>
      </c>
      <c r="J36" s="105">
        <v>33.1483782973865</v>
      </c>
      <c r="K36" s="105">
        <v>33.1483782973865</v>
      </c>
      <c r="L36" s="105">
        <v>33.1483782973865</v>
      </c>
      <c r="M36" s="105">
        <v>33.1483782973865</v>
      </c>
      <c r="N36" s="107">
        <v>33.1483782973865</v>
      </c>
    </row>
    <row r="37" spans="2:14" x14ac:dyDescent="0.2">
      <c r="B37" s="45" t="s">
        <v>59</v>
      </c>
      <c r="C37" s="106">
        <v>40.615531769122597</v>
      </c>
      <c r="D37" s="106">
        <v>40.615531769122597</v>
      </c>
      <c r="E37" s="106">
        <v>40.615531769122597</v>
      </c>
      <c r="F37" s="106">
        <v>40.615531769122597</v>
      </c>
      <c r="G37" s="106">
        <v>40.615531769122597</v>
      </c>
      <c r="H37" s="106">
        <v>40.615531769122597</v>
      </c>
      <c r="I37" s="106">
        <v>40.615531769122597</v>
      </c>
      <c r="J37" s="106">
        <v>40.615531769122597</v>
      </c>
      <c r="K37" s="106">
        <v>40.615531769122597</v>
      </c>
      <c r="L37" s="106">
        <v>40.615531769122597</v>
      </c>
      <c r="M37" s="106">
        <v>40.615531769122597</v>
      </c>
      <c r="N37" s="104">
        <v>40.615531769122597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/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108">
        <v>1.8172519803571401</v>
      </c>
      <c r="E6" s="108">
        <v>1.8172519803571427</v>
      </c>
      <c r="F6" s="108">
        <v>1.8172519803571427</v>
      </c>
      <c r="G6" s="108">
        <v>1.8172519803571427</v>
      </c>
      <c r="H6" s="108">
        <v>1.8172519803571427</v>
      </c>
      <c r="I6" s="108">
        <v>1.8172519803571427</v>
      </c>
      <c r="J6" s="108">
        <v>1.8172519803571427</v>
      </c>
      <c r="K6" s="108">
        <v>1.8172519803571427</v>
      </c>
      <c r="L6" s="108">
        <v>1.8172519803571427</v>
      </c>
      <c r="M6" s="108">
        <v>1.8172519803571427</v>
      </c>
      <c r="N6" s="108">
        <v>1.8172519803571427</v>
      </c>
      <c r="O6" s="108">
        <v>1.8172519803571427</v>
      </c>
    </row>
    <row r="7" spans="2:15" x14ac:dyDescent="0.2">
      <c r="C7" s="36" t="s">
        <v>127</v>
      </c>
      <c r="D7" s="108">
        <v>1.9627019000000001</v>
      </c>
      <c r="E7" s="108">
        <v>1.9627019000000001</v>
      </c>
      <c r="F7" s="108">
        <v>1.9627019000000001</v>
      </c>
      <c r="G7" s="108">
        <v>1.9627019000000001</v>
      </c>
      <c r="H7" s="108">
        <v>1.9627019000000001</v>
      </c>
      <c r="I7" s="108">
        <v>1.9627019000000001</v>
      </c>
      <c r="J7" s="108">
        <v>1.9627019000000001</v>
      </c>
      <c r="K7" s="108">
        <v>1.9627019000000001</v>
      </c>
      <c r="L7" s="108">
        <v>1.9627019000000001</v>
      </c>
      <c r="M7" s="108">
        <v>1.9627019000000001</v>
      </c>
      <c r="N7" s="108">
        <v>1.9627019000000001</v>
      </c>
      <c r="O7" s="108">
        <v>1.9627019000000001</v>
      </c>
    </row>
    <row r="8" spans="2:15" x14ac:dyDescent="0.2">
      <c r="C8" s="36" t="s">
        <v>128</v>
      </c>
      <c r="D8" s="108">
        <v>1.8584004104166665</v>
      </c>
      <c r="E8" s="108">
        <v>1.8584004104166665</v>
      </c>
      <c r="F8" s="108">
        <v>1.8584004104166665</v>
      </c>
      <c r="G8" s="108">
        <v>1.8584004104166665</v>
      </c>
      <c r="H8" s="108">
        <v>1.8584004104166665</v>
      </c>
      <c r="I8" s="108">
        <v>1.8584004104166665</v>
      </c>
      <c r="J8" s="108">
        <v>1.8584004104166665</v>
      </c>
      <c r="K8" s="108">
        <v>1.8584004104166665</v>
      </c>
      <c r="L8" s="108">
        <v>1.8584004104166665</v>
      </c>
      <c r="M8" s="108">
        <v>1.8584004104166665</v>
      </c>
      <c r="N8" s="108">
        <v>1.8584004104166665</v>
      </c>
      <c r="O8" s="108">
        <v>1.8584004104166665</v>
      </c>
    </row>
    <row r="9" spans="2:15" x14ac:dyDescent="0.2">
      <c r="C9" s="36" t="s">
        <v>129</v>
      </c>
      <c r="D9" s="108">
        <v>2.1405815193181814</v>
      </c>
      <c r="E9" s="108">
        <v>2.1405815193181814</v>
      </c>
      <c r="F9" s="108">
        <v>2.1405815193181814</v>
      </c>
      <c r="G9" s="108">
        <v>2.1405815193181814</v>
      </c>
      <c r="H9" s="108">
        <v>2.1405815193181814</v>
      </c>
      <c r="I9" s="108">
        <v>2.1405815193181814</v>
      </c>
      <c r="J9" s="108">
        <v>2.1405815193181814</v>
      </c>
      <c r="K9" s="108">
        <v>2.1405815193181814</v>
      </c>
      <c r="L9" s="108">
        <v>2.1405815193181814</v>
      </c>
      <c r="M9" s="108">
        <v>2.1405815193181814</v>
      </c>
      <c r="N9" s="108">
        <v>2.1405815193181814</v>
      </c>
      <c r="O9" s="108">
        <v>2.1405815193181814</v>
      </c>
    </row>
    <row r="10" spans="2:15" x14ac:dyDescent="0.2">
      <c r="C10" s="36" t="s">
        <v>130</v>
      </c>
      <c r="D10" s="108">
        <v>1.7897407437499997</v>
      </c>
      <c r="E10" s="108">
        <v>1.7897407437499997</v>
      </c>
      <c r="F10" s="108">
        <v>1.7897407437499997</v>
      </c>
      <c r="G10" s="108">
        <v>1.7897407437499997</v>
      </c>
      <c r="H10" s="108">
        <v>1.7897407437499997</v>
      </c>
      <c r="I10" s="108">
        <v>1.7897407437499997</v>
      </c>
      <c r="J10" s="108">
        <v>1.7897407437499997</v>
      </c>
      <c r="K10" s="108">
        <v>1.7897407437499997</v>
      </c>
      <c r="L10" s="108">
        <v>1.7897407437499997</v>
      </c>
      <c r="M10" s="108">
        <v>1.7897407437499997</v>
      </c>
      <c r="N10" s="108">
        <v>1.7897407437499997</v>
      </c>
      <c r="O10" s="108">
        <v>1.7897407437499997</v>
      </c>
    </row>
    <row r="11" spans="2:15" x14ac:dyDescent="0.2">
      <c r="C11" s="36" t="s">
        <v>131</v>
      </c>
      <c r="D11" s="108">
        <v>1.949710946875</v>
      </c>
      <c r="E11" s="108">
        <v>1.949710946875</v>
      </c>
      <c r="F11" s="108">
        <v>1.949710946875</v>
      </c>
      <c r="G11" s="108">
        <v>1.949710946875</v>
      </c>
      <c r="H11" s="108">
        <v>1.949710946875</v>
      </c>
      <c r="I11" s="108">
        <v>1.949710946875</v>
      </c>
      <c r="J11" s="108">
        <v>1.949710946875</v>
      </c>
      <c r="K11" s="108">
        <v>1.949710946875</v>
      </c>
      <c r="L11" s="108">
        <v>1.949710946875</v>
      </c>
      <c r="M11" s="108">
        <v>1.949710946875</v>
      </c>
      <c r="N11" s="108">
        <v>1.949710946875</v>
      </c>
      <c r="O11" s="108">
        <v>1.949710946875</v>
      </c>
    </row>
    <row r="12" spans="2:15" x14ac:dyDescent="0.2">
      <c r="C12" s="37" t="s">
        <v>132</v>
      </c>
      <c r="D12" s="108">
        <v>1.987587194273474</v>
      </c>
      <c r="E12" s="108">
        <v>1.987587194273474</v>
      </c>
      <c r="F12" s="108">
        <v>1.987587194273474</v>
      </c>
      <c r="G12" s="108">
        <v>1.987587194273474</v>
      </c>
      <c r="H12" s="108">
        <v>1.987587194273474</v>
      </c>
      <c r="I12" s="108">
        <v>1.987587194273474</v>
      </c>
      <c r="J12" s="108">
        <v>1.987587194273474</v>
      </c>
      <c r="K12" s="108">
        <v>1.987587194273474</v>
      </c>
      <c r="L12" s="108">
        <v>1.987587194273474</v>
      </c>
      <c r="M12" s="108">
        <v>1.987587194273474</v>
      </c>
      <c r="N12" s="108">
        <v>1.987587194273474</v>
      </c>
      <c r="O12" s="108">
        <v>1.987587194273474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109">
        <v>2.5235867262815299</v>
      </c>
      <c r="E15" s="109">
        <v>2.5235867262815299</v>
      </c>
      <c r="F15" s="109">
        <v>2.5235867262815299</v>
      </c>
      <c r="G15" s="109">
        <v>2.5235867262815299</v>
      </c>
      <c r="H15" s="109">
        <v>2.5235867262815299</v>
      </c>
      <c r="I15" s="109">
        <v>2.5235867262815299</v>
      </c>
      <c r="J15" s="109">
        <v>2.5235867262815299</v>
      </c>
      <c r="K15" s="109">
        <v>2.5235867262815299</v>
      </c>
      <c r="L15" s="109">
        <v>2.5235867262815299</v>
      </c>
      <c r="M15" s="109">
        <v>2.5235867262815299</v>
      </c>
      <c r="N15" s="109">
        <v>2.5235867262815299</v>
      </c>
      <c r="O15" s="109">
        <v>2.5235867262815299</v>
      </c>
    </row>
    <row r="16" spans="2:15" x14ac:dyDescent="0.2">
      <c r="C16" s="36" t="s">
        <v>127</v>
      </c>
      <c r="D16" s="109">
        <v>2.1341240776815487</v>
      </c>
      <c r="E16" s="109">
        <v>2.1341240776815487</v>
      </c>
      <c r="F16" s="109">
        <v>2.1341240776815487</v>
      </c>
      <c r="G16" s="109">
        <v>2.1341240776815487</v>
      </c>
      <c r="H16" s="109">
        <v>2.1341240776815487</v>
      </c>
      <c r="I16" s="109">
        <v>2.1341240776815487</v>
      </c>
      <c r="J16" s="109">
        <v>2.1341240776815487</v>
      </c>
      <c r="K16" s="109">
        <v>2.1341240776815487</v>
      </c>
      <c r="L16" s="109">
        <v>2.1341240776815487</v>
      </c>
      <c r="M16" s="109">
        <v>2.1341240776815487</v>
      </c>
      <c r="N16" s="109">
        <v>2.1341240776815487</v>
      </c>
      <c r="O16" s="109">
        <v>2.1341240776815487</v>
      </c>
    </row>
    <row r="17" spans="2:15" x14ac:dyDescent="0.2">
      <c r="C17" s="36" t="s">
        <v>128</v>
      </c>
      <c r="D17" s="109">
        <v>1.9738412176369371</v>
      </c>
      <c r="E17" s="109">
        <v>1.9738412176369371</v>
      </c>
      <c r="F17" s="109">
        <v>1.9738412176369371</v>
      </c>
      <c r="G17" s="109">
        <v>1.9738412176369371</v>
      </c>
      <c r="H17" s="109">
        <v>1.9738412176369371</v>
      </c>
      <c r="I17" s="109">
        <v>1.9738412176369371</v>
      </c>
      <c r="J17" s="109">
        <v>1.9738412176369371</v>
      </c>
      <c r="K17" s="109">
        <v>1.9738412176369371</v>
      </c>
      <c r="L17" s="109">
        <v>1.9738412176369371</v>
      </c>
      <c r="M17" s="109">
        <v>1.9738412176369371</v>
      </c>
      <c r="N17" s="109">
        <v>1.9738412176369371</v>
      </c>
      <c r="O17" s="109">
        <v>1.9738412176369371</v>
      </c>
    </row>
    <row r="18" spans="2:15" x14ac:dyDescent="0.2">
      <c r="C18" s="36" t="s">
        <v>129</v>
      </c>
      <c r="D18" s="109">
        <v>1.9491379584757023</v>
      </c>
      <c r="E18" s="109">
        <v>1.9491379584757023</v>
      </c>
      <c r="F18" s="109">
        <v>1.9491379584757023</v>
      </c>
      <c r="G18" s="109">
        <v>1.9491379584757023</v>
      </c>
      <c r="H18" s="109">
        <v>1.9491379584757023</v>
      </c>
      <c r="I18" s="109">
        <v>1.9491379584757023</v>
      </c>
      <c r="J18" s="109">
        <v>1.9491379584757023</v>
      </c>
      <c r="K18" s="109">
        <v>1.9491379584757023</v>
      </c>
      <c r="L18" s="109">
        <v>1.9491379584757023</v>
      </c>
      <c r="M18" s="109">
        <v>1.9491379584757023</v>
      </c>
      <c r="N18" s="109">
        <v>1.9491379584757023</v>
      </c>
      <c r="O18" s="109">
        <v>1.9491379584757023</v>
      </c>
    </row>
    <row r="19" spans="2:15" x14ac:dyDescent="0.2">
      <c r="C19" s="36" t="s">
        <v>130</v>
      </c>
      <c r="D19" s="109">
        <v>1.8066889189365047</v>
      </c>
      <c r="E19" s="109">
        <v>1.8066889189365047</v>
      </c>
      <c r="F19" s="109">
        <v>1.8066889189365047</v>
      </c>
      <c r="G19" s="109">
        <v>1.8066889189365047</v>
      </c>
      <c r="H19" s="109">
        <v>1.8066889189365047</v>
      </c>
      <c r="I19" s="109">
        <v>1.8066889189365047</v>
      </c>
      <c r="J19" s="109">
        <v>1.8066889189365047</v>
      </c>
      <c r="K19" s="109">
        <v>1.8066889189365047</v>
      </c>
      <c r="L19" s="109">
        <v>1.8066889189365047</v>
      </c>
      <c r="M19" s="109">
        <v>1.8066889189365047</v>
      </c>
      <c r="N19" s="109">
        <v>1.8066889189365047</v>
      </c>
      <c r="O19" s="109">
        <v>1.8066889189365047</v>
      </c>
    </row>
    <row r="20" spans="2:15" x14ac:dyDescent="0.2">
      <c r="C20" s="36" t="s">
        <v>131</v>
      </c>
      <c r="D20" s="109">
        <v>1.8366608415465673</v>
      </c>
      <c r="E20" s="109">
        <v>1.8366608415465673</v>
      </c>
      <c r="F20" s="109">
        <v>1.8366608415465673</v>
      </c>
      <c r="G20" s="109">
        <v>1.8366608415465673</v>
      </c>
      <c r="H20" s="109">
        <v>1.8366608415465673</v>
      </c>
      <c r="I20" s="109">
        <v>1.8366608415465673</v>
      </c>
      <c r="J20" s="109">
        <v>1.8366608415465673</v>
      </c>
      <c r="K20" s="109">
        <v>1.8366608415465673</v>
      </c>
      <c r="L20" s="109">
        <v>1.8366608415465673</v>
      </c>
      <c r="M20" s="109">
        <v>1.8366608415465673</v>
      </c>
      <c r="N20" s="109">
        <v>1.8366608415465673</v>
      </c>
      <c r="O20" s="109">
        <v>1.8366608415465673</v>
      </c>
    </row>
    <row r="21" spans="2:15" x14ac:dyDescent="0.2">
      <c r="C21" s="37" t="s">
        <v>132</v>
      </c>
      <c r="D21" s="109">
        <v>2.2416704340742362</v>
      </c>
      <c r="E21" s="109">
        <v>2.2416704340742362</v>
      </c>
      <c r="F21" s="109">
        <v>2.2416704340742362</v>
      </c>
      <c r="G21" s="109">
        <v>2.2416704340742362</v>
      </c>
      <c r="H21" s="109">
        <v>2.2416704340742362</v>
      </c>
      <c r="I21" s="109">
        <v>2.2416704340742362</v>
      </c>
      <c r="J21" s="109">
        <v>2.2416704340742362</v>
      </c>
      <c r="K21" s="109">
        <v>2.2416704340742362</v>
      </c>
      <c r="L21" s="109">
        <v>2.2416704340742362</v>
      </c>
      <c r="M21" s="109">
        <v>2.2416704340742362</v>
      </c>
      <c r="N21" s="109">
        <v>2.2416704340742362</v>
      </c>
      <c r="O21" s="109">
        <v>2.2416704340742362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110">
        <v>3.0387094855480901</v>
      </c>
      <c r="E24" s="110">
        <v>3.0387094855480896</v>
      </c>
      <c r="F24" s="110">
        <v>3.0387094855480896</v>
      </c>
      <c r="G24" s="110">
        <v>3.0387094855480896</v>
      </c>
      <c r="H24" s="110">
        <v>3.0387094855480896</v>
      </c>
      <c r="I24" s="110">
        <v>3.0387094855480896</v>
      </c>
      <c r="J24" s="110">
        <v>3.0387094855480896</v>
      </c>
      <c r="K24" s="110">
        <v>3.0387094855480896</v>
      </c>
      <c r="L24" s="110">
        <v>3.0387094855480896</v>
      </c>
      <c r="M24" s="110">
        <v>3.0387094855480896</v>
      </c>
      <c r="N24" s="110">
        <v>3.0387094855480896</v>
      </c>
      <c r="O24" s="110">
        <v>3.0387094855480896</v>
      </c>
    </row>
    <row r="25" spans="2:15" x14ac:dyDescent="0.2">
      <c r="C25" s="36" t="s">
        <v>127</v>
      </c>
      <c r="D25" s="110">
        <v>2.7558598991874139</v>
      </c>
      <c r="E25" s="110">
        <v>2.7558598991874139</v>
      </c>
      <c r="F25" s="110">
        <v>2.7558598991874139</v>
      </c>
      <c r="G25" s="110">
        <v>2.7558598991874139</v>
      </c>
      <c r="H25" s="110">
        <v>2.7558598991874139</v>
      </c>
      <c r="I25" s="110">
        <v>2.7558598991874139</v>
      </c>
      <c r="J25" s="110">
        <v>2.7558598991874139</v>
      </c>
      <c r="K25" s="110">
        <v>2.7558598991874139</v>
      </c>
      <c r="L25" s="110">
        <v>2.7558598991874139</v>
      </c>
      <c r="M25" s="110">
        <v>2.7558598991874139</v>
      </c>
      <c r="N25" s="110">
        <v>2.7558598991874139</v>
      </c>
      <c r="O25" s="110">
        <v>2.7558598991874139</v>
      </c>
    </row>
    <row r="26" spans="2:15" x14ac:dyDescent="0.2">
      <c r="C26" s="36" t="s">
        <v>128</v>
      </c>
      <c r="D26" s="110">
        <v>2.2015069852357154</v>
      </c>
      <c r="E26" s="110">
        <v>2.2015069852357154</v>
      </c>
      <c r="F26" s="110">
        <v>2.2015069852357154</v>
      </c>
      <c r="G26" s="110">
        <v>2.2015069852357154</v>
      </c>
      <c r="H26" s="110">
        <v>2.2015069852357154</v>
      </c>
      <c r="I26" s="110">
        <v>2.2015069852357154</v>
      </c>
      <c r="J26" s="110">
        <v>2.2015069852357154</v>
      </c>
      <c r="K26" s="110">
        <v>2.2015069852357154</v>
      </c>
      <c r="L26" s="110">
        <v>2.2015069852357154</v>
      </c>
      <c r="M26" s="110">
        <v>2.2015069852357154</v>
      </c>
      <c r="N26" s="110">
        <v>2.2015069852357154</v>
      </c>
      <c r="O26" s="110">
        <v>2.2015069852357154</v>
      </c>
    </row>
    <row r="27" spans="2:15" x14ac:dyDescent="0.2">
      <c r="C27" s="36" t="s">
        <v>129</v>
      </c>
      <c r="D27" s="110">
        <v>2.276086759208376</v>
      </c>
      <c r="E27" s="110">
        <v>2.276086759208376</v>
      </c>
      <c r="F27" s="110">
        <v>2.276086759208376</v>
      </c>
      <c r="G27" s="110">
        <v>2.276086759208376</v>
      </c>
      <c r="H27" s="110">
        <v>2.276086759208376</v>
      </c>
      <c r="I27" s="110">
        <v>2.276086759208376</v>
      </c>
      <c r="J27" s="110">
        <v>2.276086759208376</v>
      </c>
      <c r="K27" s="110">
        <v>2.276086759208376</v>
      </c>
      <c r="L27" s="110">
        <v>2.276086759208376</v>
      </c>
      <c r="M27" s="110">
        <v>2.276086759208376</v>
      </c>
      <c r="N27" s="110">
        <v>2.276086759208376</v>
      </c>
      <c r="O27" s="110">
        <v>2.276086759208376</v>
      </c>
    </row>
    <row r="28" spans="2:15" x14ac:dyDescent="0.2">
      <c r="C28" s="36" t="s">
        <v>130</v>
      </c>
      <c r="D28" s="110">
        <v>2.0672333495500124</v>
      </c>
      <c r="E28" s="110">
        <v>2.0672333495500124</v>
      </c>
      <c r="F28" s="110">
        <v>2.0672333495500124</v>
      </c>
      <c r="G28" s="110">
        <v>2.0672333495500124</v>
      </c>
      <c r="H28" s="110">
        <v>2.0672333495500124</v>
      </c>
      <c r="I28" s="110">
        <v>2.0672333495500124</v>
      </c>
      <c r="J28" s="110">
        <v>2.0672333495500124</v>
      </c>
      <c r="K28" s="110">
        <v>2.0672333495500124</v>
      </c>
      <c r="L28" s="110">
        <v>2.0672333495500124</v>
      </c>
      <c r="M28" s="110">
        <v>2.0672333495500124</v>
      </c>
      <c r="N28" s="110">
        <v>2.0672333495500124</v>
      </c>
      <c r="O28" s="110">
        <v>2.0672333495500124</v>
      </c>
    </row>
    <row r="29" spans="2:15" x14ac:dyDescent="0.2">
      <c r="C29" s="36" t="s">
        <v>131</v>
      </c>
      <c r="D29" s="110">
        <v>2.0663727657424378</v>
      </c>
      <c r="E29" s="110">
        <v>2.0663727657424378</v>
      </c>
      <c r="F29" s="110">
        <v>2.0663727657424378</v>
      </c>
      <c r="G29" s="110">
        <v>2.0663727657424378</v>
      </c>
      <c r="H29" s="110">
        <v>2.0663727657424378</v>
      </c>
      <c r="I29" s="110">
        <v>2.0663727657424378</v>
      </c>
      <c r="J29" s="110">
        <v>2.0663727657424378</v>
      </c>
      <c r="K29" s="110">
        <v>2.0663727657424378</v>
      </c>
      <c r="L29" s="110">
        <v>2.0663727657424378</v>
      </c>
      <c r="M29" s="110">
        <v>2.0663727657424378</v>
      </c>
      <c r="N29" s="110">
        <v>2.0663727657424378</v>
      </c>
      <c r="O29" s="110">
        <v>2.0663727657424378</v>
      </c>
    </row>
    <row r="30" spans="2:15" x14ac:dyDescent="0.2">
      <c r="C30" s="37" t="s">
        <v>132</v>
      </c>
      <c r="D30" s="110">
        <v>2.4555939786947043</v>
      </c>
      <c r="E30" s="110">
        <v>2.4555939786947043</v>
      </c>
      <c r="F30" s="110">
        <v>2.4555939786947043</v>
      </c>
      <c r="G30" s="110">
        <v>2.4555939786947043</v>
      </c>
      <c r="H30" s="110">
        <v>2.4555939786947043</v>
      </c>
      <c r="I30" s="110">
        <v>2.4555939786947043</v>
      </c>
      <c r="J30" s="110">
        <v>2.4555939786947043</v>
      </c>
      <c r="K30" s="110">
        <v>2.4555939786947043</v>
      </c>
      <c r="L30" s="110">
        <v>2.4555939786947043</v>
      </c>
      <c r="M30" s="110">
        <v>2.4555939786947043</v>
      </c>
      <c r="N30" s="110">
        <v>2.4555939786947043</v>
      </c>
      <c r="O30" s="110">
        <v>2.4555939786947043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111">
        <v>1.8049999999999999</v>
      </c>
      <c r="E33" s="111">
        <v>1.8049999999999999</v>
      </c>
      <c r="F33" s="111">
        <v>1.8049999999999999</v>
      </c>
      <c r="G33" s="111">
        <v>1.8049999999999999</v>
      </c>
      <c r="H33" s="111">
        <v>1.8049999999999999</v>
      </c>
      <c r="I33" s="111">
        <v>1.8049999999999999</v>
      </c>
      <c r="J33" s="111">
        <v>1.8049999999999999</v>
      </c>
      <c r="K33" s="111">
        <v>1.8049999999999999</v>
      </c>
      <c r="L33" s="111">
        <v>1.8049999999999999</v>
      </c>
      <c r="M33" s="111">
        <v>1.8049999999999999</v>
      </c>
      <c r="N33" s="111">
        <v>1.8049999999999999</v>
      </c>
      <c r="O33" s="111">
        <v>1.8049999999999999</v>
      </c>
    </row>
    <row r="34" spans="3:15" x14ac:dyDescent="0.2">
      <c r="C34" s="36" t="s">
        <v>127</v>
      </c>
      <c r="D34" s="111">
        <v>1.8049999999999999</v>
      </c>
      <c r="E34" s="111">
        <v>1.8049999999999999</v>
      </c>
      <c r="F34" s="111">
        <v>1.8049999999999999</v>
      </c>
      <c r="G34" s="111">
        <v>1.8049999999999999</v>
      </c>
      <c r="H34" s="111">
        <v>1.8049999999999999</v>
      </c>
      <c r="I34" s="111">
        <v>1.8049999999999999</v>
      </c>
      <c r="J34" s="111">
        <v>1.8049999999999999</v>
      </c>
      <c r="K34" s="111">
        <v>1.8049999999999999</v>
      </c>
      <c r="L34" s="111">
        <v>1.8049999999999999</v>
      </c>
      <c r="M34" s="111">
        <v>1.8049999999999999</v>
      </c>
      <c r="N34" s="111">
        <v>1.8049999999999999</v>
      </c>
      <c r="O34" s="111">
        <v>1.8049999999999999</v>
      </c>
    </row>
    <row r="35" spans="3:15" x14ac:dyDescent="0.2">
      <c r="C35" s="36" t="s">
        <v>128</v>
      </c>
      <c r="D35" s="111">
        <v>2.0425</v>
      </c>
      <c r="E35" s="111">
        <v>2.0425</v>
      </c>
      <c r="F35" s="111">
        <v>2.0425</v>
      </c>
      <c r="G35" s="111">
        <v>2.0425</v>
      </c>
      <c r="H35" s="111">
        <v>2.0425</v>
      </c>
      <c r="I35" s="111">
        <v>2.0425</v>
      </c>
      <c r="J35" s="111">
        <v>2.0425</v>
      </c>
      <c r="K35" s="111">
        <v>2.0425</v>
      </c>
      <c r="L35" s="111">
        <v>2.0425</v>
      </c>
      <c r="M35" s="111">
        <v>2.0425</v>
      </c>
      <c r="N35" s="111">
        <v>2.0425</v>
      </c>
      <c r="O35" s="111">
        <v>2.0425</v>
      </c>
    </row>
    <row r="36" spans="3:15" x14ac:dyDescent="0.2">
      <c r="C36" s="36" t="s">
        <v>129</v>
      </c>
      <c r="D36" s="111">
        <v>2.09</v>
      </c>
      <c r="E36" s="111">
        <v>2.09</v>
      </c>
      <c r="F36" s="111">
        <v>2.09</v>
      </c>
      <c r="G36" s="111">
        <v>2.09</v>
      </c>
      <c r="H36" s="111">
        <v>2.09</v>
      </c>
      <c r="I36" s="111">
        <v>2.09</v>
      </c>
      <c r="J36" s="111">
        <v>2.09</v>
      </c>
      <c r="K36" s="111">
        <v>2.09</v>
      </c>
      <c r="L36" s="111">
        <v>2.09</v>
      </c>
      <c r="M36" s="111">
        <v>2.09</v>
      </c>
      <c r="N36" s="111">
        <v>2.09</v>
      </c>
      <c r="O36" s="111">
        <v>2.09</v>
      </c>
    </row>
    <row r="37" spans="3:15" x14ac:dyDescent="0.2">
      <c r="C37" s="36" t="s">
        <v>130</v>
      </c>
      <c r="D37" s="111">
        <v>2.09</v>
      </c>
      <c r="E37" s="111">
        <v>2.09</v>
      </c>
      <c r="F37" s="111">
        <v>2.09</v>
      </c>
      <c r="G37" s="111">
        <v>2.09</v>
      </c>
      <c r="H37" s="111">
        <v>2.09</v>
      </c>
      <c r="I37" s="111">
        <v>2.09</v>
      </c>
      <c r="J37" s="111">
        <v>2.09</v>
      </c>
      <c r="K37" s="111">
        <v>2.09</v>
      </c>
      <c r="L37" s="111">
        <v>2.09</v>
      </c>
      <c r="M37" s="111">
        <v>2.09</v>
      </c>
      <c r="N37" s="111">
        <v>2.09</v>
      </c>
      <c r="O37" s="111">
        <v>2.09</v>
      </c>
    </row>
    <row r="38" spans="3:15" x14ac:dyDescent="0.2">
      <c r="C38" s="36" t="s">
        <v>131</v>
      </c>
      <c r="D38" s="111">
        <v>2.3861349115742527</v>
      </c>
      <c r="E38" s="111">
        <v>2.3861349115742527</v>
      </c>
      <c r="F38" s="111">
        <v>2.3861349115742527</v>
      </c>
      <c r="G38" s="111">
        <v>2.3861349115742527</v>
      </c>
      <c r="H38" s="111">
        <v>2.3861349115742527</v>
      </c>
      <c r="I38" s="111">
        <v>2.3861349115742527</v>
      </c>
      <c r="J38" s="111">
        <v>2.3861349115742527</v>
      </c>
      <c r="K38" s="111">
        <v>2.3861349115742527</v>
      </c>
      <c r="L38" s="111">
        <v>2.3861349115742527</v>
      </c>
      <c r="M38" s="111">
        <v>2.3861349115742527</v>
      </c>
      <c r="N38" s="111">
        <v>2.3861349115742527</v>
      </c>
      <c r="O38" s="111">
        <v>2.3861349115742527</v>
      </c>
    </row>
    <row r="39" spans="3:15" x14ac:dyDescent="0.2">
      <c r="C39" s="37" t="s">
        <v>132</v>
      </c>
      <c r="D39" s="111">
        <v>2.09</v>
      </c>
      <c r="E39" s="111">
        <v>2.09</v>
      </c>
      <c r="F39" s="111">
        <v>2.09</v>
      </c>
      <c r="G39" s="111">
        <v>2.09</v>
      </c>
      <c r="H39" s="111">
        <v>2.09</v>
      </c>
      <c r="I39" s="111">
        <v>2.09</v>
      </c>
      <c r="J39" s="111">
        <v>2.09</v>
      </c>
      <c r="K39" s="111">
        <v>2.09</v>
      </c>
      <c r="L39" s="111">
        <v>2.09</v>
      </c>
      <c r="M39" s="111">
        <v>2.09</v>
      </c>
      <c r="N39" s="111">
        <v>2.09</v>
      </c>
      <c r="O39" s="111">
        <v>2.09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customWidth="1"/>
    <col min="7" max="7" width="2.7109375" customWidth="1"/>
    <col min="8" max="8" width="11.140625" customWidth="1"/>
    <col min="11" max="12" width="4.7109375" customWidth="1"/>
    <col min="18" max="18" width="2.7109375" customWidth="1"/>
    <col min="19" max="19" width="14.7109375" customWidth="1"/>
    <col min="20" max="20" width="16.7109375" customWidth="1"/>
    <col min="21" max="21" width="4.7109375" customWidth="1"/>
  </cols>
  <sheetData>
    <row r="1" spans="1:20" x14ac:dyDescent="0.2">
      <c r="A1" s="193"/>
    </row>
    <row r="2" spans="1:20" ht="15.75" x14ac:dyDescent="0.25">
      <c r="C2" s="194" t="s">
        <v>165</v>
      </c>
      <c r="D2" s="194"/>
      <c r="E2" s="194"/>
      <c r="F2" s="194"/>
      <c r="G2" s="194"/>
      <c r="H2" s="194"/>
    </row>
    <row r="3" spans="1:20" ht="18.75" x14ac:dyDescent="0.25">
      <c r="C3" s="195" t="s">
        <v>413</v>
      </c>
      <c r="D3" s="195"/>
      <c r="E3" s="195"/>
      <c r="F3" s="195"/>
      <c r="G3" s="195"/>
    </row>
    <row r="5" spans="1:20" ht="15.75" x14ac:dyDescent="0.25">
      <c r="A5" s="196" t="s">
        <v>352</v>
      </c>
      <c r="B5" s="197"/>
      <c r="G5" s="198"/>
      <c r="L5" s="196" t="s">
        <v>353</v>
      </c>
      <c r="M5" s="197"/>
      <c r="R5" s="198"/>
    </row>
    <row r="6" spans="1:20" x14ac:dyDescent="0.2">
      <c r="A6" s="199" t="s">
        <v>354</v>
      </c>
      <c r="B6" s="197"/>
      <c r="G6" s="200"/>
      <c r="H6" s="127"/>
      <c r="L6" s="199" t="s">
        <v>355</v>
      </c>
      <c r="M6" s="197"/>
      <c r="S6" s="141"/>
    </row>
    <row r="7" spans="1:20" x14ac:dyDescent="0.2">
      <c r="A7" s="197"/>
      <c r="B7" s="197" t="s">
        <v>356</v>
      </c>
      <c r="G7" s="200"/>
      <c r="H7" s="201">
        <f>SUM(ORA!$D$116:$O$116)</f>
        <v>36017.539035049995</v>
      </c>
      <c r="L7" s="197"/>
      <c r="M7" s="197" t="s">
        <v>356</v>
      </c>
      <c r="S7" s="202">
        <f>SUM(ORA!$D$127:$O$127)</f>
        <v>138166925.12469307</v>
      </c>
    </row>
    <row r="8" spans="1:20" x14ac:dyDescent="0.2">
      <c r="A8" s="197"/>
      <c r="B8" s="197" t="s">
        <v>357</v>
      </c>
      <c r="G8" s="200"/>
      <c r="H8" s="203">
        <f>SUM(POJ!$D$116:$O$116)</f>
        <v>78251.528282727333</v>
      </c>
      <c r="L8" s="197"/>
      <c r="M8" s="197" t="s">
        <v>357</v>
      </c>
      <c r="S8" s="204">
        <f>SUM(POJ!$D$127:$O$127)</f>
        <v>323116525.9954201</v>
      </c>
    </row>
    <row r="9" spans="1:20" x14ac:dyDescent="0.2">
      <c r="A9" s="197"/>
      <c r="B9" s="197" t="s">
        <v>358</v>
      </c>
      <c r="G9" s="200"/>
      <c r="H9" s="203">
        <f>SUM(ROJ!$D$116:$O$116)</f>
        <v>62802.621300238643</v>
      </c>
      <c r="L9" s="197"/>
      <c r="M9" s="197" t="s">
        <v>358</v>
      </c>
      <c r="S9" s="204">
        <f>SUM(ROJ!$D$127:$O$127)</f>
        <v>303070332.19387126</v>
      </c>
    </row>
    <row r="10" spans="1:20" x14ac:dyDescent="0.2">
      <c r="A10" s="197"/>
      <c r="B10" s="197" t="s">
        <v>359</v>
      </c>
      <c r="G10" s="200"/>
      <c r="H10" s="205">
        <f>SUM(FCOJ!$D$116:$O$116)</f>
        <v>83199.300475505661</v>
      </c>
      <c r="L10" s="197"/>
      <c r="M10" s="197" t="s">
        <v>359</v>
      </c>
      <c r="S10" s="206">
        <f>SUM(FCOJ!$D$127:$O$127)</f>
        <v>331137856.48131347</v>
      </c>
    </row>
    <row r="11" spans="1:20" x14ac:dyDescent="0.2">
      <c r="A11" s="197"/>
      <c r="B11" s="197"/>
      <c r="G11" s="200"/>
      <c r="M11" s="197" t="s">
        <v>360</v>
      </c>
      <c r="T11" s="207">
        <f>SUM($S$7:$S$10)</f>
        <v>1095491639.7952979</v>
      </c>
    </row>
    <row r="12" spans="1:20" x14ac:dyDescent="0.2">
      <c r="A12" s="199" t="s">
        <v>361</v>
      </c>
      <c r="B12" s="197"/>
      <c r="G12" s="200"/>
    </row>
    <row r="13" spans="1:20" x14ac:dyDescent="0.2">
      <c r="A13" s="197"/>
      <c r="B13" s="197" t="s">
        <v>362</v>
      </c>
      <c r="G13" s="200"/>
      <c r="H13" s="208">
        <f>SUM(grove!$C$48:$AX$53)</f>
        <v>417025.3189999793</v>
      </c>
      <c r="L13" s="199" t="s">
        <v>363</v>
      </c>
      <c r="M13" s="197"/>
    </row>
    <row r="14" spans="1:20" x14ac:dyDescent="0.2">
      <c r="A14" s="197"/>
      <c r="B14" s="197" t="s">
        <v>364</v>
      </c>
      <c r="G14" s="200"/>
      <c r="H14" s="201">
        <f>raw_materials!$P$30</f>
        <v>400000</v>
      </c>
      <c r="L14" s="197"/>
      <c r="M14" s="197" t="s">
        <v>365</v>
      </c>
      <c r="S14" s="202">
        <f>SUM(grove!$C$58:$AX$63)</f>
        <v>599053415.24555373</v>
      </c>
    </row>
    <row r="15" spans="1:20" x14ac:dyDescent="0.2">
      <c r="A15" s="197"/>
      <c r="B15" s="197" t="s">
        <v>366</v>
      </c>
      <c r="G15" s="200"/>
      <c r="H15" s="205">
        <f>raw_materials!$P$36</f>
        <v>300000</v>
      </c>
      <c r="L15" s="197"/>
      <c r="M15" s="197" t="s">
        <v>367</v>
      </c>
      <c r="S15" s="204">
        <f>(raw_materials!D30*raw_materials!E30+raw_materials!F30*raw_materials!G30+raw_materials!H30*raw_materials!I30+raw_materials!J30*raw_materials!K30+raw_materials!L30*raw_materials!M30)*2000</f>
        <v>544710111.05060577</v>
      </c>
    </row>
    <row r="16" spans="1:20" x14ac:dyDescent="0.2">
      <c r="A16" s="197"/>
      <c r="B16" s="197" t="s">
        <v>368</v>
      </c>
      <c r="G16" s="200"/>
      <c r="H16" s="209">
        <v>80947.733400688783</v>
      </c>
      <c r="L16" s="197"/>
      <c r="M16" s="197" t="s">
        <v>369</v>
      </c>
      <c r="S16" s="204">
        <f>(raw_materials!D36*raw_materials!E36+raw_materials!F36*raw_materials!G36+raw_materials!H36*raw_materials!I36+raw_materials!J36*raw_materials!K36+raw_materials!L36*raw_materials!M36)*2000</f>
        <v>574628003.33797932</v>
      </c>
    </row>
    <row r="17" spans="1:21" x14ac:dyDescent="0.2">
      <c r="A17" s="197"/>
      <c r="B17" s="197" t="s">
        <v>370</v>
      </c>
      <c r="G17" s="200"/>
      <c r="H17" s="210">
        <v>45771.133533594155</v>
      </c>
      <c r="L17" s="197"/>
      <c r="M17" s="197" t="s">
        <v>371</v>
      </c>
      <c r="S17" s="204">
        <v>221570501.87833592</v>
      </c>
    </row>
    <row r="18" spans="1:21" x14ac:dyDescent="0.2">
      <c r="A18" s="197"/>
      <c r="B18" s="197" t="s">
        <v>372</v>
      </c>
      <c r="G18" s="200"/>
      <c r="H18" s="211">
        <v>263194.94009711494</v>
      </c>
      <c r="L18" s="197"/>
      <c r="M18" s="197" t="s">
        <v>373</v>
      </c>
      <c r="S18" s="206">
        <v>79809806.489719421</v>
      </c>
    </row>
    <row r="19" spans="1:21" x14ac:dyDescent="0.2">
      <c r="A19" s="197"/>
      <c r="B19" s="197" t="s">
        <v>374</v>
      </c>
      <c r="G19" s="200"/>
      <c r="H19" s="210">
        <v>667427.5346721462</v>
      </c>
      <c r="L19" s="197"/>
      <c r="M19" s="197" t="s">
        <v>375</v>
      </c>
      <c r="S19" s="212" t="s">
        <v>376</v>
      </c>
      <c r="T19" s="213">
        <f>SUM($S$14:$S$18)</f>
        <v>2019771838.0021942</v>
      </c>
      <c r="U19" t="s">
        <v>377</v>
      </c>
    </row>
    <row r="20" spans="1:21" x14ac:dyDescent="0.2">
      <c r="A20" s="197"/>
      <c r="B20" s="197" t="s">
        <v>378</v>
      </c>
      <c r="G20" s="200"/>
      <c r="H20" s="205">
        <v>179120.91339506445</v>
      </c>
      <c r="L20" s="197"/>
      <c r="M20" s="197"/>
    </row>
    <row r="21" spans="1:21" x14ac:dyDescent="0.2">
      <c r="A21" s="197"/>
      <c r="B21" s="197"/>
      <c r="G21" s="200"/>
      <c r="L21" s="199" t="s">
        <v>379</v>
      </c>
      <c r="M21" s="197"/>
      <c r="S21" s="141"/>
    </row>
    <row r="22" spans="1:21" x14ac:dyDescent="0.2">
      <c r="A22" s="199" t="s">
        <v>380</v>
      </c>
      <c r="B22" s="197"/>
      <c r="G22" s="200"/>
      <c r="L22" s="197"/>
      <c r="M22" s="197" t="s">
        <v>381</v>
      </c>
      <c r="S22" s="204">
        <v>161895466.80137748</v>
      </c>
    </row>
    <row r="23" spans="1:21" x14ac:dyDescent="0.2">
      <c r="A23" s="197"/>
      <c r="B23" s="197" t="s">
        <v>382</v>
      </c>
      <c r="G23" s="200"/>
      <c r="H23" s="201">
        <f>SUM(raw_materials!$O$31:$O$35)</f>
        <v>0</v>
      </c>
      <c r="L23" s="197"/>
      <c r="M23" s="197" t="s">
        <v>383</v>
      </c>
      <c r="S23" s="204">
        <v>45771133.533594146</v>
      </c>
    </row>
    <row r="24" spans="1:21" x14ac:dyDescent="0.2">
      <c r="A24" s="197"/>
      <c r="B24" s="197" t="s">
        <v>384</v>
      </c>
      <c r="G24" s="200"/>
      <c r="H24" s="205">
        <f>SUM(raw_materials!$O$37:$O$41)</f>
        <v>300000</v>
      </c>
      <c r="L24" s="197"/>
      <c r="M24" s="197" t="s">
        <v>385</v>
      </c>
      <c r="S24" s="206">
        <v>171076711.06312472</v>
      </c>
    </row>
    <row r="25" spans="1:21" x14ac:dyDescent="0.2">
      <c r="A25" s="197"/>
      <c r="B25" s="197"/>
      <c r="G25" s="200"/>
      <c r="L25" s="197"/>
      <c r="M25" s="197" t="s">
        <v>386</v>
      </c>
      <c r="S25" s="212" t="s">
        <v>376</v>
      </c>
      <c r="T25" s="213">
        <f>SUM($S$22:$S$24)</f>
        <v>378743311.39809632</v>
      </c>
      <c r="U25" t="s">
        <v>377</v>
      </c>
    </row>
    <row r="26" spans="1:21" x14ac:dyDescent="0.2">
      <c r="A26" s="199" t="s">
        <v>387</v>
      </c>
      <c r="B26" s="197"/>
      <c r="G26" s="200"/>
      <c r="L26" s="197"/>
      <c r="M26" s="197"/>
    </row>
    <row r="27" spans="1:21" x14ac:dyDescent="0.2">
      <c r="A27" s="197"/>
      <c r="B27" s="197" t="s">
        <v>388</v>
      </c>
      <c r="G27" s="200"/>
      <c r="H27" s="201">
        <f>SUMIF(facilities!$C$6:$C$15,"&gt;0",facilities!$C$6:$C$15)</f>
        <v>0</v>
      </c>
      <c r="L27" s="199" t="s">
        <v>389</v>
      </c>
      <c r="M27" s="197"/>
    </row>
    <row r="28" spans="1:21" x14ac:dyDescent="0.2">
      <c r="A28" s="197"/>
      <c r="B28" s="197" t="s">
        <v>390</v>
      </c>
      <c r="G28" s="200"/>
      <c r="H28" s="203">
        <f>SUMIF(facilities!$C$36:$C$106,"&gt;0",facilities!$C$36:$C$106)</f>
        <v>0</v>
      </c>
      <c r="L28" s="197"/>
      <c r="M28" s="197" t="s">
        <v>391</v>
      </c>
      <c r="S28" s="202">
        <v>70295796</v>
      </c>
    </row>
    <row r="29" spans="1:21" x14ac:dyDescent="0.2">
      <c r="A29" s="197"/>
      <c r="B29" s="197" t="s">
        <v>392</v>
      </c>
      <c r="G29" s="200"/>
      <c r="H29" s="203">
        <f>SUMIF(facilities!$C$6:$C$15,"&lt;0",facilities!$C$6:$C$15)</f>
        <v>-92</v>
      </c>
      <c r="L29" s="197"/>
      <c r="M29" s="197" t="s">
        <v>393</v>
      </c>
      <c r="S29" s="204">
        <v>31339531.478559367</v>
      </c>
    </row>
    <row r="30" spans="1:21" x14ac:dyDescent="0.2">
      <c r="A30" s="197"/>
      <c r="B30" s="197" t="s">
        <v>394</v>
      </c>
      <c r="G30" s="200"/>
      <c r="H30" s="205">
        <f>SUMIF(facilities!$C$36:$C$106,"&lt;0",facilities!$C$36:$C$106)</f>
        <v>0</v>
      </c>
      <c r="L30" s="197"/>
      <c r="M30" s="197" t="s">
        <v>395</v>
      </c>
      <c r="S30" s="204">
        <v>183183348.85258293</v>
      </c>
    </row>
    <row r="31" spans="1:21" x14ac:dyDescent="0.2">
      <c r="L31" s="197"/>
      <c r="M31" s="197" t="s">
        <v>396</v>
      </c>
      <c r="S31" s="206">
        <f>SUM(ORA!D138:O138)+SUM(POJ!D138:O138)+SUM(ROJ!D138:O138)+SUM(FCOJ!D138:O138)</f>
        <v>229001461.67611122</v>
      </c>
    </row>
    <row r="32" spans="1:21" x14ac:dyDescent="0.2">
      <c r="A32" s="199" t="s">
        <v>397</v>
      </c>
      <c r="B32" s="197"/>
      <c r="G32" s="200"/>
      <c r="L32" s="197"/>
      <c r="M32" s="197" t="s">
        <v>398</v>
      </c>
      <c r="S32" s="129" t="s">
        <v>376</v>
      </c>
      <c r="T32" s="213">
        <f>SUM($S$28:$S$31)</f>
        <v>513820138.00725353</v>
      </c>
      <c r="U32" t="s">
        <v>377</v>
      </c>
    </row>
    <row r="33" spans="1:21" x14ac:dyDescent="0.2">
      <c r="A33" s="197"/>
      <c r="B33" s="197" t="s">
        <v>399</v>
      </c>
      <c r="G33" s="200"/>
      <c r="H33" s="201">
        <f>COUNTIF(facilities!$H$6:$H$15,"=new")</f>
        <v>0</v>
      </c>
      <c r="M33" s="197"/>
    </row>
    <row r="34" spans="1:21" x14ac:dyDescent="0.2">
      <c r="A34" s="197"/>
      <c r="B34" s="197" t="s">
        <v>400</v>
      </c>
      <c r="G34" s="200"/>
      <c r="H34" s="203">
        <f>COUNTIF(facilities!$H$36:$H$106,"=new")</f>
        <v>0</v>
      </c>
      <c r="L34" s="199" t="s">
        <v>401</v>
      </c>
      <c r="M34" s="197"/>
    </row>
    <row r="35" spans="1:21" x14ac:dyDescent="0.2">
      <c r="B35" s="197" t="s">
        <v>18</v>
      </c>
      <c r="H35" s="205">
        <f>SUMIF(facilities!$C$21:$C$30,"&gt;0",facilities!$C$21:$C$30)</f>
        <v>0</v>
      </c>
      <c r="L35" s="197"/>
      <c r="M35" s="197" t="s">
        <v>402</v>
      </c>
      <c r="S35" s="202">
        <v>35315000</v>
      </c>
    </row>
    <row r="36" spans="1:21" x14ac:dyDescent="0.2">
      <c r="L36" s="197"/>
      <c r="M36" s="197" t="s">
        <v>403</v>
      </c>
      <c r="S36" s="204">
        <f>H33*12000000-H38*70/100*12000000</f>
        <v>0</v>
      </c>
    </row>
    <row r="37" spans="1:21" x14ac:dyDescent="0.2">
      <c r="A37" s="199" t="s">
        <v>404</v>
      </c>
      <c r="L37" s="197"/>
      <c r="M37" s="197" t="s">
        <v>405</v>
      </c>
      <c r="S37" s="204">
        <f>H27*8000+H29*70/100*8000</f>
        <v>-515200.00000000006</v>
      </c>
    </row>
    <row r="38" spans="1:21" x14ac:dyDescent="0.2">
      <c r="B38" s="197" t="s">
        <v>399</v>
      </c>
      <c r="H38" s="201">
        <f>COUNTIF(facilities!$H$6:$H$15,"=sold")</f>
        <v>0</v>
      </c>
      <c r="L38" s="197"/>
      <c r="M38" s="197" t="s">
        <v>406</v>
      </c>
      <c r="S38" s="204">
        <v>68950000</v>
      </c>
    </row>
    <row r="39" spans="1:21" x14ac:dyDescent="0.2">
      <c r="B39" s="197" t="s">
        <v>400</v>
      </c>
      <c r="H39" s="203">
        <f>COUNTIF(facilities!$H$36:$H$106,"=sold")</f>
        <v>0</v>
      </c>
      <c r="L39" s="197"/>
      <c r="M39" s="197" t="s">
        <v>407</v>
      </c>
      <c r="S39" s="204">
        <f>H34*9000000-H39*80/100*9000000</f>
        <v>0</v>
      </c>
    </row>
    <row r="40" spans="1:21" x14ac:dyDescent="0.2">
      <c r="B40" s="197" t="s">
        <v>18</v>
      </c>
      <c r="H40" s="205">
        <f>-SUMIF(facilities!$C$21:$C$30,"&lt;0",facilities!$C$21:$C$30)</f>
        <v>4</v>
      </c>
      <c r="L40" s="197"/>
      <c r="M40" s="197" t="s">
        <v>408</v>
      </c>
      <c r="S40" s="204">
        <f>H28*6000+H30*80/100*6000</f>
        <v>0</v>
      </c>
    </row>
    <row r="41" spans="1:21" x14ac:dyDescent="0.2">
      <c r="L41" s="197"/>
      <c r="M41" s="197" t="s">
        <v>409</v>
      </c>
      <c r="S41" s="204">
        <v>22730</v>
      </c>
    </row>
    <row r="42" spans="1:21" x14ac:dyDescent="0.2">
      <c r="L42" s="197"/>
      <c r="M42" s="197" t="s">
        <v>410</v>
      </c>
      <c r="S42" s="206">
        <f>H35*100000-H40*60/100*100000</f>
        <v>-240000</v>
      </c>
    </row>
    <row r="43" spans="1:21" x14ac:dyDescent="0.2">
      <c r="L43" s="197"/>
      <c r="M43" s="197" t="s">
        <v>411</v>
      </c>
      <c r="S43" s="191" t="s">
        <v>376</v>
      </c>
      <c r="T43" s="213">
        <f>SUM($S$35:$S$42)</f>
        <v>103532530</v>
      </c>
      <c r="U43" t="s">
        <v>377</v>
      </c>
    </row>
    <row r="44" spans="1:21" x14ac:dyDescent="0.2">
      <c r="L44" s="197"/>
      <c r="S44" s="127"/>
    </row>
    <row r="45" spans="1:21" ht="14.25" thickBot="1" x14ac:dyDescent="0.3">
      <c r="L45" s="214" t="s">
        <v>412</v>
      </c>
      <c r="M45" s="197"/>
      <c r="T45" s="215">
        <f>$T$11-$T$19-$T$25-$T$32-$T$43</f>
        <v>-1920376177.612246</v>
      </c>
    </row>
    <row r="46" spans="1:21" ht="13.5" thickTop="1" x14ac:dyDescent="0.2">
      <c r="M46" s="197"/>
    </row>
    <row r="316" spans="1:1" x14ac:dyDescent="0.2">
      <c r="A316" s="193"/>
    </row>
    <row r="317" spans="1:1" x14ac:dyDescent="0.2">
      <c r="A317" s="193"/>
    </row>
    <row r="318" spans="1:1" x14ac:dyDescent="0.2">
      <c r="A318" s="193"/>
    </row>
    <row r="319" spans="1:1" x14ac:dyDescent="0.2">
      <c r="A319" s="193"/>
    </row>
    <row r="320" spans="1:1" x14ac:dyDescent="0.2">
      <c r="A320" s="193"/>
    </row>
    <row r="321" spans="1:1" x14ac:dyDescent="0.2">
      <c r="A321" s="193"/>
    </row>
    <row r="322" spans="1:1" x14ac:dyDescent="0.2">
      <c r="A322" s="193"/>
    </row>
    <row r="323" spans="1:1" x14ac:dyDescent="0.2">
      <c r="A323" s="193"/>
    </row>
    <row r="325" spans="1:1" x14ac:dyDescent="0.2">
      <c r="A325" s="193"/>
    </row>
    <row r="326" spans="1:1" x14ac:dyDescent="0.2">
      <c r="A326" s="193"/>
    </row>
    <row r="327" spans="1:1" x14ac:dyDescent="0.2">
      <c r="A327" s="193"/>
    </row>
    <row r="328" spans="1:1" x14ac:dyDescent="0.2">
      <c r="A328" s="193"/>
    </row>
    <row r="329" spans="1:1" x14ac:dyDescent="0.2">
      <c r="A329" s="193"/>
    </row>
    <row r="330" spans="1:1" x14ac:dyDescent="0.2">
      <c r="A330" s="193"/>
    </row>
    <row r="331" spans="1:1" x14ac:dyDescent="0.2">
      <c r="A331" s="193"/>
    </row>
    <row r="332" spans="1:1" x14ac:dyDescent="0.2">
      <c r="A332" s="193"/>
    </row>
    <row r="334" spans="1:1" x14ac:dyDescent="0.2">
      <c r="A334" s="193"/>
    </row>
    <row r="335" spans="1:1" x14ac:dyDescent="0.2">
      <c r="A335" s="193"/>
    </row>
    <row r="336" spans="1:1" x14ac:dyDescent="0.2">
      <c r="A336" s="193"/>
    </row>
    <row r="337" spans="1:1" x14ac:dyDescent="0.2">
      <c r="A337" s="193"/>
    </row>
    <row r="338" spans="1:1" x14ac:dyDescent="0.2">
      <c r="A338" s="193"/>
    </row>
    <row r="339" spans="1:1" x14ac:dyDescent="0.2">
      <c r="A339" s="193"/>
    </row>
    <row r="340" spans="1:1" x14ac:dyDescent="0.2">
      <c r="A340" s="193"/>
    </row>
    <row r="341" spans="1:1" x14ac:dyDescent="0.2">
      <c r="A341" s="193"/>
    </row>
    <row r="343" spans="1:1" x14ac:dyDescent="0.2">
      <c r="A343" s="193"/>
    </row>
    <row r="344" spans="1:1" x14ac:dyDescent="0.2">
      <c r="A344" s="193"/>
    </row>
    <row r="345" spans="1:1" x14ac:dyDescent="0.2">
      <c r="A345" s="193"/>
    </row>
    <row r="346" spans="1:1" x14ac:dyDescent="0.2">
      <c r="A346" s="193"/>
    </row>
    <row r="347" spans="1:1" x14ac:dyDescent="0.2">
      <c r="A347" s="193"/>
    </row>
    <row r="348" spans="1:1" x14ac:dyDescent="0.2">
      <c r="A348" s="193"/>
    </row>
    <row r="349" spans="1:1" x14ac:dyDescent="0.2">
      <c r="A349" s="193"/>
    </row>
    <row r="350" spans="1:1" x14ac:dyDescent="0.2">
      <c r="A350" s="193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topLeftCell="A25" workbookViewId="0">
      <selection activeCell="C38" sqref="C38:AX43"/>
    </sheetView>
  </sheetViews>
  <sheetFormatPr defaultRowHeight="12.75" x14ac:dyDescent="0.2"/>
  <cols>
    <col min="1" max="1" width="4.7109375" customWidth="1"/>
    <col min="2" max="2" width="15.7109375" customWidth="1"/>
  </cols>
  <sheetData>
    <row r="2" spans="2:14" x14ac:dyDescent="0.2">
      <c r="B2" s="1" t="s">
        <v>314</v>
      </c>
    </row>
    <row r="3" spans="2:14" x14ac:dyDescent="0.2">
      <c r="B3" s="120" t="s">
        <v>315</v>
      </c>
    </row>
    <row r="4" spans="2:14" x14ac:dyDescent="0.2">
      <c r="B4" s="186" t="s">
        <v>91</v>
      </c>
      <c r="C4" s="186" t="s">
        <v>92</v>
      </c>
      <c r="D4" s="186" t="s">
        <v>93</v>
      </c>
      <c r="E4" s="186" t="s">
        <v>94</v>
      </c>
      <c r="F4" s="186" t="s">
        <v>95</v>
      </c>
      <c r="G4" s="186" t="s">
        <v>96</v>
      </c>
      <c r="H4" s="186" t="s">
        <v>97</v>
      </c>
      <c r="I4" s="186" t="s">
        <v>98</v>
      </c>
      <c r="J4" s="186" t="s">
        <v>99</v>
      </c>
      <c r="K4" s="186" t="s">
        <v>100</v>
      </c>
      <c r="L4" s="186" t="s">
        <v>101</v>
      </c>
      <c r="M4" s="186" t="s">
        <v>102</v>
      </c>
      <c r="N4" s="186" t="s">
        <v>103</v>
      </c>
    </row>
    <row r="5" spans="2:14" x14ac:dyDescent="0.2">
      <c r="B5" s="187" t="s">
        <v>104</v>
      </c>
      <c r="C5">
        <v>0.69118522567340868</v>
      </c>
      <c r="D5">
        <v>0.71266464151358977</v>
      </c>
      <c r="E5">
        <v>0.66716111694573288</v>
      </c>
      <c r="F5">
        <v>0.68538644595573306</v>
      </c>
      <c r="G5">
        <v>0.60421906013364113</v>
      </c>
      <c r="H5">
        <v>0.62484932292004547</v>
      </c>
      <c r="I5">
        <v>0.58024594945239849</v>
      </c>
      <c r="J5">
        <v>0.68526184656500833</v>
      </c>
      <c r="K5">
        <v>1.0507722099026322</v>
      </c>
      <c r="L5">
        <v>0.61814425552432661</v>
      </c>
      <c r="M5">
        <v>0.62930951331760687</v>
      </c>
      <c r="N5">
        <v>0.62702006038868507</v>
      </c>
    </row>
    <row r="6" spans="2:14" x14ac:dyDescent="0.2">
      <c r="B6" s="187" t="s">
        <v>105</v>
      </c>
      <c r="C6">
        <v>0.70170493289325553</v>
      </c>
      <c r="D6">
        <v>0.79844590898864953</v>
      </c>
      <c r="E6">
        <v>0.7675414408912995</v>
      </c>
      <c r="F6">
        <v>0.70444025222268924</v>
      </c>
      <c r="G6">
        <v>0.64457638931001737</v>
      </c>
      <c r="H6">
        <v>0.71444643031076471</v>
      </c>
      <c r="I6">
        <v>0.67538030024788709</v>
      </c>
      <c r="J6">
        <v>0.68666616237094247</v>
      </c>
      <c r="K6">
        <v>0.74173822594997119</v>
      </c>
      <c r="L6">
        <v>0.68649433803497606</v>
      </c>
      <c r="M6">
        <v>0.70001873095301792</v>
      </c>
      <c r="N6">
        <v>0.68344199141536166</v>
      </c>
    </row>
    <row r="7" spans="2:14" x14ac:dyDescent="0.2">
      <c r="B7" s="187" t="s">
        <v>106</v>
      </c>
      <c r="C7">
        <v>0.67944323360356662</v>
      </c>
      <c r="D7">
        <v>0.90599655148901737</v>
      </c>
      <c r="E7">
        <v>0.70272829058831476</v>
      </c>
      <c r="F7">
        <v>0.7077410520668489</v>
      </c>
      <c r="G7">
        <v>0.72772664844121582</v>
      </c>
      <c r="H7">
        <v>0.70222524481986792</v>
      </c>
      <c r="I7">
        <v>0.71200094823246385</v>
      </c>
      <c r="J7">
        <v>0.70314891630156029</v>
      </c>
      <c r="K7">
        <v>0.75293579752283624</v>
      </c>
      <c r="L7">
        <v>0.73196139360403745</v>
      </c>
      <c r="M7">
        <v>1.1000000000000001</v>
      </c>
      <c r="N7">
        <v>0.84084399941644294</v>
      </c>
    </row>
    <row r="8" spans="2:14" x14ac:dyDescent="0.2">
      <c r="B8" s="187" t="s">
        <v>107</v>
      </c>
      <c r="C8">
        <v>0.67695344326996643</v>
      </c>
      <c r="D8">
        <v>0.72336275376947889</v>
      </c>
      <c r="E8">
        <v>0.67355747876132732</v>
      </c>
      <c r="F8">
        <v>0.69860971311508291</v>
      </c>
      <c r="G8">
        <v>0.67643855829848309</v>
      </c>
      <c r="H8">
        <v>0.69996718300783101</v>
      </c>
      <c r="I8">
        <v>0.76839710421125362</v>
      </c>
      <c r="J8">
        <v>0.70408213631270633</v>
      </c>
      <c r="K8">
        <v>0.69255466355439432</v>
      </c>
      <c r="L8">
        <v>0.75691305671889386</v>
      </c>
      <c r="M8">
        <v>0.84696874218395568</v>
      </c>
      <c r="N8">
        <v>0.78334448720631189</v>
      </c>
    </row>
    <row r="9" spans="2:14" x14ac:dyDescent="0.2">
      <c r="B9" s="187" t="s">
        <v>108</v>
      </c>
      <c r="C9">
        <v>2.0437191820144656</v>
      </c>
      <c r="D9">
        <v>2.1078395879268648</v>
      </c>
      <c r="E9">
        <v>2.0387388682365417</v>
      </c>
      <c r="F9">
        <v>2.0950095331668854</v>
      </c>
      <c r="G9">
        <v>2.0230420207977295</v>
      </c>
      <c r="H9">
        <v>2.0171611106395724</v>
      </c>
      <c r="I9">
        <v>2.0939041829109191</v>
      </c>
      <c r="J9">
        <v>2.1051239407062532</v>
      </c>
      <c r="K9">
        <v>2.0908677434921263</v>
      </c>
      <c r="L9">
        <v>2.0441771066188812</v>
      </c>
      <c r="M9">
        <v>2.046376702785492</v>
      </c>
      <c r="N9">
        <v>2.0721448576450348</v>
      </c>
    </row>
    <row r="10" spans="2:14" x14ac:dyDescent="0.2">
      <c r="B10" s="187" t="s">
        <v>109</v>
      </c>
      <c r="C10">
        <v>0.63148956298828129</v>
      </c>
      <c r="D10">
        <v>0.65225793719291691</v>
      </c>
      <c r="E10">
        <v>0.69729534387588499</v>
      </c>
      <c r="F10">
        <v>0.65890553593635559</v>
      </c>
      <c r="G10">
        <v>0.62765772342681891</v>
      </c>
      <c r="H10">
        <v>0.6294028699398041</v>
      </c>
      <c r="I10">
        <v>0.69391230344772337</v>
      </c>
      <c r="J10">
        <v>0.60989938378334052</v>
      </c>
      <c r="K10">
        <v>0.67714200019836424</v>
      </c>
      <c r="L10">
        <v>0.69855257868766785</v>
      </c>
      <c r="M10">
        <v>0.65865556001663206</v>
      </c>
      <c r="N10">
        <v>0.62409246563911436</v>
      </c>
    </row>
    <row r="11" spans="2:14" x14ac:dyDescent="0.2">
      <c r="B11" s="188"/>
      <c r="C11" s="119"/>
      <c r="D11" s="119"/>
      <c r="E11" s="119"/>
      <c r="F11" s="119"/>
      <c r="G11" s="119"/>
    </row>
    <row r="12" spans="2:14" x14ac:dyDescent="0.2">
      <c r="B12" s="121" t="s">
        <v>316</v>
      </c>
      <c r="C12" s="119"/>
      <c r="D12" s="119"/>
      <c r="E12" s="119"/>
      <c r="F12" s="119"/>
      <c r="G12" s="119"/>
    </row>
    <row r="13" spans="2:14" x14ac:dyDescent="0.2">
      <c r="B13" s="187" t="s">
        <v>317</v>
      </c>
      <c r="C13" s="187" t="s">
        <v>92</v>
      </c>
      <c r="D13" s="187" t="s">
        <v>93</v>
      </c>
      <c r="E13" s="186" t="s">
        <v>94</v>
      </c>
      <c r="F13" s="186" t="s">
        <v>95</v>
      </c>
      <c r="G13" s="186" t="s">
        <v>96</v>
      </c>
      <c r="H13" s="186" t="s">
        <v>97</v>
      </c>
      <c r="I13" s="186" t="s">
        <v>98</v>
      </c>
      <c r="J13" s="186" t="s">
        <v>99</v>
      </c>
      <c r="K13" s="186" t="s">
        <v>100</v>
      </c>
      <c r="L13" s="186" t="s">
        <v>101</v>
      </c>
      <c r="M13" s="186" t="s">
        <v>102</v>
      </c>
      <c r="N13" s="186" t="s">
        <v>103</v>
      </c>
    </row>
    <row r="14" spans="2:14" x14ac:dyDescent="0.2">
      <c r="B14" s="186" t="s">
        <v>318</v>
      </c>
      <c r="C14" s="119">
        <v>0.37138296066693266</v>
      </c>
      <c r="D14" s="119">
        <v>0.37276148727520142</v>
      </c>
      <c r="E14" s="119">
        <v>0.37413613496148107</v>
      </c>
      <c r="F14" s="119">
        <v>0.37550303571836019</v>
      </c>
      <c r="G14" s="119">
        <v>0.37685834333687107</v>
      </c>
      <c r="H14">
        <v>0.37819824422901921</v>
      </c>
      <c r="I14">
        <v>0.37951896815852287</v>
      </c>
      <c r="J14">
        <v>0.3808167988495692</v>
      </c>
      <c r="K14">
        <v>0.38208808444373527</v>
      </c>
      <c r="L14">
        <v>0.38332924777565025</v>
      </c>
      <c r="M14">
        <v>0.3845367964384856</v>
      </c>
      <c r="N14">
        <v>0.38570733261094914</v>
      </c>
    </row>
    <row r="15" spans="2:14" x14ac:dyDescent="0.2">
      <c r="B15" s="186" t="s">
        <v>319</v>
      </c>
      <c r="C15">
        <v>1.0868809139725946</v>
      </c>
      <c r="D15">
        <v>1.0897626029540786</v>
      </c>
      <c r="E15">
        <v>1.0926361833893155</v>
      </c>
      <c r="F15">
        <v>1.0954935695480252</v>
      </c>
      <c r="G15">
        <v>1.0983267212676637</v>
      </c>
      <c r="H15">
        <v>1.1011276665769696</v>
      </c>
      <c r="I15">
        <v>1.1038885241276359</v>
      </c>
      <c r="J15">
        <v>1.1066015253709827</v>
      </c>
      <c r="K15">
        <v>1.1092590364172352</v>
      </c>
      <c r="L15">
        <v>1.1118535795158944</v>
      </c>
      <c r="M15">
        <v>1.1143778540967588</v>
      </c>
      <c r="N15">
        <v>1.1168247573123977</v>
      </c>
    </row>
    <row r="16" spans="2:14" x14ac:dyDescent="0.2">
      <c r="B16" s="119"/>
    </row>
    <row r="17" spans="2:14" x14ac:dyDescent="0.2">
      <c r="B17" s="120" t="s">
        <v>320</v>
      </c>
    </row>
    <row r="18" spans="2:14" x14ac:dyDescent="0.2">
      <c r="B18" s="118" t="s">
        <v>91</v>
      </c>
      <c r="C18" s="118" t="s">
        <v>92</v>
      </c>
      <c r="D18" s="118" t="s">
        <v>93</v>
      </c>
      <c r="E18" s="118" t="s">
        <v>94</v>
      </c>
      <c r="F18" s="118" t="s">
        <v>95</v>
      </c>
      <c r="G18" s="118" t="s">
        <v>96</v>
      </c>
      <c r="H18" s="118" t="s">
        <v>97</v>
      </c>
      <c r="I18" s="118" t="s">
        <v>98</v>
      </c>
      <c r="J18" s="118" t="s">
        <v>99</v>
      </c>
      <c r="K18" s="118" t="s">
        <v>100</v>
      </c>
      <c r="L18" s="118" t="s">
        <v>101</v>
      </c>
      <c r="M18" s="118" t="s">
        <v>102</v>
      </c>
      <c r="N18" s="118" t="s">
        <v>103</v>
      </c>
    </row>
    <row r="19" spans="2:14" x14ac:dyDescent="0.2">
      <c r="B19" s="189" t="s">
        <v>104</v>
      </c>
      <c r="C19">
        <f>C5</f>
        <v>0.69118522567340868</v>
      </c>
      <c r="D19">
        <f t="shared" ref="D19:N20" si="0">D5</f>
        <v>0.71266464151358977</v>
      </c>
      <c r="E19">
        <f t="shared" si="0"/>
        <v>0.66716111694573288</v>
      </c>
      <c r="F19">
        <f t="shared" si="0"/>
        <v>0.68538644595573306</v>
      </c>
      <c r="G19">
        <f t="shared" si="0"/>
        <v>0.60421906013364113</v>
      </c>
      <c r="H19">
        <f t="shared" si="0"/>
        <v>0.62484932292004547</v>
      </c>
      <c r="I19">
        <f t="shared" si="0"/>
        <v>0.58024594945239849</v>
      </c>
      <c r="J19">
        <f t="shared" si="0"/>
        <v>0.68526184656500833</v>
      </c>
      <c r="K19">
        <f t="shared" si="0"/>
        <v>1.0507722099026322</v>
      </c>
      <c r="L19">
        <f t="shared" si="0"/>
        <v>0.61814425552432661</v>
      </c>
      <c r="M19">
        <f t="shared" si="0"/>
        <v>0.62930951331760687</v>
      </c>
      <c r="N19">
        <f t="shared" si="0"/>
        <v>0.62702006038868507</v>
      </c>
    </row>
    <row r="20" spans="2:14" x14ac:dyDescent="0.2">
      <c r="B20" s="189" t="s">
        <v>105</v>
      </c>
      <c r="C20">
        <f>C6</f>
        <v>0.70170493289325553</v>
      </c>
      <c r="D20">
        <f t="shared" si="0"/>
        <v>0.79844590898864953</v>
      </c>
      <c r="E20">
        <f t="shared" si="0"/>
        <v>0.7675414408912995</v>
      </c>
      <c r="F20">
        <f t="shared" si="0"/>
        <v>0.70444025222268924</v>
      </c>
      <c r="G20">
        <f t="shared" si="0"/>
        <v>0.64457638931001737</v>
      </c>
      <c r="H20">
        <f t="shared" si="0"/>
        <v>0.71444643031076471</v>
      </c>
      <c r="I20">
        <f t="shared" si="0"/>
        <v>0.67538030024788709</v>
      </c>
      <c r="J20">
        <f t="shared" si="0"/>
        <v>0.68666616237094247</v>
      </c>
      <c r="K20">
        <f t="shared" si="0"/>
        <v>0.74173822594997119</v>
      </c>
      <c r="L20">
        <f t="shared" si="0"/>
        <v>0.68649433803497606</v>
      </c>
      <c r="M20">
        <f t="shared" si="0"/>
        <v>0.70001873095301792</v>
      </c>
      <c r="N20">
        <f t="shared" si="0"/>
        <v>0.68344199141536166</v>
      </c>
    </row>
    <row r="21" spans="2:14" x14ac:dyDescent="0.2">
      <c r="B21" s="189" t="s">
        <v>106</v>
      </c>
      <c r="C21">
        <f t="shared" ref="C21:N22" si="1">C7</f>
        <v>0.67944323360356662</v>
      </c>
      <c r="D21">
        <f t="shared" si="1"/>
        <v>0.90599655148901737</v>
      </c>
      <c r="E21">
        <f t="shared" si="1"/>
        <v>0.70272829058831476</v>
      </c>
      <c r="F21">
        <f t="shared" si="1"/>
        <v>0.7077410520668489</v>
      </c>
      <c r="G21">
        <f t="shared" si="1"/>
        <v>0.72772664844121582</v>
      </c>
      <c r="H21">
        <f t="shared" si="1"/>
        <v>0.70222524481986792</v>
      </c>
      <c r="I21">
        <f t="shared" si="1"/>
        <v>0.71200094823246385</v>
      </c>
      <c r="J21">
        <f t="shared" si="1"/>
        <v>0.70314891630156029</v>
      </c>
      <c r="K21">
        <f t="shared" si="1"/>
        <v>0.75293579752283624</v>
      </c>
      <c r="L21">
        <f t="shared" si="1"/>
        <v>0.73196139360403745</v>
      </c>
      <c r="M21">
        <f t="shared" si="1"/>
        <v>1.1000000000000001</v>
      </c>
      <c r="N21">
        <f t="shared" si="1"/>
        <v>0.84084399941644294</v>
      </c>
    </row>
    <row r="22" spans="2:14" x14ac:dyDescent="0.2">
      <c r="B22" s="189" t="s">
        <v>107</v>
      </c>
      <c r="C22">
        <f t="shared" si="1"/>
        <v>0.67695344326996643</v>
      </c>
      <c r="D22">
        <f t="shared" si="1"/>
        <v>0.72336275376947889</v>
      </c>
      <c r="E22">
        <f t="shared" si="1"/>
        <v>0.67355747876132732</v>
      </c>
      <c r="F22">
        <f t="shared" si="1"/>
        <v>0.69860971311508291</v>
      </c>
      <c r="G22">
        <f t="shared" si="1"/>
        <v>0.67643855829848309</v>
      </c>
      <c r="H22">
        <f t="shared" si="1"/>
        <v>0.69996718300783101</v>
      </c>
      <c r="I22">
        <f t="shared" si="1"/>
        <v>0.76839710421125362</v>
      </c>
      <c r="J22">
        <f t="shared" si="1"/>
        <v>0.70408213631270633</v>
      </c>
      <c r="K22">
        <f t="shared" si="1"/>
        <v>0.69255466355439432</v>
      </c>
      <c r="L22">
        <f t="shared" si="1"/>
        <v>0.75691305671889386</v>
      </c>
      <c r="M22">
        <f t="shared" si="1"/>
        <v>0.84696874218395568</v>
      </c>
      <c r="N22">
        <f t="shared" si="1"/>
        <v>0.78334448720631189</v>
      </c>
    </row>
    <row r="23" spans="2:14" x14ac:dyDescent="0.2">
      <c r="B23" s="189" t="s">
        <v>108</v>
      </c>
      <c r="C23">
        <f>C9*C14</f>
        <v>0.75900248058833408</v>
      </c>
      <c r="D23">
        <f t="shared" ref="D23:N24" si="2">D9*D14</f>
        <v>0.78572141973316578</v>
      </c>
      <c r="E23">
        <f t="shared" si="2"/>
        <v>0.76276588035776394</v>
      </c>
      <c r="F23">
        <f t="shared" si="2"/>
        <v>0.78668243956307005</v>
      </c>
      <c r="G23">
        <f t="shared" si="2"/>
        <v>0.76240026445870823</v>
      </c>
      <c r="H23">
        <f t="shared" si="2"/>
        <v>0.76288679037094465</v>
      </c>
      <c r="I23">
        <f t="shared" si="2"/>
        <v>0.79467635492116695</v>
      </c>
      <c r="J23">
        <f t="shared" si="2"/>
        <v>0.80166656028134564</v>
      </c>
      <c r="K23">
        <f t="shared" si="2"/>
        <v>0.79889565093610182</v>
      </c>
      <c r="L23">
        <f t="shared" si="2"/>
        <v>0.78359287260042088</v>
      </c>
      <c r="M23">
        <f t="shared" si="2"/>
        <v>0.78690714159548403</v>
      </c>
      <c r="N23">
        <f t="shared" si="2"/>
        <v>0.79924146582576128</v>
      </c>
    </row>
    <row r="24" spans="2:14" x14ac:dyDescent="0.2">
      <c r="B24" s="189" t="s">
        <v>109</v>
      </c>
      <c r="C24">
        <f>C10*C15</f>
        <v>0.6863539533848575</v>
      </c>
      <c r="D24">
        <f t="shared" si="2"/>
        <v>0.71080630743281104</v>
      </c>
      <c r="E24">
        <f t="shared" si="2"/>
        <v>0.76189012322768723</v>
      </c>
      <c r="F24">
        <f t="shared" si="2"/>
        <v>0.72182677755787283</v>
      </c>
      <c r="G24">
        <f t="shared" si="2"/>
        <v>0.68937324944970413</v>
      </c>
      <c r="H24">
        <f t="shared" si="2"/>
        <v>0.69305291351366438</v>
      </c>
      <c r="I24">
        <f t="shared" si="2"/>
        <v>0.76600182852691556</v>
      </c>
      <c r="J24">
        <f t="shared" si="2"/>
        <v>0.67491558841746702</v>
      </c>
      <c r="K24">
        <f t="shared" si="2"/>
        <v>0.75112588265767677</v>
      </c>
      <c r="L24">
        <f t="shared" si="2"/>
        <v>0.776688185093942</v>
      </c>
      <c r="M24">
        <f t="shared" si="2"/>
        <v>0.73399116956023336</v>
      </c>
      <c r="N24">
        <f t="shared" si="2"/>
        <v>0.69700191647789977</v>
      </c>
    </row>
    <row r="25" spans="2:14" x14ac:dyDescent="0.2">
      <c r="B25" s="188"/>
    </row>
    <row r="26" spans="2:14" x14ac:dyDescent="0.2">
      <c r="B26" s="121" t="s">
        <v>321</v>
      </c>
    </row>
    <row r="27" spans="2:14" x14ac:dyDescent="0.2">
      <c r="B27" s="118" t="s">
        <v>322</v>
      </c>
      <c r="C27" s="118" t="s">
        <v>92</v>
      </c>
      <c r="D27" s="118" t="s">
        <v>93</v>
      </c>
      <c r="E27" s="118" t="s">
        <v>94</v>
      </c>
      <c r="F27" s="118" t="s">
        <v>95</v>
      </c>
      <c r="G27" s="118" t="s">
        <v>96</v>
      </c>
      <c r="H27" s="118" t="s">
        <v>97</v>
      </c>
      <c r="I27" s="118" t="s">
        <v>98</v>
      </c>
      <c r="J27" s="118" t="s">
        <v>99</v>
      </c>
      <c r="K27" s="118" t="s">
        <v>100</v>
      </c>
      <c r="L27" s="118" t="s">
        <v>101</v>
      </c>
      <c r="M27" s="118" t="s">
        <v>102</v>
      </c>
      <c r="N27" s="118" t="s">
        <v>103</v>
      </c>
    </row>
    <row r="28" spans="2:14" x14ac:dyDescent="0.2">
      <c r="B28" s="118" t="s">
        <v>104</v>
      </c>
      <c r="C28">
        <f>IF(C19&lt;=raw_materials!$D17,raw_materials!$C17,IF(C19&lt;=raw_materials!$F17,raw_materials!$E17,IF(C19&lt;=raw_materials!$H17,raw_materials!$G17,0)))</f>
        <v>1</v>
      </c>
      <c r="D28">
        <f>IF(D19&lt;=raw_materials!$D17,raw_materials!$C17,IF(D19&lt;=raw_materials!$F17,raw_materials!$E17,IF(D19&lt;=raw_materials!$H17,raw_materials!$G17,0)))</f>
        <v>1</v>
      </c>
      <c r="E28">
        <f>IF(E19&lt;=raw_materials!$D17,raw_materials!$C17,IF(E19&lt;=raw_materials!$F17,raw_materials!$E17,IF(E19&lt;=raw_materials!$H17,raw_materials!$G17,0)))</f>
        <v>1</v>
      </c>
      <c r="F28">
        <f>IF(F19&lt;=raw_materials!$D17,raw_materials!$C17,IF(F19&lt;=raw_materials!$F17,raw_materials!$E17,IF(F19&lt;=raw_materials!$H17,raw_materials!$G17,0)))</f>
        <v>1</v>
      </c>
      <c r="G28">
        <f>IF(G19&lt;=raw_materials!$D17,raw_materials!$C17,IF(G19&lt;=raw_materials!$F17,raw_materials!$E17,IF(G19&lt;=raw_materials!$H17,raw_materials!$G17,0)))</f>
        <v>1</v>
      </c>
      <c r="H28">
        <f>IF(H19&lt;=raw_materials!$D17,raw_materials!$C17,IF(H19&lt;=raw_materials!$F17,raw_materials!$E17,IF(H19&lt;=raw_materials!$H17,raw_materials!$G17,0)))</f>
        <v>1</v>
      </c>
      <c r="I28">
        <f>IF(I19&lt;=raw_materials!$D17,raw_materials!$C17,IF(I19&lt;=raw_materials!$F17,raw_materials!$E17,IF(I19&lt;=raw_materials!$H17,raw_materials!$G17,0)))</f>
        <v>1</v>
      </c>
      <c r="J28">
        <f>IF(J19&lt;=raw_materials!$D17,raw_materials!$C17,IF(J19&lt;=raw_materials!$F17,raw_materials!$E17,IF(J19&lt;=raw_materials!$H17,raw_materials!$G17,0)))</f>
        <v>1</v>
      </c>
      <c r="K28">
        <f>IF(K19&lt;=raw_materials!$D17,raw_materials!$C17,IF(K19&lt;=raw_materials!$F17,raw_materials!$E17,IF(K19&lt;=raw_materials!$H17,raw_materials!$G17,0)))</f>
        <v>1</v>
      </c>
      <c r="L28">
        <f>IF(L19&lt;=raw_materials!$D17,raw_materials!$C17,IF(L19&lt;=raw_materials!$F17,raw_materials!$E17,IF(L19&lt;=raw_materials!$H17,raw_materials!$G17,0)))</f>
        <v>1</v>
      </c>
      <c r="M28">
        <f>IF(M19&lt;=raw_materials!$D17,raw_materials!$C17,IF(M19&lt;=raw_materials!$F17,raw_materials!$E17,IF(M19&lt;=raw_materials!$H17,raw_materials!$G17,0)))</f>
        <v>1</v>
      </c>
      <c r="N28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18" t="s">
        <v>105</v>
      </c>
      <c r="C29">
        <f>IF(C20&lt;=raw_materials!$D18,raw_materials!$C18,IF(C20&lt;=raw_materials!$F18,raw_materials!$E18,IF(C20&lt;=raw_materials!$H18,raw_materials!$G18,0)))</f>
        <v>1</v>
      </c>
      <c r="D29">
        <f>IF(D20&lt;=raw_materials!$D18,raw_materials!$C18,IF(D20&lt;=raw_materials!$F18,raw_materials!$E18,IF(D20&lt;=raw_materials!$H18,raw_materials!$G18,0)))</f>
        <v>1</v>
      </c>
      <c r="E29">
        <f>IF(E20&lt;=raw_materials!$D18,raw_materials!$C18,IF(E20&lt;=raw_materials!$F18,raw_materials!$E18,IF(E20&lt;=raw_materials!$H18,raw_materials!$G18,0)))</f>
        <v>1</v>
      </c>
      <c r="F29">
        <f>IF(F20&lt;=raw_materials!$D18,raw_materials!$C18,IF(F20&lt;=raw_materials!$F18,raw_materials!$E18,IF(F20&lt;=raw_materials!$H18,raw_materials!$G18,0)))</f>
        <v>1</v>
      </c>
      <c r="G29">
        <f>IF(G20&lt;=raw_materials!$D18,raw_materials!$C18,IF(G20&lt;=raw_materials!$F18,raw_materials!$E18,IF(G20&lt;=raw_materials!$H18,raw_materials!$G18,0)))</f>
        <v>1</v>
      </c>
      <c r="H29">
        <f>IF(H20&lt;=raw_materials!$D18,raw_materials!$C18,IF(H20&lt;=raw_materials!$F18,raw_materials!$E18,IF(H20&lt;=raw_materials!$H18,raw_materials!$G18,0)))</f>
        <v>1</v>
      </c>
      <c r="I29">
        <f>IF(I20&lt;=raw_materials!$D18,raw_materials!$C18,IF(I20&lt;=raw_materials!$F18,raw_materials!$E18,IF(I20&lt;=raw_materials!$H18,raw_materials!$G18,0)))</f>
        <v>1</v>
      </c>
      <c r="J29">
        <f>IF(J20&lt;=raw_materials!$D18,raw_materials!$C18,IF(J20&lt;=raw_materials!$F18,raw_materials!$E18,IF(J20&lt;=raw_materials!$H18,raw_materials!$G18,0)))</f>
        <v>1</v>
      </c>
      <c r="K29">
        <f>IF(K20&lt;=raw_materials!$D18,raw_materials!$C18,IF(K20&lt;=raw_materials!$F18,raw_materials!$E18,IF(K20&lt;=raw_materials!$H18,raw_materials!$G18,0)))</f>
        <v>1</v>
      </c>
      <c r="L29">
        <f>IF(L20&lt;=raw_materials!$D18,raw_materials!$C18,IF(L20&lt;=raw_materials!$F18,raw_materials!$E18,IF(L20&lt;=raw_materials!$H18,raw_materials!$G18,0)))</f>
        <v>1</v>
      </c>
      <c r="M29">
        <f>IF(M20&lt;=raw_materials!$D18,raw_materials!$C18,IF(M20&lt;=raw_materials!$F18,raw_materials!$E18,IF(M20&lt;=raw_materials!$H18,raw_materials!$G18,0)))</f>
        <v>1</v>
      </c>
      <c r="N29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18" t="s">
        <v>106</v>
      </c>
      <c r="C30">
        <f>IF(C21&lt;=raw_materials!$D19,raw_materials!$C19,IF(C21&lt;=raw_materials!$F19,raw_materials!$E19,IF(C21&lt;=raw_materials!$H19,raw_materials!$G19,0)))</f>
        <v>1</v>
      </c>
      <c r="D30">
        <f>IF(D21&lt;=raw_materials!$D19,raw_materials!$C19,IF(D21&lt;=raw_materials!$F19,raw_materials!$E19,IF(D21&lt;=raw_materials!$H19,raw_materials!$G19,0)))</f>
        <v>1</v>
      </c>
      <c r="E30">
        <f>IF(E21&lt;=raw_materials!$D19,raw_materials!$C19,IF(E21&lt;=raw_materials!$F19,raw_materials!$E19,IF(E21&lt;=raw_materials!$H19,raw_materials!$G19,0)))</f>
        <v>1</v>
      </c>
      <c r="F30">
        <f>IF(F21&lt;=raw_materials!$D19,raw_materials!$C19,IF(F21&lt;=raw_materials!$F19,raw_materials!$E19,IF(F21&lt;=raw_materials!$H19,raw_materials!$G19,0)))</f>
        <v>1</v>
      </c>
      <c r="G30">
        <f>IF(G21&lt;=raw_materials!$D19,raw_materials!$C19,IF(G21&lt;=raw_materials!$F19,raw_materials!$E19,IF(G21&lt;=raw_materials!$H19,raw_materials!$G19,0)))</f>
        <v>1</v>
      </c>
      <c r="H30">
        <f>IF(H21&lt;=raw_materials!$D19,raw_materials!$C19,IF(H21&lt;=raw_materials!$F19,raw_materials!$E19,IF(H21&lt;=raw_materials!$H19,raw_materials!$G19,0)))</f>
        <v>1</v>
      </c>
      <c r="I30">
        <f>IF(I21&lt;=raw_materials!$D19,raw_materials!$C19,IF(I21&lt;=raw_materials!$F19,raw_materials!$E19,IF(I21&lt;=raw_materials!$H19,raw_materials!$G19,0)))</f>
        <v>1</v>
      </c>
      <c r="J30">
        <f>IF(J21&lt;=raw_materials!$D19,raw_materials!$C19,IF(J21&lt;=raw_materials!$F19,raw_materials!$E19,IF(J21&lt;=raw_materials!$H19,raw_materials!$G19,0)))</f>
        <v>1</v>
      </c>
      <c r="K30">
        <f>IF(K21&lt;=raw_materials!$D19,raw_materials!$C19,IF(K21&lt;=raw_materials!$F19,raw_materials!$E19,IF(K21&lt;=raw_materials!$H19,raw_materials!$G19,0)))</f>
        <v>1</v>
      </c>
      <c r="L30">
        <f>IF(L21&lt;=raw_materials!$D19,raw_materials!$C19,IF(L21&lt;=raw_materials!$F19,raw_materials!$E19,IF(L21&lt;=raw_materials!$H19,raw_materials!$G19,0)))</f>
        <v>1</v>
      </c>
      <c r="M30">
        <f>IF(M21&lt;=raw_materials!$D19,raw_materials!$C19,IF(M21&lt;=raw_materials!$F19,raw_materials!$E19,IF(M21&lt;=raw_materials!$H19,raw_materials!$G19,0)))</f>
        <v>1</v>
      </c>
      <c r="N30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18" t="s">
        <v>107</v>
      </c>
      <c r="C31">
        <f>IF(C22&lt;=raw_materials!$D20,raw_materials!$C20,IF(C22&lt;=raw_materials!$F20,raw_materials!$E20,IF(C22&lt;=raw_materials!$H20,raw_materials!$G20,0)))</f>
        <v>1</v>
      </c>
      <c r="D31">
        <f>IF(D22&lt;=raw_materials!$D20,raw_materials!$C20,IF(D22&lt;=raw_materials!$F20,raw_materials!$E20,IF(D22&lt;=raw_materials!$H20,raw_materials!$G20,0)))</f>
        <v>1</v>
      </c>
      <c r="E31">
        <f>IF(E22&lt;=raw_materials!$D20,raw_materials!$C20,IF(E22&lt;=raw_materials!$F20,raw_materials!$E20,IF(E22&lt;=raw_materials!$H20,raw_materials!$G20,0)))</f>
        <v>1</v>
      </c>
      <c r="F31">
        <f>IF(F22&lt;=raw_materials!$D20,raw_materials!$C20,IF(F22&lt;=raw_materials!$F20,raw_materials!$E20,IF(F22&lt;=raw_materials!$H20,raw_materials!$G20,0)))</f>
        <v>1</v>
      </c>
      <c r="G31">
        <f>IF(G22&lt;=raw_materials!$D20,raw_materials!$C20,IF(G22&lt;=raw_materials!$F20,raw_materials!$E20,IF(G22&lt;=raw_materials!$H20,raw_materials!$G20,0)))</f>
        <v>1</v>
      </c>
      <c r="H31">
        <f>IF(H22&lt;=raw_materials!$D20,raw_materials!$C20,IF(H22&lt;=raw_materials!$F20,raw_materials!$E20,IF(H22&lt;=raw_materials!$H20,raw_materials!$G20,0)))</f>
        <v>1</v>
      </c>
      <c r="I31">
        <f>IF(I22&lt;=raw_materials!$D20,raw_materials!$C20,IF(I22&lt;=raw_materials!$F20,raw_materials!$E20,IF(I22&lt;=raw_materials!$H20,raw_materials!$G20,0)))</f>
        <v>1</v>
      </c>
      <c r="J31">
        <f>IF(J22&lt;=raw_materials!$D20,raw_materials!$C20,IF(J22&lt;=raw_materials!$F20,raw_materials!$E20,IF(J22&lt;=raw_materials!$H20,raw_materials!$G20,0)))</f>
        <v>1</v>
      </c>
      <c r="K31">
        <f>IF(K22&lt;=raw_materials!$D20,raw_materials!$C20,IF(K22&lt;=raw_materials!$F20,raw_materials!$E20,IF(K22&lt;=raw_materials!$H20,raw_materials!$G20,0)))</f>
        <v>1</v>
      </c>
      <c r="L31">
        <f>IF(L22&lt;=raw_materials!$D20,raw_materials!$C20,IF(L22&lt;=raw_materials!$F20,raw_materials!$E20,IF(L22&lt;=raw_materials!$H20,raw_materials!$G20,0)))</f>
        <v>1</v>
      </c>
      <c r="M31">
        <f>IF(M22&lt;=raw_materials!$D20,raw_materials!$C20,IF(M22&lt;=raw_materials!$F20,raw_materials!$E20,IF(M22&lt;=raw_materials!$H20,raw_materials!$G20,0)))</f>
        <v>1</v>
      </c>
      <c r="N31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18" t="s">
        <v>108</v>
      </c>
      <c r="C32">
        <f>IF(C23&lt;=raw_materials!$D21,raw_materials!$C21,IF(C23&lt;=raw_materials!$F21,raw_materials!$E21,IF(C23&lt;=raw_materials!$H21,raw_materials!$G21,0)))</f>
        <v>1</v>
      </c>
      <c r="D32">
        <f>IF(D23&lt;=raw_materials!$D21,raw_materials!$C21,IF(D23&lt;=raw_materials!$F21,raw_materials!$E21,IF(D23&lt;=raw_materials!$H21,raw_materials!$G21,0)))</f>
        <v>1</v>
      </c>
      <c r="E32">
        <f>IF(E23&lt;=raw_materials!$D21,raw_materials!$C21,IF(E23&lt;=raw_materials!$F21,raw_materials!$E21,IF(E23&lt;=raw_materials!$H21,raw_materials!$G21,0)))</f>
        <v>1</v>
      </c>
      <c r="F32">
        <f>IF(F23&lt;=raw_materials!$D21,raw_materials!$C21,IF(F23&lt;=raw_materials!$F21,raw_materials!$E21,IF(F23&lt;=raw_materials!$H21,raw_materials!$G21,0)))</f>
        <v>1</v>
      </c>
      <c r="G32">
        <f>IF(G23&lt;=raw_materials!$D21,raw_materials!$C21,IF(G23&lt;=raw_materials!$F21,raw_materials!$E21,IF(G23&lt;=raw_materials!$H21,raw_materials!$G21,0)))</f>
        <v>1</v>
      </c>
      <c r="H32">
        <f>IF(H23&lt;=raw_materials!$D21,raw_materials!$C21,IF(H23&lt;=raw_materials!$F21,raw_materials!$E21,IF(H23&lt;=raw_materials!$H21,raw_materials!$G21,0)))</f>
        <v>1</v>
      </c>
      <c r="I32">
        <f>IF(I23&lt;=raw_materials!$D21,raw_materials!$C21,IF(I23&lt;=raw_materials!$F21,raw_materials!$E21,IF(I23&lt;=raw_materials!$H21,raw_materials!$G21,0)))</f>
        <v>1</v>
      </c>
      <c r="J32">
        <f>IF(J23&lt;=raw_materials!$D21,raw_materials!$C21,IF(J23&lt;=raw_materials!$F21,raw_materials!$E21,IF(J23&lt;=raw_materials!$H21,raw_materials!$G21,0)))</f>
        <v>1</v>
      </c>
      <c r="K32">
        <f>IF(K23&lt;=raw_materials!$D21,raw_materials!$C21,IF(K23&lt;=raw_materials!$F21,raw_materials!$E21,IF(K23&lt;=raw_materials!$H21,raw_materials!$G21,0)))</f>
        <v>1</v>
      </c>
      <c r="L32">
        <f>IF(L23&lt;=raw_materials!$D21,raw_materials!$C21,IF(L23&lt;=raw_materials!$F21,raw_materials!$E21,IF(L23&lt;=raw_materials!$H21,raw_materials!$G21,0)))</f>
        <v>1</v>
      </c>
      <c r="M32">
        <f>IF(M23&lt;=raw_materials!$D21,raw_materials!$C21,IF(M23&lt;=raw_materials!$F21,raw_materials!$E21,IF(M23&lt;=raw_materials!$H21,raw_materials!$G21,0)))</f>
        <v>1</v>
      </c>
      <c r="N32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18" t="s">
        <v>109</v>
      </c>
      <c r="C33">
        <f>IF(C24&lt;=raw_materials!$D22,raw_materials!$C22,IF(C24&lt;=raw_materials!$F22,raw_materials!$E22,IF(C24&lt;=raw_materials!$H22,raw_materials!$G22,0)))</f>
        <v>1</v>
      </c>
      <c r="D33">
        <f>IF(D24&lt;=raw_materials!$D22,raw_materials!$C22,IF(D24&lt;=raw_materials!$F22,raw_materials!$E22,IF(D24&lt;=raw_materials!$H22,raw_materials!$G22,0)))</f>
        <v>1</v>
      </c>
      <c r="E33">
        <f>IF(E24&lt;=raw_materials!$D22,raw_materials!$C22,IF(E24&lt;=raw_materials!$F22,raw_materials!$E22,IF(E24&lt;=raw_materials!$H22,raw_materials!$G22,0)))</f>
        <v>1</v>
      </c>
      <c r="F33">
        <f>IF(F24&lt;=raw_materials!$D22,raw_materials!$C22,IF(F24&lt;=raw_materials!$F22,raw_materials!$E22,IF(F24&lt;=raw_materials!$H22,raw_materials!$G22,0)))</f>
        <v>1</v>
      </c>
      <c r="G33">
        <f>IF(G24&lt;=raw_materials!$D22,raw_materials!$C22,IF(G24&lt;=raw_materials!$F22,raw_materials!$E22,IF(G24&lt;=raw_materials!$H22,raw_materials!$G22,0)))</f>
        <v>1</v>
      </c>
      <c r="H33">
        <f>IF(H24&lt;=raw_materials!$D22,raw_materials!$C22,IF(H24&lt;=raw_materials!$F22,raw_materials!$E22,IF(H24&lt;=raw_materials!$H22,raw_materials!$G22,0)))</f>
        <v>1</v>
      </c>
      <c r="I33">
        <f>IF(I24&lt;=raw_materials!$D22,raw_materials!$C22,IF(I24&lt;=raw_materials!$F22,raw_materials!$E22,IF(I24&lt;=raw_materials!$H22,raw_materials!$G22,0)))</f>
        <v>1</v>
      </c>
      <c r="J33">
        <f>IF(J24&lt;=raw_materials!$D22,raw_materials!$C22,IF(J24&lt;=raw_materials!$F22,raw_materials!$E22,IF(J24&lt;=raw_materials!$H22,raw_materials!$G22,0)))</f>
        <v>1</v>
      </c>
      <c r="K33">
        <f>IF(K24&lt;=raw_materials!$D22,raw_materials!$C22,IF(K24&lt;=raw_materials!$F22,raw_materials!$E22,IF(K24&lt;=raw_materials!$H22,raw_materials!$G22,0)))</f>
        <v>1</v>
      </c>
      <c r="L33">
        <f>IF(L24&lt;=raw_materials!$D22,raw_materials!$C22,IF(L24&lt;=raw_materials!$F22,raw_materials!$E22,IF(L24&lt;=raw_materials!$H22,raw_materials!$G22,0)))</f>
        <v>1</v>
      </c>
      <c r="M33">
        <f>IF(M24&lt;=raw_materials!$D22,raw_materials!$C22,IF(M24&lt;=raw_materials!$F22,raw_materials!$E22,IF(M24&lt;=raw_materials!$H22,raw_materials!$G22,0)))</f>
        <v>1</v>
      </c>
      <c r="N33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20" t="s">
        <v>323</v>
      </c>
    </row>
    <row r="36" spans="2:50" x14ac:dyDescent="0.2">
      <c r="B36" s="186" t="s">
        <v>274</v>
      </c>
      <c r="C36" s="186" t="s">
        <v>92</v>
      </c>
      <c r="D36" s="119"/>
      <c r="E36" s="119"/>
      <c r="F36" s="119"/>
      <c r="G36" s="186" t="s">
        <v>93</v>
      </c>
      <c r="H36" s="119"/>
      <c r="I36" s="119"/>
      <c r="J36" s="119"/>
      <c r="K36" s="186" t="s">
        <v>94</v>
      </c>
      <c r="L36" s="119"/>
      <c r="M36" s="119"/>
      <c r="N36" s="119"/>
      <c r="O36" s="186" t="s">
        <v>95</v>
      </c>
      <c r="P36" s="119"/>
      <c r="Q36" s="119"/>
      <c r="R36" s="119"/>
      <c r="S36" s="186" t="s">
        <v>96</v>
      </c>
      <c r="T36" s="119"/>
      <c r="U36" s="119"/>
      <c r="V36" s="119"/>
      <c r="W36" s="186" t="s">
        <v>97</v>
      </c>
      <c r="X36" s="119"/>
      <c r="Y36" s="119"/>
      <c r="Z36" s="119"/>
      <c r="AA36" s="186" t="s">
        <v>98</v>
      </c>
      <c r="AB36" s="119"/>
      <c r="AC36" s="119"/>
      <c r="AD36" s="119"/>
      <c r="AE36" s="186" t="s">
        <v>99</v>
      </c>
      <c r="AF36" s="119"/>
      <c r="AG36" s="119"/>
      <c r="AH36" s="119"/>
      <c r="AI36" s="186" t="s">
        <v>100</v>
      </c>
      <c r="AJ36" s="119"/>
      <c r="AK36" s="119"/>
      <c r="AL36" s="119"/>
      <c r="AM36" s="186" t="s">
        <v>101</v>
      </c>
      <c r="AN36" s="119"/>
      <c r="AO36" s="119"/>
      <c r="AP36" s="119"/>
      <c r="AQ36" s="186" t="s">
        <v>102</v>
      </c>
      <c r="AR36" s="119"/>
      <c r="AS36" s="119"/>
      <c r="AT36" s="119"/>
      <c r="AU36" s="186" t="s">
        <v>103</v>
      </c>
      <c r="AV36" s="119"/>
      <c r="AW36" s="119"/>
      <c r="AX36" s="119"/>
    </row>
    <row r="37" spans="2:50" x14ac:dyDescent="0.2">
      <c r="B37" s="186" t="s">
        <v>324</v>
      </c>
      <c r="C37" s="186">
        <v>1</v>
      </c>
      <c r="D37" s="186">
        <v>2</v>
      </c>
      <c r="E37" s="186">
        <v>3</v>
      </c>
      <c r="F37" s="186">
        <v>4</v>
      </c>
      <c r="G37" s="186">
        <v>1</v>
      </c>
      <c r="H37" s="186">
        <v>2</v>
      </c>
      <c r="I37" s="186">
        <v>3</v>
      </c>
      <c r="J37" s="186">
        <v>4</v>
      </c>
      <c r="K37" s="186">
        <v>1</v>
      </c>
      <c r="L37" s="186">
        <v>2</v>
      </c>
      <c r="M37" s="186">
        <v>3</v>
      </c>
      <c r="N37" s="186">
        <v>4</v>
      </c>
      <c r="O37" s="186">
        <v>1</v>
      </c>
      <c r="P37" s="186">
        <v>2</v>
      </c>
      <c r="Q37" s="186">
        <v>3</v>
      </c>
      <c r="R37" s="186">
        <v>4</v>
      </c>
      <c r="S37" s="186">
        <v>1</v>
      </c>
      <c r="T37" s="186">
        <v>2</v>
      </c>
      <c r="U37" s="186">
        <v>3</v>
      </c>
      <c r="V37" s="186">
        <v>4</v>
      </c>
      <c r="W37" s="186">
        <v>1</v>
      </c>
      <c r="X37" s="186">
        <v>2</v>
      </c>
      <c r="Y37" s="186">
        <v>3</v>
      </c>
      <c r="Z37" s="186">
        <v>4</v>
      </c>
      <c r="AA37" s="186">
        <v>1</v>
      </c>
      <c r="AB37" s="186">
        <v>2</v>
      </c>
      <c r="AC37" s="186">
        <v>3</v>
      </c>
      <c r="AD37" s="186">
        <v>4</v>
      </c>
      <c r="AE37" s="186">
        <v>1</v>
      </c>
      <c r="AF37" s="186">
        <v>2</v>
      </c>
      <c r="AG37" s="186">
        <v>3</v>
      </c>
      <c r="AH37" s="186">
        <v>4</v>
      </c>
      <c r="AI37" s="186">
        <v>1</v>
      </c>
      <c r="AJ37" s="186">
        <v>2</v>
      </c>
      <c r="AK37" s="186">
        <v>3</v>
      </c>
      <c r="AL37" s="186">
        <v>4</v>
      </c>
      <c r="AM37" s="186">
        <v>1</v>
      </c>
      <c r="AN37" s="186">
        <v>2</v>
      </c>
      <c r="AO37" s="186">
        <v>3</v>
      </c>
      <c r="AP37" s="186">
        <v>4</v>
      </c>
      <c r="AQ37" s="186">
        <v>1</v>
      </c>
      <c r="AR37" s="186">
        <v>2</v>
      </c>
      <c r="AS37" s="186">
        <v>3</v>
      </c>
      <c r="AT37" s="186">
        <v>4</v>
      </c>
      <c r="AU37" s="186">
        <v>1</v>
      </c>
      <c r="AV37" s="186">
        <v>2</v>
      </c>
      <c r="AW37" s="186">
        <v>3</v>
      </c>
      <c r="AX37" s="186">
        <v>4</v>
      </c>
    </row>
    <row r="38" spans="2:50" x14ac:dyDescent="0.2">
      <c r="B38" s="186" t="s">
        <v>104</v>
      </c>
      <c r="C38">
        <v>25054.902514011505</v>
      </c>
      <c r="D38">
        <v>25109.81675262624</v>
      </c>
      <c r="E38">
        <v>25164.733912812586</v>
      </c>
      <c r="F38">
        <v>25219.64518704552</v>
      </c>
      <c r="G38">
        <v>25274.541764850626</v>
      </c>
      <c r="H38">
        <v>10131.765933739784</v>
      </c>
      <c r="I38">
        <v>10153.702233522454</v>
      </c>
      <c r="J38">
        <v>17807.338642222287</v>
      </c>
      <c r="K38">
        <v>25493.804885647136</v>
      </c>
      <c r="L38">
        <v>25548.495829201689</v>
      </c>
      <c r="M38">
        <v>25603.119238151201</v>
      </c>
      <c r="N38">
        <v>25657.666324691218</v>
      </c>
      <c r="O38">
        <v>25712.128310447646</v>
      </c>
      <c r="P38">
        <v>25766.496428023554</v>
      </c>
      <c r="Q38">
        <v>25820.761922544945</v>
      </c>
      <c r="R38">
        <v>25874.916053205223</v>
      </c>
      <c r="S38">
        <v>25928.950094808049</v>
      </c>
      <c r="T38">
        <v>25982.855339308269</v>
      </c>
      <c r="U38">
        <v>26036.623097350748</v>
      </c>
      <c r="V38">
        <v>26090.24469980675</v>
      </c>
      <c r="W38">
        <v>26143.711499307632</v>
      </c>
      <c r="X38">
        <v>26197.014871775551</v>
      </c>
      <c r="Y38">
        <v>26250.146217950878</v>
      </c>
      <c r="Z38">
        <v>26303.096964916222</v>
      </c>
      <c r="AA38">
        <v>26355.858567616488</v>
      </c>
      <c r="AB38">
        <v>26408.422510375025</v>
      </c>
      <c r="AC38">
        <v>26460.780308405316</v>
      </c>
      <c r="AD38">
        <v>26512.923509318131</v>
      </c>
      <c r="AE38">
        <v>26564.8436946238</v>
      </c>
      <c r="AF38">
        <v>26616.532481229282</v>
      </c>
      <c r="AG38">
        <v>26667.981522929855</v>
      </c>
      <c r="AH38">
        <v>18703.427758326601</v>
      </c>
      <c r="AI38">
        <v>10708.050872059657</v>
      </c>
      <c r="AJ38">
        <v>10728.322920417615</v>
      </c>
      <c r="AK38">
        <v>10748.485876291024</v>
      </c>
      <c r="AL38">
        <v>10768.536483841426</v>
      </c>
      <c r="AM38">
        <v>26971.178763785614</v>
      </c>
      <c r="AN38">
        <v>27020.719306543244</v>
      </c>
      <c r="AO38">
        <v>27069.954839740756</v>
      </c>
      <c r="AP38">
        <v>27118.877415268147</v>
      </c>
      <c r="AQ38">
        <v>19017.235395524818</v>
      </c>
      <c r="AR38">
        <v>27215.752159530173</v>
      </c>
      <c r="AS38">
        <v>10905.475477975026</v>
      </c>
      <c r="AT38">
        <v>27311.281008823513</v>
      </c>
      <c r="AU38">
        <v>27358.521424379818</v>
      </c>
      <c r="AV38">
        <v>27405.40232323145</v>
      </c>
      <c r="AW38">
        <v>27451.916146805794</v>
      </c>
      <c r="AX38">
        <v>27498.055397691911</v>
      </c>
    </row>
    <row r="39" spans="2:50" x14ac:dyDescent="0.2">
      <c r="B39" s="186" t="s">
        <v>105</v>
      </c>
      <c r="C39">
        <v>15032.941508406904</v>
      </c>
      <c r="D39">
        <v>15065.890051575743</v>
      </c>
      <c r="E39">
        <v>15098.84034768755</v>
      </c>
      <c r="F39">
        <v>15131.787112227312</v>
      </c>
      <c r="G39">
        <v>6065.8900235641513</v>
      </c>
      <c r="H39">
        <v>6079.0595602438707</v>
      </c>
      <c r="I39">
        <v>15230.553350283679</v>
      </c>
      <c r="J39">
        <v>15263.433121904818</v>
      </c>
      <c r="K39">
        <v>15296.282931388283</v>
      </c>
      <c r="L39">
        <v>6131.6389990084062</v>
      </c>
      <c r="M39">
        <v>10753.310080023504</v>
      </c>
      <c r="N39">
        <v>10776.21985637031</v>
      </c>
      <c r="O39">
        <v>10799.093890388011</v>
      </c>
      <c r="P39">
        <v>15459.897856814132</v>
      </c>
      <c r="Q39">
        <v>15492.457153526968</v>
      </c>
      <c r="R39">
        <v>15524.949631923135</v>
      </c>
      <c r="S39">
        <v>15557.370056884829</v>
      </c>
      <c r="T39">
        <v>15589.713203584963</v>
      </c>
      <c r="U39">
        <v>15621.973858410449</v>
      </c>
      <c r="V39">
        <v>15654.14681988405</v>
      </c>
      <c r="W39">
        <v>15686.226899584581</v>
      </c>
      <c r="X39">
        <v>15718.208923065331</v>
      </c>
      <c r="Y39">
        <v>15750.087730770527</v>
      </c>
      <c r="Z39">
        <v>15781.858178949733</v>
      </c>
      <c r="AA39">
        <v>15813.515140569893</v>
      </c>
      <c r="AB39">
        <v>15845.053506225015</v>
      </c>
      <c r="AC39">
        <v>11113.527729530231</v>
      </c>
      <c r="AD39">
        <v>15907.754105590879</v>
      </c>
      <c r="AE39">
        <v>15938.90621677428</v>
      </c>
      <c r="AF39">
        <v>15969.919488737569</v>
      </c>
      <c r="AG39">
        <v>16000.788913757913</v>
      </c>
      <c r="AH39">
        <v>16031.509507137089</v>
      </c>
      <c r="AI39">
        <v>16062.076308089485</v>
      </c>
      <c r="AJ39">
        <v>16092.48438062642</v>
      </c>
      <c r="AK39">
        <v>6449.0915257746146</v>
      </c>
      <c r="AL39">
        <v>11306.963308033497</v>
      </c>
      <c r="AM39">
        <v>11327.895080789956</v>
      </c>
      <c r="AN39">
        <v>16212.431583925947</v>
      </c>
      <c r="AO39">
        <v>16241.972903844453</v>
      </c>
      <c r="AP39">
        <v>16271.326449160888</v>
      </c>
      <c r="AQ39">
        <v>16300.487481878417</v>
      </c>
      <c r="AR39">
        <v>16329.451295718105</v>
      </c>
      <c r="AS39">
        <v>11450.749251873776</v>
      </c>
      <c r="AT39">
        <v>16386.768605294106</v>
      </c>
      <c r="AU39">
        <v>16415.112854627889</v>
      </c>
      <c r="AV39">
        <v>16443.241393938872</v>
      </c>
      <c r="AW39">
        <v>16471.149688083475</v>
      </c>
      <c r="AX39">
        <v>16498.833238615145</v>
      </c>
    </row>
    <row r="40" spans="2:50" x14ac:dyDescent="0.2">
      <c r="B40" s="186" t="s">
        <v>106</v>
      </c>
      <c r="C40">
        <v>5010.9805028023011</v>
      </c>
      <c r="D40">
        <v>5021.9633505252477</v>
      </c>
      <c r="E40">
        <v>5032.946782562517</v>
      </c>
      <c r="F40">
        <v>5043.9290374091042</v>
      </c>
      <c r="G40">
        <v>2021.9633411880502</v>
      </c>
      <c r="H40">
        <v>5065.8829668698918</v>
      </c>
      <c r="I40">
        <v>507.68511167612263</v>
      </c>
      <c r="J40">
        <v>5087.8110406349388</v>
      </c>
      <c r="K40">
        <v>5098.7609771294274</v>
      </c>
      <c r="L40">
        <v>5109.6991658403376</v>
      </c>
      <c r="M40">
        <v>5120.6238476302397</v>
      </c>
      <c r="N40">
        <v>5131.5332649382435</v>
      </c>
      <c r="O40">
        <v>3599.6979634626705</v>
      </c>
      <c r="P40">
        <v>5153.2992856047113</v>
      </c>
      <c r="Q40">
        <v>5164.1523845089887</v>
      </c>
      <c r="R40">
        <v>5174.9832106410449</v>
      </c>
      <c r="S40">
        <v>5185.7900189616103</v>
      </c>
      <c r="T40">
        <v>5196.5710678616542</v>
      </c>
      <c r="U40">
        <v>5207.3246194701496</v>
      </c>
      <c r="V40">
        <v>3652.6342579729449</v>
      </c>
      <c r="W40">
        <v>5228.7422998615266</v>
      </c>
      <c r="X40">
        <v>5239.40297435511</v>
      </c>
      <c r="Y40">
        <v>5250.0292435901756</v>
      </c>
      <c r="Z40">
        <v>5260.6193929832443</v>
      </c>
      <c r="AA40">
        <v>5271.1717135232975</v>
      </c>
      <c r="AB40">
        <v>5281.6845020750052</v>
      </c>
      <c r="AC40">
        <v>5292.156061681063</v>
      </c>
      <c r="AD40">
        <v>5302.5847018636268</v>
      </c>
      <c r="AE40">
        <v>5312.9687389247601</v>
      </c>
      <c r="AF40">
        <v>5323.3064962458566</v>
      </c>
      <c r="AG40">
        <v>5333.5963045859717</v>
      </c>
      <c r="AH40">
        <v>5343.8365023790293</v>
      </c>
      <c r="AI40">
        <v>535.40254360298286</v>
      </c>
      <c r="AJ40">
        <v>5364.1614602088066</v>
      </c>
      <c r="AK40">
        <v>5374.2429381455113</v>
      </c>
      <c r="AL40">
        <v>5384.2682419207131</v>
      </c>
      <c r="AM40">
        <v>5394.2357527571221</v>
      </c>
      <c r="AN40">
        <v>5404.1438613086484</v>
      </c>
      <c r="AO40">
        <v>5413.9909679481507</v>
      </c>
      <c r="AP40">
        <v>2169.510193221452</v>
      </c>
      <c r="AQ40">
        <v>2173.3983309171226</v>
      </c>
      <c r="AR40">
        <v>2177.2601727624142</v>
      </c>
      <c r="AS40">
        <v>2181.0950955950052</v>
      </c>
      <c r="AT40">
        <v>2184.9024807058813</v>
      </c>
      <c r="AU40">
        <v>2188.6817139503855</v>
      </c>
      <c r="AV40">
        <v>548.10804646462907</v>
      </c>
      <c r="AW40">
        <v>5490.3832293611586</v>
      </c>
      <c r="AX40">
        <v>5499.611079538382</v>
      </c>
    </row>
    <row r="41" spans="2:50" x14ac:dyDescent="0.2">
      <c r="B41" s="186" t="s">
        <v>107</v>
      </c>
      <c r="C41">
        <v>3006.5883016813805</v>
      </c>
      <c r="D41">
        <v>3013.1780103151486</v>
      </c>
      <c r="E41">
        <v>3019.7680695375102</v>
      </c>
      <c r="F41">
        <v>3026.3574224454624</v>
      </c>
      <c r="G41">
        <v>3032.9450117820752</v>
      </c>
      <c r="H41">
        <v>3039.5297801219349</v>
      </c>
      <c r="I41">
        <v>3046.1106700567357</v>
      </c>
      <c r="J41">
        <v>3052.6866243809636</v>
      </c>
      <c r="K41">
        <v>3059.2565862776564</v>
      </c>
      <c r="L41">
        <v>3065.8194995042027</v>
      </c>
      <c r="M41">
        <v>3072.3743085781439</v>
      </c>
      <c r="N41">
        <v>3078.9199589629461</v>
      </c>
      <c r="O41">
        <v>3085.4553972537178</v>
      </c>
      <c r="P41">
        <v>3091.9795713628264</v>
      </c>
      <c r="Q41">
        <v>3098.4914307053937</v>
      </c>
      <c r="R41">
        <v>3104.9899263846269</v>
      </c>
      <c r="S41">
        <v>3111.4740113769658</v>
      </c>
      <c r="T41">
        <v>3117.9426407169926</v>
      </c>
      <c r="U41">
        <v>3124.3947716820899</v>
      </c>
      <c r="V41">
        <v>3130.8293639768099</v>
      </c>
      <c r="W41">
        <v>3137.2453799169161</v>
      </c>
      <c r="X41">
        <v>3143.6417846130662</v>
      </c>
      <c r="Y41">
        <v>3150.0175461541053</v>
      </c>
      <c r="Z41">
        <v>3156.3716357899466</v>
      </c>
      <c r="AA41">
        <v>3162.7030281139782</v>
      </c>
      <c r="AB41">
        <v>2218.3074908715021</v>
      </c>
      <c r="AC41">
        <v>2222.7055459060462</v>
      </c>
      <c r="AD41">
        <v>3181.5508211181759</v>
      </c>
      <c r="AE41">
        <v>3187.7812433548561</v>
      </c>
      <c r="AF41">
        <v>3193.9838977475138</v>
      </c>
      <c r="AG41">
        <v>3200.1577827515825</v>
      </c>
      <c r="AH41">
        <v>3206.3019014274178</v>
      </c>
      <c r="AI41">
        <v>3212.4152616178967</v>
      </c>
      <c r="AJ41">
        <v>3218.496876125284</v>
      </c>
      <c r="AK41">
        <v>3224.5457628873069</v>
      </c>
      <c r="AL41">
        <v>3230.5609451524278</v>
      </c>
      <c r="AM41">
        <v>3236.5414516542737</v>
      </c>
      <c r="AN41">
        <v>3242.486316785189</v>
      </c>
      <c r="AO41">
        <v>2273.8762065382234</v>
      </c>
      <c r="AP41">
        <v>2277.985702882524</v>
      </c>
      <c r="AQ41">
        <v>2282.0682474629784</v>
      </c>
      <c r="AR41">
        <v>2286.1231814005346</v>
      </c>
      <c r="AS41">
        <v>2290.1498503747553</v>
      </c>
      <c r="AT41">
        <v>1310.9414884235287</v>
      </c>
      <c r="AU41">
        <v>1313.2090283702314</v>
      </c>
      <c r="AV41">
        <v>1315.4593115151097</v>
      </c>
      <c r="AW41">
        <v>3294.2299376166952</v>
      </c>
      <c r="AX41">
        <v>3299.7666477230291</v>
      </c>
    </row>
    <row r="42" spans="2:50" x14ac:dyDescent="0.2">
      <c r="B42" s="186" t="s">
        <v>108</v>
      </c>
      <c r="C42">
        <v>10000000</v>
      </c>
      <c r="D42">
        <v>10000000</v>
      </c>
      <c r="E42">
        <v>10000000</v>
      </c>
      <c r="F42">
        <v>10000000</v>
      </c>
      <c r="G42">
        <v>10000000</v>
      </c>
      <c r="H42">
        <v>10000000</v>
      </c>
      <c r="I42">
        <v>10000000</v>
      </c>
      <c r="J42">
        <v>10000000</v>
      </c>
      <c r="K42">
        <v>10000000</v>
      </c>
      <c r="L42">
        <v>10000000</v>
      </c>
      <c r="M42">
        <v>10000000</v>
      </c>
      <c r="N42">
        <v>10000000</v>
      </c>
      <c r="O42">
        <v>10000000</v>
      </c>
      <c r="P42">
        <v>10000000</v>
      </c>
      <c r="Q42">
        <v>10000000</v>
      </c>
      <c r="R42">
        <v>10000000</v>
      </c>
      <c r="S42">
        <v>10000000</v>
      </c>
      <c r="T42">
        <v>10000000</v>
      </c>
      <c r="U42">
        <v>10000000</v>
      </c>
      <c r="V42">
        <v>10000000</v>
      </c>
      <c r="W42">
        <v>10000000</v>
      </c>
      <c r="X42">
        <v>10000000</v>
      </c>
      <c r="Y42">
        <v>10000000</v>
      </c>
      <c r="Z42">
        <v>10000000</v>
      </c>
      <c r="AA42">
        <v>10000000</v>
      </c>
      <c r="AB42">
        <v>10000000</v>
      </c>
      <c r="AC42">
        <v>10000000</v>
      </c>
      <c r="AD42">
        <v>10000000</v>
      </c>
      <c r="AE42">
        <v>10000000</v>
      </c>
      <c r="AF42">
        <v>10000000</v>
      </c>
      <c r="AG42">
        <v>10000000</v>
      </c>
      <c r="AH42">
        <v>10000000</v>
      </c>
      <c r="AI42">
        <v>10000000</v>
      </c>
      <c r="AJ42">
        <v>10000000</v>
      </c>
      <c r="AK42">
        <v>10000000</v>
      </c>
      <c r="AL42">
        <v>10000000</v>
      </c>
      <c r="AM42">
        <v>10000000</v>
      </c>
      <c r="AN42">
        <v>10000000</v>
      </c>
      <c r="AO42">
        <v>10000000</v>
      </c>
      <c r="AP42">
        <v>10000000</v>
      </c>
      <c r="AQ42">
        <v>10000000</v>
      </c>
      <c r="AR42">
        <v>10000000</v>
      </c>
      <c r="AS42">
        <v>10000000</v>
      </c>
      <c r="AT42">
        <v>10000000</v>
      </c>
      <c r="AU42">
        <v>10000000</v>
      </c>
      <c r="AV42">
        <v>10000000</v>
      </c>
      <c r="AW42">
        <v>10000000</v>
      </c>
      <c r="AX42">
        <v>10000000</v>
      </c>
    </row>
    <row r="43" spans="2:50" x14ac:dyDescent="0.2">
      <c r="B43" s="186" t="s">
        <v>109</v>
      </c>
      <c r="C43">
        <v>10000000</v>
      </c>
      <c r="D43">
        <v>10000000</v>
      </c>
      <c r="E43">
        <v>10000000</v>
      </c>
      <c r="F43">
        <v>10000000</v>
      </c>
      <c r="G43">
        <v>10000000</v>
      </c>
      <c r="H43">
        <v>10000000</v>
      </c>
      <c r="I43">
        <v>10000000</v>
      </c>
      <c r="J43">
        <v>10000000</v>
      </c>
      <c r="K43">
        <v>10000000</v>
      </c>
      <c r="L43">
        <v>10000000</v>
      </c>
      <c r="M43">
        <v>10000000</v>
      </c>
      <c r="N43">
        <v>10000000</v>
      </c>
      <c r="O43">
        <v>10000000</v>
      </c>
      <c r="P43">
        <v>10000000</v>
      </c>
      <c r="Q43">
        <v>10000000</v>
      </c>
      <c r="R43">
        <v>10000000</v>
      </c>
      <c r="S43">
        <v>10000000</v>
      </c>
      <c r="T43">
        <v>10000000</v>
      </c>
      <c r="U43">
        <v>10000000</v>
      </c>
      <c r="V43">
        <v>10000000</v>
      </c>
      <c r="W43">
        <v>10000000</v>
      </c>
      <c r="X43">
        <v>10000000</v>
      </c>
      <c r="Y43">
        <v>10000000</v>
      </c>
      <c r="Z43">
        <v>10000000</v>
      </c>
      <c r="AA43">
        <v>10000000</v>
      </c>
      <c r="AB43">
        <v>10000000</v>
      </c>
      <c r="AC43">
        <v>10000000</v>
      </c>
      <c r="AD43">
        <v>10000000</v>
      </c>
      <c r="AE43">
        <v>10000000</v>
      </c>
      <c r="AF43">
        <v>10000000</v>
      </c>
      <c r="AG43">
        <v>10000000</v>
      </c>
      <c r="AH43">
        <v>10000000</v>
      </c>
      <c r="AI43">
        <v>10000000</v>
      </c>
      <c r="AJ43">
        <v>10000000</v>
      </c>
      <c r="AK43">
        <v>10000000</v>
      </c>
      <c r="AL43">
        <v>10000000</v>
      </c>
      <c r="AM43">
        <v>10000000</v>
      </c>
      <c r="AN43">
        <v>10000000</v>
      </c>
      <c r="AO43">
        <v>10000000</v>
      </c>
      <c r="AP43">
        <v>10000000</v>
      </c>
      <c r="AQ43">
        <v>10000000</v>
      </c>
      <c r="AR43">
        <v>10000000</v>
      </c>
      <c r="AS43">
        <v>10000000</v>
      </c>
      <c r="AT43">
        <v>10000000</v>
      </c>
      <c r="AU43">
        <v>10000000</v>
      </c>
      <c r="AV43">
        <v>10000000</v>
      </c>
      <c r="AW43">
        <v>10000000</v>
      </c>
      <c r="AX43">
        <v>10000000</v>
      </c>
    </row>
    <row r="45" spans="2:50" x14ac:dyDescent="0.2">
      <c r="B45" s="120" t="s">
        <v>325</v>
      </c>
    </row>
    <row r="46" spans="2:50" x14ac:dyDescent="0.2">
      <c r="B46" s="118" t="s">
        <v>274</v>
      </c>
      <c r="C46" s="118" t="s">
        <v>92</v>
      </c>
      <c r="D46" s="119"/>
      <c r="E46" s="119"/>
      <c r="F46" s="119"/>
      <c r="G46" s="118" t="s">
        <v>93</v>
      </c>
      <c r="H46" s="119"/>
      <c r="I46" s="119"/>
      <c r="J46" s="119"/>
      <c r="K46" s="118" t="s">
        <v>94</v>
      </c>
      <c r="L46" s="119"/>
      <c r="M46" s="119"/>
      <c r="N46" s="119"/>
      <c r="O46" s="118" t="s">
        <v>95</v>
      </c>
      <c r="P46" s="119"/>
      <c r="Q46" s="119"/>
      <c r="R46" s="119"/>
      <c r="S46" s="118" t="s">
        <v>96</v>
      </c>
      <c r="T46" s="119"/>
      <c r="U46" s="119"/>
      <c r="V46" s="119"/>
      <c r="W46" s="118" t="s">
        <v>97</v>
      </c>
      <c r="X46" s="119"/>
      <c r="Y46" s="119"/>
      <c r="Z46" s="119"/>
      <c r="AA46" s="118" t="s">
        <v>98</v>
      </c>
      <c r="AB46" s="119"/>
      <c r="AC46" s="119"/>
      <c r="AD46" s="119"/>
      <c r="AE46" s="118" t="s">
        <v>99</v>
      </c>
      <c r="AF46" s="119"/>
      <c r="AG46" s="119"/>
      <c r="AH46" s="119"/>
      <c r="AI46" s="118" t="s">
        <v>100</v>
      </c>
      <c r="AJ46" s="119"/>
      <c r="AK46" s="119"/>
      <c r="AL46" s="119"/>
      <c r="AM46" s="118" t="s">
        <v>101</v>
      </c>
      <c r="AN46" s="119"/>
      <c r="AO46" s="119"/>
      <c r="AP46" s="119"/>
      <c r="AQ46" s="118" t="s">
        <v>102</v>
      </c>
      <c r="AR46" s="119"/>
      <c r="AS46" s="119"/>
      <c r="AT46" s="119"/>
      <c r="AU46" s="118" t="s">
        <v>103</v>
      </c>
      <c r="AV46" s="119"/>
      <c r="AW46" s="119"/>
    </row>
    <row r="47" spans="2:50" x14ac:dyDescent="0.2">
      <c r="B47" s="118" t="s">
        <v>326</v>
      </c>
      <c r="C47" s="118">
        <v>1</v>
      </c>
      <c r="D47" s="118">
        <v>2</v>
      </c>
      <c r="E47" s="118">
        <v>3</v>
      </c>
      <c r="F47" s="118">
        <v>4</v>
      </c>
      <c r="G47" s="118">
        <v>1</v>
      </c>
      <c r="H47" s="118">
        <v>2</v>
      </c>
      <c r="I47" s="118">
        <v>3</v>
      </c>
      <c r="J47" s="118">
        <v>4</v>
      </c>
      <c r="K47" s="118">
        <v>1</v>
      </c>
      <c r="L47" s="118">
        <v>2</v>
      </c>
      <c r="M47" s="118">
        <v>3</v>
      </c>
      <c r="N47" s="118">
        <v>4</v>
      </c>
      <c r="O47" s="118">
        <v>1</v>
      </c>
      <c r="P47" s="118">
        <v>2</v>
      </c>
      <c r="Q47" s="118">
        <v>3</v>
      </c>
      <c r="R47" s="118">
        <v>4</v>
      </c>
      <c r="S47" s="118">
        <v>1</v>
      </c>
      <c r="T47" s="118">
        <v>2</v>
      </c>
      <c r="U47" s="118">
        <v>3</v>
      </c>
      <c r="V47" s="118">
        <v>4</v>
      </c>
      <c r="W47" s="118">
        <v>1</v>
      </c>
      <c r="X47" s="118">
        <v>2</v>
      </c>
      <c r="Y47" s="118">
        <v>3</v>
      </c>
      <c r="Z47" s="118">
        <v>4</v>
      </c>
      <c r="AA47" s="118">
        <v>1</v>
      </c>
      <c r="AB47" s="118">
        <v>2</v>
      </c>
      <c r="AC47" s="118">
        <v>3</v>
      </c>
      <c r="AD47" s="118">
        <v>4</v>
      </c>
      <c r="AE47" s="118">
        <v>1</v>
      </c>
      <c r="AF47" s="118">
        <v>2</v>
      </c>
      <c r="AG47" s="118">
        <v>3</v>
      </c>
      <c r="AH47" s="118">
        <v>4</v>
      </c>
      <c r="AI47" s="118">
        <v>1</v>
      </c>
      <c r="AJ47" s="118">
        <v>2</v>
      </c>
      <c r="AK47" s="118">
        <v>3</v>
      </c>
      <c r="AL47" s="118">
        <v>4</v>
      </c>
      <c r="AM47" s="118">
        <v>1</v>
      </c>
      <c r="AN47" s="118">
        <v>2</v>
      </c>
      <c r="AO47" s="118">
        <v>3</v>
      </c>
      <c r="AP47" s="118">
        <v>4</v>
      </c>
      <c r="AQ47" s="118">
        <v>1</v>
      </c>
      <c r="AR47" s="118">
        <v>2</v>
      </c>
      <c r="AS47" s="118">
        <v>3</v>
      </c>
      <c r="AT47" s="118">
        <v>4</v>
      </c>
      <c r="AU47" s="118">
        <v>1</v>
      </c>
      <c r="AV47" s="118">
        <v>2</v>
      </c>
      <c r="AW47" s="118">
        <v>3</v>
      </c>
      <c r="AX47" s="118">
        <v>4</v>
      </c>
    </row>
    <row r="48" spans="2:50" x14ac:dyDescent="0.2">
      <c r="B48" s="118" t="s">
        <v>104</v>
      </c>
      <c r="C48">
        <v>3188.7746637991713</v>
      </c>
      <c r="D48">
        <v>3188.7746637991713</v>
      </c>
      <c r="E48">
        <v>3188.7746637991713</v>
      </c>
      <c r="F48">
        <v>3188.7746637991713</v>
      </c>
      <c r="G48">
        <v>3188.7746637991713</v>
      </c>
      <c r="H48">
        <v>3188.7746637991713</v>
      </c>
      <c r="I48">
        <v>3188.7746637991713</v>
      </c>
      <c r="J48">
        <v>3188.7746637991713</v>
      </c>
      <c r="K48">
        <v>3188.7746637991713</v>
      </c>
      <c r="L48">
        <v>3188.7746637991713</v>
      </c>
      <c r="M48">
        <v>3188.7746637991713</v>
      </c>
      <c r="N48">
        <v>3188.7746637991713</v>
      </c>
      <c r="O48">
        <v>3188.7746637991713</v>
      </c>
      <c r="P48">
        <v>3188.7746637991713</v>
      </c>
      <c r="Q48">
        <v>3188.7746637991713</v>
      </c>
      <c r="R48">
        <v>3188.7746637991713</v>
      </c>
      <c r="S48">
        <v>3188.7746637991713</v>
      </c>
      <c r="T48">
        <v>3188.7746637991713</v>
      </c>
      <c r="U48">
        <v>3188.7746637991713</v>
      </c>
      <c r="V48">
        <v>3188.7746637991713</v>
      </c>
      <c r="W48">
        <v>3188.7746637991713</v>
      </c>
      <c r="X48">
        <v>3188.7746637991713</v>
      </c>
      <c r="Y48">
        <v>3188.7746637991713</v>
      </c>
      <c r="Z48">
        <v>3188.7746637991713</v>
      </c>
      <c r="AA48">
        <v>3188.7746637991713</v>
      </c>
      <c r="AB48">
        <v>3188.7746637991713</v>
      </c>
      <c r="AC48">
        <v>3188.7746637991713</v>
      </c>
      <c r="AD48">
        <v>3188.7746637991713</v>
      </c>
      <c r="AE48">
        <v>3188.7746637991713</v>
      </c>
      <c r="AF48">
        <v>3188.7746637991713</v>
      </c>
      <c r="AG48">
        <v>3188.7746637991713</v>
      </c>
      <c r="AH48">
        <v>3188.7746637991713</v>
      </c>
      <c r="AI48">
        <v>3188.7746637991713</v>
      </c>
      <c r="AJ48">
        <v>3188.7746637991713</v>
      </c>
      <c r="AK48">
        <v>3188.7746637991713</v>
      </c>
      <c r="AL48">
        <v>3188.7746637991713</v>
      </c>
      <c r="AM48">
        <v>3188.7746637991713</v>
      </c>
      <c r="AN48">
        <v>3188.7746637991713</v>
      </c>
      <c r="AO48">
        <v>3188.7746637991713</v>
      </c>
      <c r="AP48">
        <v>3188.7746637991713</v>
      </c>
      <c r="AQ48">
        <v>3188.7746637991713</v>
      </c>
      <c r="AR48">
        <v>3188.7746637991713</v>
      </c>
      <c r="AS48">
        <v>3188.7746637991713</v>
      </c>
      <c r="AT48">
        <v>3188.7746637991713</v>
      </c>
      <c r="AU48">
        <v>3188.7746637991713</v>
      </c>
      <c r="AV48">
        <v>3188.7746637991713</v>
      </c>
      <c r="AW48">
        <v>3188.7746637991713</v>
      </c>
      <c r="AX48">
        <v>3188.7746637991713</v>
      </c>
    </row>
    <row r="49" spans="2:51" x14ac:dyDescent="0.2">
      <c r="B49" s="118" t="s">
        <v>105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</row>
    <row r="50" spans="2:51" x14ac:dyDescent="0.2">
      <c r="B50" s="118" t="s">
        <v>106</v>
      </c>
      <c r="C50">
        <v>3145.1776730264419</v>
      </c>
      <c r="D50">
        <v>3145.1776730264419</v>
      </c>
      <c r="E50">
        <v>3145.1776730264419</v>
      </c>
      <c r="F50">
        <v>3145.1776730264419</v>
      </c>
      <c r="G50">
        <v>2021.9633411880502</v>
      </c>
      <c r="H50">
        <v>3145.1776730264419</v>
      </c>
      <c r="I50">
        <v>507.68511167612263</v>
      </c>
      <c r="J50">
        <v>3145.1776730264419</v>
      </c>
      <c r="K50">
        <v>3145.1776730264419</v>
      </c>
      <c r="L50">
        <v>3145.1776730264419</v>
      </c>
      <c r="M50">
        <v>3145.1776730264419</v>
      </c>
      <c r="N50">
        <v>3145.1776730264419</v>
      </c>
      <c r="O50">
        <v>3145.1776730264419</v>
      </c>
      <c r="P50">
        <v>3145.1776730264419</v>
      </c>
      <c r="Q50">
        <v>3145.1776730264419</v>
      </c>
      <c r="R50">
        <v>3145.1776730264419</v>
      </c>
      <c r="S50">
        <v>3145.1776730264419</v>
      </c>
      <c r="T50">
        <v>3145.1776730264419</v>
      </c>
      <c r="U50">
        <v>3145.1776730264419</v>
      </c>
      <c r="V50">
        <v>3145.1776730264419</v>
      </c>
      <c r="W50">
        <v>3145.1776730264419</v>
      </c>
      <c r="X50">
        <v>3145.1776730264419</v>
      </c>
      <c r="Y50">
        <v>3145.1776730264419</v>
      </c>
      <c r="Z50">
        <v>3145.1776730264419</v>
      </c>
      <c r="AA50">
        <v>3145.1776730264419</v>
      </c>
      <c r="AB50">
        <v>3145.1776730264419</v>
      </c>
      <c r="AC50">
        <v>3145.1776730264419</v>
      </c>
      <c r="AD50">
        <v>3145.1776730264419</v>
      </c>
      <c r="AE50">
        <v>3145.1776730264419</v>
      </c>
      <c r="AF50">
        <v>3145.1776730264419</v>
      </c>
      <c r="AG50">
        <v>3145.1776730264419</v>
      </c>
      <c r="AH50">
        <v>3145.1776730264419</v>
      </c>
      <c r="AI50">
        <v>535.40254360298286</v>
      </c>
      <c r="AJ50">
        <v>3145.1776730264419</v>
      </c>
      <c r="AK50">
        <v>3145.1776730264419</v>
      </c>
      <c r="AL50">
        <v>3145.1776730264419</v>
      </c>
      <c r="AM50">
        <v>3145.1776730264419</v>
      </c>
      <c r="AN50">
        <v>3145.1776730264419</v>
      </c>
      <c r="AO50">
        <v>3145.1776730264419</v>
      </c>
      <c r="AP50">
        <v>2169.510193221452</v>
      </c>
      <c r="AQ50">
        <v>2173.3983309171226</v>
      </c>
      <c r="AR50">
        <v>2177.2601727624142</v>
      </c>
      <c r="AS50">
        <v>2181.0950955950052</v>
      </c>
      <c r="AT50">
        <v>2184.9024807058813</v>
      </c>
      <c r="AU50">
        <v>2188.6817139503855</v>
      </c>
      <c r="AV50">
        <v>548.10804646462907</v>
      </c>
      <c r="AW50">
        <v>3145.1776730264419</v>
      </c>
      <c r="AX50">
        <v>3145.1776730264419</v>
      </c>
      <c r="AY50" s="128"/>
    </row>
    <row r="51" spans="2:51" x14ac:dyDescent="0.2">
      <c r="B51" s="118" t="s">
        <v>107</v>
      </c>
      <c r="C51">
        <v>2841.2776441785122</v>
      </c>
      <c r="D51">
        <v>2841.2776441785122</v>
      </c>
      <c r="E51">
        <v>2841.2776441785122</v>
      </c>
      <c r="F51">
        <v>2841.2776441785122</v>
      </c>
      <c r="G51">
        <v>2841.2776441785122</v>
      </c>
      <c r="H51">
        <v>2841.2776441785122</v>
      </c>
      <c r="I51">
        <v>2841.2776441785122</v>
      </c>
      <c r="J51">
        <v>2841.2776441785122</v>
      </c>
      <c r="K51">
        <v>2841.2776441785122</v>
      </c>
      <c r="L51">
        <v>2841.2776441785122</v>
      </c>
      <c r="M51">
        <v>2841.2776441785122</v>
      </c>
      <c r="N51">
        <v>2841.2776441785122</v>
      </c>
      <c r="O51">
        <v>2841.2776441785122</v>
      </c>
      <c r="P51">
        <v>2841.2776441785122</v>
      </c>
      <c r="Q51">
        <v>2841.2776441785122</v>
      </c>
      <c r="R51">
        <v>2841.2776441785122</v>
      </c>
      <c r="S51">
        <v>2841.2776441785122</v>
      </c>
      <c r="T51">
        <v>2841.2776441785122</v>
      </c>
      <c r="U51">
        <v>2841.2776441785122</v>
      </c>
      <c r="V51">
        <v>2841.2776441785122</v>
      </c>
      <c r="W51">
        <v>2841.2776441785122</v>
      </c>
      <c r="X51">
        <v>2841.2776441785122</v>
      </c>
      <c r="Y51">
        <v>2841.2776441785122</v>
      </c>
      <c r="Z51">
        <v>2841.2776441785122</v>
      </c>
      <c r="AA51">
        <v>2841.2776441785122</v>
      </c>
      <c r="AB51">
        <v>2218.3074908715021</v>
      </c>
      <c r="AC51">
        <v>2222.7055459060462</v>
      </c>
      <c r="AD51">
        <v>2841.2776441785122</v>
      </c>
      <c r="AE51">
        <v>2841.2776441785122</v>
      </c>
      <c r="AF51">
        <v>2841.2776441785122</v>
      </c>
      <c r="AG51">
        <v>2841.2776441785122</v>
      </c>
      <c r="AH51">
        <v>2841.2776441785122</v>
      </c>
      <c r="AI51">
        <v>2841.2776441785122</v>
      </c>
      <c r="AJ51">
        <v>2841.2776441785122</v>
      </c>
      <c r="AK51">
        <v>2841.2776441785122</v>
      </c>
      <c r="AL51">
        <v>2841.2776441785122</v>
      </c>
      <c r="AM51">
        <v>2841.2776441785122</v>
      </c>
      <c r="AN51">
        <v>2841.2776441785122</v>
      </c>
      <c r="AO51">
        <v>2273.8762065382234</v>
      </c>
      <c r="AP51">
        <v>2277.985702882524</v>
      </c>
      <c r="AQ51">
        <v>2282.0682474629784</v>
      </c>
      <c r="AR51">
        <v>2286.1231814005346</v>
      </c>
      <c r="AS51">
        <v>2290.1498503747553</v>
      </c>
      <c r="AT51">
        <v>1310.9414884235287</v>
      </c>
      <c r="AU51">
        <v>1313.2090283702314</v>
      </c>
      <c r="AV51">
        <v>1315.4593115151097</v>
      </c>
      <c r="AW51">
        <v>2841.2776441785122</v>
      </c>
      <c r="AX51">
        <v>2841.2776441785122</v>
      </c>
      <c r="AY51" s="9"/>
    </row>
    <row r="52" spans="2:51" x14ac:dyDescent="0.2">
      <c r="B52" s="118" t="s">
        <v>108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</row>
    <row r="53" spans="2:51" x14ac:dyDescent="0.2">
      <c r="B53" s="118" t="s">
        <v>109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</row>
    <row r="55" spans="2:51" x14ac:dyDescent="0.2">
      <c r="B55" s="53" t="s">
        <v>327</v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</row>
    <row r="56" spans="2:51" x14ac:dyDescent="0.2">
      <c r="B56" s="122" t="s">
        <v>274</v>
      </c>
      <c r="C56" s="122" t="s">
        <v>92</v>
      </c>
      <c r="D56" s="119"/>
      <c r="E56" s="119"/>
      <c r="F56" s="119"/>
      <c r="G56" s="122" t="s">
        <v>93</v>
      </c>
      <c r="H56" s="119"/>
      <c r="I56" s="119"/>
      <c r="J56" s="119"/>
      <c r="K56" s="122" t="s">
        <v>94</v>
      </c>
      <c r="L56" s="119"/>
      <c r="M56" s="119"/>
      <c r="N56" s="119"/>
      <c r="O56" s="122" t="s">
        <v>95</v>
      </c>
      <c r="P56" s="119"/>
      <c r="Q56" s="119"/>
      <c r="R56" s="119"/>
      <c r="S56" s="122" t="s">
        <v>96</v>
      </c>
      <c r="T56" s="119"/>
      <c r="U56" s="119"/>
      <c r="V56" s="119"/>
      <c r="W56" s="122" t="s">
        <v>97</v>
      </c>
      <c r="X56" s="119"/>
      <c r="Y56" s="119"/>
      <c r="Z56" s="119"/>
      <c r="AA56" s="122" t="s">
        <v>98</v>
      </c>
      <c r="AB56" s="119"/>
      <c r="AC56" s="119"/>
      <c r="AD56" s="119"/>
      <c r="AE56" s="122" t="s">
        <v>99</v>
      </c>
      <c r="AF56" s="119"/>
      <c r="AG56" s="119"/>
      <c r="AH56" s="119"/>
      <c r="AI56" s="122" t="s">
        <v>100</v>
      </c>
      <c r="AJ56" s="119"/>
      <c r="AK56" s="119"/>
      <c r="AL56" s="119"/>
      <c r="AM56" s="122" t="s">
        <v>101</v>
      </c>
      <c r="AN56" s="119"/>
      <c r="AO56" s="119"/>
      <c r="AP56" s="119"/>
      <c r="AQ56" s="122" t="s">
        <v>102</v>
      </c>
      <c r="AR56" s="119"/>
      <c r="AS56" s="119"/>
      <c r="AT56" s="119"/>
      <c r="AU56" s="122" t="s">
        <v>103</v>
      </c>
      <c r="AV56" s="119"/>
      <c r="AW56" s="119"/>
    </row>
    <row r="57" spans="2:51" x14ac:dyDescent="0.2">
      <c r="B57" s="122" t="s">
        <v>326</v>
      </c>
      <c r="C57" s="122">
        <v>1</v>
      </c>
      <c r="D57" s="122">
        <v>2</v>
      </c>
      <c r="E57" s="122">
        <v>3</v>
      </c>
      <c r="F57" s="122">
        <v>4</v>
      </c>
      <c r="G57" s="122">
        <v>1</v>
      </c>
      <c r="H57" s="122">
        <v>2</v>
      </c>
      <c r="I57" s="122">
        <v>3</v>
      </c>
      <c r="J57" s="122">
        <v>4</v>
      </c>
      <c r="K57" s="122">
        <v>1</v>
      </c>
      <c r="L57" s="122">
        <v>2</v>
      </c>
      <c r="M57" s="122">
        <v>3</v>
      </c>
      <c r="N57" s="122">
        <v>4</v>
      </c>
      <c r="O57" s="122">
        <v>1</v>
      </c>
      <c r="P57" s="122">
        <v>2</v>
      </c>
      <c r="Q57" s="122">
        <v>3</v>
      </c>
      <c r="R57" s="122">
        <v>4</v>
      </c>
      <c r="S57" s="122">
        <v>1</v>
      </c>
      <c r="T57" s="122">
        <v>2</v>
      </c>
      <c r="U57" s="122">
        <v>3</v>
      </c>
      <c r="V57" s="122">
        <v>4</v>
      </c>
      <c r="W57" s="122">
        <v>1</v>
      </c>
      <c r="X57" s="122">
        <v>2</v>
      </c>
      <c r="Y57" s="122">
        <v>3</v>
      </c>
      <c r="Z57" s="122">
        <v>4</v>
      </c>
      <c r="AA57" s="122">
        <v>1</v>
      </c>
      <c r="AB57" s="122">
        <v>2</v>
      </c>
      <c r="AC57" s="122">
        <v>3</v>
      </c>
      <c r="AD57" s="122">
        <v>4</v>
      </c>
      <c r="AE57" s="122">
        <v>1</v>
      </c>
      <c r="AF57" s="122">
        <v>2</v>
      </c>
      <c r="AG57" s="122">
        <v>3</v>
      </c>
      <c r="AH57" s="122">
        <v>4</v>
      </c>
      <c r="AI57" s="122">
        <v>1</v>
      </c>
      <c r="AJ57" s="122">
        <v>2</v>
      </c>
      <c r="AK57" s="122">
        <v>3</v>
      </c>
      <c r="AL57" s="122">
        <v>4</v>
      </c>
      <c r="AM57" s="122">
        <v>1</v>
      </c>
      <c r="AN57" s="122">
        <v>2</v>
      </c>
      <c r="AO57" s="122">
        <v>3</v>
      </c>
      <c r="AP57" s="122">
        <v>4</v>
      </c>
      <c r="AQ57" s="122">
        <v>1</v>
      </c>
      <c r="AR57" s="122">
        <v>2</v>
      </c>
      <c r="AS57" s="122">
        <v>3</v>
      </c>
      <c r="AT57" s="122">
        <v>4</v>
      </c>
      <c r="AU57" s="122">
        <v>1</v>
      </c>
      <c r="AV57" s="122">
        <v>2</v>
      </c>
      <c r="AW57" s="122">
        <v>3</v>
      </c>
      <c r="AX57" s="122">
        <v>4</v>
      </c>
    </row>
    <row r="58" spans="2:51" x14ac:dyDescent="0.2">
      <c r="B58" s="122" t="s">
        <v>104</v>
      </c>
      <c r="C58">
        <v>4408067.8712393567</v>
      </c>
      <c r="D58">
        <v>4408067.8712393567</v>
      </c>
      <c r="E58">
        <v>4408067.8712393567</v>
      </c>
      <c r="F58">
        <v>4408067.8712393567</v>
      </c>
      <c r="G58">
        <v>4545053.9052881086</v>
      </c>
      <c r="H58">
        <v>4545053.9052881086</v>
      </c>
      <c r="I58">
        <v>4545053.9052881086</v>
      </c>
      <c r="J58">
        <v>4545053.9052881086</v>
      </c>
      <c r="K58">
        <v>4254852.9327770183</v>
      </c>
      <c r="L58">
        <v>4254852.9327770183</v>
      </c>
      <c r="M58">
        <v>4254852.9327770183</v>
      </c>
      <c r="N58">
        <v>4254852.9327770183</v>
      </c>
      <c r="O58">
        <v>4371085.8675500033</v>
      </c>
      <c r="P58">
        <v>4371085.8675500033</v>
      </c>
      <c r="Q58">
        <v>4371085.8675500033</v>
      </c>
      <c r="R58">
        <v>4371085.8675500033</v>
      </c>
      <c r="S58">
        <v>3853436.8606774057</v>
      </c>
      <c r="T58">
        <v>3853436.8606774057</v>
      </c>
      <c r="U58">
        <v>3853436.8606774057</v>
      </c>
      <c r="V58">
        <v>3853436.8606774057</v>
      </c>
      <c r="W58">
        <v>3985007.3792390157</v>
      </c>
      <c r="X58">
        <v>3985007.3792390157</v>
      </c>
      <c r="Y58">
        <v>3985007.3792390157</v>
      </c>
      <c r="Z58">
        <v>3985007.3792390157</v>
      </c>
      <c r="AA58">
        <v>3700547.164771806</v>
      </c>
      <c r="AB58">
        <v>3700547.164771806</v>
      </c>
      <c r="AC58">
        <v>3700547.164771806</v>
      </c>
      <c r="AD58">
        <v>3700547.164771806</v>
      </c>
      <c r="AE58">
        <v>4370291.2287894674</v>
      </c>
      <c r="AF58">
        <v>4370291.2287894674</v>
      </c>
      <c r="AG58">
        <v>4370291.2287894674</v>
      </c>
      <c r="AH58">
        <v>4370291.2287894674</v>
      </c>
      <c r="AI58">
        <v>6701351.6007235562</v>
      </c>
      <c r="AJ58">
        <v>6701351.6007235562</v>
      </c>
      <c r="AK58">
        <v>6701351.6007235562</v>
      </c>
      <c r="AL58">
        <v>6701351.6007235562</v>
      </c>
      <c r="AM58">
        <v>3942245.481177947</v>
      </c>
      <c r="AN58">
        <v>3942245.481177947</v>
      </c>
      <c r="AO58">
        <v>3942245.481177947</v>
      </c>
      <c r="AP58">
        <v>3942245.481177947</v>
      </c>
      <c r="AQ58">
        <v>4013452.4635099438</v>
      </c>
      <c r="AR58">
        <v>4013452.4635099438</v>
      </c>
      <c r="AS58">
        <v>4013452.4635099438</v>
      </c>
      <c r="AT58">
        <v>4013452.4635099438</v>
      </c>
      <c r="AU58">
        <v>3998851.3645225307</v>
      </c>
      <c r="AV58">
        <v>3998851.3645225307</v>
      </c>
      <c r="AW58">
        <v>3998851.3645225307</v>
      </c>
      <c r="AX58">
        <v>3998851.3645225307</v>
      </c>
    </row>
    <row r="59" spans="2:51" x14ac:dyDescent="0.2">
      <c r="B59" s="122" t="s">
        <v>105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</row>
    <row r="60" spans="2:51" x14ac:dyDescent="0.2">
      <c r="B60" s="122" t="s">
        <v>106</v>
      </c>
      <c r="C60">
        <v>4273939.376837654</v>
      </c>
      <c r="D60">
        <v>4273939.376837654</v>
      </c>
      <c r="E60">
        <v>4273939.376837654</v>
      </c>
      <c r="F60">
        <v>4273939.376837654</v>
      </c>
      <c r="G60">
        <v>3663783.62870717</v>
      </c>
      <c r="H60">
        <v>5699040.2511644168</v>
      </c>
      <c r="I60">
        <v>919921.92084176757</v>
      </c>
      <c r="J60">
        <v>5699040.2511644168</v>
      </c>
      <c r="K60">
        <v>4420410.6595248105</v>
      </c>
      <c r="L60">
        <v>4420410.6595248105</v>
      </c>
      <c r="M60">
        <v>4420410.6595248105</v>
      </c>
      <c r="N60">
        <v>4420410.6595248105</v>
      </c>
      <c r="O60">
        <v>4451942.7104897946</v>
      </c>
      <c r="P60">
        <v>4451942.7104897946</v>
      </c>
      <c r="Q60">
        <v>4451942.7104897946</v>
      </c>
      <c r="R60">
        <v>4451942.7104897946</v>
      </c>
      <c r="S60">
        <v>4577659.2134873495</v>
      </c>
      <c r="T60">
        <v>4577659.2134873495</v>
      </c>
      <c r="U60">
        <v>4577659.2134873495</v>
      </c>
      <c r="V60">
        <v>4577659.2134873495</v>
      </c>
      <c r="W60">
        <v>4417246.322885951</v>
      </c>
      <c r="X60">
        <v>4417246.322885951</v>
      </c>
      <c r="Y60">
        <v>4417246.322885951</v>
      </c>
      <c r="Z60">
        <v>4417246.322885951</v>
      </c>
      <c r="AA60">
        <v>4478738.9711088017</v>
      </c>
      <c r="AB60">
        <v>4478738.9711088017</v>
      </c>
      <c r="AC60">
        <v>4478738.9711088017</v>
      </c>
      <c r="AD60">
        <v>4478738.9711088017</v>
      </c>
      <c r="AE60">
        <v>4423056.5447288118</v>
      </c>
      <c r="AF60">
        <v>4423056.5447288118</v>
      </c>
      <c r="AG60">
        <v>4423056.5447288118</v>
      </c>
      <c r="AH60">
        <v>4423056.5447288118</v>
      </c>
      <c r="AI60">
        <v>806247.482326934</v>
      </c>
      <c r="AJ60">
        <v>4736233.7191823646</v>
      </c>
      <c r="AK60">
        <v>4736233.7191823646</v>
      </c>
      <c r="AL60">
        <v>4736233.7191823646</v>
      </c>
      <c r="AM60">
        <v>4604297.2653614758</v>
      </c>
      <c r="AN60">
        <v>4604297.2653614758</v>
      </c>
      <c r="AO60">
        <v>4604297.2653614758</v>
      </c>
      <c r="AP60">
        <v>3175995.408937077</v>
      </c>
      <c r="AQ60">
        <v>4781476.3280176707</v>
      </c>
      <c r="AR60">
        <v>4789972.3800773118</v>
      </c>
      <c r="AS60">
        <v>4798409.2103090119</v>
      </c>
      <c r="AT60">
        <v>4806785.4575529387</v>
      </c>
      <c r="AU60">
        <v>3680679.7716153548</v>
      </c>
      <c r="AV60">
        <v>921746.72380330449</v>
      </c>
      <c r="AW60">
        <v>5289207.5469257096</v>
      </c>
      <c r="AX60">
        <v>5289207.5469257096</v>
      </c>
    </row>
    <row r="61" spans="2:51" x14ac:dyDescent="0.2">
      <c r="B61" s="122" t="s">
        <v>107</v>
      </c>
      <c r="C61">
        <v>3846825.3690252444</v>
      </c>
      <c r="D61">
        <v>3846825.3690252444</v>
      </c>
      <c r="E61">
        <v>3846825.3690252444</v>
      </c>
      <c r="F61">
        <v>3846825.3690252444</v>
      </c>
      <c r="G61">
        <v>4110548.8418332525</v>
      </c>
      <c r="H61">
        <v>4110548.8418332525</v>
      </c>
      <c r="I61">
        <v>4110548.8418332525</v>
      </c>
      <c r="J61">
        <v>4110548.8418332525</v>
      </c>
      <c r="K61">
        <v>3827527.6129476046</v>
      </c>
      <c r="L61">
        <v>3827527.6129476046</v>
      </c>
      <c r="M61">
        <v>3827527.6129476046</v>
      </c>
      <c r="N61">
        <v>3827527.6129476046</v>
      </c>
      <c r="O61">
        <v>3969888.3197596977</v>
      </c>
      <c r="P61">
        <v>3969888.3197596977</v>
      </c>
      <c r="Q61">
        <v>3969888.3197596977</v>
      </c>
      <c r="R61">
        <v>3969888.3197596977</v>
      </c>
      <c r="S61">
        <v>3843899.5067076469</v>
      </c>
      <c r="T61">
        <v>3843899.5067076469</v>
      </c>
      <c r="U61">
        <v>3843899.5067076469</v>
      </c>
      <c r="V61">
        <v>3843899.5067076469</v>
      </c>
      <c r="W61">
        <v>3977602.2174775195</v>
      </c>
      <c r="X61">
        <v>3977602.2174775195</v>
      </c>
      <c r="Y61">
        <v>3977602.2174775195</v>
      </c>
      <c r="Z61">
        <v>3977602.2174775195</v>
      </c>
      <c r="AA61">
        <v>4366459.0280938828</v>
      </c>
      <c r="AB61">
        <v>3409082.104471588</v>
      </c>
      <c r="AC61">
        <v>3415841.0099769989</v>
      </c>
      <c r="AD61">
        <v>4366459.0280938828</v>
      </c>
      <c r="AE61">
        <v>4000985.6671414808</v>
      </c>
      <c r="AF61">
        <v>4000985.6671414808</v>
      </c>
      <c r="AG61">
        <v>4000985.6671414808</v>
      </c>
      <c r="AH61">
        <v>4000985.6671414808</v>
      </c>
      <c r="AI61">
        <v>3935480.1658573435</v>
      </c>
      <c r="AJ61">
        <v>3935480.1658573435</v>
      </c>
      <c r="AK61">
        <v>3935480.1658573435</v>
      </c>
      <c r="AL61">
        <v>3935480.1658573435</v>
      </c>
      <c r="AM61">
        <v>4301200.2932844311</v>
      </c>
      <c r="AN61">
        <v>4301200.2932844311</v>
      </c>
      <c r="AO61">
        <v>3442253.1801824188</v>
      </c>
      <c r="AP61">
        <v>3448474.2430614983</v>
      </c>
      <c r="AQ61">
        <v>3865680.9462633259</v>
      </c>
      <c r="AR61">
        <v>3872549.7508567879</v>
      </c>
      <c r="AS61">
        <v>3879370.6763693616</v>
      </c>
      <c r="AT61">
        <v>2220652.9270536774</v>
      </c>
      <c r="AU61">
        <v>2057390.1058467559</v>
      </c>
      <c r="AV61">
        <v>2060915.5996391433</v>
      </c>
      <c r="AW61">
        <v>4451398.3583795484</v>
      </c>
      <c r="AX61">
        <v>4451398.3583795484</v>
      </c>
    </row>
    <row r="62" spans="2:51" x14ac:dyDescent="0.2">
      <c r="B62" s="122" t="s">
        <v>108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</row>
    <row r="63" spans="2:51" x14ac:dyDescent="0.2">
      <c r="B63" s="122" t="s">
        <v>109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</row>
    <row r="64" spans="2:51" x14ac:dyDescent="0.2">
      <c r="B64" s="119"/>
    </row>
    <row r="65" spans="1:14" x14ac:dyDescent="0.2">
      <c r="B65" s="121" t="s">
        <v>328</v>
      </c>
    </row>
    <row r="66" spans="1:14" x14ac:dyDescent="0.2">
      <c r="B66" s="118" t="s">
        <v>329</v>
      </c>
      <c r="C66" s="118" t="s">
        <v>92</v>
      </c>
      <c r="D66" s="118" t="s">
        <v>93</v>
      </c>
      <c r="E66" s="118" t="s">
        <v>94</v>
      </c>
      <c r="F66" s="118" t="s">
        <v>95</v>
      </c>
      <c r="G66" s="118" t="s">
        <v>96</v>
      </c>
      <c r="H66" s="118" t="s">
        <v>97</v>
      </c>
      <c r="I66" s="118" t="s">
        <v>98</v>
      </c>
      <c r="J66" s="118" t="s">
        <v>99</v>
      </c>
      <c r="K66" s="118" t="s">
        <v>100</v>
      </c>
      <c r="L66" s="118" t="s">
        <v>101</v>
      </c>
      <c r="M66" s="118" t="s">
        <v>102</v>
      </c>
      <c r="N66" s="118" t="s">
        <v>103</v>
      </c>
    </row>
    <row r="67" spans="1:14" x14ac:dyDescent="0.2">
      <c r="B67" s="118" t="s">
        <v>330</v>
      </c>
      <c r="C67">
        <v>33333.333333333328</v>
      </c>
      <c r="D67">
        <v>33333.333333333328</v>
      </c>
      <c r="E67">
        <v>33333.333333333328</v>
      </c>
      <c r="F67">
        <v>33333.333333333328</v>
      </c>
      <c r="G67">
        <v>33333.333333333328</v>
      </c>
      <c r="H67">
        <v>33333.333333333328</v>
      </c>
      <c r="I67">
        <v>33333.333333333328</v>
      </c>
      <c r="J67">
        <v>33333.333333333328</v>
      </c>
      <c r="K67">
        <v>33333.333333333328</v>
      </c>
      <c r="L67">
        <v>33333.333333333328</v>
      </c>
      <c r="M67">
        <v>33333.333333333328</v>
      </c>
      <c r="N67">
        <v>33333.333333333328</v>
      </c>
    </row>
    <row r="68" spans="1:14" x14ac:dyDescent="0.2">
      <c r="B68" s="118" t="s">
        <v>331</v>
      </c>
      <c r="C68">
        <v>24999.999999999996</v>
      </c>
      <c r="D68">
        <v>24999.999999999996</v>
      </c>
      <c r="E68">
        <v>24999.999999999996</v>
      </c>
      <c r="F68">
        <v>24999.999999999996</v>
      </c>
      <c r="G68">
        <v>24999.999999999996</v>
      </c>
      <c r="H68">
        <v>24999.999999999996</v>
      </c>
      <c r="I68">
        <v>24999.999999999996</v>
      </c>
      <c r="J68">
        <v>24999.999999999996</v>
      </c>
      <c r="K68">
        <v>24999.999999999996</v>
      </c>
      <c r="L68">
        <v>24999.999999999996</v>
      </c>
      <c r="M68">
        <v>24999.999999999996</v>
      </c>
      <c r="N68">
        <v>24999.999999999996</v>
      </c>
    </row>
    <row r="70" spans="1:14" x14ac:dyDescent="0.2">
      <c r="B70" s="121" t="s">
        <v>332</v>
      </c>
    </row>
    <row r="71" spans="1:14" x14ac:dyDescent="0.2">
      <c r="A71" s="122" t="s">
        <v>121</v>
      </c>
      <c r="B71" s="122" t="s">
        <v>333</v>
      </c>
      <c r="C71" s="122" t="s">
        <v>22</v>
      </c>
      <c r="D71" s="122" t="s">
        <v>59</v>
      </c>
    </row>
    <row r="72" spans="1:14" x14ac:dyDescent="0.2">
      <c r="A72" s="122" t="s">
        <v>104</v>
      </c>
      <c r="B72" s="122" t="s">
        <v>92</v>
      </c>
      <c r="C72">
        <v>1641662.5085372662</v>
      </c>
      <c r="D72">
        <v>5009154.6989393495</v>
      </c>
    </row>
    <row r="73" spans="1:14" x14ac:dyDescent="0.2">
      <c r="B73" s="122" t="s">
        <v>93</v>
      </c>
      <c r="C73">
        <v>1641662.5085372662</v>
      </c>
      <c r="D73">
        <v>5009154.6989393495</v>
      </c>
    </row>
    <row r="74" spans="1:14" x14ac:dyDescent="0.2">
      <c r="B74" s="122" t="s">
        <v>94</v>
      </c>
      <c r="C74">
        <v>1641662.5085372662</v>
      </c>
      <c r="D74">
        <v>5009154.6989393495</v>
      </c>
    </row>
    <row r="75" spans="1:14" x14ac:dyDescent="0.2">
      <c r="B75" s="122" t="s">
        <v>95</v>
      </c>
      <c r="C75">
        <v>1641662.5085372662</v>
      </c>
      <c r="D75">
        <v>5009154.6989393495</v>
      </c>
    </row>
    <row r="76" spans="1:14" x14ac:dyDescent="0.2">
      <c r="B76" s="122" t="s">
        <v>96</v>
      </c>
      <c r="C76">
        <v>1641662.5085372662</v>
      </c>
      <c r="D76">
        <v>5009154.6989393495</v>
      </c>
    </row>
    <row r="77" spans="1:14" x14ac:dyDescent="0.2">
      <c r="B77" s="122" t="s">
        <v>97</v>
      </c>
      <c r="C77">
        <v>1641662.5085372662</v>
      </c>
      <c r="D77">
        <v>5009154.6989393495</v>
      </c>
    </row>
    <row r="78" spans="1:14" x14ac:dyDescent="0.2">
      <c r="B78" s="122" t="s">
        <v>98</v>
      </c>
      <c r="C78">
        <v>1641662.5085372662</v>
      </c>
      <c r="D78">
        <v>5009154.6989393495</v>
      </c>
    </row>
    <row r="79" spans="1:14" x14ac:dyDescent="0.2">
      <c r="B79" s="122" t="s">
        <v>99</v>
      </c>
      <c r="C79">
        <v>1641662.5085372662</v>
      </c>
      <c r="D79">
        <v>5009154.6989393495</v>
      </c>
    </row>
    <row r="80" spans="1:14" x14ac:dyDescent="0.2">
      <c r="B80" s="122" t="s">
        <v>100</v>
      </c>
      <c r="C80">
        <v>1641662.5085372662</v>
      </c>
      <c r="D80">
        <v>5009154.6989393495</v>
      </c>
    </row>
    <row r="81" spans="2:50" x14ac:dyDescent="0.2">
      <c r="B81" s="122" t="s">
        <v>101</v>
      </c>
      <c r="C81">
        <v>1641662.5085372662</v>
      </c>
      <c r="D81">
        <v>5009154.6989393495</v>
      </c>
    </row>
    <row r="82" spans="2:50" x14ac:dyDescent="0.2">
      <c r="B82" s="122" t="s">
        <v>102</v>
      </c>
      <c r="C82">
        <v>1641662.5085372662</v>
      </c>
      <c r="D82">
        <v>5009154.6989393495</v>
      </c>
    </row>
    <row r="83" spans="2:50" x14ac:dyDescent="0.2">
      <c r="B83" s="122" t="s">
        <v>103</v>
      </c>
      <c r="C83">
        <v>1641662.5085372662</v>
      </c>
      <c r="D83">
        <v>5009154.6989393495</v>
      </c>
    </row>
    <row r="85" spans="2:50" x14ac:dyDescent="0.2">
      <c r="B85" s="120" t="s">
        <v>334</v>
      </c>
    </row>
    <row r="86" spans="2:50" x14ac:dyDescent="0.2">
      <c r="B86" s="118" t="s">
        <v>274</v>
      </c>
      <c r="C86" s="118" t="s">
        <v>92</v>
      </c>
      <c r="D86" s="119"/>
      <c r="E86" s="119"/>
      <c r="F86" s="119"/>
      <c r="G86" s="118" t="s">
        <v>93</v>
      </c>
      <c r="H86" s="119"/>
      <c r="I86" s="119"/>
      <c r="J86" s="119"/>
      <c r="K86" s="118" t="s">
        <v>94</v>
      </c>
      <c r="L86" s="119"/>
      <c r="M86" s="119"/>
      <c r="N86" s="119"/>
      <c r="O86" s="118" t="s">
        <v>95</v>
      </c>
      <c r="P86" s="119"/>
      <c r="Q86" s="119"/>
      <c r="R86" s="119"/>
      <c r="S86" s="118" t="s">
        <v>96</v>
      </c>
      <c r="T86" s="119"/>
      <c r="U86" s="119"/>
      <c r="V86" s="119"/>
      <c r="W86" s="118" t="s">
        <v>97</v>
      </c>
      <c r="X86" s="119"/>
      <c r="Y86" s="119"/>
      <c r="Z86" s="119"/>
      <c r="AA86" s="118" t="s">
        <v>98</v>
      </c>
      <c r="AB86" s="119"/>
      <c r="AC86" s="119"/>
      <c r="AD86" s="119"/>
      <c r="AE86" s="118" t="s">
        <v>99</v>
      </c>
      <c r="AF86" s="119"/>
      <c r="AG86" s="119"/>
      <c r="AH86" s="119"/>
      <c r="AI86" s="118" t="s">
        <v>100</v>
      </c>
      <c r="AJ86" s="119"/>
      <c r="AK86" s="119"/>
      <c r="AL86" s="119"/>
      <c r="AM86" s="118" t="s">
        <v>101</v>
      </c>
      <c r="AN86" s="119"/>
      <c r="AO86" s="119"/>
      <c r="AP86" s="119"/>
      <c r="AQ86" s="118" t="s">
        <v>102</v>
      </c>
      <c r="AR86" s="119"/>
      <c r="AS86" s="119"/>
      <c r="AT86" s="119"/>
      <c r="AU86" s="118" t="s">
        <v>103</v>
      </c>
      <c r="AV86" s="119"/>
      <c r="AW86" s="119"/>
    </row>
    <row r="87" spans="2:50" x14ac:dyDescent="0.2">
      <c r="B87" s="118" t="s">
        <v>335</v>
      </c>
      <c r="C87" s="118">
        <v>1</v>
      </c>
      <c r="D87" s="118">
        <v>2</v>
      </c>
      <c r="E87" s="118">
        <v>3</v>
      </c>
      <c r="F87" s="118">
        <v>4</v>
      </c>
      <c r="G87" s="118">
        <v>1</v>
      </c>
      <c r="H87" s="118">
        <v>2</v>
      </c>
      <c r="I87" s="118">
        <v>3</v>
      </c>
      <c r="J87" s="118">
        <v>4</v>
      </c>
      <c r="K87" s="118">
        <v>1</v>
      </c>
      <c r="L87" s="118">
        <v>2</v>
      </c>
      <c r="M87" s="118">
        <v>3</v>
      </c>
      <c r="N87" s="118">
        <v>4</v>
      </c>
      <c r="O87" s="118">
        <v>1</v>
      </c>
      <c r="P87" s="118">
        <v>2</v>
      </c>
      <c r="Q87" s="118">
        <v>3</v>
      </c>
      <c r="R87" s="118">
        <v>4</v>
      </c>
      <c r="S87" s="118">
        <v>1</v>
      </c>
      <c r="T87" s="118">
        <v>2</v>
      </c>
      <c r="U87" s="118">
        <v>3</v>
      </c>
      <c r="V87" s="118">
        <v>4</v>
      </c>
      <c r="W87" s="118">
        <v>1</v>
      </c>
      <c r="X87" s="118">
        <v>2</v>
      </c>
      <c r="Y87" s="118">
        <v>3</v>
      </c>
      <c r="Z87" s="118">
        <v>4</v>
      </c>
      <c r="AA87" s="118">
        <v>1</v>
      </c>
      <c r="AB87" s="118">
        <v>2</v>
      </c>
      <c r="AC87" s="118">
        <v>3</v>
      </c>
      <c r="AD87" s="118">
        <v>4</v>
      </c>
      <c r="AE87" s="118">
        <v>1</v>
      </c>
      <c r="AF87" s="118">
        <v>2</v>
      </c>
      <c r="AG87" s="118">
        <v>3</v>
      </c>
      <c r="AH87" s="118">
        <v>4</v>
      </c>
      <c r="AI87" s="118">
        <v>1</v>
      </c>
      <c r="AJ87" s="118">
        <v>2</v>
      </c>
      <c r="AK87" s="118">
        <v>3</v>
      </c>
      <c r="AL87" s="118">
        <v>4</v>
      </c>
      <c r="AM87" s="118">
        <v>1</v>
      </c>
      <c r="AN87" s="118">
        <v>2</v>
      </c>
      <c r="AO87" s="118">
        <v>3</v>
      </c>
      <c r="AP87" s="118">
        <v>4</v>
      </c>
      <c r="AQ87" s="118">
        <v>1</v>
      </c>
      <c r="AR87" s="118">
        <v>2</v>
      </c>
      <c r="AS87" s="118">
        <v>3</v>
      </c>
      <c r="AT87" s="118">
        <v>4</v>
      </c>
      <c r="AU87" s="118">
        <v>1</v>
      </c>
      <c r="AV87" s="118">
        <v>2</v>
      </c>
      <c r="AW87" s="118">
        <v>3</v>
      </c>
      <c r="AX87" s="118">
        <v>4</v>
      </c>
    </row>
    <row r="88" spans="2:50" x14ac:dyDescent="0.2">
      <c r="B88" s="118" t="s">
        <v>104</v>
      </c>
      <c r="C88">
        <f>C48+$C$67/4</f>
        <v>11522.107997132503</v>
      </c>
      <c r="D88">
        <f>D48+$C$67/4</f>
        <v>11522.107997132503</v>
      </c>
      <c r="E88">
        <f>E48+$C$67/4</f>
        <v>11522.107997132503</v>
      </c>
      <c r="F88">
        <f>F48+$C$67/4</f>
        <v>11522.107997132503</v>
      </c>
      <c r="G88">
        <f>G48+$D$67/4</f>
        <v>11522.107997132503</v>
      </c>
      <c r="H88">
        <f>H48+$D$67/4</f>
        <v>11522.107997132503</v>
      </c>
      <c r="I88">
        <f>I48+$D$67/4</f>
        <v>11522.107997132503</v>
      </c>
      <c r="J88">
        <f>J48+$D$67/4</f>
        <v>11522.107997132503</v>
      </c>
      <c r="K88">
        <f>K48+$E$67/4</f>
        <v>11522.107997132503</v>
      </c>
      <c r="L88">
        <f>L48+$E$67/4</f>
        <v>11522.107997132503</v>
      </c>
      <c r="M88">
        <f>M48+$E$67/4</f>
        <v>11522.107997132503</v>
      </c>
      <c r="N88">
        <f>N48+$E$67/4</f>
        <v>11522.107997132503</v>
      </c>
      <c r="O88">
        <f>O48+$F$67/4</f>
        <v>11522.107997132503</v>
      </c>
      <c r="P88">
        <f>P48+$F$67/4</f>
        <v>11522.107997132503</v>
      </c>
      <c r="Q88">
        <f>Q48+$F$67/4</f>
        <v>11522.107997132503</v>
      </c>
      <c r="R88">
        <f>R48+$F$67/4</f>
        <v>11522.107997132503</v>
      </c>
      <c r="S88">
        <f>S48+$G$67/4</f>
        <v>11522.107997132503</v>
      </c>
      <c r="T88">
        <f>T48+$G$67/4</f>
        <v>11522.107997132503</v>
      </c>
      <c r="U88">
        <f>U48+$G$67/4</f>
        <v>11522.107997132503</v>
      </c>
      <c r="V88">
        <f>V48+$G$67/4</f>
        <v>11522.107997132503</v>
      </c>
      <c r="W88">
        <f>W48+$H$67/4</f>
        <v>11522.107997132503</v>
      </c>
      <c r="X88">
        <f>X48+$H$67/4</f>
        <v>11522.107997132503</v>
      </c>
      <c r="Y88">
        <f>Y48+$H$67/4</f>
        <v>11522.107997132503</v>
      </c>
      <c r="Z88">
        <f>Z48+$H$67/4</f>
        <v>11522.107997132503</v>
      </c>
      <c r="AA88">
        <f>AA48+$I$67/4</f>
        <v>11522.107997132503</v>
      </c>
      <c r="AB88">
        <f>AB48+$I$67/4</f>
        <v>11522.107997132503</v>
      </c>
      <c r="AC88">
        <f>AC48+$I$67/4</f>
        <v>11522.107997132503</v>
      </c>
      <c r="AD88">
        <f>AD48+$I$67/4</f>
        <v>11522.107997132503</v>
      </c>
      <c r="AE88">
        <f>AE48+$J$67/4</f>
        <v>11522.107997132503</v>
      </c>
      <c r="AF88">
        <f>AF48+$J$67/4</f>
        <v>11522.107997132503</v>
      </c>
      <c r="AG88">
        <f>AG48+$J$67/4</f>
        <v>11522.107997132503</v>
      </c>
      <c r="AH88">
        <f>AH48+$J$67/4</f>
        <v>11522.107997132503</v>
      </c>
      <c r="AI88">
        <f>AI48+$K$67/4</f>
        <v>11522.107997132503</v>
      </c>
      <c r="AJ88">
        <f>AJ48+$K$67/4</f>
        <v>11522.107997132503</v>
      </c>
      <c r="AK88">
        <f>AK48+$K$67/4</f>
        <v>11522.107997132503</v>
      </c>
      <c r="AL88">
        <f>AL48+$K$67/4</f>
        <v>11522.107997132503</v>
      </c>
      <c r="AM88">
        <f>AM48+$L$67/4</f>
        <v>11522.107997132503</v>
      </c>
      <c r="AN88">
        <f>AN48+$L$67/4</f>
        <v>11522.107997132503</v>
      </c>
      <c r="AO88">
        <f>AO48+$L$67/4</f>
        <v>11522.107997132503</v>
      </c>
      <c r="AP88">
        <f>AP48+$L$67/4</f>
        <v>11522.107997132503</v>
      </c>
      <c r="AQ88">
        <f>AQ48+$M$67/4</f>
        <v>11522.107997132503</v>
      </c>
      <c r="AR88">
        <f>AR48+$M$67/4</f>
        <v>11522.107997132503</v>
      </c>
      <c r="AS88">
        <f>AS48+$M$67/4</f>
        <v>11522.107997132503</v>
      </c>
      <c r="AT88">
        <f>AT48+$M$67/4</f>
        <v>11522.107997132503</v>
      </c>
      <c r="AU88">
        <f>AU48+$N$67/4</f>
        <v>11522.107997132503</v>
      </c>
      <c r="AV88">
        <f>AV48+$N$67/4</f>
        <v>11522.107997132503</v>
      </c>
      <c r="AW88">
        <f>AW48+$N$67/4</f>
        <v>11522.107997132503</v>
      </c>
      <c r="AX88">
        <f>AX48+$N$67/4</f>
        <v>11522.107997132503</v>
      </c>
    </row>
    <row r="89" spans="2:50" x14ac:dyDescent="0.2">
      <c r="B89" s="118" t="s">
        <v>105</v>
      </c>
      <c r="C89">
        <f>C49</f>
        <v>0</v>
      </c>
      <c r="D89">
        <f t="shared" ref="D89:AX93" si="3">D49</f>
        <v>0</v>
      </c>
      <c r="E89">
        <f t="shared" si="3"/>
        <v>0</v>
      </c>
      <c r="F89">
        <f t="shared" si="3"/>
        <v>0</v>
      </c>
      <c r="G89">
        <f t="shared" si="3"/>
        <v>0</v>
      </c>
      <c r="H89">
        <f t="shared" si="3"/>
        <v>0</v>
      </c>
      <c r="I89">
        <f t="shared" si="3"/>
        <v>0</v>
      </c>
      <c r="J89">
        <f t="shared" si="3"/>
        <v>0</v>
      </c>
      <c r="K89">
        <f t="shared" si="3"/>
        <v>0</v>
      </c>
      <c r="L89">
        <f t="shared" si="3"/>
        <v>0</v>
      </c>
      <c r="M89">
        <f t="shared" si="3"/>
        <v>0</v>
      </c>
      <c r="N89">
        <f t="shared" si="3"/>
        <v>0</v>
      </c>
      <c r="O89">
        <f t="shared" si="3"/>
        <v>0</v>
      </c>
      <c r="P89">
        <f t="shared" si="3"/>
        <v>0</v>
      </c>
      <c r="Q89">
        <f t="shared" si="3"/>
        <v>0</v>
      </c>
      <c r="R89">
        <f t="shared" si="3"/>
        <v>0</v>
      </c>
      <c r="S89">
        <f t="shared" si="3"/>
        <v>0</v>
      </c>
      <c r="T89">
        <f t="shared" si="3"/>
        <v>0</v>
      </c>
      <c r="U89">
        <f t="shared" si="3"/>
        <v>0</v>
      </c>
      <c r="V89">
        <f t="shared" si="3"/>
        <v>0</v>
      </c>
      <c r="W89">
        <f t="shared" si="3"/>
        <v>0</v>
      </c>
      <c r="X89">
        <f t="shared" si="3"/>
        <v>0</v>
      </c>
      <c r="Y89">
        <f t="shared" si="3"/>
        <v>0</v>
      </c>
      <c r="Z89">
        <f t="shared" si="3"/>
        <v>0</v>
      </c>
      <c r="AA89">
        <f t="shared" si="3"/>
        <v>0</v>
      </c>
      <c r="AB89">
        <f t="shared" si="3"/>
        <v>0</v>
      </c>
      <c r="AC89">
        <f t="shared" si="3"/>
        <v>0</v>
      </c>
      <c r="AD89">
        <f t="shared" si="3"/>
        <v>0</v>
      </c>
      <c r="AE89">
        <f t="shared" si="3"/>
        <v>0</v>
      </c>
      <c r="AF89">
        <f t="shared" si="3"/>
        <v>0</v>
      </c>
      <c r="AG89">
        <f t="shared" si="3"/>
        <v>0</v>
      </c>
      <c r="AH89">
        <f t="shared" si="3"/>
        <v>0</v>
      </c>
      <c r="AI89">
        <f t="shared" si="3"/>
        <v>0</v>
      </c>
      <c r="AJ89">
        <f t="shared" si="3"/>
        <v>0</v>
      </c>
      <c r="AK89">
        <f t="shared" si="3"/>
        <v>0</v>
      </c>
      <c r="AL89">
        <f t="shared" si="3"/>
        <v>0</v>
      </c>
      <c r="AM89">
        <f t="shared" si="3"/>
        <v>0</v>
      </c>
      <c r="AN89">
        <f t="shared" si="3"/>
        <v>0</v>
      </c>
      <c r="AO89">
        <f t="shared" si="3"/>
        <v>0</v>
      </c>
      <c r="AP89">
        <f t="shared" si="3"/>
        <v>0</v>
      </c>
      <c r="AQ89">
        <f t="shared" si="3"/>
        <v>0</v>
      </c>
      <c r="AR89">
        <f t="shared" si="3"/>
        <v>0</v>
      </c>
      <c r="AS89">
        <f t="shared" si="3"/>
        <v>0</v>
      </c>
      <c r="AT89">
        <f t="shared" si="3"/>
        <v>0</v>
      </c>
      <c r="AU89">
        <f t="shared" si="3"/>
        <v>0</v>
      </c>
      <c r="AV89">
        <f t="shared" si="3"/>
        <v>0</v>
      </c>
      <c r="AW89">
        <f t="shared" si="3"/>
        <v>0</v>
      </c>
      <c r="AX89">
        <f t="shared" si="3"/>
        <v>0</v>
      </c>
    </row>
    <row r="90" spans="2:50" x14ac:dyDescent="0.2">
      <c r="B90" s="118" t="s">
        <v>106</v>
      </c>
      <c r="C90">
        <f t="shared" ref="C90:R93" si="4">C50</f>
        <v>3145.1776730264419</v>
      </c>
      <c r="D90">
        <f t="shared" si="4"/>
        <v>3145.1776730264419</v>
      </c>
      <c r="E90">
        <f t="shared" si="4"/>
        <v>3145.1776730264419</v>
      </c>
      <c r="F90">
        <f t="shared" si="4"/>
        <v>3145.1776730264419</v>
      </c>
      <c r="G90">
        <f t="shared" si="4"/>
        <v>2021.9633411880502</v>
      </c>
      <c r="H90">
        <f t="shared" si="4"/>
        <v>3145.1776730264419</v>
      </c>
      <c r="I90">
        <f t="shared" si="4"/>
        <v>507.68511167612263</v>
      </c>
      <c r="J90">
        <f t="shared" si="4"/>
        <v>3145.1776730264419</v>
      </c>
      <c r="K90">
        <f t="shared" si="4"/>
        <v>3145.1776730264419</v>
      </c>
      <c r="L90">
        <f t="shared" si="4"/>
        <v>3145.1776730264419</v>
      </c>
      <c r="M90">
        <f t="shared" si="4"/>
        <v>3145.1776730264419</v>
      </c>
      <c r="N90">
        <f t="shared" si="4"/>
        <v>3145.1776730264419</v>
      </c>
      <c r="O90">
        <f t="shared" si="4"/>
        <v>3145.1776730264419</v>
      </c>
      <c r="P90">
        <f t="shared" si="4"/>
        <v>3145.1776730264419</v>
      </c>
      <c r="Q90">
        <f t="shared" si="4"/>
        <v>3145.1776730264419</v>
      </c>
      <c r="R90">
        <f t="shared" si="4"/>
        <v>3145.1776730264419</v>
      </c>
      <c r="S90">
        <f t="shared" si="3"/>
        <v>3145.1776730264419</v>
      </c>
      <c r="T90">
        <f t="shared" si="3"/>
        <v>3145.1776730264419</v>
      </c>
      <c r="U90">
        <f t="shared" si="3"/>
        <v>3145.1776730264419</v>
      </c>
      <c r="V90">
        <f t="shared" si="3"/>
        <v>3145.1776730264419</v>
      </c>
      <c r="W90">
        <f t="shared" si="3"/>
        <v>3145.1776730264419</v>
      </c>
      <c r="X90">
        <f t="shared" si="3"/>
        <v>3145.1776730264419</v>
      </c>
      <c r="Y90">
        <f t="shared" si="3"/>
        <v>3145.1776730264419</v>
      </c>
      <c r="Z90">
        <f t="shared" si="3"/>
        <v>3145.1776730264419</v>
      </c>
      <c r="AA90">
        <f t="shared" si="3"/>
        <v>3145.1776730264419</v>
      </c>
      <c r="AB90">
        <f t="shared" si="3"/>
        <v>3145.1776730264419</v>
      </c>
      <c r="AC90">
        <f t="shared" si="3"/>
        <v>3145.1776730264419</v>
      </c>
      <c r="AD90">
        <f t="shared" si="3"/>
        <v>3145.1776730264419</v>
      </c>
      <c r="AE90">
        <f t="shared" si="3"/>
        <v>3145.1776730264419</v>
      </c>
      <c r="AF90">
        <f t="shared" si="3"/>
        <v>3145.1776730264419</v>
      </c>
      <c r="AG90">
        <f t="shared" si="3"/>
        <v>3145.1776730264419</v>
      </c>
      <c r="AH90">
        <f t="shared" si="3"/>
        <v>3145.1776730264419</v>
      </c>
      <c r="AI90">
        <f t="shared" si="3"/>
        <v>535.40254360298286</v>
      </c>
      <c r="AJ90">
        <f t="shared" si="3"/>
        <v>3145.1776730264419</v>
      </c>
      <c r="AK90">
        <f t="shared" si="3"/>
        <v>3145.1776730264419</v>
      </c>
      <c r="AL90">
        <f t="shared" si="3"/>
        <v>3145.1776730264419</v>
      </c>
      <c r="AM90">
        <f t="shared" si="3"/>
        <v>3145.1776730264419</v>
      </c>
      <c r="AN90">
        <f t="shared" si="3"/>
        <v>3145.1776730264419</v>
      </c>
      <c r="AO90">
        <f t="shared" si="3"/>
        <v>3145.1776730264419</v>
      </c>
      <c r="AP90">
        <f t="shared" si="3"/>
        <v>2169.510193221452</v>
      </c>
      <c r="AQ90">
        <f t="shared" si="3"/>
        <v>2173.3983309171226</v>
      </c>
      <c r="AR90">
        <f t="shared" si="3"/>
        <v>2177.2601727624142</v>
      </c>
      <c r="AS90">
        <f t="shared" si="3"/>
        <v>2181.0950955950052</v>
      </c>
      <c r="AT90">
        <f t="shared" si="3"/>
        <v>2184.9024807058813</v>
      </c>
      <c r="AU90">
        <f t="shared" si="3"/>
        <v>2188.6817139503855</v>
      </c>
      <c r="AV90">
        <f t="shared" si="3"/>
        <v>548.10804646462907</v>
      </c>
      <c r="AW90">
        <f t="shared" si="3"/>
        <v>3145.1776730264419</v>
      </c>
      <c r="AX90">
        <f t="shared" si="3"/>
        <v>3145.1776730264419</v>
      </c>
    </row>
    <row r="91" spans="2:50" x14ac:dyDescent="0.2">
      <c r="B91" s="118" t="s">
        <v>107</v>
      </c>
      <c r="C91">
        <f t="shared" si="4"/>
        <v>2841.2776441785122</v>
      </c>
      <c r="D91">
        <f t="shared" si="3"/>
        <v>2841.2776441785122</v>
      </c>
      <c r="E91">
        <f t="shared" si="3"/>
        <v>2841.2776441785122</v>
      </c>
      <c r="F91">
        <f t="shared" si="3"/>
        <v>2841.2776441785122</v>
      </c>
      <c r="G91">
        <f t="shared" si="3"/>
        <v>2841.2776441785122</v>
      </c>
      <c r="H91">
        <f t="shared" si="3"/>
        <v>2841.2776441785122</v>
      </c>
      <c r="I91">
        <f t="shared" si="3"/>
        <v>2841.2776441785122</v>
      </c>
      <c r="J91">
        <f t="shared" si="3"/>
        <v>2841.2776441785122</v>
      </c>
      <c r="K91">
        <f t="shared" si="3"/>
        <v>2841.2776441785122</v>
      </c>
      <c r="L91">
        <f t="shared" si="3"/>
        <v>2841.2776441785122</v>
      </c>
      <c r="M91">
        <f t="shared" si="3"/>
        <v>2841.2776441785122</v>
      </c>
      <c r="N91">
        <f t="shared" si="3"/>
        <v>2841.2776441785122</v>
      </c>
      <c r="O91">
        <f t="shared" si="3"/>
        <v>2841.2776441785122</v>
      </c>
      <c r="P91">
        <f t="shared" si="3"/>
        <v>2841.2776441785122</v>
      </c>
      <c r="Q91">
        <f t="shared" si="3"/>
        <v>2841.2776441785122</v>
      </c>
      <c r="R91">
        <f t="shared" si="3"/>
        <v>2841.2776441785122</v>
      </c>
      <c r="S91">
        <f t="shared" si="3"/>
        <v>2841.2776441785122</v>
      </c>
      <c r="T91">
        <f t="shared" si="3"/>
        <v>2841.2776441785122</v>
      </c>
      <c r="U91">
        <f t="shared" si="3"/>
        <v>2841.2776441785122</v>
      </c>
      <c r="V91">
        <f t="shared" si="3"/>
        <v>2841.2776441785122</v>
      </c>
      <c r="W91">
        <f t="shared" si="3"/>
        <v>2841.2776441785122</v>
      </c>
      <c r="X91">
        <f t="shared" si="3"/>
        <v>2841.2776441785122</v>
      </c>
      <c r="Y91">
        <f t="shared" si="3"/>
        <v>2841.2776441785122</v>
      </c>
      <c r="Z91">
        <f t="shared" si="3"/>
        <v>2841.2776441785122</v>
      </c>
      <c r="AA91">
        <f t="shared" si="3"/>
        <v>2841.2776441785122</v>
      </c>
      <c r="AB91">
        <f t="shared" si="3"/>
        <v>2218.3074908715021</v>
      </c>
      <c r="AC91">
        <f t="shared" si="3"/>
        <v>2222.7055459060462</v>
      </c>
      <c r="AD91">
        <f t="shared" si="3"/>
        <v>2841.2776441785122</v>
      </c>
      <c r="AE91">
        <f t="shared" si="3"/>
        <v>2841.2776441785122</v>
      </c>
      <c r="AF91">
        <f t="shared" si="3"/>
        <v>2841.2776441785122</v>
      </c>
      <c r="AG91">
        <f t="shared" si="3"/>
        <v>2841.2776441785122</v>
      </c>
      <c r="AH91">
        <f t="shared" si="3"/>
        <v>2841.2776441785122</v>
      </c>
      <c r="AI91">
        <f t="shared" si="3"/>
        <v>2841.2776441785122</v>
      </c>
      <c r="AJ91">
        <f t="shared" si="3"/>
        <v>2841.2776441785122</v>
      </c>
      <c r="AK91">
        <f t="shared" si="3"/>
        <v>2841.2776441785122</v>
      </c>
      <c r="AL91">
        <f t="shared" si="3"/>
        <v>2841.2776441785122</v>
      </c>
      <c r="AM91">
        <f t="shared" si="3"/>
        <v>2841.2776441785122</v>
      </c>
      <c r="AN91">
        <f t="shared" si="3"/>
        <v>2841.2776441785122</v>
      </c>
      <c r="AO91">
        <f t="shared" si="3"/>
        <v>2273.8762065382234</v>
      </c>
      <c r="AP91">
        <f t="shared" si="3"/>
        <v>2277.985702882524</v>
      </c>
      <c r="AQ91">
        <f t="shared" si="3"/>
        <v>2282.0682474629784</v>
      </c>
      <c r="AR91">
        <f t="shared" si="3"/>
        <v>2286.1231814005346</v>
      </c>
      <c r="AS91">
        <f t="shared" si="3"/>
        <v>2290.1498503747553</v>
      </c>
      <c r="AT91">
        <f t="shared" si="3"/>
        <v>1310.9414884235287</v>
      </c>
      <c r="AU91">
        <f t="shared" si="3"/>
        <v>1313.2090283702314</v>
      </c>
      <c r="AV91">
        <f t="shared" si="3"/>
        <v>1315.4593115151097</v>
      </c>
      <c r="AW91">
        <f t="shared" si="3"/>
        <v>2841.2776441785122</v>
      </c>
      <c r="AX91">
        <f t="shared" si="3"/>
        <v>2841.2776441785122</v>
      </c>
    </row>
    <row r="92" spans="2:50" x14ac:dyDescent="0.2">
      <c r="B92" s="118" t="s">
        <v>108</v>
      </c>
      <c r="C92">
        <f t="shared" si="4"/>
        <v>0</v>
      </c>
      <c r="D92">
        <f t="shared" si="4"/>
        <v>0</v>
      </c>
      <c r="E92">
        <f t="shared" si="4"/>
        <v>0</v>
      </c>
      <c r="F92">
        <f t="shared" si="4"/>
        <v>0</v>
      </c>
      <c r="G92">
        <f t="shared" si="4"/>
        <v>0</v>
      </c>
      <c r="H92">
        <f t="shared" si="4"/>
        <v>0</v>
      </c>
      <c r="I92">
        <f t="shared" si="4"/>
        <v>0</v>
      </c>
      <c r="J92">
        <f t="shared" si="4"/>
        <v>0</v>
      </c>
      <c r="K92">
        <f t="shared" si="4"/>
        <v>0</v>
      </c>
      <c r="L92">
        <f t="shared" si="4"/>
        <v>0</v>
      </c>
      <c r="M92">
        <f t="shared" si="4"/>
        <v>0</v>
      </c>
      <c r="N92">
        <f t="shared" si="4"/>
        <v>0</v>
      </c>
      <c r="O92">
        <f t="shared" si="4"/>
        <v>0</v>
      </c>
      <c r="P92">
        <f t="shared" si="4"/>
        <v>0</v>
      </c>
      <c r="Q92">
        <f t="shared" si="4"/>
        <v>0</v>
      </c>
      <c r="R92">
        <f t="shared" si="4"/>
        <v>0</v>
      </c>
      <c r="S92">
        <f t="shared" si="3"/>
        <v>0</v>
      </c>
      <c r="T92">
        <f t="shared" si="3"/>
        <v>0</v>
      </c>
      <c r="U92">
        <f t="shared" si="3"/>
        <v>0</v>
      </c>
      <c r="V92">
        <f t="shared" si="3"/>
        <v>0</v>
      </c>
      <c r="W92">
        <f t="shared" si="3"/>
        <v>0</v>
      </c>
      <c r="X92">
        <f t="shared" si="3"/>
        <v>0</v>
      </c>
      <c r="Y92">
        <f t="shared" si="3"/>
        <v>0</v>
      </c>
      <c r="Z92">
        <f t="shared" si="3"/>
        <v>0</v>
      </c>
      <c r="AA92">
        <f t="shared" si="3"/>
        <v>0</v>
      </c>
      <c r="AB92">
        <f t="shared" si="3"/>
        <v>0</v>
      </c>
      <c r="AC92">
        <f t="shared" si="3"/>
        <v>0</v>
      </c>
      <c r="AD92">
        <f t="shared" si="3"/>
        <v>0</v>
      </c>
      <c r="AE92">
        <f t="shared" si="3"/>
        <v>0</v>
      </c>
      <c r="AF92">
        <f t="shared" si="3"/>
        <v>0</v>
      </c>
      <c r="AG92">
        <f t="shared" si="3"/>
        <v>0</v>
      </c>
      <c r="AH92">
        <f t="shared" si="3"/>
        <v>0</v>
      </c>
      <c r="AI92">
        <f t="shared" si="3"/>
        <v>0</v>
      </c>
      <c r="AJ92">
        <f t="shared" si="3"/>
        <v>0</v>
      </c>
      <c r="AK92">
        <f t="shared" si="3"/>
        <v>0</v>
      </c>
      <c r="AL92">
        <f t="shared" si="3"/>
        <v>0</v>
      </c>
      <c r="AM92">
        <f t="shared" si="3"/>
        <v>0</v>
      </c>
      <c r="AN92">
        <f t="shared" si="3"/>
        <v>0</v>
      </c>
      <c r="AO92">
        <f t="shared" si="3"/>
        <v>0</v>
      </c>
      <c r="AP92">
        <f t="shared" si="3"/>
        <v>0</v>
      </c>
      <c r="AQ92">
        <f t="shared" si="3"/>
        <v>0</v>
      </c>
      <c r="AR92">
        <f t="shared" si="3"/>
        <v>0</v>
      </c>
      <c r="AS92">
        <f t="shared" si="3"/>
        <v>0</v>
      </c>
      <c r="AT92">
        <f t="shared" si="3"/>
        <v>0</v>
      </c>
      <c r="AU92">
        <f t="shared" si="3"/>
        <v>0</v>
      </c>
      <c r="AV92">
        <f t="shared" si="3"/>
        <v>0</v>
      </c>
      <c r="AW92">
        <f t="shared" si="3"/>
        <v>0</v>
      </c>
      <c r="AX92">
        <f t="shared" si="3"/>
        <v>0</v>
      </c>
    </row>
    <row r="93" spans="2:50" x14ac:dyDescent="0.2">
      <c r="B93" s="118" t="s">
        <v>109</v>
      </c>
      <c r="C93">
        <f t="shared" si="4"/>
        <v>0</v>
      </c>
      <c r="D93">
        <f t="shared" si="4"/>
        <v>0</v>
      </c>
      <c r="E93">
        <f t="shared" si="4"/>
        <v>0</v>
      </c>
      <c r="F93">
        <f t="shared" si="4"/>
        <v>0</v>
      </c>
      <c r="G93">
        <f t="shared" si="4"/>
        <v>0</v>
      </c>
      <c r="H93">
        <f t="shared" si="4"/>
        <v>0</v>
      </c>
      <c r="I93">
        <f t="shared" si="4"/>
        <v>0</v>
      </c>
      <c r="J93">
        <f t="shared" si="4"/>
        <v>0</v>
      </c>
      <c r="K93">
        <f t="shared" si="4"/>
        <v>0</v>
      </c>
      <c r="L93">
        <f t="shared" si="4"/>
        <v>0</v>
      </c>
      <c r="M93">
        <f t="shared" si="4"/>
        <v>0</v>
      </c>
      <c r="N93">
        <f t="shared" si="4"/>
        <v>0</v>
      </c>
      <c r="O93">
        <f t="shared" si="4"/>
        <v>0</v>
      </c>
      <c r="P93">
        <f t="shared" si="4"/>
        <v>0</v>
      </c>
      <c r="Q93">
        <f t="shared" si="4"/>
        <v>0</v>
      </c>
      <c r="R93">
        <f t="shared" si="4"/>
        <v>0</v>
      </c>
      <c r="S93">
        <f t="shared" si="3"/>
        <v>0</v>
      </c>
      <c r="T93">
        <f t="shared" si="3"/>
        <v>0</v>
      </c>
      <c r="U93">
        <f t="shared" si="3"/>
        <v>0</v>
      </c>
      <c r="V93">
        <f t="shared" si="3"/>
        <v>0</v>
      </c>
      <c r="W93">
        <f t="shared" si="3"/>
        <v>0</v>
      </c>
      <c r="X93">
        <f t="shared" si="3"/>
        <v>0</v>
      </c>
      <c r="Y93">
        <f t="shared" si="3"/>
        <v>0</v>
      </c>
      <c r="Z93">
        <f t="shared" si="3"/>
        <v>0</v>
      </c>
      <c r="AA93">
        <f t="shared" si="3"/>
        <v>0</v>
      </c>
      <c r="AB93">
        <f t="shared" si="3"/>
        <v>0</v>
      </c>
      <c r="AC93">
        <f t="shared" si="3"/>
        <v>0</v>
      </c>
      <c r="AD93">
        <f t="shared" si="3"/>
        <v>0</v>
      </c>
      <c r="AE93">
        <f t="shared" si="3"/>
        <v>0</v>
      </c>
      <c r="AF93">
        <f t="shared" si="3"/>
        <v>0</v>
      </c>
      <c r="AG93">
        <f t="shared" si="3"/>
        <v>0</v>
      </c>
      <c r="AH93">
        <f t="shared" si="3"/>
        <v>0</v>
      </c>
      <c r="AI93">
        <f t="shared" si="3"/>
        <v>0</v>
      </c>
      <c r="AJ93">
        <f t="shared" si="3"/>
        <v>0</v>
      </c>
      <c r="AK93">
        <f t="shared" si="3"/>
        <v>0</v>
      </c>
      <c r="AL93">
        <f t="shared" si="3"/>
        <v>0</v>
      </c>
      <c r="AM93">
        <f t="shared" si="3"/>
        <v>0</v>
      </c>
      <c r="AN93">
        <f t="shared" si="3"/>
        <v>0</v>
      </c>
      <c r="AO93">
        <f t="shared" si="3"/>
        <v>0</v>
      </c>
      <c r="AP93">
        <f t="shared" si="3"/>
        <v>0</v>
      </c>
      <c r="AQ93">
        <f t="shared" si="3"/>
        <v>0</v>
      </c>
      <c r="AR93">
        <f t="shared" si="3"/>
        <v>0</v>
      </c>
      <c r="AS93">
        <f t="shared" si="3"/>
        <v>0</v>
      </c>
      <c r="AT93">
        <f t="shared" si="3"/>
        <v>0</v>
      </c>
      <c r="AU93">
        <f t="shared" si="3"/>
        <v>0</v>
      </c>
      <c r="AV93">
        <f t="shared" si="3"/>
        <v>0</v>
      </c>
      <c r="AW93">
        <f t="shared" si="3"/>
        <v>0</v>
      </c>
      <c r="AX93">
        <f t="shared" si="3"/>
        <v>0</v>
      </c>
    </row>
    <row r="94" spans="2:50" x14ac:dyDescent="0.2">
      <c r="B94" s="119"/>
    </row>
    <row r="95" spans="2:50" x14ac:dyDescent="0.2">
      <c r="B95" s="53" t="s">
        <v>336</v>
      </c>
    </row>
    <row r="96" spans="2:50" x14ac:dyDescent="0.2">
      <c r="B96" s="29"/>
      <c r="C96" s="122" t="s">
        <v>92</v>
      </c>
      <c r="D96" s="119"/>
      <c r="E96" s="119"/>
      <c r="F96" s="119"/>
      <c r="G96" s="122" t="s">
        <v>93</v>
      </c>
      <c r="H96" s="119"/>
      <c r="I96" s="119"/>
      <c r="J96" s="119"/>
      <c r="K96" s="122" t="s">
        <v>94</v>
      </c>
      <c r="L96" s="119"/>
      <c r="M96" s="119"/>
      <c r="N96" s="119"/>
      <c r="O96" s="122" t="s">
        <v>95</v>
      </c>
      <c r="P96" s="119"/>
      <c r="Q96" s="119"/>
      <c r="R96" s="119"/>
      <c r="S96" s="122" t="s">
        <v>96</v>
      </c>
      <c r="T96" s="119"/>
      <c r="U96" s="119"/>
      <c r="V96" s="119"/>
      <c r="W96" s="122" t="s">
        <v>97</v>
      </c>
      <c r="X96" s="119"/>
      <c r="Y96" s="119"/>
      <c r="Z96" s="119"/>
      <c r="AA96" s="122" t="s">
        <v>98</v>
      </c>
      <c r="AB96" s="119"/>
      <c r="AC96" s="119"/>
      <c r="AD96" s="119"/>
      <c r="AE96" s="122" t="s">
        <v>99</v>
      </c>
      <c r="AF96" s="119"/>
      <c r="AG96" s="119"/>
      <c r="AH96" s="119"/>
      <c r="AI96" s="122" t="s">
        <v>100</v>
      </c>
      <c r="AJ96" s="119"/>
      <c r="AK96" s="119"/>
      <c r="AL96" s="119"/>
      <c r="AM96" s="122" t="s">
        <v>101</v>
      </c>
      <c r="AN96" s="119"/>
      <c r="AO96" s="119"/>
      <c r="AP96" s="119"/>
      <c r="AQ96" s="122" t="s">
        <v>102</v>
      </c>
      <c r="AR96" s="119"/>
      <c r="AS96" s="119"/>
      <c r="AT96" s="119"/>
      <c r="AU96" s="122" t="s">
        <v>103</v>
      </c>
      <c r="AV96" s="119"/>
      <c r="AW96" s="119"/>
    </row>
    <row r="97" spans="1:50" x14ac:dyDescent="0.2">
      <c r="A97" s="190" t="s">
        <v>121</v>
      </c>
      <c r="B97" s="190" t="s">
        <v>337</v>
      </c>
      <c r="C97" s="122">
        <v>1</v>
      </c>
      <c r="D97" s="122">
        <v>2</v>
      </c>
      <c r="E97" s="122">
        <v>3</v>
      </c>
      <c r="F97" s="122">
        <v>4</v>
      </c>
      <c r="G97" s="122">
        <v>1</v>
      </c>
      <c r="H97" s="122">
        <v>2</v>
      </c>
      <c r="I97" s="122">
        <v>3</v>
      </c>
      <c r="J97" s="122">
        <v>4</v>
      </c>
      <c r="K97" s="122">
        <v>1</v>
      </c>
      <c r="L97" s="122">
        <v>2</v>
      </c>
      <c r="M97" s="122">
        <v>3</v>
      </c>
      <c r="N97" s="122">
        <v>4</v>
      </c>
      <c r="O97" s="122">
        <v>1</v>
      </c>
      <c r="P97" s="122">
        <v>2</v>
      </c>
      <c r="Q97" s="122">
        <v>3</v>
      </c>
      <c r="R97" s="122">
        <v>4</v>
      </c>
      <c r="S97" s="122">
        <v>1</v>
      </c>
      <c r="T97" s="122">
        <v>2</v>
      </c>
      <c r="U97" s="122">
        <v>3</v>
      </c>
      <c r="V97" s="122">
        <v>4</v>
      </c>
      <c r="W97" s="122">
        <v>1</v>
      </c>
      <c r="X97" s="122">
        <v>2</v>
      </c>
      <c r="Y97" s="122">
        <v>3</v>
      </c>
      <c r="Z97" s="122">
        <v>4</v>
      </c>
      <c r="AA97" s="122">
        <v>1</v>
      </c>
      <c r="AB97" s="122">
        <v>2</v>
      </c>
      <c r="AC97" s="122">
        <v>3</v>
      </c>
      <c r="AD97" s="122">
        <v>4</v>
      </c>
      <c r="AE97" s="122">
        <v>1</v>
      </c>
      <c r="AF97" s="122">
        <v>2</v>
      </c>
      <c r="AG97" s="122">
        <v>3</v>
      </c>
      <c r="AH97" s="122">
        <v>4</v>
      </c>
      <c r="AI97" s="122">
        <v>1</v>
      </c>
      <c r="AJ97" s="122">
        <v>2</v>
      </c>
      <c r="AK97" s="122">
        <v>3</v>
      </c>
      <c r="AL97" s="122">
        <v>4</v>
      </c>
      <c r="AM97" s="122">
        <v>1</v>
      </c>
      <c r="AN97" s="122">
        <v>2</v>
      </c>
      <c r="AO97" s="122">
        <v>3</v>
      </c>
      <c r="AP97" s="122">
        <v>4</v>
      </c>
      <c r="AQ97" s="122">
        <v>1</v>
      </c>
      <c r="AR97" s="122">
        <v>2</v>
      </c>
      <c r="AS97" s="122">
        <v>3</v>
      </c>
      <c r="AT97" s="122">
        <v>4</v>
      </c>
      <c r="AU97" s="122">
        <v>1</v>
      </c>
      <c r="AV97" s="122">
        <v>2</v>
      </c>
      <c r="AW97" s="122">
        <v>3</v>
      </c>
      <c r="AX97" s="122">
        <v>4</v>
      </c>
    </row>
    <row r="98" spans="1:50" x14ac:dyDescent="0.2">
      <c r="A98" s="122" t="s">
        <v>104</v>
      </c>
      <c r="B98" s="122" t="s">
        <v>5</v>
      </c>
      <c r="C98">
        <v>68408.114763913662</v>
      </c>
      <c r="D98">
        <v>68408.114763913662</v>
      </c>
      <c r="E98">
        <v>68408.114763913662</v>
      </c>
      <c r="F98">
        <v>68408.114763913662</v>
      </c>
      <c r="G98">
        <v>68408.114763913662</v>
      </c>
      <c r="H98">
        <v>68408.114763913662</v>
      </c>
      <c r="I98">
        <v>68408.114763913662</v>
      </c>
      <c r="J98">
        <v>68408.114763913662</v>
      </c>
      <c r="K98">
        <v>68408.114763913662</v>
      </c>
      <c r="L98">
        <v>68408.114763913662</v>
      </c>
      <c r="M98">
        <v>68408.114763913662</v>
      </c>
      <c r="N98">
        <v>68408.114763913662</v>
      </c>
      <c r="O98">
        <v>68408.114763913662</v>
      </c>
      <c r="P98">
        <v>68408.114763913662</v>
      </c>
      <c r="Q98">
        <v>68408.114763913662</v>
      </c>
      <c r="R98">
        <v>68408.114763913662</v>
      </c>
      <c r="S98">
        <v>68408.114763913662</v>
      </c>
      <c r="T98">
        <v>68408.114763913662</v>
      </c>
      <c r="U98">
        <v>68408.114763913662</v>
      </c>
      <c r="V98">
        <v>68408.114763913662</v>
      </c>
      <c r="W98">
        <v>68408.114763913662</v>
      </c>
      <c r="X98">
        <v>68408.114763913662</v>
      </c>
      <c r="Y98">
        <v>68408.114763913662</v>
      </c>
      <c r="Z98">
        <v>68408.114763913662</v>
      </c>
      <c r="AA98">
        <v>68408.114763913662</v>
      </c>
      <c r="AB98">
        <v>68408.114763913662</v>
      </c>
      <c r="AC98">
        <v>68408.114763913662</v>
      </c>
      <c r="AD98">
        <v>68408.114763913662</v>
      </c>
      <c r="AE98">
        <v>68408.114763913662</v>
      </c>
      <c r="AF98">
        <v>68408.114763913662</v>
      </c>
      <c r="AG98">
        <v>68408.114763913662</v>
      </c>
      <c r="AH98">
        <v>68408.114763913662</v>
      </c>
      <c r="AI98">
        <v>68408.114763913662</v>
      </c>
      <c r="AJ98">
        <v>68408.114763913662</v>
      </c>
      <c r="AK98">
        <v>68408.114763913662</v>
      </c>
      <c r="AL98">
        <v>68408.114763913662</v>
      </c>
      <c r="AM98">
        <v>68408.114763913662</v>
      </c>
      <c r="AN98">
        <v>68408.114763913662</v>
      </c>
      <c r="AO98">
        <v>68408.114763913662</v>
      </c>
      <c r="AP98">
        <v>68408.114763913662</v>
      </c>
      <c r="AQ98">
        <v>68408.114763913662</v>
      </c>
      <c r="AR98">
        <v>68408.114763913662</v>
      </c>
      <c r="AS98">
        <v>68408.114763913662</v>
      </c>
      <c r="AT98">
        <v>68408.114763913662</v>
      </c>
      <c r="AU98">
        <v>68408.114763913662</v>
      </c>
      <c r="AV98">
        <v>68408.114763913662</v>
      </c>
      <c r="AW98">
        <v>68408.114763913662</v>
      </c>
      <c r="AX98">
        <v>68408.114763913662</v>
      </c>
    </row>
    <row r="99" spans="1:50" x14ac:dyDescent="0.2">
      <c r="B99" s="122" t="s">
        <v>10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</row>
    <row r="100" spans="1:50" x14ac:dyDescent="0.2">
      <c r="B100" s="122" t="s">
        <v>12</v>
      </c>
      <c r="C100">
        <v>494318.38009568187</v>
      </c>
      <c r="D100">
        <v>494318.38009568187</v>
      </c>
      <c r="E100">
        <v>494318.38009568187</v>
      </c>
      <c r="F100">
        <v>494318.38009568187</v>
      </c>
      <c r="G100">
        <v>494318.38009568187</v>
      </c>
      <c r="H100">
        <v>494318.38009568187</v>
      </c>
      <c r="I100">
        <v>494318.38009568187</v>
      </c>
      <c r="J100">
        <v>494318.38009568187</v>
      </c>
      <c r="K100">
        <v>494318.38009568187</v>
      </c>
      <c r="L100">
        <v>494318.38009568187</v>
      </c>
      <c r="M100">
        <v>494318.38009568187</v>
      </c>
      <c r="N100">
        <v>494318.38009568187</v>
      </c>
      <c r="O100">
        <v>494318.38009568187</v>
      </c>
      <c r="P100">
        <v>494318.38009568187</v>
      </c>
      <c r="Q100">
        <v>494318.38009568187</v>
      </c>
      <c r="R100">
        <v>494318.38009568187</v>
      </c>
      <c r="S100">
        <v>494318.38009568187</v>
      </c>
      <c r="T100">
        <v>494318.38009568187</v>
      </c>
      <c r="U100">
        <v>494318.38009568187</v>
      </c>
      <c r="V100">
        <v>494318.38009568187</v>
      </c>
      <c r="W100">
        <v>494318.38009568187</v>
      </c>
      <c r="X100">
        <v>494318.38009568187</v>
      </c>
      <c r="Y100">
        <v>494318.38009568187</v>
      </c>
      <c r="Z100">
        <v>494318.38009568187</v>
      </c>
      <c r="AA100">
        <v>494318.38009568187</v>
      </c>
      <c r="AB100">
        <v>494318.38009568187</v>
      </c>
      <c r="AC100">
        <v>494318.38009568187</v>
      </c>
      <c r="AD100">
        <v>494318.38009568187</v>
      </c>
      <c r="AE100">
        <v>494318.38009568187</v>
      </c>
      <c r="AF100">
        <v>494318.38009568187</v>
      </c>
      <c r="AG100">
        <v>494318.38009568187</v>
      </c>
      <c r="AH100">
        <v>494318.38009568187</v>
      </c>
      <c r="AI100">
        <v>494318.38009568187</v>
      </c>
      <c r="AJ100">
        <v>494318.38009568187</v>
      </c>
      <c r="AK100">
        <v>494318.38009568187</v>
      </c>
      <c r="AL100">
        <v>494318.38009568187</v>
      </c>
      <c r="AM100">
        <v>494318.38009568187</v>
      </c>
      <c r="AN100">
        <v>494318.38009568187</v>
      </c>
      <c r="AO100">
        <v>494318.38009568187</v>
      </c>
      <c r="AP100">
        <v>494318.38009568187</v>
      </c>
      <c r="AQ100">
        <v>494318.38009568187</v>
      </c>
      <c r="AR100">
        <v>494318.38009568187</v>
      </c>
      <c r="AS100">
        <v>494318.38009568187</v>
      </c>
      <c r="AT100">
        <v>494318.38009568187</v>
      </c>
      <c r="AU100">
        <v>494318.38009568187</v>
      </c>
      <c r="AV100">
        <v>494318.38009568187</v>
      </c>
      <c r="AW100">
        <v>494318.38009568187</v>
      </c>
      <c r="AX100">
        <v>494318.38009568187</v>
      </c>
    </row>
    <row r="101" spans="1:50" x14ac:dyDescent="0.2">
      <c r="B101" s="122" t="s">
        <v>22</v>
      </c>
      <c r="C101">
        <v>755768.73670021247</v>
      </c>
      <c r="D101">
        <v>755768.73670021247</v>
      </c>
      <c r="E101">
        <v>755768.73670021247</v>
      </c>
      <c r="F101">
        <v>755768.73670021247</v>
      </c>
      <c r="G101">
        <v>755768.73670021247</v>
      </c>
      <c r="H101">
        <v>755768.73670021247</v>
      </c>
      <c r="I101">
        <v>755768.73670021247</v>
      </c>
      <c r="J101">
        <v>755768.73670021247</v>
      </c>
      <c r="K101">
        <v>755768.73670021247</v>
      </c>
      <c r="L101">
        <v>755768.73670021247</v>
      </c>
      <c r="M101">
        <v>755768.73670021247</v>
      </c>
      <c r="N101">
        <v>755768.73670021247</v>
      </c>
      <c r="O101">
        <v>755768.73670021247</v>
      </c>
      <c r="P101">
        <v>755768.73670021247</v>
      </c>
      <c r="Q101">
        <v>755768.73670021247</v>
      </c>
      <c r="R101">
        <v>755768.73670021247</v>
      </c>
      <c r="S101">
        <v>755768.73670021247</v>
      </c>
      <c r="T101">
        <v>755768.73670021247</v>
      </c>
      <c r="U101">
        <v>755768.73670021247</v>
      </c>
      <c r="V101">
        <v>755768.73670021247</v>
      </c>
      <c r="W101">
        <v>755768.73670021247</v>
      </c>
      <c r="X101">
        <v>755768.73670021247</v>
      </c>
      <c r="Y101">
        <v>755768.73670021247</v>
      </c>
      <c r="Z101">
        <v>755768.73670021247</v>
      </c>
      <c r="AA101">
        <v>755768.73670021247</v>
      </c>
      <c r="AB101">
        <v>755768.73670021247</v>
      </c>
      <c r="AC101">
        <v>755768.73670021247</v>
      </c>
      <c r="AD101">
        <v>755768.73670021247</v>
      </c>
      <c r="AE101">
        <v>755768.73670021247</v>
      </c>
      <c r="AF101">
        <v>755768.73670021247</v>
      </c>
      <c r="AG101">
        <v>755768.73670021247</v>
      </c>
      <c r="AH101">
        <v>755768.73670021247</v>
      </c>
      <c r="AI101">
        <v>755768.73670021247</v>
      </c>
      <c r="AJ101">
        <v>755768.73670021247</v>
      </c>
      <c r="AK101">
        <v>755768.73670021247</v>
      </c>
      <c r="AL101">
        <v>755768.73670021247</v>
      </c>
      <c r="AM101">
        <v>755768.73670021247</v>
      </c>
      <c r="AN101">
        <v>755768.73670021247</v>
      </c>
      <c r="AO101">
        <v>755768.73670021247</v>
      </c>
      <c r="AP101">
        <v>755768.73670021247</v>
      </c>
      <c r="AQ101">
        <v>755768.73670021247</v>
      </c>
      <c r="AR101">
        <v>755768.73670021247</v>
      </c>
      <c r="AS101">
        <v>755768.73670021247</v>
      </c>
      <c r="AT101">
        <v>755768.73670021247</v>
      </c>
      <c r="AU101">
        <v>755768.73670021247</v>
      </c>
      <c r="AV101">
        <v>755768.73670021247</v>
      </c>
      <c r="AW101">
        <v>755768.73670021247</v>
      </c>
      <c r="AX101">
        <v>755768.73670021247</v>
      </c>
    </row>
    <row r="102" spans="1:50" x14ac:dyDescent="0.2">
      <c r="B102" s="122" t="s">
        <v>59</v>
      </c>
      <c r="C102">
        <v>1650420.2458713003</v>
      </c>
      <c r="D102">
        <v>1650420.2458713003</v>
      </c>
      <c r="E102">
        <v>1650420.2458713003</v>
      </c>
      <c r="F102">
        <v>1650420.2458713003</v>
      </c>
      <c r="G102">
        <v>1650420.2458713003</v>
      </c>
      <c r="H102">
        <v>1650420.2458713003</v>
      </c>
      <c r="I102">
        <v>1650420.2458713003</v>
      </c>
      <c r="J102">
        <v>1650420.2458713003</v>
      </c>
      <c r="K102">
        <v>1650420.2458713003</v>
      </c>
      <c r="L102">
        <v>1650420.2458713003</v>
      </c>
      <c r="M102">
        <v>1650420.2458713003</v>
      </c>
      <c r="N102">
        <v>1650420.2458713003</v>
      </c>
      <c r="O102">
        <v>1650420.2458713003</v>
      </c>
      <c r="P102">
        <v>1650420.2458713003</v>
      </c>
      <c r="Q102">
        <v>1650420.2458713003</v>
      </c>
      <c r="R102">
        <v>1650420.2458713003</v>
      </c>
      <c r="S102">
        <v>1650420.2458713003</v>
      </c>
      <c r="T102">
        <v>1650420.2458713003</v>
      </c>
      <c r="U102">
        <v>1650420.2458713003</v>
      </c>
      <c r="V102">
        <v>1650420.2458713003</v>
      </c>
      <c r="W102">
        <v>1650420.2458713003</v>
      </c>
      <c r="X102">
        <v>1650420.2458713003</v>
      </c>
      <c r="Y102">
        <v>1650420.2458713003</v>
      </c>
      <c r="Z102">
        <v>1650420.2458713003</v>
      </c>
      <c r="AA102">
        <v>1650420.2458713003</v>
      </c>
      <c r="AB102">
        <v>1650420.2458713003</v>
      </c>
      <c r="AC102">
        <v>1650420.2458713003</v>
      </c>
      <c r="AD102">
        <v>1650420.2458713003</v>
      </c>
      <c r="AE102">
        <v>1650420.2458713003</v>
      </c>
      <c r="AF102">
        <v>1650420.2458713003</v>
      </c>
      <c r="AG102">
        <v>1650420.2458713003</v>
      </c>
      <c r="AH102">
        <v>1650420.2458713003</v>
      </c>
      <c r="AI102">
        <v>1650420.2458713003</v>
      </c>
      <c r="AJ102">
        <v>1650420.2458713003</v>
      </c>
      <c r="AK102">
        <v>1650420.2458713003</v>
      </c>
      <c r="AL102">
        <v>1650420.2458713003</v>
      </c>
      <c r="AM102">
        <v>1650420.2458713003</v>
      </c>
      <c r="AN102">
        <v>1650420.2458713003</v>
      </c>
      <c r="AO102">
        <v>1650420.2458713003</v>
      </c>
      <c r="AP102">
        <v>1650420.2458713003</v>
      </c>
      <c r="AQ102">
        <v>1650420.2458713003</v>
      </c>
      <c r="AR102">
        <v>1650420.2458713003</v>
      </c>
      <c r="AS102">
        <v>1650420.2458713003</v>
      </c>
      <c r="AT102">
        <v>1650420.2458713003</v>
      </c>
      <c r="AU102">
        <v>1650420.2458713003</v>
      </c>
      <c r="AV102">
        <v>1650420.2458713003</v>
      </c>
      <c r="AW102">
        <v>1650420.2458713003</v>
      </c>
      <c r="AX102">
        <v>1650420.2458713003</v>
      </c>
    </row>
    <row r="103" spans="1:50" x14ac:dyDescent="0.2">
      <c r="B103" t="s">
        <v>278</v>
      </c>
      <c r="C103" s="122">
        <f>SUM(C$98:C$102)</f>
        <v>2968915.4774311082</v>
      </c>
      <c r="D103" s="122">
        <f t="shared" ref="D103:AX103" si="5">SUM(D$98:D$102)</f>
        <v>2968915.4774311082</v>
      </c>
      <c r="E103" s="122">
        <f t="shared" si="5"/>
        <v>2968915.4774311082</v>
      </c>
      <c r="F103" s="122">
        <f t="shared" si="5"/>
        <v>2968915.4774311082</v>
      </c>
      <c r="G103" s="122">
        <f t="shared" si="5"/>
        <v>2968915.4774311082</v>
      </c>
      <c r="H103" s="122">
        <f t="shared" si="5"/>
        <v>2968915.4774311082</v>
      </c>
      <c r="I103" s="122">
        <f t="shared" si="5"/>
        <v>2968915.4774311082</v>
      </c>
      <c r="J103" s="122">
        <f t="shared" si="5"/>
        <v>2968915.4774311082</v>
      </c>
      <c r="K103" s="122">
        <f t="shared" si="5"/>
        <v>2968915.4774311082</v>
      </c>
      <c r="L103" s="122">
        <f t="shared" si="5"/>
        <v>2968915.4774311082</v>
      </c>
      <c r="M103" s="122">
        <f t="shared" si="5"/>
        <v>2968915.4774311082</v>
      </c>
      <c r="N103" s="122">
        <f t="shared" si="5"/>
        <v>2968915.4774311082</v>
      </c>
      <c r="O103" s="122">
        <f t="shared" si="5"/>
        <v>2968915.4774311082</v>
      </c>
      <c r="P103" s="122">
        <f t="shared" si="5"/>
        <v>2968915.4774311082</v>
      </c>
      <c r="Q103" s="122">
        <f t="shared" si="5"/>
        <v>2968915.4774311082</v>
      </c>
      <c r="R103" s="122">
        <f t="shared" si="5"/>
        <v>2968915.4774311082</v>
      </c>
      <c r="S103" s="122">
        <f t="shared" si="5"/>
        <v>2968915.4774311082</v>
      </c>
      <c r="T103" s="122">
        <f t="shared" si="5"/>
        <v>2968915.4774311082</v>
      </c>
      <c r="U103" s="122">
        <f t="shared" si="5"/>
        <v>2968915.4774311082</v>
      </c>
      <c r="V103" s="122">
        <f t="shared" si="5"/>
        <v>2968915.4774311082</v>
      </c>
      <c r="W103" s="122">
        <f t="shared" si="5"/>
        <v>2968915.4774311082</v>
      </c>
      <c r="X103" s="122">
        <f t="shared" si="5"/>
        <v>2968915.4774311082</v>
      </c>
      <c r="Y103" s="122">
        <f t="shared" si="5"/>
        <v>2968915.4774311082</v>
      </c>
      <c r="Z103" s="122">
        <f t="shared" si="5"/>
        <v>2968915.4774311082</v>
      </c>
      <c r="AA103" s="122">
        <f t="shared" si="5"/>
        <v>2968915.4774311082</v>
      </c>
      <c r="AB103" s="122">
        <f t="shared" si="5"/>
        <v>2968915.4774311082</v>
      </c>
      <c r="AC103" s="122">
        <f t="shared" si="5"/>
        <v>2968915.4774311082</v>
      </c>
      <c r="AD103" s="122">
        <f t="shared" si="5"/>
        <v>2968915.4774311082</v>
      </c>
      <c r="AE103" s="122">
        <f t="shared" si="5"/>
        <v>2968915.4774311082</v>
      </c>
      <c r="AF103" s="122">
        <f t="shared" si="5"/>
        <v>2968915.4774311082</v>
      </c>
      <c r="AG103" s="122">
        <f t="shared" si="5"/>
        <v>2968915.4774311082</v>
      </c>
      <c r="AH103" s="122">
        <f t="shared" si="5"/>
        <v>2968915.4774311082</v>
      </c>
      <c r="AI103" s="122">
        <f t="shared" si="5"/>
        <v>2968915.4774311082</v>
      </c>
      <c r="AJ103" s="122">
        <f t="shared" si="5"/>
        <v>2968915.4774311082</v>
      </c>
      <c r="AK103" s="122">
        <f t="shared" si="5"/>
        <v>2968915.4774311082</v>
      </c>
      <c r="AL103" s="122">
        <f t="shared" si="5"/>
        <v>2968915.4774311082</v>
      </c>
      <c r="AM103" s="122">
        <f t="shared" si="5"/>
        <v>2968915.4774311082</v>
      </c>
      <c r="AN103" s="122">
        <f t="shared" si="5"/>
        <v>2968915.4774311082</v>
      </c>
      <c r="AO103" s="122">
        <f t="shared" si="5"/>
        <v>2968915.4774311082</v>
      </c>
      <c r="AP103" s="122">
        <f t="shared" si="5"/>
        <v>2968915.4774311082</v>
      </c>
      <c r="AQ103" s="122">
        <f t="shared" si="5"/>
        <v>2968915.4774311082</v>
      </c>
      <c r="AR103" s="122">
        <f t="shared" si="5"/>
        <v>2968915.4774311082</v>
      </c>
      <c r="AS103" s="122">
        <f t="shared" si="5"/>
        <v>2968915.4774311082</v>
      </c>
      <c r="AT103" s="122">
        <f t="shared" si="5"/>
        <v>2968915.4774311082</v>
      </c>
      <c r="AU103" s="122">
        <f t="shared" si="5"/>
        <v>2968915.4774311082</v>
      </c>
      <c r="AV103" s="122">
        <f t="shared" si="5"/>
        <v>2968915.4774311082</v>
      </c>
      <c r="AW103" s="122">
        <f t="shared" si="5"/>
        <v>2968915.4774311082</v>
      </c>
      <c r="AX103" s="122">
        <f t="shared" si="5"/>
        <v>2968915.4774311082</v>
      </c>
    </row>
    <row r="104" spans="1:50" x14ac:dyDescent="0.2">
      <c r="A104" s="122" t="s">
        <v>105</v>
      </c>
      <c r="B104" s="122" t="s">
        <v>5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</row>
    <row r="105" spans="1:50" x14ac:dyDescent="0.2">
      <c r="B105" s="122" t="s">
        <v>10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</row>
    <row r="106" spans="1:50" x14ac:dyDescent="0.2">
      <c r="B106" s="122" t="s">
        <v>12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</row>
    <row r="107" spans="1:50" x14ac:dyDescent="0.2">
      <c r="B107" s="122" t="s">
        <v>22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</row>
    <row r="108" spans="1:50" x14ac:dyDescent="0.2">
      <c r="B108" s="122" t="s">
        <v>59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</row>
    <row r="109" spans="1:50" x14ac:dyDescent="0.2">
      <c r="B109" s="119" t="s">
        <v>278</v>
      </c>
      <c r="C109" s="122">
        <f>SUM(C$104:C$108)</f>
        <v>0</v>
      </c>
      <c r="D109" s="122">
        <f t="shared" ref="D109:AX109" si="6">SUM(D$104:D$108)</f>
        <v>0</v>
      </c>
      <c r="E109" s="122">
        <f t="shared" si="6"/>
        <v>0</v>
      </c>
      <c r="F109" s="122">
        <f t="shared" si="6"/>
        <v>0</v>
      </c>
      <c r="G109" s="122">
        <f t="shared" si="6"/>
        <v>0</v>
      </c>
      <c r="H109" s="122">
        <f t="shared" si="6"/>
        <v>0</v>
      </c>
      <c r="I109" s="122">
        <f t="shared" si="6"/>
        <v>0</v>
      </c>
      <c r="J109" s="122">
        <f t="shared" si="6"/>
        <v>0</v>
      </c>
      <c r="K109" s="122">
        <f t="shared" si="6"/>
        <v>0</v>
      </c>
      <c r="L109" s="122">
        <f t="shared" si="6"/>
        <v>0</v>
      </c>
      <c r="M109" s="122">
        <f t="shared" si="6"/>
        <v>0</v>
      </c>
      <c r="N109" s="122">
        <f t="shared" si="6"/>
        <v>0</v>
      </c>
      <c r="O109" s="122">
        <f t="shared" si="6"/>
        <v>0</v>
      </c>
      <c r="P109" s="122">
        <f t="shared" si="6"/>
        <v>0</v>
      </c>
      <c r="Q109" s="122">
        <f t="shared" si="6"/>
        <v>0</v>
      </c>
      <c r="R109" s="122">
        <f t="shared" si="6"/>
        <v>0</v>
      </c>
      <c r="S109" s="122">
        <f t="shared" si="6"/>
        <v>0</v>
      </c>
      <c r="T109" s="122">
        <f t="shared" si="6"/>
        <v>0</v>
      </c>
      <c r="U109" s="122">
        <f t="shared" si="6"/>
        <v>0</v>
      </c>
      <c r="V109" s="122">
        <f t="shared" si="6"/>
        <v>0</v>
      </c>
      <c r="W109" s="122">
        <f t="shared" si="6"/>
        <v>0</v>
      </c>
      <c r="X109" s="122">
        <f t="shared" si="6"/>
        <v>0</v>
      </c>
      <c r="Y109" s="122">
        <f t="shared" si="6"/>
        <v>0</v>
      </c>
      <c r="Z109" s="122">
        <f t="shared" si="6"/>
        <v>0</v>
      </c>
      <c r="AA109" s="122">
        <f t="shared" si="6"/>
        <v>0</v>
      </c>
      <c r="AB109" s="122">
        <f t="shared" si="6"/>
        <v>0</v>
      </c>
      <c r="AC109" s="122">
        <f t="shared" si="6"/>
        <v>0</v>
      </c>
      <c r="AD109" s="122">
        <f t="shared" si="6"/>
        <v>0</v>
      </c>
      <c r="AE109" s="122">
        <f t="shared" si="6"/>
        <v>0</v>
      </c>
      <c r="AF109" s="122">
        <f t="shared" si="6"/>
        <v>0</v>
      </c>
      <c r="AG109" s="122">
        <f t="shared" si="6"/>
        <v>0</v>
      </c>
      <c r="AH109" s="122">
        <f t="shared" si="6"/>
        <v>0</v>
      </c>
      <c r="AI109" s="122">
        <f t="shared" si="6"/>
        <v>0</v>
      </c>
      <c r="AJ109" s="122">
        <f t="shared" si="6"/>
        <v>0</v>
      </c>
      <c r="AK109" s="122">
        <f t="shared" si="6"/>
        <v>0</v>
      </c>
      <c r="AL109" s="122">
        <f t="shared" si="6"/>
        <v>0</v>
      </c>
      <c r="AM109" s="122">
        <f t="shared" si="6"/>
        <v>0</v>
      </c>
      <c r="AN109" s="122">
        <f t="shared" si="6"/>
        <v>0</v>
      </c>
      <c r="AO109" s="122">
        <f t="shared" si="6"/>
        <v>0</v>
      </c>
      <c r="AP109" s="122">
        <f t="shared" si="6"/>
        <v>0</v>
      </c>
      <c r="AQ109" s="122">
        <f t="shared" si="6"/>
        <v>0</v>
      </c>
      <c r="AR109" s="122">
        <f t="shared" si="6"/>
        <v>0</v>
      </c>
      <c r="AS109" s="122">
        <f t="shared" si="6"/>
        <v>0</v>
      </c>
      <c r="AT109" s="122">
        <f t="shared" si="6"/>
        <v>0</v>
      </c>
      <c r="AU109" s="122">
        <f t="shared" si="6"/>
        <v>0</v>
      </c>
      <c r="AV109" s="122">
        <f t="shared" si="6"/>
        <v>0</v>
      </c>
      <c r="AW109" s="122">
        <f t="shared" si="6"/>
        <v>0</v>
      </c>
      <c r="AX109" s="122">
        <f t="shared" si="6"/>
        <v>0</v>
      </c>
    </row>
    <row r="110" spans="1:50" x14ac:dyDescent="0.2">
      <c r="A110" s="122" t="s">
        <v>106</v>
      </c>
      <c r="B110" s="122" t="s">
        <v>5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</row>
    <row r="111" spans="1:50" x14ac:dyDescent="0.2">
      <c r="B111" s="122" t="s">
        <v>10</v>
      </c>
      <c r="C111">
        <v>147457.99963698629</v>
      </c>
      <c r="D111">
        <v>147457.99963698629</v>
      </c>
      <c r="E111">
        <v>147457.99963698629</v>
      </c>
      <c r="F111">
        <v>147457.99963698629</v>
      </c>
      <c r="G111">
        <v>94797.401173208855</v>
      </c>
      <c r="H111">
        <v>147457.99963698629</v>
      </c>
      <c r="I111">
        <v>23802.226390983178</v>
      </c>
      <c r="J111">
        <v>147457.99963698629</v>
      </c>
      <c r="K111">
        <v>147457.99963698629</v>
      </c>
      <c r="L111">
        <v>147457.99963698629</v>
      </c>
      <c r="M111">
        <v>147457.99963698629</v>
      </c>
      <c r="N111">
        <v>147457.99963698629</v>
      </c>
      <c r="O111">
        <v>147457.99963698629</v>
      </c>
      <c r="P111">
        <v>147457.99963698629</v>
      </c>
      <c r="Q111">
        <v>147457.99963698629</v>
      </c>
      <c r="R111">
        <v>147457.99963698629</v>
      </c>
      <c r="S111">
        <v>147457.99963698629</v>
      </c>
      <c r="T111">
        <v>147457.99963698629</v>
      </c>
      <c r="U111">
        <v>147457.99963698629</v>
      </c>
      <c r="V111">
        <v>147457.99963698629</v>
      </c>
      <c r="W111">
        <v>147457.99963698629</v>
      </c>
      <c r="X111">
        <v>147457.99963698629</v>
      </c>
      <c r="Y111">
        <v>147457.99963698629</v>
      </c>
      <c r="Z111">
        <v>147457.99963698629</v>
      </c>
      <c r="AA111">
        <v>147457.99963698629</v>
      </c>
      <c r="AB111">
        <v>147457.99963698629</v>
      </c>
      <c r="AC111">
        <v>147457.99963698629</v>
      </c>
      <c r="AD111">
        <v>147457.99963698629</v>
      </c>
      <c r="AE111">
        <v>147457.99963698629</v>
      </c>
      <c r="AF111">
        <v>147457.99963698629</v>
      </c>
      <c r="AG111">
        <v>147457.99963698629</v>
      </c>
      <c r="AH111">
        <v>147457.99963698629</v>
      </c>
      <c r="AI111">
        <v>25101.725971582797</v>
      </c>
      <c r="AJ111">
        <v>147457.99963698629</v>
      </c>
      <c r="AK111">
        <v>147457.99963698629</v>
      </c>
      <c r="AL111">
        <v>147457.99963698629</v>
      </c>
      <c r="AM111">
        <v>147457.99963698629</v>
      </c>
      <c r="AN111">
        <v>147457.99963698629</v>
      </c>
      <c r="AO111">
        <v>147457.99963698629</v>
      </c>
      <c r="AP111">
        <v>101714.96384070809</v>
      </c>
      <c r="AQ111">
        <v>101897.25465748254</v>
      </c>
      <c r="AR111">
        <v>102078.31262387497</v>
      </c>
      <c r="AS111">
        <v>102258.10852364427</v>
      </c>
      <c r="AT111">
        <v>102436.61334933739</v>
      </c>
      <c r="AU111">
        <v>102613.79830749588</v>
      </c>
      <c r="AV111">
        <v>25697.408705956768</v>
      </c>
      <c r="AW111">
        <v>147457.99963698629</v>
      </c>
      <c r="AX111">
        <v>147457.99963698629</v>
      </c>
    </row>
    <row r="112" spans="1:50" x14ac:dyDescent="0.2">
      <c r="B112" s="122" t="s">
        <v>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</row>
    <row r="113" spans="1:50" x14ac:dyDescent="0.2">
      <c r="B113" s="122" t="s">
        <v>22</v>
      </c>
      <c r="C113">
        <v>47318.33757007149</v>
      </c>
      <c r="D113">
        <v>47318.33757007149</v>
      </c>
      <c r="E113">
        <v>47318.33757007149</v>
      </c>
      <c r="F113">
        <v>47318.33757007149</v>
      </c>
      <c r="G113">
        <v>30419.885259004062</v>
      </c>
      <c r="H113">
        <v>47318.33757007149</v>
      </c>
      <c r="I113">
        <v>7637.9836025207105</v>
      </c>
      <c r="J113">
        <v>47318.33757007149</v>
      </c>
      <c r="K113">
        <v>47318.33757007149</v>
      </c>
      <c r="L113">
        <v>47318.33757007149</v>
      </c>
      <c r="M113">
        <v>47318.33757007149</v>
      </c>
      <c r="N113">
        <v>47318.33757007149</v>
      </c>
      <c r="O113">
        <v>47318.33757007149</v>
      </c>
      <c r="P113">
        <v>47318.33757007149</v>
      </c>
      <c r="Q113">
        <v>47318.33757007149</v>
      </c>
      <c r="R113">
        <v>47318.33757007149</v>
      </c>
      <c r="S113">
        <v>47318.33757007149</v>
      </c>
      <c r="T113">
        <v>47318.33757007149</v>
      </c>
      <c r="U113">
        <v>47318.33757007149</v>
      </c>
      <c r="V113">
        <v>47318.33757007149</v>
      </c>
      <c r="W113">
        <v>47318.33757007149</v>
      </c>
      <c r="X113">
        <v>47318.33757007149</v>
      </c>
      <c r="Y113">
        <v>47318.33757007149</v>
      </c>
      <c r="Z113">
        <v>47318.33757007149</v>
      </c>
      <c r="AA113">
        <v>47318.33757007149</v>
      </c>
      <c r="AB113">
        <v>47318.33757007149</v>
      </c>
      <c r="AC113">
        <v>47318.33757007149</v>
      </c>
      <c r="AD113">
        <v>47318.33757007149</v>
      </c>
      <c r="AE113">
        <v>47318.33757007149</v>
      </c>
      <c r="AF113">
        <v>47318.33757007149</v>
      </c>
      <c r="AG113">
        <v>47318.33757007149</v>
      </c>
      <c r="AH113">
        <v>47318.33757007149</v>
      </c>
      <c r="AI113">
        <v>8054.9847823709479</v>
      </c>
      <c r="AJ113">
        <v>47318.33757007149</v>
      </c>
      <c r="AK113">
        <v>47318.33757007149</v>
      </c>
      <c r="AL113">
        <v>47318.33757007149</v>
      </c>
      <c r="AM113">
        <v>47318.33757007149</v>
      </c>
      <c r="AN113">
        <v>47318.33757007149</v>
      </c>
      <c r="AO113">
        <v>47318.33757007149</v>
      </c>
      <c r="AP113">
        <v>32639.687279027879</v>
      </c>
      <c r="AQ113">
        <v>32698.18324686477</v>
      </c>
      <c r="AR113">
        <v>32756.283600827253</v>
      </c>
      <c r="AS113">
        <v>32813.978965608694</v>
      </c>
      <c r="AT113">
        <v>32871.260032901264</v>
      </c>
      <c r="AU113">
        <v>32928.117563066618</v>
      </c>
      <c r="AV113">
        <v>8246.1355966988303</v>
      </c>
      <c r="AW113">
        <v>47318.33757007149</v>
      </c>
      <c r="AX113">
        <v>47318.33757007149</v>
      </c>
    </row>
    <row r="114" spans="1:50" x14ac:dyDescent="0.2">
      <c r="B114" s="122" t="s">
        <v>59</v>
      </c>
      <c r="C114">
        <v>124488.82578045217</v>
      </c>
      <c r="D114">
        <v>124488.82578045217</v>
      </c>
      <c r="E114">
        <v>124488.82578045217</v>
      </c>
      <c r="F114">
        <v>124488.82578045217</v>
      </c>
      <c r="G114">
        <v>80031.040622710148</v>
      </c>
      <c r="H114">
        <v>124488.82578045217</v>
      </c>
      <c r="I114">
        <v>20094.61149390745</v>
      </c>
      <c r="J114">
        <v>124488.82578045217</v>
      </c>
      <c r="K114">
        <v>124488.82578045217</v>
      </c>
      <c r="L114">
        <v>124488.82578045217</v>
      </c>
      <c r="M114">
        <v>124488.82578045217</v>
      </c>
      <c r="N114">
        <v>124488.82578045217</v>
      </c>
      <c r="O114">
        <v>124488.82578045217</v>
      </c>
      <c r="P114">
        <v>124488.82578045217</v>
      </c>
      <c r="Q114">
        <v>124488.82578045217</v>
      </c>
      <c r="R114">
        <v>124488.82578045217</v>
      </c>
      <c r="S114">
        <v>124488.82578045217</v>
      </c>
      <c r="T114">
        <v>124488.82578045217</v>
      </c>
      <c r="U114">
        <v>124488.82578045217</v>
      </c>
      <c r="V114">
        <v>124488.82578045217</v>
      </c>
      <c r="W114">
        <v>124488.82578045217</v>
      </c>
      <c r="X114">
        <v>124488.82578045217</v>
      </c>
      <c r="Y114">
        <v>124488.82578045217</v>
      </c>
      <c r="Z114">
        <v>124488.82578045217</v>
      </c>
      <c r="AA114">
        <v>124488.82578045217</v>
      </c>
      <c r="AB114">
        <v>124488.82578045217</v>
      </c>
      <c r="AC114">
        <v>124488.82578045217</v>
      </c>
      <c r="AD114">
        <v>124488.82578045217</v>
      </c>
      <c r="AE114">
        <v>124488.82578045217</v>
      </c>
      <c r="AF114">
        <v>124488.82578045217</v>
      </c>
      <c r="AG114">
        <v>124488.82578045217</v>
      </c>
      <c r="AH114">
        <v>124488.82578045217</v>
      </c>
      <c r="AI114">
        <v>21191.691186357446</v>
      </c>
      <c r="AJ114">
        <v>124488.82578045217</v>
      </c>
      <c r="AK114">
        <v>124488.82578045217</v>
      </c>
      <c r="AL114">
        <v>124488.82578045217</v>
      </c>
      <c r="AM114">
        <v>124488.82578045217</v>
      </c>
      <c r="AN114">
        <v>124488.82578045217</v>
      </c>
      <c r="AO114">
        <v>124488.82578045217</v>
      </c>
      <c r="AP114">
        <v>85871.071383060087</v>
      </c>
      <c r="AQ114">
        <v>86024.967202796412</v>
      </c>
      <c r="AR114">
        <v>86177.822210255355</v>
      </c>
      <c r="AS114">
        <v>86329.611740138585</v>
      </c>
      <c r="AT114">
        <v>86480.311303413444</v>
      </c>
      <c r="AU114">
        <v>86629.896591708472</v>
      </c>
      <c r="AV114">
        <v>21694.585870419771</v>
      </c>
      <c r="AW114">
        <v>124488.82578045217</v>
      </c>
      <c r="AX114">
        <v>124488.82578045217</v>
      </c>
    </row>
    <row r="115" spans="1:50" x14ac:dyDescent="0.2">
      <c r="B115" t="s">
        <v>278</v>
      </c>
      <c r="C115" s="122">
        <f>SUM(C$110:C$114)</f>
        <v>319265.16298750998</v>
      </c>
      <c r="D115" s="122">
        <f t="shared" ref="D115:AX115" si="7">SUM(D$110:D$114)</f>
        <v>319265.16298750998</v>
      </c>
      <c r="E115" s="122">
        <f t="shared" si="7"/>
        <v>319265.16298750998</v>
      </c>
      <c r="F115" s="122">
        <f t="shared" si="7"/>
        <v>319265.16298750998</v>
      </c>
      <c r="G115" s="122">
        <f t="shared" si="7"/>
        <v>205248.32705492305</v>
      </c>
      <c r="H115" s="122">
        <f t="shared" si="7"/>
        <v>319265.16298750998</v>
      </c>
      <c r="I115" s="122">
        <f t="shared" si="7"/>
        <v>51534.82148741134</v>
      </c>
      <c r="J115" s="122">
        <f t="shared" si="7"/>
        <v>319265.16298750998</v>
      </c>
      <c r="K115" s="122">
        <f t="shared" si="7"/>
        <v>319265.16298750998</v>
      </c>
      <c r="L115" s="122">
        <f t="shared" si="7"/>
        <v>319265.16298750998</v>
      </c>
      <c r="M115" s="122">
        <f t="shared" si="7"/>
        <v>319265.16298750998</v>
      </c>
      <c r="N115" s="122">
        <f t="shared" si="7"/>
        <v>319265.16298750998</v>
      </c>
      <c r="O115" s="122">
        <f t="shared" si="7"/>
        <v>319265.16298750998</v>
      </c>
      <c r="P115" s="122">
        <f t="shared" si="7"/>
        <v>319265.16298750998</v>
      </c>
      <c r="Q115" s="122">
        <f t="shared" si="7"/>
        <v>319265.16298750998</v>
      </c>
      <c r="R115" s="122">
        <f t="shared" si="7"/>
        <v>319265.16298750998</v>
      </c>
      <c r="S115" s="122">
        <f t="shared" si="7"/>
        <v>319265.16298750998</v>
      </c>
      <c r="T115" s="122">
        <f t="shared" si="7"/>
        <v>319265.16298750998</v>
      </c>
      <c r="U115" s="122">
        <f t="shared" si="7"/>
        <v>319265.16298750998</v>
      </c>
      <c r="V115" s="122">
        <f t="shared" si="7"/>
        <v>319265.16298750998</v>
      </c>
      <c r="W115" s="122">
        <f t="shared" si="7"/>
        <v>319265.16298750998</v>
      </c>
      <c r="X115" s="122">
        <f t="shared" si="7"/>
        <v>319265.16298750998</v>
      </c>
      <c r="Y115" s="122">
        <f t="shared" si="7"/>
        <v>319265.16298750998</v>
      </c>
      <c r="Z115" s="122">
        <f t="shared" si="7"/>
        <v>319265.16298750998</v>
      </c>
      <c r="AA115" s="122">
        <f t="shared" si="7"/>
        <v>319265.16298750998</v>
      </c>
      <c r="AB115" s="122">
        <f t="shared" si="7"/>
        <v>319265.16298750998</v>
      </c>
      <c r="AC115" s="122">
        <f t="shared" si="7"/>
        <v>319265.16298750998</v>
      </c>
      <c r="AD115" s="122">
        <f t="shared" si="7"/>
        <v>319265.16298750998</v>
      </c>
      <c r="AE115" s="122">
        <f t="shared" si="7"/>
        <v>319265.16298750998</v>
      </c>
      <c r="AF115" s="122">
        <f t="shared" si="7"/>
        <v>319265.16298750998</v>
      </c>
      <c r="AG115" s="122">
        <f t="shared" si="7"/>
        <v>319265.16298750998</v>
      </c>
      <c r="AH115" s="122">
        <f t="shared" si="7"/>
        <v>319265.16298750998</v>
      </c>
      <c r="AI115" s="122">
        <f t="shared" si="7"/>
        <v>54348.401940311189</v>
      </c>
      <c r="AJ115" s="122">
        <f t="shared" si="7"/>
        <v>319265.16298750998</v>
      </c>
      <c r="AK115" s="122">
        <f t="shared" si="7"/>
        <v>319265.16298750998</v>
      </c>
      <c r="AL115" s="122">
        <f t="shared" si="7"/>
        <v>319265.16298750998</v>
      </c>
      <c r="AM115" s="122">
        <f t="shared" si="7"/>
        <v>319265.16298750998</v>
      </c>
      <c r="AN115" s="122">
        <f t="shared" si="7"/>
        <v>319265.16298750998</v>
      </c>
      <c r="AO115" s="122">
        <f t="shared" si="7"/>
        <v>319265.16298750998</v>
      </c>
      <c r="AP115" s="122">
        <f t="shared" si="7"/>
        <v>220225.72250279604</v>
      </c>
      <c r="AQ115" s="122">
        <f t="shared" si="7"/>
        <v>220620.40510714374</v>
      </c>
      <c r="AR115" s="122">
        <f t="shared" si="7"/>
        <v>221012.41843495757</v>
      </c>
      <c r="AS115" s="122">
        <f t="shared" si="7"/>
        <v>221401.69922939155</v>
      </c>
      <c r="AT115" s="122">
        <f t="shared" si="7"/>
        <v>221788.18468565212</v>
      </c>
      <c r="AU115" s="122">
        <f t="shared" si="7"/>
        <v>222171.81246227096</v>
      </c>
      <c r="AV115" s="122">
        <f t="shared" si="7"/>
        <v>55638.130173075377</v>
      </c>
      <c r="AW115" s="122">
        <f t="shared" si="7"/>
        <v>319265.16298750998</v>
      </c>
      <c r="AX115" s="122">
        <f t="shared" si="7"/>
        <v>319265.16298750998</v>
      </c>
    </row>
    <row r="116" spans="1:50" x14ac:dyDescent="0.2">
      <c r="A116" s="122" t="s">
        <v>107</v>
      </c>
      <c r="B116" s="122" t="s">
        <v>5</v>
      </c>
      <c r="C116">
        <v>1450813.1906704321</v>
      </c>
      <c r="D116">
        <v>1450813.1906704321</v>
      </c>
      <c r="E116">
        <v>1450813.1906704321</v>
      </c>
      <c r="F116">
        <v>1450813.1906704321</v>
      </c>
      <c r="G116">
        <v>1450813.1906704321</v>
      </c>
      <c r="H116">
        <v>1450813.1906704321</v>
      </c>
      <c r="I116">
        <v>1450813.1906704321</v>
      </c>
      <c r="J116">
        <v>1450813.1906704321</v>
      </c>
      <c r="K116">
        <v>1450813.1906704321</v>
      </c>
      <c r="L116">
        <v>1450813.1906704321</v>
      </c>
      <c r="M116">
        <v>1450813.1906704321</v>
      </c>
      <c r="N116">
        <v>1450813.1906704321</v>
      </c>
      <c r="O116">
        <v>1450813.1906704321</v>
      </c>
      <c r="P116">
        <v>1450813.1906704321</v>
      </c>
      <c r="Q116">
        <v>1450813.1906704321</v>
      </c>
      <c r="R116">
        <v>1450813.1906704321</v>
      </c>
      <c r="S116">
        <v>1450813.1906704321</v>
      </c>
      <c r="T116">
        <v>1450813.1906704321</v>
      </c>
      <c r="U116">
        <v>1450813.1906704321</v>
      </c>
      <c r="V116">
        <v>1450813.1906704321</v>
      </c>
      <c r="W116">
        <v>1450813.1906704321</v>
      </c>
      <c r="X116">
        <v>1450813.1906704321</v>
      </c>
      <c r="Y116">
        <v>1450813.1906704321</v>
      </c>
      <c r="Z116">
        <v>1450813.1906704321</v>
      </c>
      <c r="AA116">
        <v>1450813.1906704321</v>
      </c>
      <c r="AB116">
        <v>1132712.1709888065</v>
      </c>
      <c r="AC116">
        <v>1134957.9058505453</v>
      </c>
      <c r="AD116">
        <v>1450813.1906704321</v>
      </c>
      <c r="AE116">
        <v>1450813.1906704321</v>
      </c>
      <c r="AF116">
        <v>1450813.1906704321</v>
      </c>
      <c r="AG116">
        <v>1450813.1906704321</v>
      </c>
      <c r="AH116">
        <v>1450813.1906704321</v>
      </c>
      <c r="AI116">
        <v>1450813.1906704321</v>
      </c>
      <c r="AJ116">
        <v>1450813.1906704321</v>
      </c>
      <c r="AK116">
        <v>1450813.1906704321</v>
      </c>
      <c r="AL116">
        <v>1450813.1906704321</v>
      </c>
      <c r="AM116">
        <v>1450813.1906704321</v>
      </c>
      <c r="AN116">
        <v>1450813.1906704321</v>
      </c>
      <c r="AO116">
        <v>1161086.6685825477</v>
      </c>
      <c r="AP116">
        <v>1163185.0596058744</v>
      </c>
      <c r="AQ116">
        <v>1165269.6885195461</v>
      </c>
      <c r="AR116">
        <v>1167340.218886741</v>
      </c>
      <c r="AS116">
        <v>1169396.3165983576</v>
      </c>
      <c r="AT116">
        <v>669392.94281882222</v>
      </c>
      <c r="AU116">
        <v>670550.7940664076</v>
      </c>
      <c r="AV116">
        <v>671699.8336458453</v>
      </c>
      <c r="AW116">
        <v>1450813.1906704321</v>
      </c>
      <c r="AX116">
        <v>1450813.1906704321</v>
      </c>
    </row>
    <row r="117" spans="1:50" x14ac:dyDescent="0.2">
      <c r="B117" s="122" t="s">
        <v>10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</row>
    <row r="118" spans="1:50" x14ac:dyDescent="0.2">
      <c r="B118" s="122" t="s">
        <v>12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</row>
    <row r="119" spans="1:50" x14ac:dyDescent="0.2">
      <c r="B119" s="122" t="s">
        <v>22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</row>
    <row r="120" spans="1:50" x14ac:dyDescent="0.2">
      <c r="B120" s="122" t="s">
        <v>59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</row>
    <row r="121" spans="1:50" x14ac:dyDescent="0.2">
      <c r="B121" t="s">
        <v>278</v>
      </c>
      <c r="C121" s="122">
        <f>SUM(C$116:C$120)</f>
        <v>1450813.1906704321</v>
      </c>
      <c r="D121" s="122">
        <f t="shared" ref="D121:AX121" si="8">SUM(D$116:D$120)</f>
        <v>1450813.1906704321</v>
      </c>
      <c r="E121" s="122">
        <f t="shared" si="8"/>
        <v>1450813.1906704321</v>
      </c>
      <c r="F121" s="122">
        <f t="shared" si="8"/>
        <v>1450813.1906704321</v>
      </c>
      <c r="G121" s="122">
        <f t="shared" si="8"/>
        <v>1450813.1906704321</v>
      </c>
      <c r="H121" s="122">
        <f t="shared" si="8"/>
        <v>1450813.1906704321</v>
      </c>
      <c r="I121" s="122">
        <f t="shared" si="8"/>
        <v>1450813.1906704321</v>
      </c>
      <c r="J121" s="122">
        <f t="shared" si="8"/>
        <v>1450813.1906704321</v>
      </c>
      <c r="K121" s="122">
        <f t="shared" si="8"/>
        <v>1450813.1906704321</v>
      </c>
      <c r="L121" s="122">
        <f t="shared" si="8"/>
        <v>1450813.1906704321</v>
      </c>
      <c r="M121" s="122">
        <f t="shared" si="8"/>
        <v>1450813.1906704321</v>
      </c>
      <c r="N121" s="122">
        <f t="shared" si="8"/>
        <v>1450813.1906704321</v>
      </c>
      <c r="O121" s="122">
        <f t="shared" si="8"/>
        <v>1450813.1906704321</v>
      </c>
      <c r="P121" s="122">
        <f t="shared" si="8"/>
        <v>1450813.1906704321</v>
      </c>
      <c r="Q121" s="122">
        <f t="shared" si="8"/>
        <v>1450813.1906704321</v>
      </c>
      <c r="R121" s="122">
        <f t="shared" si="8"/>
        <v>1450813.1906704321</v>
      </c>
      <c r="S121" s="122">
        <f t="shared" si="8"/>
        <v>1450813.1906704321</v>
      </c>
      <c r="T121" s="122">
        <f t="shared" si="8"/>
        <v>1450813.1906704321</v>
      </c>
      <c r="U121" s="122">
        <f t="shared" si="8"/>
        <v>1450813.1906704321</v>
      </c>
      <c r="V121" s="122">
        <f t="shared" si="8"/>
        <v>1450813.1906704321</v>
      </c>
      <c r="W121" s="122">
        <f t="shared" si="8"/>
        <v>1450813.1906704321</v>
      </c>
      <c r="X121" s="122">
        <f t="shared" si="8"/>
        <v>1450813.1906704321</v>
      </c>
      <c r="Y121" s="122">
        <f t="shared" si="8"/>
        <v>1450813.1906704321</v>
      </c>
      <c r="Z121" s="122">
        <f t="shared" si="8"/>
        <v>1450813.1906704321</v>
      </c>
      <c r="AA121" s="122">
        <f t="shared" si="8"/>
        <v>1450813.1906704321</v>
      </c>
      <c r="AB121" s="122">
        <f t="shared" si="8"/>
        <v>1132712.1709888065</v>
      </c>
      <c r="AC121" s="122">
        <f t="shared" si="8"/>
        <v>1134957.9058505453</v>
      </c>
      <c r="AD121" s="122">
        <f t="shared" si="8"/>
        <v>1450813.1906704321</v>
      </c>
      <c r="AE121" s="122">
        <f t="shared" si="8"/>
        <v>1450813.1906704321</v>
      </c>
      <c r="AF121" s="122">
        <f t="shared" si="8"/>
        <v>1450813.1906704321</v>
      </c>
      <c r="AG121" s="122">
        <f t="shared" si="8"/>
        <v>1450813.1906704321</v>
      </c>
      <c r="AH121" s="122">
        <f t="shared" si="8"/>
        <v>1450813.1906704321</v>
      </c>
      <c r="AI121" s="122">
        <f t="shared" si="8"/>
        <v>1450813.1906704321</v>
      </c>
      <c r="AJ121" s="122">
        <f t="shared" si="8"/>
        <v>1450813.1906704321</v>
      </c>
      <c r="AK121" s="122">
        <f t="shared" si="8"/>
        <v>1450813.1906704321</v>
      </c>
      <c r="AL121" s="122">
        <f t="shared" si="8"/>
        <v>1450813.1906704321</v>
      </c>
      <c r="AM121" s="122">
        <f t="shared" si="8"/>
        <v>1450813.1906704321</v>
      </c>
      <c r="AN121" s="122">
        <f t="shared" si="8"/>
        <v>1450813.1906704321</v>
      </c>
      <c r="AO121" s="122">
        <f t="shared" si="8"/>
        <v>1161086.6685825477</v>
      </c>
      <c r="AP121" s="122">
        <f t="shared" si="8"/>
        <v>1163185.0596058744</v>
      </c>
      <c r="AQ121" s="122">
        <f t="shared" si="8"/>
        <v>1165269.6885195461</v>
      </c>
      <c r="AR121" s="122">
        <f t="shared" si="8"/>
        <v>1167340.218886741</v>
      </c>
      <c r="AS121" s="122">
        <f t="shared" si="8"/>
        <v>1169396.3165983576</v>
      </c>
      <c r="AT121" s="122">
        <f t="shared" si="8"/>
        <v>669392.94281882222</v>
      </c>
      <c r="AU121" s="122">
        <f t="shared" si="8"/>
        <v>670550.7940664076</v>
      </c>
      <c r="AV121" s="122">
        <f t="shared" si="8"/>
        <v>671699.8336458453</v>
      </c>
      <c r="AW121" s="122">
        <f t="shared" si="8"/>
        <v>1450813.1906704321</v>
      </c>
      <c r="AX121" s="122">
        <f t="shared" si="8"/>
        <v>1450813.1906704321</v>
      </c>
    </row>
    <row r="122" spans="1:50" x14ac:dyDescent="0.2">
      <c r="A122" s="122" t="s">
        <v>108</v>
      </c>
      <c r="B122" s="122" t="s">
        <v>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</row>
    <row r="123" spans="1:50" x14ac:dyDescent="0.2">
      <c r="B123" s="122" t="s">
        <v>10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</row>
    <row r="124" spans="1:50" x14ac:dyDescent="0.2">
      <c r="B124" s="122" t="s">
        <v>12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</row>
    <row r="125" spans="1:50" x14ac:dyDescent="0.2">
      <c r="B125" s="122" t="s">
        <v>22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</row>
    <row r="126" spans="1:50" x14ac:dyDescent="0.2">
      <c r="B126" s="122" t="s">
        <v>59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</row>
    <row r="127" spans="1:50" x14ac:dyDescent="0.2">
      <c r="B127" t="s">
        <v>278</v>
      </c>
      <c r="C127" s="122">
        <f>SUM(C$122:C$126)</f>
        <v>0</v>
      </c>
      <c r="D127" s="122">
        <f t="shared" ref="D127:AX127" si="9">SUM(D$122:D$126)</f>
        <v>0</v>
      </c>
      <c r="E127" s="122">
        <f t="shared" si="9"/>
        <v>0</v>
      </c>
      <c r="F127" s="122">
        <f t="shared" si="9"/>
        <v>0</v>
      </c>
      <c r="G127" s="122">
        <f t="shared" si="9"/>
        <v>0</v>
      </c>
      <c r="H127" s="122">
        <f t="shared" si="9"/>
        <v>0</v>
      </c>
      <c r="I127" s="122">
        <f t="shared" si="9"/>
        <v>0</v>
      </c>
      <c r="J127" s="122">
        <f t="shared" si="9"/>
        <v>0</v>
      </c>
      <c r="K127" s="122">
        <f t="shared" si="9"/>
        <v>0</v>
      </c>
      <c r="L127" s="122">
        <f t="shared" si="9"/>
        <v>0</v>
      </c>
      <c r="M127" s="122">
        <f t="shared" si="9"/>
        <v>0</v>
      </c>
      <c r="N127" s="122">
        <f t="shared" si="9"/>
        <v>0</v>
      </c>
      <c r="O127" s="122">
        <f t="shared" si="9"/>
        <v>0</v>
      </c>
      <c r="P127" s="122">
        <f t="shared" si="9"/>
        <v>0</v>
      </c>
      <c r="Q127" s="122">
        <f t="shared" si="9"/>
        <v>0</v>
      </c>
      <c r="R127" s="122">
        <f t="shared" si="9"/>
        <v>0</v>
      </c>
      <c r="S127" s="122">
        <f t="shared" si="9"/>
        <v>0</v>
      </c>
      <c r="T127" s="122">
        <f t="shared" si="9"/>
        <v>0</v>
      </c>
      <c r="U127" s="122">
        <f t="shared" si="9"/>
        <v>0</v>
      </c>
      <c r="V127" s="122">
        <f t="shared" si="9"/>
        <v>0</v>
      </c>
      <c r="W127" s="122">
        <f t="shared" si="9"/>
        <v>0</v>
      </c>
      <c r="X127" s="122">
        <f t="shared" si="9"/>
        <v>0</v>
      </c>
      <c r="Y127" s="122">
        <f t="shared" si="9"/>
        <v>0</v>
      </c>
      <c r="Z127" s="122">
        <f t="shared" si="9"/>
        <v>0</v>
      </c>
      <c r="AA127" s="122">
        <f t="shared" si="9"/>
        <v>0</v>
      </c>
      <c r="AB127" s="122">
        <f t="shared" si="9"/>
        <v>0</v>
      </c>
      <c r="AC127" s="122">
        <f t="shared" si="9"/>
        <v>0</v>
      </c>
      <c r="AD127" s="122">
        <f t="shared" si="9"/>
        <v>0</v>
      </c>
      <c r="AE127" s="122">
        <f t="shared" si="9"/>
        <v>0</v>
      </c>
      <c r="AF127" s="122">
        <f t="shared" si="9"/>
        <v>0</v>
      </c>
      <c r="AG127" s="122">
        <f t="shared" si="9"/>
        <v>0</v>
      </c>
      <c r="AH127" s="122">
        <f t="shared" si="9"/>
        <v>0</v>
      </c>
      <c r="AI127" s="122">
        <f t="shared" si="9"/>
        <v>0</v>
      </c>
      <c r="AJ127" s="122">
        <f t="shared" si="9"/>
        <v>0</v>
      </c>
      <c r="AK127" s="122">
        <f t="shared" si="9"/>
        <v>0</v>
      </c>
      <c r="AL127" s="122">
        <f t="shared" si="9"/>
        <v>0</v>
      </c>
      <c r="AM127" s="122">
        <f t="shared" si="9"/>
        <v>0</v>
      </c>
      <c r="AN127" s="122">
        <f t="shared" si="9"/>
        <v>0</v>
      </c>
      <c r="AO127" s="122">
        <f t="shared" si="9"/>
        <v>0</v>
      </c>
      <c r="AP127" s="122">
        <f t="shared" si="9"/>
        <v>0</v>
      </c>
      <c r="AQ127" s="122">
        <f t="shared" si="9"/>
        <v>0</v>
      </c>
      <c r="AR127" s="122">
        <f t="shared" si="9"/>
        <v>0</v>
      </c>
      <c r="AS127" s="122">
        <f t="shared" si="9"/>
        <v>0</v>
      </c>
      <c r="AT127" s="122">
        <f t="shared" si="9"/>
        <v>0</v>
      </c>
      <c r="AU127" s="122">
        <f t="shared" si="9"/>
        <v>0</v>
      </c>
      <c r="AV127" s="122">
        <f t="shared" si="9"/>
        <v>0</v>
      </c>
      <c r="AW127" s="122">
        <f t="shared" si="9"/>
        <v>0</v>
      </c>
      <c r="AX127" s="122">
        <f t="shared" si="9"/>
        <v>0</v>
      </c>
    </row>
    <row r="128" spans="1:50" x14ac:dyDescent="0.2">
      <c r="A128" s="122" t="s">
        <v>109</v>
      </c>
      <c r="B128" s="122" t="s">
        <v>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</row>
    <row r="129" spans="2:50" x14ac:dyDescent="0.2">
      <c r="B129" s="122" t="s">
        <v>10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</row>
    <row r="130" spans="2:50" x14ac:dyDescent="0.2">
      <c r="B130" s="122" t="s">
        <v>12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</row>
    <row r="131" spans="2:50" x14ac:dyDescent="0.2">
      <c r="B131" s="122" t="s">
        <v>22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</row>
    <row r="132" spans="2:50" x14ac:dyDescent="0.2">
      <c r="B132" s="122" t="s">
        <v>59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</row>
    <row r="133" spans="2:50" x14ac:dyDescent="0.2">
      <c r="B133" t="s">
        <v>278</v>
      </c>
      <c r="C133" s="122">
        <f>SUM(C$128:C$132)</f>
        <v>0</v>
      </c>
      <c r="D133" s="122">
        <f t="shared" ref="D133:AX133" si="10">SUM(D$128:D$132)</f>
        <v>0</v>
      </c>
      <c r="E133" s="122">
        <f t="shared" si="10"/>
        <v>0</v>
      </c>
      <c r="F133" s="122">
        <f t="shared" si="10"/>
        <v>0</v>
      </c>
      <c r="G133" s="122">
        <f t="shared" si="10"/>
        <v>0</v>
      </c>
      <c r="H133" s="122">
        <f t="shared" si="10"/>
        <v>0</v>
      </c>
      <c r="I133" s="122">
        <f t="shared" si="10"/>
        <v>0</v>
      </c>
      <c r="J133" s="122">
        <f t="shared" si="10"/>
        <v>0</v>
      </c>
      <c r="K133" s="122">
        <f t="shared" si="10"/>
        <v>0</v>
      </c>
      <c r="L133" s="122">
        <f t="shared" si="10"/>
        <v>0</v>
      </c>
      <c r="M133" s="122">
        <f t="shared" si="10"/>
        <v>0</v>
      </c>
      <c r="N133" s="122">
        <f t="shared" si="10"/>
        <v>0</v>
      </c>
      <c r="O133" s="122">
        <f t="shared" si="10"/>
        <v>0</v>
      </c>
      <c r="P133" s="122">
        <f t="shared" si="10"/>
        <v>0</v>
      </c>
      <c r="Q133" s="122">
        <f t="shared" si="10"/>
        <v>0</v>
      </c>
      <c r="R133" s="122">
        <f t="shared" si="10"/>
        <v>0</v>
      </c>
      <c r="S133" s="122">
        <f t="shared" si="10"/>
        <v>0</v>
      </c>
      <c r="T133" s="122">
        <f t="shared" si="10"/>
        <v>0</v>
      </c>
      <c r="U133" s="122">
        <f t="shared" si="10"/>
        <v>0</v>
      </c>
      <c r="V133" s="122">
        <f t="shared" si="10"/>
        <v>0</v>
      </c>
      <c r="W133" s="122">
        <f t="shared" si="10"/>
        <v>0</v>
      </c>
      <c r="X133" s="122">
        <f t="shared" si="10"/>
        <v>0</v>
      </c>
      <c r="Y133" s="122">
        <f t="shared" si="10"/>
        <v>0</v>
      </c>
      <c r="Z133" s="122">
        <f t="shared" si="10"/>
        <v>0</v>
      </c>
      <c r="AA133" s="122">
        <f t="shared" si="10"/>
        <v>0</v>
      </c>
      <c r="AB133" s="122">
        <f t="shared" si="10"/>
        <v>0</v>
      </c>
      <c r="AC133" s="122">
        <f t="shared" si="10"/>
        <v>0</v>
      </c>
      <c r="AD133" s="122">
        <f t="shared" si="10"/>
        <v>0</v>
      </c>
      <c r="AE133" s="122">
        <f t="shared" si="10"/>
        <v>0</v>
      </c>
      <c r="AF133" s="122">
        <f t="shared" si="10"/>
        <v>0</v>
      </c>
      <c r="AG133" s="122">
        <f t="shared" si="10"/>
        <v>0</v>
      </c>
      <c r="AH133" s="122">
        <f t="shared" si="10"/>
        <v>0</v>
      </c>
      <c r="AI133" s="122">
        <f t="shared" si="10"/>
        <v>0</v>
      </c>
      <c r="AJ133" s="122">
        <f t="shared" si="10"/>
        <v>0</v>
      </c>
      <c r="AK133" s="122">
        <f t="shared" si="10"/>
        <v>0</v>
      </c>
      <c r="AL133" s="122">
        <f t="shared" si="10"/>
        <v>0</v>
      </c>
      <c r="AM133" s="122">
        <f t="shared" si="10"/>
        <v>0</v>
      </c>
      <c r="AN133" s="122">
        <f t="shared" si="10"/>
        <v>0</v>
      </c>
      <c r="AO133" s="122">
        <f t="shared" si="10"/>
        <v>0</v>
      </c>
      <c r="AP133" s="122">
        <f t="shared" si="10"/>
        <v>0</v>
      </c>
      <c r="AQ133" s="122">
        <f t="shared" si="10"/>
        <v>0</v>
      </c>
      <c r="AR133" s="122">
        <f t="shared" si="10"/>
        <v>0</v>
      </c>
      <c r="AS133" s="122">
        <f t="shared" si="10"/>
        <v>0</v>
      </c>
      <c r="AT133" s="122">
        <f t="shared" si="10"/>
        <v>0</v>
      </c>
      <c r="AU133" s="122">
        <f t="shared" si="10"/>
        <v>0</v>
      </c>
      <c r="AV133" s="122">
        <f t="shared" si="10"/>
        <v>0</v>
      </c>
      <c r="AW133" s="122">
        <f t="shared" si="10"/>
        <v>0</v>
      </c>
      <c r="AX133" s="122">
        <f t="shared" si="10"/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customWidth="1"/>
    <col min="2" max="2" width="17.7109375" customWidth="1"/>
    <col min="52" max="52" width="10.7109375" customWidth="1"/>
  </cols>
  <sheetData>
    <row r="1" spans="1:52" x14ac:dyDescent="0.2">
      <c r="A1" s="1" t="s">
        <v>118</v>
      </c>
    </row>
    <row r="2" spans="1:52" x14ac:dyDescent="0.2">
      <c r="A2" t="s">
        <v>303</v>
      </c>
      <c r="B2" s="124" t="s">
        <v>5</v>
      </c>
      <c r="E2" s="127"/>
    </row>
    <row r="3" spans="1:52" x14ac:dyDescent="0.2">
      <c r="A3" t="s">
        <v>286</v>
      </c>
      <c r="B3" s="124">
        <v>378</v>
      </c>
      <c r="E3" s="127"/>
    </row>
    <row r="4" spans="1:52" x14ac:dyDescent="0.2">
      <c r="A4" s="1"/>
      <c r="C4" s="9" t="s">
        <v>287</v>
      </c>
    </row>
    <row r="5" spans="1:52" x14ac:dyDescent="0.2">
      <c r="B5" s="123"/>
      <c r="C5" s="128">
        <v>0</v>
      </c>
      <c r="D5" s="128">
        <v>1</v>
      </c>
      <c r="E5" s="128">
        <v>2</v>
      </c>
      <c r="F5" s="128">
        <v>3</v>
      </c>
      <c r="G5" s="128">
        <v>4</v>
      </c>
      <c r="H5" s="128">
        <v>5</v>
      </c>
      <c r="I5" s="128">
        <v>6</v>
      </c>
      <c r="J5" s="128">
        <v>7</v>
      </c>
      <c r="K5" s="128">
        <v>8</v>
      </c>
      <c r="L5" s="128">
        <v>9</v>
      </c>
      <c r="M5" s="128">
        <v>10</v>
      </c>
      <c r="N5" s="128">
        <v>11</v>
      </c>
      <c r="O5" s="128">
        <v>12</v>
      </c>
      <c r="P5" s="128">
        <v>13</v>
      </c>
      <c r="Q5" s="128">
        <v>14</v>
      </c>
      <c r="R5" s="128">
        <v>15</v>
      </c>
      <c r="S5" s="128">
        <v>16</v>
      </c>
      <c r="T5" s="128">
        <v>17</v>
      </c>
      <c r="U5" s="128">
        <v>18</v>
      </c>
      <c r="V5" s="128">
        <v>19</v>
      </c>
      <c r="W5" s="128">
        <v>20</v>
      </c>
      <c r="X5" s="128">
        <v>21</v>
      </c>
      <c r="Y5" s="128">
        <v>22</v>
      </c>
      <c r="Z5" s="128">
        <v>23</v>
      </c>
      <c r="AA5" s="128">
        <v>24</v>
      </c>
      <c r="AB5" s="128">
        <v>25</v>
      </c>
      <c r="AC5" s="128">
        <v>26</v>
      </c>
      <c r="AD5" s="128">
        <v>27</v>
      </c>
      <c r="AE5" s="128">
        <v>28</v>
      </c>
      <c r="AF5" s="128">
        <v>29</v>
      </c>
      <c r="AG5" s="128">
        <v>30</v>
      </c>
      <c r="AH5" s="128">
        <v>31</v>
      </c>
      <c r="AI5" s="128">
        <v>32</v>
      </c>
      <c r="AJ5" s="128">
        <v>33</v>
      </c>
      <c r="AK5" s="128">
        <v>34</v>
      </c>
      <c r="AL5" s="128">
        <v>35</v>
      </c>
      <c r="AM5" s="128">
        <v>36</v>
      </c>
      <c r="AN5" s="128">
        <v>37</v>
      </c>
      <c r="AO5" s="128">
        <v>38</v>
      </c>
      <c r="AP5" s="128">
        <v>39</v>
      </c>
      <c r="AQ5" s="128">
        <v>40</v>
      </c>
      <c r="AR5" s="128">
        <v>41</v>
      </c>
      <c r="AS5" s="128">
        <v>42</v>
      </c>
      <c r="AT5" s="128">
        <v>43</v>
      </c>
      <c r="AU5" s="128">
        <v>44</v>
      </c>
      <c r="AV5" s="128">
        <v>45</v>
      </c>
      <c r="AW5" s="128">
        <v>46</v>
      </c>
      <c r="AX5" s="128">
        <v>47</v>
      </c>
      <c r="AY5" s="128">
        <v>48</v>
      </c>
    </row>
    <row r="6" spans="1:52" x14ac:dyDescent="0.2">
      <c r="A6" s="1" t="s">
        <v>304</v>
      </c>
      <c r="B6" s="130"/>
      <c r="C6" s="129" t="s">
        <v>288</v>
      </c>
      <c r="D6" s="128" t="s">
        <v>289</v>
      </c>
      <c r="E6" s="128" t="s">
        <v>289</v>
      </c>
      <c r="F6" s="128" t="s">
        <v>289</v>
      </c>
      <c r="G6" s="128" t="s">
        <v>289</v>
      </c>
      <c r="H6" s="128" t="s">
        <v>289</v>
      </c>
      <c r="I6" s="128" t="s">
        <v>289</v>
      </c>
      <c r="J6" s="128" t="s">
        <v>289</v>
      </c>
      <c r="K6" s="128" t="s">
        <v>289</v>
      </c>
      <c r="L6" s="128" t="s">
        <v>289</v>
      </c>
      <c r="M6" s="128" t="s">
        <v>289</v>
      </c>
      <c r="N6" s="128" t="s">
        <v>289</v>
      </c>
      <c r="O6" s="128" t="s">
        <v>289</v>
      </c>
      <c r="P6" s="128" t="s">
        <v>289</v>
      </c>
      <c r="Q6" s="128" t="s">
        <v>289</v>
      </c>
      <c r="R6" s="128" t="s">
        <v>289</v>
      </c>
      <c r="S6" s="128" t="s">
        <v>289</v>
      </c>
      <c r="T6" s="128" t="s">
        <v>289</v>
      </c>
      <c r="U6" s="128" t="s">
        <v>289</v>
      </c>
      <c r="V6" s="128" t="s">
        <v>289</v>
      </c>
      <c r="W6" s="128" t="s">
        <v>289</v>
      </c>
      <c r="X6" s="128" t="s">
        <v>289</v>
      </c>
      <c r="Y6" s="128" t="s">
        <v>289</v>
      </c>
      <c r="Z6" s="128" t="s">
        <v>289</v>
      </c>
      <c r="AA6" s="128" t="s">
        <v>289</v>
      </c>
      <c r="AB6" s="128" t="s">
        <v>289</v>
      </c>
      <c r="AC6" s="128" t="s">
        <v>289</v>
      </c>
      <c r="AD6" s="128" t="s">
        <v>289</v>
      </c>
      <c r="AE6" s="128" t="s">
        <v>289</v>
      </c>
      <c r="AF6" s="128" t="s">
        <v>289</v>
      </c>
      <c r="AG6" s="128" t="s">
        <v>289</v>
      </c>
      <c r="AH6" s="128" t="s">
        <v>289</v>
      </c>
      <c r="AI6" s="128" t="s">
        <v>289</v>
      </c>
      <c r="AJ6" s="128" t="s">
        <v>289</v>
      </c>
      <c r="AK6" s="128" t="s">
        <v>289</v>
      </c>
      <c r="AL6" s="128" t="s">
        <v>289</v>
      </c>
      <c r="AM6" s="128" t="s">
        <v>289</v>
      </c>
      <c r="AN6" s="128" t="s">
        <v>289</v>
      </c>
      <c r="AO6" s="128" t="s">
        <v>289</v>
      </c>
      <c r="AP6" s="128" t="s">
        <v>289</v>
      </c>
      <c r="AQ6" s="128" t="s">
        <v>289</v>
      </c>
      <c r="AR6" s="128" t="s">
        <v>289</v>
      </c>
      <c r="AS6" s="128" t="s">
        <v>289</v>
      </c>
      <c r="AT6" s="128" t="s">
        <v>289</v>
      </c>
      <c r="AU6" s="128" t="s">
        <v>289</v>
      </c>
      <c r="AV6" s="128" t="s">
        <v>289</v>
      </c>
      <c r="AW6" s="128" t="s">
        <v>289</v>
      </c>
      <c r="AX6" s="128" t="s">
        <v>289</v>
      </c>
      <c r="AY6" s="9" t="s">
        <v>290</v>
      </c>
      <c r="AZ6" s="158" t="s">
        <v>150</v>
      </c>
    </row>
    <row r="7" spans="1:52" x14ac:dyDescent="0.2">
      <c r="A7" s="131" t="s">
        <v>125</v>
      </c>
      <c r="B7" s="159">
        <v>1</v>
      </c>
      <c r="C7" s="160" t="s">
        <v>293</v>
      </c>
      <c r="D7" s="160">
        <v>3526.1806754551808</v>
      </c>
      <c r="E7" s="160">
        <v>3526.1806754551808</v>
      </c>
      <c r="F7" s="160">
        <v>3526.1806754551808</v>
      </c>
      <c r="G7" s="160">
        <v>3526.1806754551808</v>
      </c>
      <c r="H7" s="160">
        <v>3526.1806754551808</v>
      </c>
      <c r="I7" s="160">
        <v>3526.1806754551808</v>
      </c>
      <c r="J7" s="160">
        <v>3526.1806754551808</v>
      </c>
      <c r="K7" s="160">
        <v>3526.1806754551808</v>
      </c>
      <c r="L7" s="160">
        <v>3526.1806754551808</v>
      </c>
      <c r="M7" s="160">
        <v>3526.1806754551808</v>
      </c>
      <c r="N7" s="160">
        <v>3526.1806754551808</v>
      </c>
      <c r="O7" s="160">
        <v>3526.1806754551808</v>
      </c>
      <c r="P7" s="160">
        <v>3526.1806754551808</v>
      </c>
      <c r="Q7" s="160">
        <v>3526.1806754551808</v>
      </c>
      <c r="R7" s="160">
        <v>3526.1806754551808</v>
      </c>
      <c r="S7" s="160">
        <v>3526.1806754551808</v>
      </c>
      <c r="T7" s="160">
        <v>3526.1806754551808</v>
      </c>
      <c r="U7" s="160">
        <v>3526.1806754551808</v>
      </c>
      <c r="V7" s="160">
        <v>3526.1806754551808</v>
      </c>
      <c r="W7" s="160">
        <v>3526.1806754551808</v>
      </c>
      <c r="X7" s="160">
        <v>3526.1806754551808</v>
      </c>
      <c r="Y7" s="160">
        <v>3526.1806754551808</v>
      </c>
      <c r="Z7" s="160">
        <v>3526.1806754551808</v>
      </c>
      <c r="AA7" s="160">
        <v>3526.1806754551808</v>
      </c>
      <c r="AB7" s="160">
        <v>3526.1806754551808</v>
      </c>
      <c r="AC7" s="160">
        <v>2903.2105221481706</v>
      </c>
      <c r="AD7" s="160">
        <v>2907.6085771827147</v>
      </c>
      <c r="AE7" s="160">
        <v>3526.1806754551808</v>
      </c>
      <c r="AF7" s="160">
        <v>3526.1806754551808</v>
      </c>
      <c r="AG7" s="160">
        <v>3526.1806754551808</v>
      </c>
      <c r="AH7" s="160">
        <v>3526.1806754551808</v>
      </c>
      <c r="AI7" s="160">
        <v>3526.1806754551808</v>
      </c>
      <c r="AJ7" s="160">
        <v>3526.1806754551808</v>
      </c>
      <c r="AK7" s="160">
        <v>3526.1806754551808</v>
      </c>
      <c r="AL7" s="160">
        <v>3526.1806754551808</v>
      </c>
      <c r="AM7" s="160">
        <v>3526.1806754551808</v>
      </c>
      <c r="AN7" s="160">
        <v>3526.1806754551808</v>
      </c>
      <c r="AO7" s="160">
        <v>3526.1806754551808</v>
      </c>
      <c r="AP7" s="160">
        <v>2958.779237814892</v>
      </c>
      <c r="AQ7" s="160">
        <v>2962.8887341591926</v>
      </c>
      <c r="AR7" s="160">
        <v>2966.971278739647</v>
      </c>
      <c r="AS7" s="160">
        <v>2971.0262126772031</v>
      </c>
      <c r="AT7" s="160">
        <v>2975.0528816514238</v>
      </c>
      <c r="AU7" s="160">
        <v>1995.8445197001972</v>
      </c>
      <c r="AV7" s="160">
        <v>1998.1120596469</v>
      </c>
      <c r="AW7" s="160">
        <v>2000.3623427917782</v>
      </c>
      <c r="AX7" s="160">
        <v>3526.1806754551808</v>
      </c>
      <c r="AY7" s="160">
        <v>3526.1806754551808</v>
      </c>
      <c r="AZ7" s="123"/>
    </row>
    <row r="8" spans="1:52" x14ac:dyDescent="0.2">
      <c r="A8" s="161"/>
      <c r="B8" s="162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161"/>
      <c r="AY8" s="161"/>
      <c r="AZ8" s="163"/>
    </row>
    <row r="9" spans="1:52" x14ac:dyDescent="0.2">
      <c r="A9" s="1" t="s">
        <v>294</v>
      </c>
      <c r="B9" s="164"/>
      <c r="C9" s="123"/>
      <c r="D9" s="123"/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</row>
    <row r="10" spans="1:52" x14ac:dyDescent="0.2">
      <c r="A10" s="165" t="s">
        <v>125</v>
      </c>
      <c r="B10" s="166">
        <v>1</v>
      </c>
      <c r="C10" s="160" t="s">
        <v>293</v>
      </c>
      <c r="D10" s="160">
        <f t="shared" ref="D10:AY10" si="0">MAX(SUM(D$14:D$16)+D$7-$B$3,0)</f>
        <v>3148.1806754551808</v>
      </c>
      <c r="E10" s="160">
        <f t="shared" si="0"/>
        <v>3526.1806754551808</v>
      </c>
      <c r="F10" s="160">
        <f t="shared" si="0"/>
        <v>3148.1806754551808</v>
      </c>
      <c r="G10" s="160">
        <f t="shared" si="0"/>
        <v>3148.1806754551808</v>
      </c>
      <c r="H10" s="160">
        <f t="shared" si="0"/>
        <v>3148.1806754551808</v>
      </c>
      <c r="I10" s="160">
        <f t="shared" si="0"/>
        <v>3148.1806754551808</v>
      </c>
      <c r="J10" s="160">
        <f t="shared" si="0"/>
        <v>3148.1806754551808</v>
      </c>
      <c r="K10" s="160">
        <f t="shared" si="0"/>
        <v>3148.1806754551808</v>
      </c>
      <c r="L10" s="160">
        <f t="shared" si="0"/>
        <v>3148.1806754551808</v>
      </c>
      <c r="M10" s="160">
        <f t="shared" si="0"/>
        <v>3148.1806754551808</v>
      </c>
      <c r="N10" s="160">
        <f t="shared" si="0"/>
        <v>3148.1806754551808</v>
      </c>
      <c r="O10" s="160">
        <f t="shared" si="0"/>
        <v>3148.1806754551808</v>
      </c>
      <c r="P10" s="160">
        <f t="shared" si="0"/>
        <v>3148.1806754551808</v>
      </c>
      <c r="Q10" s="160">
        <f t="shared" si="0"/>
        <v>3148.1806754551808</v>
      </c>
      <c r="R10" s="160">
        <f t="shared" si="0"/>
        <v>3148.1806754551808</v>
      </c>
      <c r="S10" s="160">
        <f t="shared" si="0"/>
        <v>3148.1806754551808</v>
      </c>
      <c r="T10" s="160">
        <f t="shared" si="0"/>
        <v>3148.1806754551808</v>
      </c>
      <c r="U10" s="160">
        <f t="shared" si="0"/>
        <v>3148.1806754551808</v>
      </c>
      <c r="V10" s="160">
        <f t="shared" si="0"/>
        <v>3148.1806754551808</v>
      </c>
      <c r="W10" s="160">
        <f t="shared" si="0"/>
        <v>3148.1806754551808</v>
      </c>
      <c r="X10" s="160">
        <f t="shared" si="0"/>
        <v>3148.1806754551808</v>
      </c>
      <c r="Y10" s="160">
        <f t="shared" si="0"/>
        <v>3148.1806754551808</v>
      </c>
      <c r="Z10" s="160">
        <f t="shared" si="0"/>
        <v>3148.1806754551808</v>
      </c>
      <c r="AA10" s="160">
        <f t="shared" si="0"/>
        <v>3148.1806754551808</v>
      </c>
      <c r="AB10" s="160">
        <f t="shared" si="0"/>
        <v>3148.1806754551808</v>
      </c>
      <c r="AC10" s="160">
        <f t="shared" si="0"/>
        <v>2525.2105221481706</v>
      </c>
      <c r="AD10" s="160">
        <f t="shared" si="0"/>
        <v>2529.6085771827147</v>
      </c>
      <c r="AE10" s="160">
        <f t="shared" si="0"/>
        <v>3148.1806754551808</v>
      </c>
      <c r="AF10" s="160">
        <f t="shared" si="0"/>
        <v>3148.1806754551808</v>
      </c>
      <c r="AG10" s="160">
        <f t="shared" si="0"/>
        <v>3148.1806754551808</v>
      </c>
      <c r="AH10" s="160">
        <f t="shared" si="0"/>
        <v>3148.1806754551808</v>
      </c>
      <c r="AI10" s="160">
        <f t="shared" si="0"/>
        <v>3148.1806754551808</v>
      </c>
      <c r="AJ10" s="160">
        <f t="shared" si="0"/>
        <v>3148.1806754551808</v>
      </c>
      <c r="AK10" s="160">
        <f t="shared" si="0"/>
        <v>3148.1806754551808</v>
      </c>
      <c r="AL10" s="160">
        <f t="shared" si="0"/>
        <v>3148.1806754551808</v>
      </c>
      <c r="AM10" s="160">
        <f t="shared" si="0"/>
        <v>3148.1806754551808</v>
      </c>
      <c r="AN10" s="160">
        <f t="shared" si="0"/>
        <v>3148.1806754551808</v>
      </c>
      <c r="AO10" s="160">
        <f t="shared" si="0"/>
        <v>3148.1806754551808</v>
      </c>
      <c r="AP10" s="160">
        <f t="shared" si="0"/>
        <v>2580.779237814892</v>
      </c>
      <c r="AQ10" s="160">
        <f t="shared" si="0"/>
        <v>2584.8887341591926</v>
      </c>
      <c r="AR10" s="160">
        <f t="shared" si="0"/>
        <v>2588.971278739647</v>
      </c>
      <c r="AS10" s="160">
        <f t="shared" si="0"/>
        <v>2593.0262126772031</v>
      </c>
      <c r="AT10" s="160">
        <f t="shared" si="0"/>
        <v>2597.0528816514238</v>
      </c>
      <c r="AU10" s="160">
        <f t="shared" si="0"/>
        <v>1617.8445197001972</v>
      </c>
      <c r="AV10" s="160">
        <f t="shared" si="0"/>
        <v>1620.1120596469</v>
      </c>
      <c r="AW10" s="160">
        <f t="shared" si="0"/>
        <v>1622.3623427917782</v>
      </c>
      <c r="AX10" s="160">
        <f t="shared" si="0"/>
        <v>3148.1806754551808</v>
      </c>
      <c r="AY10" s="160">
        <f t="shared" si="0"/>
        <v>3148.1806754551808</v>
      </c>
      <c r="AZ10" s="167">
        <f>SUM($D10:$AY10)</f>
        <v>142868.72203380897</v>
      </c>
    </row>
    <row r="11" spans="1:52" x14ac:dyDescent="0.2">
      <c r="C11" s="127"/>
    </row>
    <row r="12" spans="1:52" x14ac:dyDescent="0.2">
      <c r="A12" s="168" t="s">
        <v>295</v>
      </c>
      <c r="B12" s="162"/>
      <c r="C12" s="127"/>
    </row>
    <row r="13" spans="1:52" x14ac:dyDescent="0.2">
      <c r="A13" s="138" t="s">
        <v>125</v>
      </c>
      <c r="B13" s="139">
        <v>1</v>
      </c>
      <c r="C13" s="140">
        <v>552</v>
      </c>
      <c r="D13" s="154">
        <f t="shared" ref="D13:AY13" si="1">D$7-D$10</f>
        <v>378</v>
      </c>
      <c r="E13" s="154">
        <f t="shared" si="1"/>
        <v>0</v>
      </c>
      <c r="F13" s="154">
        <f t="shared" si="1"/>
        <v>378</v>
      </c>
      <c r="G13" s="154">
        <f t="shared" si="1"/>
        <v>378</v>
      </c>
      <c r="H13" s="154">
        <f t="shared" si="1"/>
        <v>378</v>
      </c>
      <c r="I13" s="154">
        <f t="shared" si="1"/>
        <v>378</v>
      </c>
      <c r="J13" s="154">
        <f t="shared" si="1"/>
        <v>378</v>
      </c>
      <c r="K13" s="154">
        <f t="shared" si="1"/>
        <v>378</v>
      </c>
      <c r="L13" s="154">
        <f t="shared" si="1"/>
        <v>378</v>
      </c>
      <c r="M13" s="154">
        <f t="shared" si="1"/>
        <v>378</v>
      </c>
      <c r="N13" s="154">
        <f t="shared" si="1"/>
        <v>378</v>
      </c>
      <c r="O13" s="154">
        <f t="shared" si="1"/>
        <v>378</v>
      </c>
      <c r="P13" s="154">
        <f t="shared" si="1"/>
        <v>378</v>
      </c>
      <c r="Q13" s="154">
        <f t="shared" si="1"/>
        <v>378</v>
      </c>
      <c r="R13" s="154">
        <f t="shared" si="1"/>
        <v>378</v>
      </c>
      <c r="S13" s="154">
        <f t="shared" si="1"/>
        <v>378</v>
      </c>
      <c r="T13" s="154">
        <f t="shared" si="1"/>
        <v>378</v>
      </c>
      <c r="U13" s="154">
        <f t="shared" si="1"/>
        <v>378</v>
      </c>
      <c r="V13" s="154">
        <f t="shared" si="1"/>
        <v>378</v>
      </c>
      <c r="W13" s="154">
        <f t="shared" si="1"/>
        <v>378</v>
      </c>
      <c r="X13" s="154">
        <f t="shared" si="1"/>
        <v>378</v>
      </c>
      <c r="Y13" s="154">
        <f t="shared" si="1"/>
        <v>378</v>
      </c>
      <c r="Z13" s="154">
        <f t="shared" si="1"/>
        <v>378</v>
      </c>
      <c r="AA13" s="154">
        <f t="shared" si="1"/>
        <v>378</v>
      </c>
      <c r="AB13" s="154">
        <f t="shared" si="1"/>
        <v>378</v>
      </c>
      <c r="AC13" s="154">
        <f t="shared" si="1"/>
        <v>378</v>
      </c>
      <c r="AD13" s="154">
        <f t="shared" si="1"/>
        <v>378</v>
      </c>
      <c r="AE13" s="154">
        <f t="shared" si="1"/>
        <v>378</v>
      </c>
      <c r="AF13" s="154">
        <f t="shared" si="1"/>
        <v>378</v>
      </c>
      <c r="AG13" s="154">
        <f t="shared" si="1"/>
        <v>378</v>
      </c>
      <c r="AH13" s="154">
        <f t="shared" si="1"/>
        <v>378</v>
      </c>
      <c r="AI13" s="154">
        <f t="shared" si="1"/>
        <v>378</v>
      </c>
      <c r="AJ13" s="154">
        <f t="shared" si="1"/>
        <v>378</v>
      </c>
      <c r="AK13" s="154">
        <f t="shared" si="1"/>
        <v>378</v>
      </c>
      <c r="AL13" s="154">
        <f t="shared" si="1"/>
        <v>378</v>
      </c>
      <c r="AM13" s="154">
        <f t="shared" si="1"/>
        <v>378</v>
      </c>
      <c r="AN13" s="154">
        <f t="shared" si="1"/>
        <v>378</v>
      </c>
      <c r="AO13" s="154">
        <f t="shared" si="1"/>
        <v>378</v>
      </c>
      <c r="AP13" s="154">
        <f t="shared" si="1"/>
        <v>378</v>
      </c>
      <c r="AQ13" s="154">
        <f t="shared" si="1"/>
        <v>378</v>
      </c>
      <c r="AR13" s="154">
        <f t="shared" si="1"/>
        <v>378</v>
      </c>
      <c r="AS13" s="154">
        <f t="shared" si="1"/>
        <v>378</v>
      </c>
      <c r="AT13" s="154">
        <f t="shared" si="1"/>
        <v>378</v>
      </c>
      <c r="AU13" s="154">
        <f t="shared" si="1"/>
        <v>378</v>
      </c>
      <c r="AV13" s="154">
        <f t="shared" si="1"/>
        <v>378</v>
      </c>
      <c r="AW13" s="154">
        <f t="shared" si="1"/>
        <v>378</v>
      </c>
      <c r="AX13" s="154">
        <f t="shared" si="1"/>
        <v>378</v>
      </c>
      <c r="AY13" s="154">
        <f t="shared" si="1"/>
        <v>378</v>
      </c>
      <c r="AZ13" s="126"/>
    </row>
    <row r="14" spans="1:52" x14ac:dyDescent="0.2">
      <c r="A14" s="127"/>
      <c r="B14" s="136">
        <v>2</v>
      </c>
      <c r="C14" s="127">
        <v>0</v>
      </c>
      <c r="D14" s="123">
        <f>IF(C$20="Yes",C13,0)</f>
        <v>0</v>
      </c>
      <c r="E14" s="123">
        <f t="shared" ref="E14:AY17" si="2">IF(D$20="Yes",D13,0)</f>
        <v>378</v>
      </c>
      <c r="F14" s="123">
        <f t="shared" si="2"/>
        <v>0</v>
      </c>
      <c r="G14" s="123">
        <f t="shared" si="2"/>
        <v>0</v>
      </c>
      <c r="H14" s="123">
        <f t="shared" si="2"/>
        <v>0</v>
      </c>
      <c r="I14" s="123">
        <f t="shared" si="2"/>
        <v>0</v>
      </c>
      <c r="J14" s="123">
        <f t="shared" si="2"/>
        <v>0</v>
      </c>
      <c r="K14" s="123">
        <f t="shared" si="2"/>
        <v>0</v>
      </c>
      <c r="L14" s="123">
        <f t="shared" si="2"/>
        <v>0</v>
      </c>
      <c r="M14" s="123">
        <f t="shared" si="2"/>
        <v>0</v>
      </c>
      <c r="N14" s="123">
        <f t="shared" si="2"/>
        <v>0</v>
      </c>
      <c r="O14" s="123">
        <f t="shared" si="2"/>
        <v>0</v>
      </c>
      <c r="P14" s="123">
        <f t="shared" si="2"/>
        <v>0</v>
      </c>
      <c r="Q14" s="123">
        <f t="shared" si="2"/>
        <v>0</v>
      </c>
      <c r="R14" s="123">
        <f t="shared" si="2"/>
        <v>0</v>
      </c>
      <c r="S14" s="123">
        <f t="shared" si="2"/>
        <v>0</v>
      </c>
      <c r="T14" s="123">
        <f t="shared" si="2"/>
        <v>0</v>
      </c>
      <c r="U14" s="123">
        <f t="shared" si="2"/>
        <v>0</v>
      </c>
      <c r="V14" s="123">
        <f t="shared" si="2"/>
        <v>0</v>
      </c>
      <c r="W14" s="123">
        <f t="shared" si="2"/>
        <v>0</v>
      </c>
      <c r="X14" s="123">
        <f t="shared" si="2"/>
        <v>0</v>
      </c>
      <c r="Y14" s="123">
        <f t="shared" si="2"/>
        <v>0</v>
      </c>
      <c r="Z14" s="123">
        <f t="shared" si="2"/>
        <v>0</v>
      </c>
      <c r="AA14" s="123">
        <f t="shared" si="2"/>
        <v>0</v>
      </c>
      <c r="AB14" s="123">
        <f t="shared" si="2"/>
        <v>0</v>
      </c>
      <c r="AC14" s="123">
        <f t="shared" si="2"/>
        <v>0</v>
      </c>
      <c r="AD14" s="123">
        <f t="shared" si="2"/>
        <v>0</v>
      </c>
      <c r="AE14" s="123">
        <f t="shared" si="2"/>
        <v>0</v>
      </c>
      <c r="AF14" s="123">
        <f t="shared" si="2"/>
        <v>0</v>
      </c>
      <c r="AG14" s="123">
        <f t="shared" si="2"/>
        <v>0</v>
      </c>
      <c r="AH14" s="123">
        <f t="shared" si="2"/>
        <v>0</v>
      </c>
      <c r="AI14" s="123">
        <f t="shared" si="2"/>
        <v>0</v>
      </c>
      <c r="AJ14" s="123">
        <f t="shared" si="2"/>
        <v>0</v>
      </c>
      <c r="AK14" s="123">
        <f t="shared" si="2"/>
        <v>0</v>
      </c>
      <c r="AL14" s="123">
        <f t="shared" si="2"/>
        <v>0</v>
      </c>
      <c r="AM14" s="123">
        <f t="shared" si="2"/>
        <v>0</v>
      </c>
      <c r="AN14" s="123">
        <f t="shared" si="2"/>
        <v>0</v>
      </c>
      <c r="AO14" s="123">
        <f t="shared" si="2"/>
        <v>0</v>
      </c>
      <c r="AP14" s="123">
        <f t="shared" si="2"/>
        <v>0</v>
      </c>
      <c r="AQ14" s="123">
        <f t="shared" si="2"/>
        <v>0</v>
      </c>
      <c r="AR14" s="123">
        <f t="shared" si="2"/>
        <v>0</v>
      </c>
      <c r="AS14" s="123">
        <f t="shared" si="2"/>
        <v>0</v>
      </c>
      <c r="AT14" s="123">
        <f t="shared" si="2"/>
        <v>0</v>
      </c>
      <c r="AU14" s="123">
        <f t="shared" si="2"/>
        <v>0</v>
      </c>
      <c r="AV14" s="123">
        <f t="shared" si="2"/>
        <v>0</v>
      </c>
      <c r="AW14" s="123">
        <f t="shared" si="2"/>
        <v>0</v>
      </c>
      <c r="AX14" s="123">
        <f t="shared" si="2"/>
        <v>0</v>
      </c>
      <c r="AY14" s="123">
        <f t="shared" si="2"/>
        <v>0</v>
      </c>
      <c r="AZ14" s="126"/>
    </row>
    <row r="15" spans="1:52" x14ac:dyDescent="0.2">
      <c r="A15" s="127"/>
      <c r="B15" s="143">
        <v>3</v>
      </c>
      <c r="C15" s="127">
        <v>0</v>
      </c>
      <c r="D15" s="123">
        <f>IF(C$20="Yes",C14,0)</f>
        <v>0</v>
      </c>
      <c r="E15" s="123">
        <f t="shared" si="2"/>
        <v>0</v>
      </c>
      <c r="F15" s="123">
        <f t="shared" si="2"/>
        <v>0</v>
      </c>
      <c r="G15" s="123">
        <f t="shared" si="2"/>
        <v>0</v>
      </c>
      <c r="H15" s="123">
        <f t="shared" si="2"/>
        <v>0</v>
      </c>
      <c r="I15" s="123">
        <f t="shared" si="2"/>
        <v>0</v>
      </c>
      <c r="J15" s="123">
        <f t="shared" si="2"/>
        <v>0</v>
      </c>
      <c r="K15" s="123">
        <f t="shared" si="2"/>
        <v>0</v>
      </c>
      <c r="L15" s="123">
        <f t="shared" si="2"/>
        <v>0</v>
      </c>
      <c r="M15" s="123">
        <f t="shared" si="2"/>
        <v>0</v>
      </c>
      <c r="N15" s="123">
        <f t="shared" si="2"/>
        <v>0</v>
      </c>
      <c r="O15" s="123">
        <f t="shared" si="2"/>
        <v>0</v>
      </c>
      <c r="P15" s="123">
        <f t="shared" si="2"/>
        <v>0</v>
      </c>
      <c r="Q15" s="123">
        <f t="shared" si="2"/>
        <v>0</v>
      </c>
      <c r="R15" s="123">
        <f t="shared" si="2"/>
        <v>0</v>
      </c>
      <c r="S15" s="123">
        <f t="shared" si="2"/>
        <v>0</v>
      </c>
      <c r="T15" s="123">
        <f t="shared" si="2"/>
        <v>0</v>
      </c>
      <c r="U15" s="123">
        <f t="shared" si="2"/>
        <v>0</v>
      </c>
      <c r="V15" s="123">
        <f t="shared" si="2"/>
        <v>0</v>
      </c>
      <c r="W15" s="123">
        <f t="shared" si="2"/>
        <v>0</v>
      </c>
      <c r="X15" s="123">
        <f t="shared" si="2"/>
        <v>0</v>
      </c>
      <c r="Y15" s="123">
        <f t="shared" si="2"/>
        <v>0</v>
      </c>
      <c r="Z15" s="123">
        <f t="shared" si="2"/>
        <v>0</v>
      </c>
      <c r="AA15" s="123">
        <f t="shared" si="2"/>
        <v>0</v>
      </c>
      <c r="AB15" s="123">
        <f t="shared" si="2"/>
        <v>0</v>
      </c>
      <c r="AC15" s="123">
        <f t="shared" si="2"/>
        <v>0</v>
      </c>
      <c r="AD15" s="123">
        <f t="shared" si="2"/>
        <v>0</v>
      </c>
      <c r="AE15" s="123">
        <f t="shared" si="2"/>
        <v>0</v>
      </c>
      <c r="AF15" s="123">
        <f t="shared" si="2"/>
        <v>0</v>
      </c>
      <c r="AG15" s="123">
        <f t="shared" si="2"/>
        <v>0</v>
      </c>
      <c r="AH15" s="123">
        <f t="shared" si="2"/>
        <v>0</v>
      </c>
      <c r="AI15" s="123">
        <f t="shared" si="2"/>
        <v>0</v>
      </c>
      <c r="AJ15" s="123">
        <f t="shared" si="2"/>
        <v>0</v>
      </c>
      <c r="AK15" s="123">
        <f t="shared" si="2"/>
        <v>0</v>
      </c>
      <c r="AL15" s="123">
        <f t="shared" si="2"/>
        <v>0</v>
      </c>
      <c r="AM15" s="123">
        <f t="shared" si="2"/>
        <v>0</v>
      </c>
      <c r="AN15" s="123">
        <f t="shared" si="2"/>
        <v>0</v>
      </c>
      <c r="AO15" s="123">
        <f t="shared" si="2"/>
        <v>0</v>
      </c>
      <c r="AP15" s="123">
        <f t="shared" si="2"/>
        <v>0</v>
      </c>
      <c r="AQ15" s="123">
        <f t="shared" si="2"/>
        <v>0</v>
      </c>
      <c r="AR15" s="123">
        <f t="shared" si="2"/>
        <v>0</v>
      </c>
      <c r="AS15" s="123">
        <f t="shared" si="2"/>
        <v>0</v>
      </c>
      <c r="AT15" s="123">
        <f t="shared" si="2"/>
        <v>0</v>
      </c>
      <c r="AU15" s="123">
        <f t="shared" si="2"/>
        <v>0</v>
      </c>
      <c r="AV15" s="123">
        <f t="shared" si="2"/>
        <v>0</v>
      </c>
      <c r="AW15" s="123">
        <f t="shared" si="2"/>
        <v>0</v>
      </c>
      <c r="AX15" s="123">
        <f t="shared" si="2"/>
        <v>0</v>
      </c>
      <c r="AY15" s="123">
        <f t="shared" si="2"/>
        <v>0</v>
      </c>
      <c r="AZ15" s="126"/>
    </row>
    <row r="16" spans="1:52" x14ac:dyDescent="0.2">
      <c r="A16" s="127"/>
      <c r="B16" s="146">
        <v>4</v>
      </c>
      <c r="C16" s="127">
        <v>0</v>
      </c>
      <c r="D16" s="123">
        <f>IF(C$20="Yes",C15,0)</f>
        <v>0</v>
      </c>
      <c r="E16" s="123">
        <f t="shared" si="2"/>
        <v>0</v>
      </c>
      <c r="F16" s="123">
        <f t="shared" si="2"/>
        <v>0</v>
      </c>
      <c r="G16" s="123">
        <f t="shared" si="2"/>
        <v>0</v>
      </c>
      <c r="H16" s="123">
        <f t="shared" si="2"/>
        <v>0</v>
      </c>
      <c r="I16" s="123">
        <f t="shared" si="2"/>
        <v>0</v>
      </c>
      <c r="J16" s="123">
        <f t="shared" si="2"/>
        <v>0</v>
      </c>
      <c r="K16" s="123">
        <f t="shared" si="2"/>
        <v>0</v>
      </c>
      <c r="L16" s="123">
        <f t="shared" si="2"/>
        <v>0</v>
      </c>
      <c r="M16" s="123">
        <f t="shared" si="2"/>
        <v>0</v>
      </c>
      <c r="N16" s="123">
        <f t="shared" si="2"/>
        <v>0</v>
      </c>
      <c r="O16" s="123">
        <f t="shared" si="2"/>
        <v>0</v>
      </c>
      <c r="P16" s="123">
        <f t="shared" si="2"/>
        <v>0</v>
      </c>
      <c r="Q16" s="123">
        <f t="shared" si="2"/>
        <v>0</v>
      </c>
      <c r="R16" s="123">
        <f t="shared" si="2"/>
        <v>0</v>
      </c>
      <c r="S16" s="123">
        <f t="shared" si="2"/>
        <v>0</v>
      </c>
      <c r="T16" s="123">
        <f t="shared" si="2"/>
        <v>0</v>
      </c>
      <c r="U16" s="123">
        <f t="shared" si="2"/>
        <v>0</v>
      </c>
      <c r="V16" s="123">
        <f t="shared" si="2"/>
        <v>0</v>
      </c>
      <c r="W16" s="123">
        <f t="shared" si="2"/>
        <v>0</v>
      </c>
      <c r="X16" s="123">
        <f t="shared" si="2"/>
        <v>0</v>
      </c>
      <c r="Y16" s="123">
        <f t="shared" si="2"/>
        <v>0</v>
      </c>
      <c r="Z16" s="123">
        <f t="shared" si="2"/>
        <v>0</v>
      </c>
      <c r="AA16" s="123">
        <f t="shared" si="2"/>
        <v>0</v>
      </c>
      <c r="AB16" s="123">
        <f t="shared" si="2"/>
        <v>0</v>
      </c>
      <c r="AC16" s="123">
        <f t="shared" si="2"/>
        <v>0</v>
      </c>
      <c r="AD16" s="123">
        <f t="shared" si="2"/>
        <v>0</v>
      </c>
      <c r="AE16" s="123">
        <f t="shared" si="2"/>
        <v>0</v>
      </c>
      <c r="AF16" s="123">
        <f t="shared" si="2"/>
        <v>0</v>
      </c>
      <c r="AG16" s="123">
        <f t="shared" si="2"/>
        <v>0</v>
      </c>
      <c r="AH16" s="123">
        <f t="shared" si="2"/>
        <v>0</v>
      </c>
      <c r="AI16" s="123">
        <f t="shared" si="2"/>
        <v>0</v>
      </c>
      <c r="AJ16" s="123">
        <f t="shared" si="2"/>
        <v>0</v>
      </c>
      <c r="AK16" s="123">
        <f t="shared" si="2"/>
        <v>0</v>
      </c>
      <c r="AL16" s="123">
        <f t="shared" si="2"/>
        <v>0</v>
      </c>
      <c r="AM16" s="123">
        <f t="shared" si="2"/>
        <v>0</v>
      </c>
      <c r="AN16" s="123">
        <f t="shared" si="2"/>
        <v>0</v>
      </c>
      <c r="AO16" s="123">
        <f t="shared" si="2"/>
        <v>0</v>
      </c>
      <c r="AP16" s="123">
        <f t="shared" si="2"/>
        <v>0</v>
      </c>
      <c r="AQ16" s="123">
        <f t="shared" si="2"/>
        <v>0</v>
      </c>
      <c r="AR16" s="123">
        <f t="shared" si="2"/>
        <v>0</v>
      </c>
      <c r="AS16" s="123">
        <f t="shared" si="2"/>
        <v>0</v>
      </c>
      <c r="AT16" s="123">
        <f t="shared" si="2"/>
        <v>0</v>
      </c>
      <c r="AU16" s="123">
        <f t="shared" si="2"/>
        <v>0</v>
      </c>
      <c r="AV16" s="123">
        <f t="shared" si="2"/>
        <v>0</v>
      </c>
      <c r="AW16" s="123">
        <f t="shared" si="2"/>
        <v>0</v>
      </c>
      <c r="AX16" s="123">
        <f t="shared" si="2"/>
        <v>0</v>
      </c>
      <c r="AY16" s="123">
        <f t="shared" si="2"/>
        <v>0</v>
      </c>
      <c r="AZ16" s="144"/>
    </row>
    <row r="17" spans="1:52" x14ac:dyDescent="0.2">
      <c r="A17" s="141"/>
      <c r="B17" s="148" t="s">
        <v>296</v>
      </c>
      <c r="C17" s="141">
        <v>0</v>
      </c>
      <c r="D17" s="130">
        <f>IF(C$20="Yes",C16,0)</f>
        <v>0</v>
      </c>
      <c r="E17" s="130">
        <f t="shared" si="2"/>
        <v>0</v>
      </c>
      <c r="F17" s="130">
        <f t="shared" si="2"/>
        <v>0</v>
      </c>
      <c r="G17" s="130">
        <f t="shared" si="2"/>
        <v>0</v>
      </c>
      <c r="H17" s="130">
        <f t="shared" si="2"/>
        <v>0</v>
      </c>
      <c r="I17" s="130">
        <f t="shared" si="2"/>
        <v>0</v>
      </c>
      <c r="J17" s="130">
        <f t="shared" si="2"/>
        <v>0</v>
      </c>
      <c r="K17" s="130">
        <f t="shared" si="2"/>
        <v>0</v>
      </c>
      <c r="L17" s="130">
        <f t="shared" si="2"/>
        <v>0</v>
      </c>
      <c r="M17" s="130">
        <f t="shared" si="2"/>
        <v>0</v>
      </c>
      <c r="N17" s="130">
        <f t="shared" si="2"/>
        <v>0</v>
      </c>
      <c r="O17" s="130">
        <f t="shared" si="2"/>
        <v>0</v>
      </c>
      <c r="P17" s="130">
        <f t="shared" si="2"/>
        <v>0</v>
      </c>
      <c r="Q17" s="130">
        <f t="shared" si="2"/>
        <v>0</v>
      </c>
      <c r="R17" s="130">
        <f t="shared" si="2"/>
        <v>0</v>
      </c>
      <c r="S17" s="130">
        <f t="shared" si="2"/>
        <v>0</v>
      </c>
      <c r="T17" s="130">
        <f t="shared" si="2"/>
        <v>0</v>
      </c>
      <c r="U17" s="130">
        <f t="shared" si="2"/>
        <v>0</v>
      </c>
      <c r="V17" s="130">
        <f t="shared" si="2"/>
        <v>0</v>
      </c>
      <c r="W17" s="130">
        <f t="shared" si="2"/>
        <v>0</v>
      </c>
      <c r="X17" s="130">
        <f t="shared" si="2"/>
        <v>0</v>
      </c>
      <c r="Y17" s="130">
        <f t="shared" si="2"/>
        <v>0</v>
      </c>
      <c r="Z17" s="130">
        <f t="shared" si="2"/>
        <v>0</v>
      </c>
      <c r="AA17" s="130">
        <f t="shared" si="2"/>
        <v>0</v>
      </c>
      <c r="AB17" s="130">
        <f t="shared" si="2"/>
        <v>0</v>
      </c>
      <c r="AC17" s="130">
        <f t="shared" si="2"/>
        <v>0</v>
      </c>
      <c r="AD17" s="130">
        <f t="shared" si="2"/>
        <v>0</v>
      </c>
      <c r="AE17" s="130">
        <f t="shared" si="2"/>
        <v>0</v>
      </c>
      <c r="AF17" s="130">
        <f t="shared" si="2"/>
        <v>0</v>
      </c>
      <c r="AG17" s="130">
        <f t="shared" si="2"/>
        <v>0</v>
      </c>
      <c r="AH17" s="130">
        <f t="shared" si="2"/>
        <v>0</v>
      </c>
      <c r="AI17" s="130">
        <f t="shared" si="2"/>
        <v>0</v>
      </c>
      <c r="AJ17" s="130">
        <f t="shared" si="2"/>
        <v>0</v>
      </c>
      <c r="AK17" s="130">
        <f t="shared" si="2"/>
        <v>0</v>
      </c>
      <c r="AL17" s="130">
        <f t="shared" si="2"/>
        <v>0</v>
      </c>
      <c r="AM17" s="130">
        <f t="shared" si="2"/>
        <v>0</v>
      </c>
      <c r="AN17" s="130">
        <f t="shared" si="2"/>
        <v>0</v>
      </c>
      <c r="AO17" s="130">
        <f t="shared" si="2"/>
        <v>0</v>
      </c>
      <c r="AP17" s="130">
        <f t="shared" si="2"/>
        <v>0</v>
      </c>
      <c r="AQ17" s="130">
        <f t="shared" si="2"/>
        <v>0</v>
      </c>
      <c r="AR17" s="130">
        <f t="shared" si="2"/>
        <v>0</v>
      </c>
      <c r="AS17" s="130">
        <f t="shared" si="2"/>
        <v>0</v>
      </c>
      <c r="AT17" s="130">
        <f t="shared" si="2"/>
        <v>0</v>
      </c>
      <c r="AU17" s="130">
        <f t="shared" si="2"/>
        <v>0</v>
      </c>
      <c r="AV17" s="130">
        <f t="shared" si="2"/>
        <v>0</v>
      </c>
      <c r="AW17" s="130">
        <f t="shared" si="2"/>
        <v>0</v>
      </c>
      <c r="AX17" s="130">
        <f t="shared" si="2"/>
        <v>0</v>
      </c>
      <c r="AY17" s="130">
        <f t="shared" si="2"/>
        <v>0</v>
      </c>
      <c r="AZ17" s="167">
        <f>SUM($D$17:$AY$17)</f>
        <v>0</v>
      </c>
    </row>
    <row r="18" spans="1:52" x14ac:dyDescent="0.2">
      <c r="A18" s="123"/>
      <c r="B18" s="169"/>
      <c r="C18" s="154"/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  <c r="W18" s="154"/>
      <c r="X18" s="154"/>
      <c r="Y18" s="154"/>
      <c r="Z18" s="154"/>
      <c r="AA18" s="154"/>
      <c r="AB18" s="154"/>
      <c r="AC18" s="154"/>
      <c r="AD18" s="154"/>
      <c r="AE18" s="154"/>
      <c r="AF18" s="154"/>
      <c r="AG18" s="154"/>
      <c r="AH18" s="154"/>
      <c r="AI18" s="154"/>
      <c r="AJ18" s="154"/>
      <c r="AK18" s="154"/>
      <c r="AL18" s="154"/>
      <c r="AM18" s="154"/>
      <c r="AN18" s="154"/>
      <c r="AO18" s="154"/>
      <c r="AP18" s="154"/>
      <c r="AQ18" s="154"/>
      <c r="AR18" s="154"/>
      <c r="AS18" s="154"/>
      <c r="AT18" s="154"/>
      <c r="AU18" s="154"/>
      <c r="AV18" s="154"/>
      <c r="AW18" s="154"/>
      <c r="AX18" s="154"/>
      <c r="AY18" s="154"/>
      <c r="AZ18" s="123"/>
    </row>
    <row r="19" spans="1:52" x14ac:dyDescent="0.2">
      <c r="A19" s="1" t="s">
        <v>116</v>
      </c>
      <c r="B19" s="123"/>
      <c r="C19" s="123"/>
      <c r="D19" s="123"/>
      <c r="E19" s="123"/>
      <c r="F19" s="123"/>
      <c r="G19" s="123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  <c r="AP19" s="123"/>
      <c r="AQ19" s="123"/>
      <c r="AR19" s="123"/>
      <c r="AS19" s="123"/>
      <c r="AT19" s="123"/>
      <c r="AU19" s="123"/>
      <c r="AV19" s="123"/>
      <c r="AW19" s="123"/>
      <c r="AX19" s="123"/>
      <c r="AY19" s="123"/>
    </row>
    <row r="20" spans="1:52" s="127" customFormat="1" x14ac:dyDescent="0.2">
      <c r="A20" s="131" t="s">
        <v>305</v>
      </c>
      <c r="B20" s="170" t="s">
        <v>306</v>
      </c>
      <c r="C20" s="133"/>
      <c r="D20" s="133" t="s">
        <v>313</v>
      </c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  <c r="S20" s="133"/>
      <c r="T20" s="133"/>
      <c r="U20" s="133"/>
      <c r="V20" s="133"/>
      <c r="W20" s="133"/>
      <c r="X20" s="133"/>
      <c r="Y20" s="133"/>
      <c r="Z20" s="133"/>
      <c r="AA20" s="133"/>
      <c r="AB20" s="133"/>
      <c r="AC20" s="133"/>
      <c r="AD20" s="133"/>
      <c r="AE20" s="133"/>
      <c r="AF20" s="133"/>
      <c r="AG20" s="133"/>
      <c r="AH20" s="133"/>
      <c r="AI20" s="133"/>
      <c r="AJ20" s="133"/>
      <c r="AK20" s="133"/>
      <c r="AL20" s="133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24"/>
    </row>
    <row r="21" spans="1:52" s="127" customFormat="1" x14ac:dyDescent="0.2">
      <c r="A21" s="171" t="s">
        <v>133</v>
      </c>
      <c r="B21" s="172">
        <f>shipping_manufacturing!$C$19/100</f>
        <v>0.5</v>
      </c>
      <c r="C21" s="172" t="s">
        <v>293</v>
      </c>
      <c r="D21" s="123">
        <f>IF(C$20="Yes",0,SUM(C$13:C$16)*$B$21)</f>
        <v>276</v>
      </c>
      <c r="E21" s="123">
        <f t="shared" ref="E21:AY21" si="3">IF(D$20="Yes",0,SUM(D$13:D$16)*$B$21)</f>
        <v>0</v>
      </c>
      <c r="F21" s="123">
        <f t="shared" si="3"/>
        <v>189</v>
      </c>
      <c r="G21" s="123">
        <f t="shared" si="3"/>
        <v>189</v>
      </c>
      <c r="H21" s="123">
        <f t="shared" si="3"/>
        <v>189</v>
      </c>
      <c r="I21" s="123">
        <f t="shared" si="3"/>
        <v>189</v>
      </c>
      <c r="J21" s="123">
        <f t="shared" si="3"/>
        <v>189</v>
      </c>
      <c r="K21" s="123">
        <f t="shared" si="3"/>
        <v>189</v>
      </c>
      <c r="L21" s="123">
        <f t="shared" si="3"/>
        <v>189</v>
      </c>
      <c r="M21" s="123">
        <f t="shared" si="3"/>
        <v>189</v>
      </c>
      <c r="N21" s="123">
        <f t="shared" si="3"/>
        <v>189</v>
      </c>
      <c r="O21" s="123">
        <f t="shared" si="3"/>
        <v>189</v>
      </c>
      <c r="P21" s="123">
        <f t="shared" si="3"/>
        <v>189</v>
      </c>
      <c r="Q21" s="123">
        <f t="shared" si="3"/>
        <v>189</v>
      </c>
      <c r="R21" s="123">
        <f t="shared" si="3"/>
        <v>189</v>
      </c>
      <c r="S21" s="123">
        <f t="shared" si="3"/>
        <v>189</v>
      </c>
      <c r="T21" s="123">
        <f t="shared" si="3"/>
        <v>189</v>
      </c>
      <c r="U21" s="123">
        <f t="shared" si="3"/>
        <v>189</v>
      </c>
      <c r="V21" s="123">
        <f t="shared" si="3"/>
        <v>189</v>
      </c>
      <c r="W21" s="123">
        <f t="shared" si="3"/>
        <v>189</v>
      </c>
      <c r="X21" s="123">
        <f t="shared" si="3"/>
        <v>189</v>
      </c>
      <c r="Y21" s="123">
        <f t="shared" si="3"/>
        <v>189</v>
      </c>
      <c r="Z21" s="123">
        <f t="shared" si="3"/>
        <v>189</v>
      </c>
      <c r="AA21" s="123">
        <f t="shared" si="3"/>
        <v>189</v>
      </c>
      <c r="AB21" s="123">
        <f t="shared" si="3"/>
        <v>189</v>
      </c>
      <c r="AC21" s="123">
        <f t="shared" si="3"/>
        <v>189</v>
      </c>
      <c r="AD21" s="123">
        <f t="shared" si="3"/>
        <v>189</v>
      </c>
      <c r="AE21" s="123">
        <f t="shared" si="3"/>
        <v>189</v>
      </c>
      <c r="AF21" s="123">
        <f t="shared" si="3"/>
        <v>189</v>
      </c>
      <c r="AG21" s="123">
        <f t="shared" si="3"/>
        <v>189</v>
      </c>
      <c r="AH21" s="123">
        <f t="shared" si="3"/>
        <v>189</v>
      </c>
      <c r="AI21" s="123">
        <f t="shared" si="3"/>
        <v>189</v>
      </c>
      <c r="AJ21" s="123">
        <f t="shared" si="3"/>
        <v>189</v>
      </c>
      <c r="AK21" s="123">
        <f t="shared" si="3"/>
        <v>189</v>
      </c>
      <c r="AL21" s="123">
        <f t="shared" si="3"/>
        <v>189</v>
      </c>
      <c r="AM21" s="123">
        <f t="shared" si="3"/>
        <v>189</v>
      </c>
      <c r="AN21" s="123">
        <f t="shared" si="3"/>
        <v>189</v>
      </c>
      <c r="AO21" s="123">
        <f t="shared" si="3"/>
        <v>189</v>
      </c>
      <c r="AP21" s="123">
        <f t="shared" si="3"/>
        <v>189</v>
      </c>
      <c r="AQ21" s="123">
        <f t="shared" si="3"/>
        <v>189</v>
      </c>
      <c r="AR21" s="123">
        <f t="shared" si="3"/>
        <v>189</v>
      </c>
      <c r="AS21" s="123">
        <f t="shared" si="3"/>
        <v>189</v>
      </c>
      <c r="AT21" s="123">
        <f t="shared" si="3"/>
        <v>189</v>
      </c>
      <c r="AU21" s="123">
        <f t="shared" si="3"/>
        <v>189</v>
      </c>
      <c r="AV21" s="123">
        <f t="shared" si="3"/>
        <v>189</v>
      </c>
      <c r="AW21" s="123">
        <f t="shared" si="3"/>
        <v>189</v>
      </c>
      <c r="AX21" s="123">
        <f t="shared" si="3"/>
        <v>189</v>
      </c>
      <c r="AY21" s="123">
        <f t="shared" si="3"/>
        <v>189</v>
      </c>
      <c r="AZ21" s="173">
        <f>SUM($D21:$AY21)</f>
        <v>8970</v>
      </c>
    </row>
    <row r="22" spans="1:52" s="127" customFormat="1" x14ac:dyDescent="0.2">
      <c r="A22" s="174" t="s">
        <v>123</v>
      </c>
      <c r="B22" s="175">
        <f>1-$B$21</f>
        <v>0.5</v>
      </c>
      <c r="C22" s="175" t="s">
        <v>293</v>
      </c>
      <c r="D22" s="130">
        <f>IF(C$20="Yes",0,SUM(C$13:C$16)*$B$22)</f>
        <v>276</v>
      </c>
      <c r="E22" s="130">
        <f t="shared" ref="E22:AY22" si="4">IF(D$20="Yes",0,SUM(D$13:D$16)*$B$22)</f>
        <v>0</v>
      </c>
      <c r="F22" s="130">
        <f t="shared" si="4"/>
        <v>189</v>
      </c>
      <c r="G22" s="130">
        <f t="shared" si="4"/>
        <v>189</v>
      </c>
      <c r="H22" s="130">
        <f t="shared" si="4"/>
        <v>189</v>
      </c>
      <c r="I22" s="130">
        <f t="shared" si="4"/>
        <v>189</v>
      </c>
      <c r="J22" s="130">
        <f t="shared" si="4"/>
        <v>189</v>
      </c>
      <c r="K22" s="130">
        <f t="shared" si="4"/>
        <v>189</v>
      </c>
      <c r="L22" s="130">
        <f t="shared" si="4"/>
        <v>189</v>
      </c>
      <c r="M22" s="130">
        <f t="shared" si="4"/>
        <v>189</v>
      </c>
      <c r="N22" s="130">
        <f t="shared" si="4"/>
        <v>189</v>
      </c>
      <c r="O22" s="130">
        <f t="shared" si="4"/>
        <v>189</v>
      </c>
      <c r="P22" s="130">
        <f t="shared" si="4"/>
        <v>189</v>
      </c>
      <c r="Q22" s="130">
        <f t="shared" si="4"/>
        <v>189</v>
      </c>
      <c r="R22" s="130">
        <f t="shared" si="4"/>
        <v>189</v>
      </c>
      <c r="S22" s="130">
        <f t="shared" si="4"/>
        <v>189</v>
      </c>
      <c r="T22" s="130">
        <f t="shared" si="4"/>
        <v>189</v>
      </c>
      <c r="U22" s="130">
        <f t="shared" si="4"/>
        <v>189</v>
      </c>
      <c r="V22" s="130">
        <f t="shared" si="4"/>
        <v>189</v>
      </c>
      <c r="W22" s="130">
        <f t="shared" si="4"/>
        <v>189</v>
      </c>
      <c r="X22" s="130">
        <f t="shared" si="4"/>
        <v>189</v>
      </c>
      <c r="Y22" s="130">
        <f t="shared" si="4"/>
        <v>189</v>
      </c>
      <c r="Z22" s="130">
        <f t="shared" si="4"/>
        <v>189</v>
      </c>
      <c r="AA22" s="130">
        <f t="shared" si="4"/>
        <v>189</v>
      </c>
      <c r="AB22" s="130">
        <f t="shared" si="4"/>
        <v>189</v>
      </c>
      <c r="AC22" s="130">
        <f t="shared" si="4"/>
        <v>189</v>
      </c>
      <c r="AD22" s="130">
        <f t="shared" si="4"/>
        <v>189</v>
      </c>
      <c r="AE22" s="130">
        <f t="shared" si="4"/>
        <v>189</v>
      </c>
      <c r="AF22" s="130">
        <f t="shared" si="4"/>
        <v>189</v>
      </c>
      <c r="AG22" s="130">
        <f t="shared" si="4"/>
        <v>189</v>
      </c>
      <c r="AH22" s="130">
        <f t="shared" si="4"/>
        <v>189</v>
      </c>
      <c r="AI22" s="130">
        <f t="shared" si="4"/>
        <v>189</v>
      </c>
      <c r="AJ22" s="130">
        <f t="shared" si="4"/>
        <v>189</v>
      </c>
      <c r="AK22" s="130">
        <f t="shared" si="4"/>
        <v>189</v>
      </c>
      <c r="AL22" s="130">
        <f t="shared" si="4"/>
        <v>189</v>
      </c>
      <c r="AM22" s="130">
        <f t="shared" si="4"/>
        <v>189</v>
      </c>
      <c r="AN22" s="130">
        <f t="shared" si="4"/>
        <v>189</v>
      </c>
      <c r="AO22" s="130">
        <f t="shared" si="4"/>
        <v>189</v>
      </c>
      <c r="AP22" s="130">
        <f t="shared" si="4"/>
        <v>189</v>
      </c>
      <c r="AQ22" s="130">
        <f t="shared" si="4"/>
        <v>189</v>
      </c>
      <c r="AR22" s="130">
        <f t="shared" si="4"/>
        <v>189</v>
      </c>
      <c r="AS22" s="130">
        <f t="shared" si="4"/>
        <v>189</v>
      </c>
      <c r="AT22" s="130">
        <f t="shared" si="4"/>
        <v>189</v>
      </c>
      <c r="AU22" s="130">
        <f t="shared" si="4"/>
        <v>189</v>
      </c>
      <c r="AV22" s="130">
        <f t="shared" si="4"/>
        <v>189</v>
      </c>
      <c r="AW22" s="130">
        <f t="shared" si="4"/>
        <v>189</v>
      </c>
      <c r="AX22" s="130">
        <f t="shared" si="4"/>
        <v>189</v>
      </c>
      <c r="AY22" s="130">
        <f t="shared" si="4"/>
        <v>189</v>
      </c>
      <c r="AZ22" s="157">
        <f t="shared" ref="AZ22:AZ30" si="5">SUM($D22:$AY22)</f>
        <v>8970</v>
      </c>
    </row>
    <row r="23" spans="1:52" x14ac:dyDescent="0.2">
      <c r="A23" s="176" t="s">
        <v>307</v>
      </c>
      <c r="B23" s="140">
        <v>2000</v>
      </c>
      <c r="C23" t="s">
        <v>293</v>
      </c>
      <c r="D23">
        <f>D$21*$B$23</f>
        <v>552000</v>
      </c>
      <c r="E23">
        <f t="shared" ref="E23:AY23" si="6">E$21*$B$23</f>
        <v>0</v>
      </c>
      <c r="F23">
        <f t="shared" si="6"/>
        <v>378000</v>
      </c>
      <c r="G23">
        <f t="shared" si="6"/>
        <v>378000</v>
      </c>
      <c r="H23">
        <f t="shared" si="6"/>
        <v>378000</v>
      </c>
      <c r="I23">
        <f t="shared" si="6"/>
        <v>378000</v>
      </c>
      <c r="J23">
        <f t="shared" si="6"/>
        <v>378000</v>
      </c>
      <c r="K23">
        <f t="shared" si="6"/>
        <v>378000</v>
      </c>
      <c r="L23">
        <f t="shared" si="6"/>
        <v>378000</v>
      </c>
      <c r="M23">
        <f t="shared" si="6"/>
        <v>378000</v>
      </c>
      <c r="N23">
        <f t="shared" si="6"/>
        <v>378000</v>
      </c>
      <c r="O23">
        <f t="shared" si="6"/>
        <v>378000</v>
      </c>
      <c r="P23">
        <f t="shared" si="6"/>
        <v>378000</v>
      </c>
      <c r="Q23">
        <f t="shared" si="6"/>
        <v>378000</v>
      </c>
      <c r="R23">
        <f t="shared" si="6"/>
        <v>378000</v>
      </c>
      <c r="S23">
        <f t="shared" si="6"/>
        <v>378000</v>
      </c>
      <c r="T23">
        <f t="shared" si="6"/>
        <v>378000</v>
      </c>
      <c r="U23">
        <f t="shared" si="6"/>
        <v>378000</v>
      </c>
      <c r="V23">
        <f t="shared" si="6"/>
        <v>378000</v>
      </c>
      <c r="W23">
        <f t="shared" si="6"/>
        <v>378000</v>
      </c>
      <c r="X23">
        <f t="shared" si="6"/>
        <v>378000</v>
      </c>
      <c r="Y23">
        <f t="shared" si="6"/>
        <v>378000</v>
      </c>
      <c r="Z23">
        <f t="shared" si="6"/>
        <v>378000</v>
      </c>
      <c r="AA23">
        <f t="shared" si="6"/>
        <v>378000</v>
      </c>
      <c r="AB23">
        <f t="shared" si="6"/>
        <v>378000</v>
      </c>
      <c r="AC23">
        <f t="shared" si="6"/>
        <v>378000</v>
      </c>
      <c r="AD23">
        <f t="shared" si="6"/>
        <v>378000</v>
      </c>
      <c r="AE23">
        <f t="shared" si="6"/>
        <v>378000</v>
      </c>
      <c r="AF23">
        <f t="shared" si="6"/>
        <v>378000</v>
      </c>
      <c r="AG23">
        <f t="shared" si="6"/>
        <v>378000</v>
      </c>
      <c r="AH23">
        <f t="shared" si="6"/>
        <v>378000</v>
      </c>
      <c r="AI23">
        <f t="shared" si="6"/>
        <v>378000</v>
      </c>
      <c r="AJ23">
        <f t="shared" si="6"/>
        <v>378000</v>
      </c>
      <c r="AK23">
        <f t="shared" si="6"/>
        <v>378000</v>
      </c>
      <c r="AL23">
        <f t="shared" si="6"/>
        <v>378000</v>
      </c>
      <c r="AM23">
        <f t="shared" si="6"/>
        <v>378000</v>
      </c>
      <c r="AN23">
        <f t="shared" si="6"/>
        <v>378000</v>
      </c>
      <c r="AO23">
        <f t="shared" si="6"/>
        <v>378000</v>
      </c>
      <c r="AP23">
        <f t="shared" si="6"/>
        <v>378000</v>
      </c>
      <c r="AQ23">
        <f t="shared" si="6"/>
        <v>378000</v>
      </c>
      <c r="AR23">
        <f t="shared" si="6"/>
        <v>378000</v>
      </c>
      <c r="AS23">
        <f t="shared" si="6"/>
        <v>378000</v>
      </c>
      <c r="AT23">
        <f t="shared" si="6"/>
        <v>378000</v>
      </c>
      <c r="AU23">
        <f t="shared" si="6"/>
        <v>378000</v>
      </c>
      <c r="AV23">
        <f t="shared" si="6"/>
        <v>378000</v>
      </c>
      <c r="AW23">
        <f t="shared" si="6"/>
        <v>378000</v>
      </c>
      <c r="AX23">
        <f t="shared" si="6"/>
        <v>378000</v>
      </c>
      <c r="AY23">
        <f t="shared" si="6"/>
        <v>378000</v>
      </c>
      <c r="AZ23" s="155">
        <f t="shared" si="5"/>
        <v>17940000</v>
      </c>
    </row>
    <row r="24" spans="1:52" s="127" customFormat="1" x14ac:dyDescent="0.2">
      <c r="A24" s="177" t="s">
        <v>308</v>
      </c>
      <c r="B24" s="178">
        <v>1000</v>
      </c>
      <c r="C24" s="172" t="s">
        <v>293</v>
      </c>
      <c r="D24" s="123">
        <f>D$22*$B$24</f>
        <v>276000</v>
      </c>
      <c r="E24" s="123">
        <f t="shared" ref="E24:AY24" si="7">E$22*$B$24</f>
        <v>0</v>
      </c>
      <c r="F24" s="123">
        <f t="shared" si="7"/>
        <v>189000</v>
      </c>
      <c r="G24" s="123">
        <f t="shared" si="7"/>
        <v>189000</v>
      </c>
      <c r="H24" s="123">
        <f t="shared" si="7"/>
        <v>189000</v>
      </c>
      <c r="I24" s="123">
        <f t="shared" si="7"/>
        <v>189000</v>
      </c>
      <c r="J24" s="123">
        <f t="shared" si="7"/>
        <v>189000</v>
      </c>
      <c r="K24" s="123">
        <f t="shared" si="7"/>
        <v>189000</v>
      </c>
      <c r="L24" s="123">
        <f t="shared" si="7"/>
        <v>189000</v>
      </c>
      <c r="M24" s="123">
        <f t="shared" si="7"/>
        <v>189000</v>
      </c>
      <c r="N24" s="123">
        <f t="shared" si="7"/>
        <v>189000</v>
      </c>
      <c r="O24" s="123">
        <f t="shared" si="7"/>
        <v>189000</v>
      </c>
      <c r="P24" s="123">
        <f t="shared" si="7"/>
        <v>189000</v>
      </c>
      <c r="Q24" s="123">
        <f t="shared" si="7"/>
        <v>189000</v>
      </c>
      <c r="R24" s="123">
        <f t="shared" si="7"/>
        <v>189000</v>
      </c>
      <c r="S24" s="123">
        <f t="shared" si="7"/>
        <v>189000</v>
      </c>
      <c r="T24" s="123">
        <f t="shared" si="7"/>
        <v>189000</v>
      </c>
      <c r="U24" s="123">
        <f t="shared" si="7"/>
        <v>189000</v>
      </c>
      <c r="V24" s="123">
        <f t="shared" si="7"/>
        <v>189000</v>
      </c>
      <c r="W24" s="123">
        <f t="shared" si="7"/>
        <v>189000</v>
      </c>
      <c r="X24" s="123">
        <f t="shared" si="7"/>
        <v>189000</v>
      </c>
      <c r="Y24" s="123">
        <f t="shared" si="7"/>
        <v>189000</v>
      </c>
      <c r="Z24" s="123">
        <f t="shared" si="7"/>
        <v>189000</v>
      </c>
      <c r="AA24" s="123">
        <f t="shared" si="7"/>
        <v>189000</v>
      </c>
      <c r="AB24" s="123">
        <f t="shared" si="7"/>
        <v>189000</v>
      </c>
      <c r="AC24" s="123">
        <f t="shared" si="7"/>
        <v>189000</v>
      </c>
      <c r="AD24" s="123">
        <f t="shared" si="7"/>
        <v>189000</v>
      </c>
      <c r="AE24" s="123">
        <f t="shared" si="7"/>
        <v>189000</v>
      </c>
      <c r="AF24" s="123">
        <f t="shared" si="7"/>
        <v>189000</v>
      </c>
      <c r="AG24" s="123">
        <f t="shared" si="7"/>
        <v>189000</v>
      </c>
      <c r="AH24" s="123">
        <f t="shared" si="7"/>
        <v>189000</v>
      </c>
      <c r="AI24" s="123">
        <f t="shared" si="7"/>
        <v>189000</v>
      </c>
      <c r="AJ24" s="123">
        <f t="shared" si="7"/>
        <v>189000</v>
      </c>
      <c r="AK24" s="123">
        <f t="shared" si="7"/>
        <v>189000</v>
      </c>
      <c r="AL24" s="123">
        <f t="shared" si="7"/>
        <v>189000</v>
      </c>
      <c r="AM24" s="123">
        <f t="shared" si="7"/>
        <v>189000</v>
      </c>
      <c r="AN24" s="123">
        <f t="shared" si="7"/>
        <v>189000</v>
      </c>
      <c r="AO24" s="123">
        <f t="shared" si="7"/>
        <v>189000</v>
      </c>
      <c r="AP24" s="123">
        <f t="shared" si="7"/>
        <v>189000</v>
      </c>
      <c r="AQ24" s="123">
        <f t="shared" si="7"/>
        <v>189000</v>
      </c>
      <c r="AR24" s="123">
        <f t="shared" si="7"/>
        <v>189000</v>
      </c>
      <c r="AS24" s="123">
        <f t="shared" si="7"/>
        <v>189000</v>
      </c>
      <c r="AT24" s="123">
        <f t="shared" si="7"/>
        <v>189000</v>
      </c>
      <c r="AU24" s="123">
        <f t="shared" si="7"/>
        <v>189000</v>
      </c>
      <c r="AV24" s="123">
        <f t="shared" si="7"/>
        <v>189000</v>
      </c>
      <c r="AW24" s="123">
        <f t="shared" si="7"/>
        <v>189000</v>
      </c>
      <c r="AX24" s="123">
        <f t="shared" si="7"/>
        <v>189000</v>
      </c>
      <c r="AY24" s="123">
        <f t="shared" si="7"/>
        <v>189000</v>
      </c>
      <c r="AZ24" s="157">
        <f t="shared" si="5"/>
        <v>8970000</v>
      </c>
    </row>
    <row r="25" spans="1:52" x14ac:dyDescent="0.2">
      <c r="C25" s="154"/>
      <c r="D25" s="154"/>
      <c r="E25" s="154"/>
      <c r="F25" s="154"/>
      <c r="G25" s="154"/>
      <c r="H25" s="154"/>
      <c r="I25" s="154"/>
      <c r="J25" s="154"/>
      <c r="K25" s="154"/>
      <c r="L25" s="154"/>
      <c r="M25" s="154"/>
      <c r="N25" s="154"/>
      <c r="O25" s="154"/>
      <c r="P25" s="154"/>
      <c r="Q25" s="154"/>
      <c r="R25" s="154"/>
      <c r="S25" s="154"/>
      <c r="T25" s="154"/>
      <c r="U25" s="154"/>
      <c r="V25" s="154"/>
      <c r="W25" s="154"/>
      <c r="X25" s="154"/>
      <c r="Y25" s="154"/>
      <c r="Z25" s="154"/>
      <c r="AA25" s="154"/>
      <c r="AB25" s="154"/>
      <c r="AC25" s="154"/>
      <c r="AD25" s="154"/>
      <c r="AE25" s="154"/>
      <c r="AF25" s="154"/>
      <c r="AG25" s="154"/>
      <c r="AH25" s="154"/>
      <c r="AI25" s="154"/>
      <c r="AJ25" s="154"/>
      <c r="AK25" s="154"/>
      <c r="AL25" s="154"/>
      <c r="AM25" s="154"/>
      <c r="AN25" s="154"/>
      <c r="AO25" s="154"/>
      <c r="AP25" s="154"/>
      <c r="AQ25" s="154"/>
      <c r="AR25" s="154"/>
      <c r="AS25" s="154"/>
      <c r="AT25" s="154"/>
      <c r="AU25" s="154"/>
      <c r="AV25" s="154"/>
      <c r="AW25" s="154"/>
      <c r="AX25" s="154"/>
      <c r="AY25" s="154"/>
      <c r="AZ25" s="123"/>
    </row>
    <row r="26" spans="1:52" x14ac:dyDescent="0.2">
      <c r="A26" s="179" t="s">
        <v>18</v>
      </c>
      <c r="C26" s="123"/>
      <c r="D26" s="123"/>
      <c r="E26" s="123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</row>
    <row r="27" spans="1:52" x14ac:dyDescent="0.2">
      <c r="B27" s="151" t="s">
        <v>309</v>
      </c>
      <c r="C27" s="140">
        <v>-3</v>
      </c>
      <c r="D27" s="140">
        <f>C$27-C$28+C$29</f>
        <v>12</v>
      </c>
      <c r="E27" s="140">
        <f t="shared" ref="E27:AY27" si="8">D27-D28+D29</f>
        <v>0</v>
      </c>
      <c r="F27" s="140">
        <f t="shared" si="8"/>
        <v>12</v>
      </c>
      <c r="G27" s="140">
        <f t="shared" si="8"/>
        <v>0</v>
      </c>
      <c r="H27" s="140">
        <f t="shared" si="8"/>
        <v>12</v>
      </c>
      <c r="I27" s="140">
        <f t="shared" si="8"/>
        <v>0</v>
      </c>
      <c r="J27" s="140">
        <f t="shared" si="8"/>
        <v>12</v>
      </c>
      <c r="K27" s="140">
        <f t="shared" si="8"/>
        <v>0</v>
      </c>
      <c r="L27" s="140">
        <f t="shared" si="8"/>
        <v>12</v>
      </c>
      <c r="M27" s="140">
        <f t="shared" si="8"/>
        <v>0</v>
      </c>
      <c r="N27" s="140">
        <f t="shared" si="8"/>
        <v>12</v>
      </c>
      <c r="O27" s="140">
        <f t="shared" si="8"/>
        <v>0</v>
      </c>
      <c r="P27" s="140">
        <f t="shared" si="8"/>
        <v>12</v>
      </c>
      <c r="Q27" s="140">
        <f t="shared" si="8"/>
        <v>0</v>
      </c>
      <c r="R27" s="140">
        <f t="shared" si="8"/>
        <v>12</v>
      </c>
      <c r="S27" s="140">
        <f t="shared" si="8"/>
        <v>0</v>
      </c>
      <c r="T27" s="140">
        <f t="shared" si="8"/>
        <v>12</v>
      </c>
      <c r="U27" s="140">
        <f t="shared" si="8"/>
        <v>0</v>
      </c>
      <c r="V27" s="140">
        <f t="shared" si="8"/>
        <v>12</v>
      </c>
      <c r="W27" s="140">
        <f t="shared" si="8"/>
        <v>0</v>
      </c>
      <c r="X27" s="140">
        <f t="shared" si="8"/>
        <v>12</v>
      </c>
      <c r="Y27" s="140">
        <f t="shared" si="8"/>
        <v>0</v>
      </c>
      <c r="Z27" s="140">
        <f t="shared" si="8"/>
        <v>12</v>
      </c>
      <c r="AA27" s="140">
        <f t="shared" si="8"/>
        <v>0</v>
      </c>
      <c r="AB27" s="140">
        <f t="shared" si="8"/>
        <v>12</v>
      </c>
      <c r="AC27" s="140">
        <f t="shared" si="8"/>
        <v>0</v>
      </c>
      <c r="AD27" s="140">
        <f t="shared" si="8"/>
        <v>12</v>
      </c>
      <c r="AE27" s="140">
        <f t="shared" si="8"/>
        <v>0</v>
      </c>
      <c r="AF27" s="140">
        <f t="shared" si="8"/>
        <v>12</v>
      </c>
      <c r="AG27" s="140">
        <f t="shared" si="8"/>
        <v>0</v>
      </c>
      <c r="AH27" s="140">
        <f t="shared" si="8"/>
        <v>12</v>
      </c>
      <c r="AI27" s="140">
        <f t="shared" si="8"/>
        <v>0</v>
      </c>
      <c r="AJ27" s="140">
        <f t="shared" si="8"/>
        <v>12</v>
      </c>
      <c r="AK27" s="140">
        <f t="shared" si="8"/>
        <v>0</v>
      </c>
      <c r="AL27" s="140">
        <f t="shared" si="8"/>
        <v>12</v>
      </c>
      <c r="AM27" s="140">
        <f t="shared" si="8"/>
        <v>0</v>
      </c>
      <c r="AN27" s="140">
        <f t="shared" si="8"/>
        <v>12</v>
      </c>
      <c r="AO27" s="140">
        <f t="shared" si="8"/>
        <v>0</v>
      </c>
      <c r="AP27" s="140">
        <f t="shared" si="8"/>
        <v>12</v>
      </c>
      <c r="AQ27" s="140">
        <f t="shared" si="8"/>
        <v>0</v>
      </c>
      <c r="AR27" s="140">
        <f t="shared" si="8"/>
        <v>12</v>
      </c>
      <c r="AS27" s="140">
        <f t="shared" si="8"/>
        <v>0</v>
      </c>
      <c r="AT27" s="140">
        <f t="shared" si="8"/>
        <v>12</v>
      </c>
      <c r="AU27" s="140">
        <f t="shared" si="8"/>
        <v>0</v>
      </c>
      <c r="AV27" s="140">
        <f t="shared" si="8"/>
        <v>12</v>
      </c>
      <c r="AW27" s="140">
        <f t="shared" si="8"/>
        <v>0</v>
      </c>
      <c r="AX27" s="140">
        <f t="shared" si="8"/>
        <v>12</v>
      </c>
      <c r="AY27" s="180">
        <f t="shared" si="8"/>
        <v>0</v>
      </c>
      <c r="AZ27" s="123"/>
    </row>
    <row r="28" spans="1:52" x14ac:dyDescent="0.2">
      <c r="B28" s="181" t="s">
        <v>310</v>
      </c>
      <c r="C28" s="127">
        <v>0</v>
      </c>
      <c r="D28" s="127">
        <v>12</v>
      </c>
      <c r="E28" s="127">
        <v>0</v>
      </c>
      <c r="F28" s="127">
        <v>12</v>
      </c>
      <c r="G28" s="127">
        <v>0</v>
      </c>
      <c r="H28" s="127">
        <v>12</v>
      </c>
      <c r="I28" s="127">
        <v>0</v>
      </c>
      <c r="J28" s="127">
        <v>12</v>
      </c>
      <c r="K28" s="127">
        <v>0</v>
      </c>
      <c r="L28" s="127">
        <v>12</v>
      </c>
      <c r="M28" s="127">
        <v>0</v>
      </c>
      <c r="N28" s="127">
        <v>12</v>
      </c>
      <c r="O28" s="127">
        <v>0</v>
      </c>
      <c r="P28" s="127">
        <v>12</v>
      </c>
      <c r="Q28" s="127">
        <v>0</v>
      </c>
      <c r="R28" s="127">
        <v>12</v>
      </c>
      <c r="S28" s="127">
        <v>0</v>
      </c>
      <c r="T28" s="127">
        <v>12</v>
      </c>
      <c r="U28" s="127">
        <v>0</v>
      </c>
      <c r="V28" s="127">
        <v>12</v>
      </c>
      <c r="W28" s="127">
        <v>0</v>
      </c>
      <c r="X28" s="127">
        <v>12</v>
      </c>
      <c r="Y28" s="127">
        <v>0</v>
      </c>
      <c r="Z28" s="127">
        <v>12</v>
      </c>
      <c r="AA28" s="127">
        <v>0</v>
      </c>
      <c r="AB28" s="127">
        <v>12</v>
      </c>
      <c r="AC28" s="127">
        <v>0</v>
      </c>
      <c r="AD28" s="127">
        <v>12</v>
      </c>
      <c r="AE28" s="127">
        <v>0</v>
      </c>
      <c r="AF28" s="127">
        <v>12</v>
      </c>
      <c r="AG28" s="127">
        <v>0</v>
      </c>
      <c r="AH28" s="127">
        <v>12</v>
      </c>
      <c r="AI28" s="127">
        <v>0</v>
      </c>
      <c r="AJ28" s="127">
        <v>12</v>
      </c>
      <c r="AK28" s="127">
        <v>0</v>
      </c>
      <c r="AL28" s="127">
        <v>12</v>
      </c>
      <c r="AM28" s="127">
        <v>0</v>
      </c>
      <c r="AN28" s="127">
        <v>12</v>
      </c>
      <c r="AO28" s="127">
        <v>0</v>
      </c>
      <c r="AP28" s="127">
        <v>12</v>
      </c>
      <c r="AQ28" s="127">
        <v>0</v>
      </c>
      <c r="AR28" s="127">
        <v>12</v>
      </c>
      <c r="AS28" s="127">
        <v>0</v>
      </c>
      <c r="AT28" s="127">
        <v>12</v>
      </c>
      <c r="AU28" s="127">
        <v>0</v>
      </c>
      <c r="AV28" s="127">
        <v>12</v>
      </c>
      <c r="AW28" s="127">
        <v>0</v>
      </c>
      <c r="AX28" s="127">
        <v>12</v>
      </c>
      <c r="AY28" s="182">
        <v>0</v>
      </c>
      <c r="AZ28" s="123"/>
    </row>
    <row r="29" spans="1:52" x14ac:dyDescent="0.2">
      <c r="B29" s="152" t="s">
        <v>311</v>
      </c>
      <c r="C29" s="141">
        <v>15</v>
      </c>
      <c r="D29" s="141">
        <f>C$28</f>
        <v>0</v>
      </c>
      <c r="E29" s="141">
        <f t="shared" ref="E29:AY29" si="9">D$28</f>
        <v>12</v>
      </c>
      <c r="F29" s="141">
        <f t="shared" si="9"/>
        <v>0</v>
      </c>
      <c r="G29" s="141">
        <f t="shared" si="9"/>
        <v>12</v>
      </c>
      <c r="H29" s="141">
        <f t="shared" si="9"/>
        <v>0</v>
      </c>
      <c r="I29" s="141">
        <f t="shared" si="9"/>
        <v>12</v>
      </c>
      <c r="J29" s="141">
        <f t="shared" si="9"/>
        <v>0</v>
      </c>
      <c r="K29" s="141">
        <f t="shared" si="9"/>
        <v>12</v>
      </c>
      <c r="L29" s="141">
        <f t="shared" si="9"/>
        <v>0</v>
      </c>
      <c r="M29" s="141">
        <f t="shared" si="9"/>
        <v>12</v>
      </c>
      <c r="N29" s="141">
        <f t="shared" si="9"/>
        <v>0</v>
      </c>
      <c r="O29" s="141">
        <f t="shared" si="9"/>
        <v>12</v>
      </c>
      <c r="P29" s="141">
        <f t="shared" si="9"/>
        <v>0</v>
      </c>
      <c r="Q29" s="141">
        <f t="shared" si="9"/>
        <v>12</v>
      </c>
      <c r="R29" s="141">
        <f t="shared" si="9"/>
        <v>0</v>
      </c>
      <c r="S29" s="141">
        <f t="shared" si="9"/>
        <v>12</v>
      </c>
      <c r="T29" s="141">
        <f t="shared" si="9"/>
        <v>0</v>
      </c>
      <c r="U29" s="141">
        <f t="shared" si="9"/>
        <v>12</v>
      </c>
      <c r="V29" s="141">
        <f t="shared" si="9"/>
        <v>0</v>
      </c>
      <c r="W29" s="141">
        <f t="shared" si="9"/>
        <v>12</v>
      </c>
      <c r="X29" s="141">
        <f t="shared" si="9"/>
        <v>0</v>
      </c>
      <c r="Y29" s="141">
        <f t="shared" si="9"/>
        <v>12</v>
      </c>
      <c r="Z29" s="141">
        <f t="shared" si="9"/>
        <v>0</v>
      </c>
      <c r="AA29" s="141">
        <f t="shared" si="9"/>
        <v>12</v>
      </c>
      <c r="AB29" s="141">
        <f t="shared" si="9"/>
        <v>0</v>
      </c>
      <c r="AC29" s="141">
        <f t="shared" si="9"/>
        <v>12</v>
      </c>
      <c r="AD29" s="141">
        <f t="shared" si="9"/>
        <v>0</v>
      </c>
      <c r="AE29" s="141">
        <f t="shared" si="9"/>
        <v>12</v>
      </c>
      <c r="AF29" s="141">
        <f t="shared" si="9"/>
        <v>0</v>
      </c>
      <c r="AG29" s="141">
        <f t="shared" si="9"/>
        <v>12</v>
      </c>
      <c r="AH29" s="141">
        <f t="shared" si="9"/>
        <v>0</v>
      </c>
      <c r="AI29" s="141">
        <f t="shared" si="9"/>
        <v>12</v>
      </c>
      <c r="AJ29" s="141">
        <f t="shared" si="9"/>
        <v>0</v>
      </c>
      <c r="AK29" s="141">
        <f t="shared" si="9"/>
        <v>12</v>
      </c>
      <c r="AL29" s="141">
        <f t="shared" si="9"/>
        <v>0</v>
      </c>
      <c r="AM29" s="141">
        <f t="shared" si="9"/>
        <v>12</v>
      </c>
      <c r="AN29" s="141">
        <f t="shared" si="9"/>
        <v>0</v>
      </c>
      <c r="AO29" s="141">
        <f t="shared" si="9"/>
        <v>12</v>
      </c>
      <c r="AP29" s="141">
        <f t="shared" si="9"/>
        <v>0</v>
      </c>
      <c r="AQ29" s="141">
        <f t="shared" si="9"/>
        <v>12</v>
      </c>
      <c r="AR29" s="141">
        <f t="shared" si="9"/>
        <v>0</v>
      </c>
      <c r="AS29" s="141">
        <f t="shared" si="9"/>
        <v>12</v>
      </c>
      <c r="AT29" s="141">
        <f t="shared" si="9"/>
        <v>0</v>
      </c>
      <c r="AU29" s="141">
        <f t="shared" si="9"/>
        <v>12</v>
      </c>
      <c r="AV29" s="141">
        <f t="shared" si="9"/>
        <v>0</v>
      </c>
      <c r="AW29" s="141">
        <f t="shared" si="9"/>
        <v>12</v>
      </c>
      <c r="AX29" s="141">
        <f t="shared" si="9"/>
        <v>0</v>
      </c>
      <c r="AY29" s="183">
        <f t="shared" si="9"/>
        <v>12</v>
      </c>
      <c r="AZ29" s="184"/>
    </row>
    <row r="30" spans="1:52" x14ac:dyDescent="0.2">
      <c r="A30" s="185" t="s">
        <v>312</v>
      </c>
      <c r="B30" s="160">
        <v>10</v>
      </c>
      <c r="C30" s="133" t="s">
        <v>293</v>
      </c>
      <c r="D30" s="133">
        <f>D$27*$B$30</f>
        <v>120</v>
      </c>
      <c r="E30" s="133">
        <f t="shared" ref="E30:AY30" si="10">E$27*$B$30</f>
        <v>0</v>
      </c>
      <c r="F30" s="133">
        <f t="shared" si="10"/>
        <v>120</v>
      </c>
      <c r="G30" s="133">
        <f t="shared" si="10"/>
        <v>0</v>
      </c>
      <c r="H30" s="133">
        <f t="shared" si="10"/>
        <v>120</v>
      </c>
      <c r="I30" s="133">
        <f t="shared" si="10"/>
        <v>0</v>
      </c>
      <c r="J30" s="133">
        <f t="shared" si="10"/>
        <v>120</v>
      </c>
      <c r="K30" s="133">
        <f t="shared" si="10"/>
        <v>0</v>
      </c>
      <c r="L30" s="133">
        <f t="shared" si="10"/>
        <v>120</v>
      </c>
      <c r="M30" s="133">
        <f t="shared" si="10"/>
        <v>0</v>
      </c>
      <c r="N30" s="133">
        <f t="shared" si="10"/>
        <v>120</v>
      </c>
      <c r="O30" s="133">
        <f t="shared" si="10"/>
        <v>0</v>
      </c>
      <c r="P30" s="133">
        <f t="shared" si="10"/>
        <v>120</v>
      </c>
      <c r="Q30" s="133">
        <f t="shared" si="10"/>
        <v>0</v>
      </c>
      <c r="R30" s="133">
        <f>R$27*$B$30</f>
        <v>120</v>
      </c>
      <c r="S30" s="133">
        <f t="shared" si="10"/>
        <v>0</v>
      </c>
      <c r="T30" s="133">
        <f t="shared" si="10"/>
        <v>120</v>
      </c>
      <c r="U30" s="133">
        <f t="shared" si="10"/>
        <v>0</v>
      </c>
      <c r="V30" s="133">
        <f t="shared" si="10"/>
        <v>120</v>
      </c>
      <c r="W30" s="133">
        <f t="shared" si="10"/>
        <v>0</v>
      </c>
      <c r="X30" s="133">
        <f t="shared" si="10"/>
        <v>120</v>
      </c>
      <c r="Y30" s="133">
        <f t="shared" si="10"/>
        <v>0</v>
      </c>
      <c r="Z30" s="133">
        <f t="shared" si="10"/>
        <v>120</v>
      </c>
      <c r="AA30" s="133">
        <f t="shared" si="10"/>
        <v>0</v>
      </c>
      <c r="AB30" s="133">
        <f t="shared" si="10"/>
        <v>120</v>
      </c>
      <c r="AC30" s="133">
        <f t="shared" si="10"/>
        <v>0</v>
      </c>
      <c r="AD30" s="133">
        <f t="shared" si="10"/>
        <v>120</v>
      </c>
      <c r="AE30" s="133">
        <f>AE$27*$B$30</f>
        <v>0</v>
      </c>
      <c r="AF30" s="133">
        <f t="shared" si="10"/>
        <v>120</v>
      </c>
      <c r="AG30" s="133">
        <f t="shared" si="10"/>
        <v>0</v>
      </c>
      <c r="AH30" s="133">
        <f t="shared" si="10"/>
        <v>120</v>
      </c>
      <c r="AI30" s="133">
        <f t="shared" si="10"/>
        <v>0</v>
      </c>
      <c r="AJ30" s="133">
        <f t="shared" si="10"/>
        <v>120</v>
      </c>
      <c r="AK30" s="133">
        <f t="shared" si="10"/>
        <v>0</v>
      </c>
      <c r="AL30" s="133">
        <f t="shared" si="10"/>
        <v>120</v>
      </c>
      <c r="AM30" s="133">
        <f t="shared" si="10"/>
        <v>0</v>
      </c>
      <c r="AN30" s="133">
        <f t="shared" si="10"/>
        <v>120</v>
      </c>
      <c r="AO30" s="133">
        <f t="shared" si="10"/>
        <v>0</v>
      </c>
      <c r="AP30" s="133">
        <f t="shared" si="10"/>
        <v>120</v>
      </c>
      <c r="AQ30" s="133">
        <f t="shared" si="10"/>
        <v>0</v>
      </c>
      <c r="AR30" s="133">
        <f t="shared" si="10"/>
        <v>120</v>
      </c>
      <c r="AS30" s="133">
        <f t="shared" si="10"/>
        <v>0</v>
      </c>
      <c r="AT30" s="133">
        <f t="shared" si="10"/>
        <v>120</v>
      </c>
      <c r="AU30" s="133">
        <f t="shared" si="10"/>
        <v>0</v>
      </c>
      <c r="AV30" s="133">
        <f t="shared" si="10"/>
        <v>120</v>
      </c>
      <c r="AW30" s="133">
        <f t="shared" si="10"/>
        <v>0</v>
      </c>
      <c r="AX30" s="133">
        <f t="shared" si="10"/>
        <v>120</v>
      </c>
      <c r="AY30" s="133">
        <f t="shared" si="10"/>
        <v>0</v>
      </c>
      <c r="AZ30" s="157">
        <f t="shared" si="5"/>
        <v>2880</v>
      </c>
    </row>
    <row r="32" spans="1:52" x14ac:dyDescent="0.2">
      <c r="A32" s="1" t="s">
        <v>300</v>
      </c>
    </row>
    <row r="33" spans="1:52" x14ac:dyDescent="0.2">
      <c r="A33" s="151" t="s">
        <v>22</v>
      </c>
      <c r="B33" s="151" t="s">
        <v>341</v>
      </c>
      <c r="C33" s="140"/>
      <c r="D33" s="140">
        <f>D$21*shipping_manufacturing!$D$27/100</f>
        <v>204.58058400000002</v>
      </c>
      <c r="E33" s="140">
        <f>E$21*shipping_manufacturing!$D$27/100</f>
        <v>0</v>
      </c>
      <c r="F33" s="140">
        <f>F$21*shipping_manufacturing!$D$27/100</f>
        <v>140.09322600000002</v>
      </c>
      <c r="G33" s="140">
        <f>G$21*shipping_manufacturing!$D$27/100</f>
        <v>140.09322600000002</v>
      </c>
      <c r="H33" s="140">
        <f>H$21*shipping_manufacturing!$D$27/100</f>
        <v>140.09322600000002</v>
      </c>
      <c r="I33" s="140">
        <f>I$21*shipping_manufacturing!$D$27/100</f>
        <v>140.09322600000002</v>
      </c>
      <c r="J33" s="140">
        <f>J$21*shipping_manufacturing!$D$27/100</f>
        <v>140.09322600000002</v>
      </c>
      <c r="K33" s="140">
        <f>K$21*shipping_manufacturing!$D$27/100</f>
        <v>140.09322600000002</v>
      </c>
      <c r="L33" s="140">
        <f>L$21*shipping_manufacturing!$D$27/100</f>
        <v>140.09322600000002</v>
      </c>
      <c r="M33" s="140">
        <f>M$21*shipping_manufacturing!$D$27/100</f>
        <v>140.09322600000002</v>
      </c>
      <c r="N33" s="140">
        <f>N$21*shipping_manufacturing!$D$27/100</f>
        <v>140.09322600000002</v>
      </c>
      <c r="O33" s="140">
        <f>O$21*shipping_manufacturing!$D$27/100</f>
        <v>140.09322600000002</v>
      </c>
      <c r="P33" s="140">
        <f>P$21*shipping_manufacturing!$D$27/100</f>
        <v>140.09322600000002</v>
      </c>
      <c r="Q33" s="140">
        <f>Q$21*shipping_manufacturing!$D$27/100</f>
        <v>140.09322600000002</v>
      </c>
      <c r="R33" s="140">
        <f>R$21*shipping_manufacturing!$D$27/100</f>
        <v>140.09322600000002</v>
      </c>
      <c r="S33" s="140">
        <f>S$21*shipping_manufacturing!$D$27/100</f>
        <v>140.09322600000002</v>
      </c>
      <c r="T33" s="140">
        <f>T$21*shipping_manufacturing!$D$27/100</f>
        <v>140.09322600000002</v>
      </c>
      <c r="U33" s="140">
        <f>U$21*shipping_manufacturing!$D$27/100</f>
        <v>140.09322600000002</v>
      </c>
      <c r="V33" s="140">
        <f>V$21*shipping_manufacturing!$D$27/100</f>
        <v>140.09322600000002</v>
      </c>
      <c r="W33" s="140">
        <f>W$21*shipping_manufacturing!$D$27/100</f>
        <v>140.09322600000002</v>
      </c>
      <c r="X33" s="140">
        <f>X$21*shipping_manufacturing!$D$27/100</f>
        <v>140.09322600000002</v>
      </c>
      <c r="Y33" s="140">
        <f>Y$21*shipping_manufacturing!$D$27/100</f>
        <v>140.09322600000002</v>
      </c>
      <c r="Z33" s="140">
        <f>Z$21*shipping_manufacturing!$D$27/100</f>
        <v>140.09322600000002</v>
      </c>
      <c r="AA33" s="140">
        <f>AA$21*shipping_manufacturing!$D$27/100</f>
        <v>140.09322600000002</v>
      </c>
      <c r="AB33" s="140">
        <f>AB$21*shipping_manufacturing!$D$27/100</f>
        <v>140.09322600000002</v>
      </c>
      <c r="AC33" s="140">
        <f>AC$21*shipping_manufacturing!$D$27/100</f>
        <v>140.09322600000002</v>
      </c>
      <c r="AD33" s="140">
        <f>AD$21*shipping_manufacturing!$D$27/100</f>
        <v>140.09322600000002</v>
      </c>
      <c r="AE33" s="140">
        <f>AE$21*shipping_manufacturing!$D$27/100</f>
        <v>140.09322600000002</v>
      </c>
      <c r="AF33" s="140">
        <f>AF$21*shipping_manufacturing!$D$27/100</f>
        <v>140.09322600000002</v>
      </c>
      <c r="AG33" s="140">
        <f>AG$21*shipping_manufacturing!$D$27/100</f>
        <v>140.09322600000002</v>
      </c>
      <c r="AH33" s="140">
        <f>AH$21*shipping_manufacturing!$D$27/100</f>
        <v>140.09322600000002</v>
      </c>
      <c r="AI33" s="140">
        <f>AI$21*shipping_manufacturing!$D$27/100</f>
        <v>140.09322600000002</v>
      </c>
      <c r="AJ33" s="140">
        <f>AJ$21*shipping_manufacturing!$D$27/100</f>
        <v>140.09322600000002</v>
      </c>
      <c r="AK33" s="140">
        <f>AK$21*shipping_manufacturing!$D$27/100</f>
        <v>140.09322600000002</v>
      </c>
      <c r="AL33" s="140">
        <f>AL$21*shipping_manufacturing!$D$27/100</f>
        <v>140.09322600000002</v>
      </c>
      <c r="AM33" s="140">
        <f>AM$21*shipping_manufacturing!$D$27/100</f>
        <v>140.09322600000002</v>
      </c>
      <c r="AN33" s="140">
        <f>AN$21*shipping_manufacturing!$D$27/100</f>
        <v>140.09322600000002</v>
      </c>
      <c r="AO33" s="140">
        <f>AO$21*shipping_manufacturing!$D$27/100</f>
        <v>140.09322600000002</v>
      </c>
      <c r="AP33" s="140">
        <f>AP$21*shipping_manufacturing!$D$27/100</f>
        <v>140.09322600000002</v>
      </c>
      <c r="AQ33" s="140">
        <f>AQ$21*shipping_manufacturing!$D$27/100</f>
        <v>140.09322600000002</v>
      </c>
      <c r="AR33" s="140">
        <f>AR$21*shipping_manufacturing!$D$27/100</f>
        <v>140.09322600000002</v>
      </c>
      <c r="AS33" s="140">
        <f>AS$21*shipping_manufacturing!$D$27/100</f>
        <v>140.09322600000002</v>
      </c>
      <c r="AT33" s="140">
        <f>AT$21*shipping_manufacturing!$D$27/100</f>
        <v>140.09322600000002</v>
      </c>
      <c r="AU33" s="140">
        <f>AU$21*shipping_manufacturing!$D$27/100</f>
        <v>140.09322600000002</v>
      </c>
      <c r="AV33" s="140">
        <f>AV$21*shipping_manufacturing!$D$27/100</f>
        <v>140.09322600000002</v>
      </c>
      <c r="AW33" s="140">
        <f>AW$21*shipping_manufacturing!$D$27/100</f>
        <v>140.09322600000002</v>
      </c>
      <c r="AX33" s="140">
        <f>AX$21*shipping_manufacturing!$D$27/100</f>
        <v>140.09322600000002</v>
      </c>
      <c r="AY33" s="140">
        <f>AY$21*shipping_manufacturing!$D$27/100</f>
        <v>140.09322600000002</v>
      </c>
    </row>
    <row r="34" spans="1:52" x14ac:dyDescent="0.2">
      <c r="A34" s="129" t="s">
        <v>340</v>
      </c>
      <c r="B34" s="181" t="s">
        <v>342</v>
      </c>
      <c r="C34" s="127"/>
      <c r="D34" s="127">
        <f>D$22*shipping_manufacturing!$E$27/100</f>
        <v>0</v>
      </c>
      <c r="E34" s="127">
        <f>E$22*shipping_manufacturing!$E$27/100</f>
        <v>0</v>
      </c>
      <c r="F34" s="127">
        <f>F$22*shipping_manufacturing!$E$27/100</f>
        <v>0</v>
      </c>
      <c r="G34" s="127">
        <f>G$22*shipping_manufacturing!$E$27/100</f>
        <v>0</v>
      </c>
      <c r="H34" s="127">
        <f>H$22*shipping_manufacturing!$E$27/100</f>
        <v>0</v>
      </c>
      <c r="I34" s="127">
        <f>I$22*shipping_manufacturing!$E$27/100</f>
        <v>0</v>
      </c>
      <c r="J34" s="127">
        <f>J$22*shipping_manufacturing!$E$27/100</f>
        <v>0</v>
      </c>
      <c r="K34" s="127">
        <f>K$22*shipping_manufacturing!$E$27/100</f>
        <v>0</v>
      </c>
      <c r="L34" s="127">
        <f>L$22*shipping_manufacturing!$E$27/100</f>
        <v>0</v>
      </c>
      <c r="M34" s="127">
        <f>M$22*shipping_manufacturing!$E$27/100</f>
        <v>0</v>
      </c>
      <c r="N34" s="127">
        <f>N$22*shipping_manufacturing!$E$27/100</f>
        <v>0</v>
      </c>
      <c r="O34" s="127">
        <f>O$22*shipping_manufacturing!$E$27/100</f>
        <v>0</v>
      </c>
      <c r="P34" s="127">
        <f>P$22*shipping_manufacturing!$E$27/100</f>
        <v>0</v>
      </c>
      <c r="Q34" s="127">
        <f>Q$22*shipping_manufacturing!$E$27/100</f>
        <v>0</v>
      </c>
      <c r="R34" s="127">
        <f>R$22*shipping_manufacturing!$E$27/100</f>
        <v>0</v>
      </c>
      <c r="S34" s="127">
        <f>S$22*shipping_manufacturing!$E$27/100</f>
        <v>0</v>
      </c>
      <c r="T34" s="127">
        <f>T$22*shipping_manufacturing!$E$27/100</f>
        <v>0</v>
      </c>
      <c r="U34" s="127">
        <f>U$22*shipping_manufacturing!$E$27/100</f>
        <v>0</v>
      </c>
      <c r="V34" s="127">
        <f>V$22*shipping_manufacturing!$E$27/100</f>
        <v>0</v>
      </c>
      <c r="W34" s="127">
        <f>W$22*shipping_manufacturing!$E$27/100</f>
        <v>0</v>
      </c>
      <c r="X34" s="127">
        <f>X$22*shipping_manufacturing!$E$27/100</f>
        <v>0</v>
      </c>
      <c r="Y34" s="127">
        <f>Y$22*shipping_manufacturing!$E$27/100</f>
        <v>0</v>
      </c>
      <c r="Z34" s="127">
        <f>Z$22*shipping_manufacturing!$E$27/100</f>
        <v>0</v>
      </c>
      <c r="AA34" s="127">
        <f>AA$22*shipping_manufacturing!$E$27/100</f>
        <v>0</v>
      </c>
      <c r="AB34" s="127">
        <f>AB$22*shipping_manufacturing!$E$27/100</f>
        <v>0</v>
      </c>
      <c r="AC34" s="127">
        <f>AC$22*shipping_manufacturing!$E$27/100</f>
        <v>0</v>
      </c>
      <c r="AD34" s="127">
        <f>AD$22*shipping_manufacturing!$E$27/100</f>
        <v>0</v>
      </c>
      <c r="AE34" s="127">
        <f>AE$22*shipping_manufacturing!$E$27/100</f>
        <v>0</v>
      </c>
      <c r="AF34" s="127">
        <f>AF$22*shipping_manufacturing!$E$27/100</f>
        <v>0</v>
      </c>
      <c r="AG34" s="127">
        <f>AG$22*shipping_manufacturing!$E$27/100</f>
        <v>0</v>
      </c>
      <c r="AH34" s="127">
        <f>AH$22*shipping_manufacturing!$E$27/100</f>
        <v>0</v>
      </c>
      <c r="AI34" s="127">
        <f>AI$22*shipping_manufacturing!$E$27/100</f>
        <v>0</v>
      </c>
      <c r="AJ34" s="127">
        <f>AJ$22*shipping_manufacturing!$E$27/100</f>
        <v>0</v>
      </c>
      <c r="AK34" s="127">
        <f>AK$22*shipping_manufacturing!$E$27/100</f>
        <v>0</v>
      </c>
      <c r="AL34" s="127">
        <f>AL$22*shipping_manufacturing!$E$27/100</f>
        <v>0</v>
      </c>
      <c r="AM34" s="127">
        <f>AM$22*shipping_manufacturing!$E$27/100</f>
        <v>0</v>
      </c>
      <c r="AN34" s="127">
        <f>AN$22*shipping_manufacturing!$E$27/100</f>
        <v>0</v>
      </c>
      <c r="AO34" s="127">
        <f>AO$22*shipping_manufacturing!$E$27/100</f>
        <v>0</v>
      </c>
      <c r="AP34" s="127">
        <f>AP$22*shipping_manufacturing!$E$27/100</f>
        <v>0</v>
      </c>
      <c r="AQ34" s="127">
        <f>AQ$22*shipping_manufacturing!$E$27/100</f>
        <v>0</v>
      </c>
      <c r="AR34" s="127">
        <f>AR$22*shipping_manufacturing!$E$27/100</f>
        <v>0</v>
      </c>
      <c r="AS34" s="127">
        <f>AS$22*shipping_manufacturing!$E$27/100</f>
        <v>0</v>
      </c>
      <c r="AT34" s="127">
        <f>AT$22*shipping_manufacturing!$E$27/100</f>
        <v>0</v>
      </c>
      <c r="AU34" s="127">
        <f>AU$22*shipping_manufacturing!$E$27/100</f>
        <v>0</v>
      </c>
      <c r="AV34" s="127">
        <f>AV$22*shipping_manufacturing!$E$27/100</f>
        <v>0</v>
      </c>
      <c r="AW34" s="127">
        <f>AW$22*shipping_manufacturing!$E$27/100</f>
        <v>0</v>
      </c>
      <c r="AX34" s="127">
        <f>AX$22*shipping_manufacturing!$E$27/100</f>
        <v>0</v>
      </c>
      <c r="AY34" s="127">
        <f>AY$22*shipping_manufacturing!$E$27/100</f>
        <v>0</v>
      </c>
    </row>
    <row r="35" spans="1:52" x14ac:dyDescent="0.2">
      <c r="A35" s="127">
        <v>1335</v>
      </c>
      <c r="B35" s="181" t="s">
        <v>343</v>
      </c>
      <c r="C35" s="127"/>
      <c r="D35" s="127">
        <f>SUM(D33:D34)</f>
        <v>204.58058400000002</v>
      </c>
      <c r="E35" s="127">
        <f t="shared" ref="E35:AY35" si="11">SUM(E33:E34)</f>
        <v>0</v>
      </c>
      <c r="F35" s="127">
        <f t="shared" si="11"/>
        <v>140.09322600000002</v>
      </c>
      <c r="G35" s="127">
        <f t="shared" si="11"/>
        <v>140.09322600000002</v>
      </c>
      <c r="H35" s="127">
        <f t="shared" si="11"/>
        <v>140.09322600000002</v>
      </c>
      <c r="I35" s="127">
        <f t="shared" si="11"/>
        <v>140.09322600000002</v>
      </c>
      <c r="J35" s="127">
        <f t="shared" si="11"/>
        <v>140.09322600000002</v>
      </c>
      <c r="K35" s="127">
        <f t="shared" si="11"/>
        <v>140.09322600000002</v>
      </c>
      <c r="L35" s="127">
        <f t="shared" si="11"/>
        <v>140.09322600000002</v>
      </c>
      <c r="M35" s="127">
        <f t="shared" si="11"/>
        <v>140.09322600000002</v>
      </c>
      <c r="N35" s="127">
        <f t="shared" si="11"/>
        <v>140.09322600000002</v>
      </c>
      <c r="O35" s="127">
        <f t="shared" si="11"/>
        <v>140.09322600000002</v>
      </c>
      <c r="P35" s="127">
        <f t="shared" si="11"/>
        <v>140.09322600000002</v>
      </c>
      <c r="Q35" s="127">
        <f t="shared" si="11"/>
        <v>140.09322600000002</v>
      </c>
      <c r="R35" s="127">
        <f t="shared" si="11"/>
        <v>140.09322600000002</v>
      </c>
      <c r="S35" s="127">
        <f t="shared" si="11"/>
        <v>140.09322600000002</v>
      </c>
      <c r="T35" s="127">
        <f t="shared" si="11"/>
        <v>140.09322600000002</v>
      </c>
      <c r="U35" s="127">
        <f t="shared" si="11"/>
        <v>140.09322600000002</v>
      </c>
      <c r="V35" s="127">
        <f t="shared" si="11"/>
        <v>140.09322600000002</v>
      </c>
      <c r="W35" s="127">
        <f t="shared" si="11"/>
        <v>140.09322600000002</v>
      </c>
      <c r="X35" s="127">
        <f t="shared" si="11"/>
        <v>140.09322600000002</v>
      </c>
      <c r="Y35" s="127">
        <f t="shared" si="11"/>
        <v>140.09322600000002</v>
      </c>
      <c r="Z35" s="127">
        <f t="shared" si="11"/>
        <v>140.09322600000002</v>
      </c>
      <c r="AA35" s="127">
        <f t="shared" si="11"/>
        <v>140.09322600000002</v>
      </c>
      <c r="AB35" s="127">
        <f t="shared" si="11"/>
        <v>140.09322600000002</v>
      </c>
      <c r="AC35" s="127">
        <f t="shared" si="11"/>
        <v>140.09322600000002</v>
      </c>
      <c r="AD35" s="127">
        <f t="shared" si="11"/>
        <v>140.09322600000002</v>
      </c>
      <c r="AE35" s="127">
        <f t="shared" si="11"/>
        <v>140.09322600000002</v>
      </c>
      <c r="AF35" s="127">
        <f t="shared" si="11"/>
        <v>140.09322600000002</v>
      </c>
      <c r="AG35" s="127">
        <f t="shared" si="11"/>
        <v>140.09322600000002</v>
      </c>
      <c r="AH35" s="127">
        <f t="shared" si="11"/>
        <v>140.09322600000002</v>
      </c>
      <c r="AI35" s="127">
        <f t="shared" si="11"/>
        <v>140.09322600000002</v>
      </c>
      <c r="AJ35" s="127">
        <f t="shared" si="11"/>
        <v>140.09322600000002</v>
      </c>
      <c r="AK35" s="127">
        <f t="shared" si="11"/>
        <v>140.09322600000002</v>
      </c>
      <c r="AL35" s="127">
        <f t="shared" si="11"/>
        <v>140.09322600000002</v>
      </c>
      <c r="AM35" s="127">
        <f t="shared" si="11"/>
        <v>140.09322600000002</v>
      </c>
      <c r="AN35" s="127">
        <f t="shared" si="11"/>
        <v>140.09322600000002</v>
      </c>
      <c r="AO35" s="127">
        <f t="shared" si="11"/>
        <v>140.09322600000002</v>
      </c>
      <c r="AP35" s="127">
        <f t="shared" si="11"/>
        <v>140.09322600000002</v>
      </c>
      <c r="AQ35" s="127">
        <f t="shared" si="11"/>
        <v>140.09322600000002</v>
      </c>
      <c r="AR35" s="127">
        <f t="shared" si="11"/>
        <v>140.09322600000002</v>
      </c>
      <c r="AS35" s="127">
        <f t="shared" si="11"/>
        <v>140.09322600000002</v>
      </c>
      <c r="AT35" s="127">
        <f t="shared" si="11"/>
        <v>140.09322600000002</v>
      </c>
      <c r="AU35" s="127">
        <f t="shared" si="11"/>
        <v>140.09322600000002</v>
      </c>
      <c r="AV35" s="127">
        <f t="shared" si="11"/>
        <v>140.09322600000002</v>
      </c>
      <c r="AW35" s="127">
        <f t="shared" si="11"/>
        <v>140.09322600000002</v>
      </c>
      <c r="AX35" s="127">
        <f t="shared" si="11"/>
        <v>140.09322600000002</v>
      </c>
      <c r="AY35" s="127">
        <f t="shared" si="11"/>
        <v>140.09322600000002</v>
      </c>
    </row>
    <row r="36" spans="1:52" x14ac:dyDescent="0.2">
      <c r="A36" s="127"/>
      <c r="B36" s="181" t="s">
        <v>344</v>
      </c>
      <c r="C36" s="127"/>
      <c r="D36" s="127">
        <v>120</v>
      </c>
      <c r="E36" s="127"/>
      <c r="F36" s="127">
        <v>120</v>
      </c>
      <c r="G36" s="127"/>
      <c r="H36" s="127">
        <v>120</v>
      </c>
      <c r="I36" s="127"/>
      <c r="J36" s="127">
        <v>120</v>
      </c>
      <c r="K36" s="127"/>
      <c r="L36" s="127">
        <v>120</v>
      </c>
      <c r="M36" s="127"/>
      <c r="N36" s="127">
        <v>120</v>
      </c>
      <c r="O36" s="127"/>
      <c r="P36" s="127">
        <v>120</v>
      </c>
      <c r="Q36" s="127"/>
      <c r="R36" s="127">
        <v>120</v>
      </c>
      <c r="S36" s="127"/>
      <c r="T36" s="127">
        <v>120</v>
      </c>
      <c r="U36" s="127"/>
      <c r="V36" s="127">
        <v>120</v>
      </c>
      <c r="W36" s="127"/>
      <c r="X36" s="127">
        <v>120</v>
      </c>
      <c r="Y36" s="127"/>
      <c r="Z36" s="127">
        <v>120</v>
      </c>
      <c r="AA36" s="127"/>
      <c r="AB36" s="127">
        <v>120</v>
      </c>
      <c r="AC36" s="127"/>
      <c r="AD36" s="127">
        <v>120</v>
      </c>
      <c r="AE36" s="127"/>
      <c r="AF36" s="127">
        <v>120</v>
      </c>
      <c r="AG36" s="127"/>
      <c r="AH36" s="127">
        <v>120</v>
      </c>
      <c r="AI36" s="127"/>
      <c r="AJ36" s="127">
        <v>120</v>
      </c>
      <c r="AK36" s="127"/>
      <c r="AL36" s="127">
        <v>120</v>
      </c>
      <c r="AM36" s="127"/>
      <c r="AN36" s="127">
        <v>120</v>
      </c>
      <c r="AO36" s="127"/>
      <c r="AP36" s="127">
        <v>120</v>
      </c>
      <c r="AQ36" s="127"/>
      <c r="AR36" s="127">
        <v>120</v>
      </c>
      <c r="AS36" s="127"/>
      <c r="AT36" s="127">
        <v>120</v>
      </c>
      <c r="AU36" s="127"/>
      <c r="AV36" s="127">
        <v>120</v>
      </c>
      <c r="AW36" s="127"/>
      <c r="AX36" s="127">
        <v>120</v>
      </c>
      <c r="AY36" s="127"/>
    </row>
    <row r="37" spans="1:52" x14ac:dyDescent="0.2">
      <c r="A37" s="127"/>
      <c r="B37" s="181" t="s">
        <v>345</v>
      </c>
      <c r="C37" s="127"/>
      <c r="D37" s="127">
        <v>0</v>
      </c>
      <c r="E37" s="127"/>
      <c r="F37" s="127">
        <v>0</v>
      </c>
      <c r="G37" s="127"/>
      <c r="H37" s="127">
        <v>0</v>
      </c>
      <c r="I37" s="127"/>
      <c r="J37" s="127">
        <v>0</v>
      </c>
      <c r="K37" s="127"/>
      <c r="L37" s="127">
        <v>0</v>
      </c>
      <c r="M37" s="127"/>
      <c r="N37" s="127">
        <v>0</v>
      </c>
      <c r="O37" s="127"/>
      <c r="P37" s="127">
        <v>0</v>
      </c>
      <c r="Q37" s="127"/>
      <c r="R37" s="127">
        <v>0</v>
      </c>
      <c r="S37" s="127"/>
      <c r="T37" s="127">
        <v>0</v>
      </c>
      <c r="U37" s="127"/>
      <c r="V37" s="127">
        <v>0</v>
      </c>
      <c r="W37" s="127"/>
      <c r="X37" s="127">
        <v>0</v>
      </c>
      <c r="Y37" s="127"/>
      <c r="Z37" s="127">
        <v>0</v>
      </c>
      <c r="AA37" s="127"/>
      <c r="AB37" s="127">
        <v>0</v>
      </c>
      <c r="AC37" s="127"/>
      <c r="AD37" s="127">
        <v>0</v>
      </c>
      <c r="AE37" s="127"/>
      <c r="AF37" s="127">
        <v>0</v>
      </c>
      <c r="AG37" s="127"/>
      <c r="AH37" s="127">
        <v>0</v>
      </c>
      <c r="AI37" s="127"/>
      <c r="AJ37" s="127">
        <v>0</v>
      </c>
      <c r="AK37" s="127"/>
      <c r="AL37" s="127">
        <v>0</v>
      </c>
      <c r="AM37" s="127"/>
      <c r="AN37" s="127">
        <v>0</v>
      </c>
      <c r="AO37" s="127"/>
      <c r="AP37" s="127">
        <v>0</v>
      </c>
      <c r="AQ37" s="127"/>
      <c r="AR37" s="127">
        <v>0</v>
      </c>
      <c r="AS37" s="127"/>
      <c r="AT37" s="127">
        <v>0</v>
      </c>
      <c r="AU37" s="127"/>
      <c r="AV37" s="127">
        <v>0</v>
      </c>
      <c r="AW37" s="127"/>
      <c r="AX37" s="127">
        <v>0</v>
      </c>
      <c r="AY37" s="127"/>
    </row>
    <row r="38" spans="1:52" x14ac:dyDescent="0.2">
      <c r="A38" s="127"/>
      <c r="B38" s="181" t="s">
        <v>346</v>
      </c>
      <c r="C38" s="127"/>
      <c r="D38" s="127">
        <v>4</v>
      </c>
      <c r="E38" s="127"/>
      <c r="F38" s="127">
        <v>4</v>
      </c>
      <c r="G38" s="127"/>
      <c r="H38" s="127">
        <v>4</v>
      </c>
      <c r="I38" s="127"/>
      <c r="J38" s="127">
        <v>4</v>
      </c>
      <c r="K38" s="127"/>
      <c r="L38" s="127">
        <v>4</v>
      </c>
      <c r="M38" s="127"/>
      <c r="N38" s="127">
        <v>4</v>
      </c>
      <c r="O38" s="127"/>
      <c r="P38" s="127">
        <v>4</v>
      </c>
      <c r="Q38" s="127"/>
      <c r="R38" s="127">
        <v>4</v>
      </c>
      <c r="S38" s="127"/>
      <c r="T38" s="127">
        <v>4</v>
      </c>
      <c r="U38" s="127"/>
      <c r="V38" s="127">
        <v>4</v>
      </c>
      <c r="W38" s="127"/>
      <c r="X38" s="127">
        <v>4</v>
      </c>
      <c r="Y38" s="127"/>
      <c r="Z38" s="127">
        <v>4</v>
      </c>
      <c r="AA38" s="127"/>
      <c r="AB38" s="127">
        <v>4</v>
      </c>
      <c r="AC38" s="127"/>
      <c r="AD38" s="127">
        <v>4</v>
      </c>
      <c r="AE38" s="127"/>
      <c r="AF38" s="127">
        <v>4</v>
      </c>
      <c r="AG38" s="127"/>
      <c r="AH38" s="127">
        <v>4</v>
      </c>
      <c r="AI38" s="127"/>
      <c r="AJ38" s="127">
        <v>4</v>
      </c>
      <c r="AK38" s="127"/>
      <c r="AL38" s="127">
        <v>4</v>
      </c>
      <c r="AM38" s="127"/>
      <c r="AN38" s="127">
        <v>4</v>
      </c>
      <c r="AO38" s="127"/>
      <c r="AP38" s="127">
        <v>4</v>
      </c>
      <c r="AQ38" s="127"/>
      <c r="AR38" s="127">
        <v>4</v>
      </c>
      <c r="AS38" s="127"/>
      <c r="AT38" s="127">
        <v>4</v>
      </c>
      <c r="AU38" s="127"/>
      <c r="AV38" s="127">
        <v>4</v>
      </c>
      <c r="AW38" s="127"/>
      <c r="AX38" s="127">
        <v>4</v>
      </c>
      <c r="AY38" s="127"/>
    </row>
    <row r="39" spans="1:52" x14ac:dyDescent="0.2">
      <c r="A39" s="127"/>
      <c r="B39" s="181" t="s">
        <v>347</v>
      </c>
      <c r="C39" s="127"/>
      <c r="D39" s="127">
        <f>D33-D36</f>
        <v>84.580584000000016</v>
      </c>
      <c r="E39" s="127">
        <f t="shared" ref="E39:AY39" si="12">E33-E36</f>
        <v>0</v>
      </c>
      <c r="F39" s="127">
        <f t="shared" si="12"/>
        <v>20.093226000000016</v>
      </c>
      <c r="G39" s="127">
        <f t="shared" si="12"/>
        <v>140.09322600000002</v>
      </c>
      <c r="H39" s="127">
        <f t="shared" si="12"/>
        <v>20.093226000000016</v>
      </c>
      <c r="I39" s="127">
        <f t="shared" si="12"/>
        <v>140.09322600000002</v>
      </c>
      <c r="J39" s="127">
        <f t="shared" si="12"/>
        <v>20.093226000000016</v>
      </c>
      <c r="K39" s="127">
        <f t="shared" si="12"/>
        <v>140.09322600000002</v>
      </c>
      <c r="L39" s="127">
        <f t="shared" si="12"/>
        <v>20.093226000000016</v>
      </c>
      <c r="M39" s="127">
        <f t="shared" si="12"/>
        <v>140.09322600000002</v>
      </c>
      <c r="N39" s="127">
        <f t="shared" si="12"/>
        <v>20.093226000000016</v>
      </c>
      <c r="O39" s="127">
        <f t="shared" si="12"/>
        <v>140.09322600000002</v>
      </c>
      <c r="P39" s="127">
        <f t="shared" si="12"/>
        <v>20.093226000000016</v>
      </c>
      <c r="Q39" s="127">
        <f t="shared" si="12"/>
        <v>140.09322600000002</v>
      </c>
      <c r="R39" s="127">
        <f t="shared" si="12"/>
        <v>20.093226000000016</v>
      </c>
      <c r="S39" s="127">
        <f t="shared" si="12"/>
        <v>140.09322600000002</v>
      </c>
      <c r="T39" s="127">
        <f t="shared" si="12"/>
        <v>20.093226000000016</v>
      </c>
      <c r="U39" s="127">
        <f t="shared" si="12"/>
        <v>140.09322600000002</v>
      </c>
      <c r="V39" s="127">
        <f t="shared" si="12"/>
        <v>20.093226000000016</v>
      </c>
      <c r="W39" s="127">
        <f t="shared" si="12"/>
        <v>140.09322600000002</v>
      </c>
      <c r="X39" s="127">
        <f t="shared" si="12"/>
        <v>20.093226000000016</v>
      </c>
      <c r="Y39" s="127">
        <f t="shared" si="12"/>
        <v>140.09322600000002</v>
      </c>
      <c r="Z39" s="127">
        <f t="shared" si="12"/>
        <v>20.093226000000016</v>
      </c>
      <c r="AA39" s="127">
        <f t="shared" si="12"/>
        <v>140.09322600000002</v>
      </c>
      <c r="AB39" s="127">
        <f t="shared" si="12"/>
        <v>20.093226000000016</v>
      </c>
      <c r="AC39" s="127">
        <f t="shared" si="12"/>
        <v>140.09322600000002</v>
      </c>
      <c r="AD39" s="127">
        <f t="shared" si="12"/>
        <v>20.093226000000016</v>
      </c>
      <c r="AE39" s="127">
        <f t="shared" si="12"/>
        <v>140.09322600000002</v>
      </c>
      <c r="AF39" s="127">
        <f t="shared" si="12"/>
        <v>20.093226000000016</v>
      </c>
      <c r="AG39" s="127">
        <f t="shared" si="12"/>
        <v>140.09322600000002</v>
      </c>
      <c r="AH39" s="127">
        <f t="shared" si="12"/>
        <v>20.093226000000016</v>
      </c>
      <c r="AI39" s="127">
        <f t="shared" si="12"/>
        <v>140.09322600000002</v>
      </c>
      <c r="AJ39" s="127">
        <f t="shared" si="12"/>
        <v>20.093226000000016</v>
      </c>
      <c r="AK39" s="127">
        <f t="shared" si="12"/>
        <v>140.09322600000002</v>
      </c>
      <c r="AL39" s="127">
        <f t="shared" si="12"/>
        <v>20.093226000000016</v>
      </c>
      <c r="AM39" s="127">
        <f t="shared" si="12"/>
        <v>140.09322600000002</v>
      </c>
      <c r="AN39" s="127">
        <f t="shared" si="12"/>
        <v>20.093226000000016</v>
      </c>
      <c r="AO39" s="127">
        <f t="shared" si="12"/>
        <v>140.09322600000002</v>
      </c>
      <c r="AP39" s="127">
        <f t="shared" si="12"/>
        <v>20.093226000000016</v>
      </c>
      <c r="AQ39" s="127">
        <f t="shared" si="12"/>
        <v>140.09322600000002</v>
      </c>
      <c r="AR39" s="127">
        <f t="shared" si="12"/>
        <v>20.093226000000016</v>
      </c>
      <c r="AS39" s="127">
        <f t="shared" si="12"/>
        <v>140.09322600000002</v>
      </c>
      <c r="AT39" s="127">
        <f t="shared" si="12"/>
        <v>20.093226000000016</v>
      </c>
      <c r="AU39" s="127">
        <f t="shared" si="12"/>
        <v>140.09322600000002</v>
      </c>
      <c r="AV39" s="127">
        <f t="shared" si="12"/>
        <v>20.093226000000016</v>
      </c>
      <c r="AW39" s="127">
        <f t="shared" si="12"/>
        <v>140.09322600000002</v>
      </c>
      <c r="AX39" s="127">
        <f t="shared" si="12"/>
        <v>20.093226000000016</v>
      </c>
      <c r="AY39" s="127">
        <f t="shared" si="12"/>
        <v>140.09322600000002</v>
      </c>
    </row>
    <row r="40" spans="1:52" x14ac:dyDescent="0.2">
      <c r="A40" s="127"/>
      <c r="B40" s="181" t="s">
        <v>348</v>
      </c>
      <c r="C40" s="127"/>
      <c r="D40" s="127">
        <f>D34-D37</f>
        <v>0</v>
      </c>
      <c r="E40" s="127">
        <f t="shared" ref="E40:AY40" si="13">E34-E37</f>
        <v>0</v>
      </c>
      <c r="F40" s="127">
        <f t="shared" si="13"/>
        <v>0</v>
      </c>
      <c r="G40" s="127">
        <f t="shared" si="13"/>
        <v>0</v>
      </c>
      <c r="H40" s="127">
        <f t="shared" si="13"/>
        <v>0</v>
      </c>
      <c r="I40" s="127">
        <f t="shared" si="13"/>
        <v>0</v>
      </c>
      <c r="J40" s="127">
        <f t="shared" si="13"/>
        <v>0</v>
      </c>
      <c r="K40" s="127">
        <f t="shared" si="13"/>
        <v>0</v>
      </c>
      <c r="L40" s="127">
        <f t="shared" si="13"/>
        <v>0</v>
      </c>
      <c r="M40" s="127">
        <f t="shared" si="13"/>
        <v>0</v>
      </c>
      <c r="N40" s="127">
        <f t="shared" si="13"/>
        <v>0</v>
      </c>
      <c r="O40" s="127">
        <f t="shared" si="13"/>
        <v>0</v>
      </c>
      <c r="P40" s="127">
        <f t="shared" si="13"/>
        <v>0</v>
      </c>
      <c r="Q40" s="127">
        <f t="shared" si="13"/>
        <v>0</v>
      </c>
      <c r="R40" s="127">
        <f t="shared" si="13"/>
        <v>0</v>
      </c>
      <c r="S40" s="127">
        <f t="shared" si="13"/>
        <v>0</v>
      </c>
      <c r="T40" s="127">
        <f t="shared" si="13"/>
        <v>0</v>
      </c>
      <c r="U40" s="127">
        <f t="shared" si="13"/>
        <v>0</v>
      </c>
      <c r="V40" s="127">
        <f t="shared" si="13"/>
        <v>0</v>
      </c>
      <c r="W40" s="127">
        <f t="shared" si="13"/>
        <v>0</v>
      </c>
      <c r="X40" s="127">
        <f t="shared" si="13"/>
        <v>0</v>
      </c>
      <c r="Y40" s="127">
        <f t="shared" si="13"/>
        <v>0</v>
      </c>
      <c r="Z40" s="127">
        <f t="shared" si="13"/>
        <v>0</v>
      </c>
      <c r="AA40" s="127">
        <f t="shared" si="13"/>
        <v>0</v>
      </c>
      <c r="AB40" s="127">
        <f t="shared" si="13"/>
        <v>0</v>
      </c>
      <c r="AC40" s="127">
        <f t="shared" si="13"/>
        <v>0</v>
      </c>
      <c r="AD40" s="127">
        <f t="shared" si="13"/>
        <v>0</v>
      </c>
      <c r="AE40" s="127">
        <f t="shared" si="13"/>
        <v>0</v>
      </c>
      <c r="AF40" s="127">
        <f t="shared" si="13"/>
        <v>0</v>
      </c>
      <c r="AG40" s="127">
        <f t="shared" si="13"/>
        <v>0</v>
      </c>
      <c r="AH40" s="127">
        <f t="shared" si="13"/>
        <v>0</v>
      </c>
      <c r="AI40" s="127">
        <f t="shared" si="13"/>
        <v>0</v>
      </c>
      <c r="AJ40" s="127">
        <f t="shared" si="13"/>
        <v>0</v>
      </c>
      <c r="AK40" s="127">
        <f t="shared" si="13"/>
        <v>0</v>
      </c>
      <c r="AL40" s="127">
        <f t="shared" si="13"/>
        <v>0</v>
      </c>
      <c r="AM40" s="127">
        <f t="shared" si="13"/>
        <v>0</v>
      </c>
      <c r="AN40" s="127">
        <f t="shared" si="13"/>
        <v>0</v>
      </c>
      <c r="AO40" s="127">
        <f t="shared" si="13"/>
        <v>0</v>
      </c>
      <c r="AP40" s="127">
        <f t="shared" si="13"/>
        <v>0</v>
      </c>
      <c r="AQ40" s="127">
        <f t="shared" si="13"/>
        <v>0</v>
      </c>
      <c r="AR40" s="127">
        <f t="shared" si="13"/>
        <v>0</v>
      </c>
      <c r="AS40" s="127">
        <f t="shared" si="13"/>
        <v>0</v>
      </c>
      <c r="AT40" s="127">
        <f t="shared" si="13"/>
        <v>0</v>
      </c>
      <c r="AU40" s="127">
        <f t="shared" si="13"/>
        <v>0</v>
      </c>
      <c r="AV40" s="127">
        <f t="shared" si="13"/>
        <v>0</v>
      </c>
      <c r="AW40" s="127">
        <f t="shared" si="13"/>
        <v>0</v>
      </c>
      <c r="AX40" s="127">
        <f t="shared" si="13"/>
        <v>0</v>
      </c>
      <c r="AY40" s="127">
        <f t="shared" si="13"/>
        <v>0</v>
      </c>
    </row>
    <row r="41" spans="1:52" x14ac:dyDescent="0.2">
      <c r="A41" s="127"/>
      <c r="B41" s="181" t="s">
        <v>349</v>
      </c>
      <c r="C41" s="127"/>
      <c r="D41" s="127">
        <v>2</v>
      </c>
      <c r="E41" s="127">
        <v>1</v>
      </c>
      <c r="F41" s="127">
        <v>2</v>
      </c>
      <c r="G41" s="127">
        <v>1</v>
      </c>
      <c r="H41" s="127">
        <v>2</v>
      </c>
      <c r="I41" s="127">
        <v>2</v>
      </c>
      <c r="J41" s="127">
        <v>1</v>
      </c>
      <c r="K41" s="127">
        <v>2</v>
      </c>
      <c r="L41" s="127">
        <v>1</v>
      </c>
      <c r="M41" s="127">
        <v>1</v>
      </c>
      <c r="N41" s="127">
        <v>1</v>
      </c>
      <c r="O41" s="127">
        <v>1</v>
      </c>
      <c r="P41" s="127">
        <v>2</v>
      </c>
      <c r="Q41" s="127">
        <v>1</v>
      </c>
      <c r="R41" s="127">
        <v>1</v>
      </c>
      <c r="S41" s="127">
        <v>3</v>
      </c>
      <c r="T41" s="127">
        <v>1</v>
      </c>
      <c r="U41" s="127">
        <v>1</v>
      </c>
      <c r="V41" s="127">
        <v>3</v>
      </c>
      <c r="W41" s="127">
        <v>2</v>
      </c>
      <c r="X41" s="127">
        <v>3</v>
      </c>
      <c r="Y41" s="127">
        <v>1</v>
      </c>
      <c r="Z41" s="127">
        <v>2</v>
      </c>
      <c r="AA41" s="127">
        <v>3</v>
      </c>
      <c r="AB41" s="127">
        <v>1</v>
      </c>
      <c r="AC41" s="127">
        <v>2</v>
      </c>
      <c r="AD41" s="127">
        <v>1</v>
      </c>
      <c r="AE41" s="127">
        <v>1</v>
      </c>
      <c r="AF41" s="127">
        <v>1</v>
      </c>
      <c r="AG41" s="127">
        <v>1</v>
      </c>
      <c r="AH41" s="127">
        <v>1</v>
      </c>
      <c r="AI41" s="127">
        <v>1</v>
      </c>
      <c r="AJ41" s="127">
        <v>1</v>
      </c>
      <c r="AK41" s="127">
        <v>2</v>
      </c>
      <c r="AL41" s="127">
        <v>3</v>
      </c>
      <c r="AM41" s="127">
        <v>2</v>
      </c>
      <c r="AN41" s="127">
        <v>1</v>
      </c>
      <c r="AO41" s="127">
        <v>1</v>
      </c>
      <c r="AP41" s="127">
        <v>1</v>
      </c>
      <c r="AQ41" s="127">
        <v>1</v>
      </c>
      <c r="AR41" s="127">
        <v>3</v>
      </c>
      <c r="AS41" s="127">
        <v>1</v>
      </c>
      <c r="AT41" s="127">
        <v>2</v>
      </c>
      <c r="AU41" s="127">
        <v>1</v>
      </c>
      <c r="AV41" s="127">
        <v>3</v>
      </c>
      <c r="AW41" s="127">
        <v>2</v>
      </c>
      <c r="AX41" s="127">
        <v>1</v>
      </c>
      <c r="AY41" s="127">
        <v>3</v>
      </c>
    </row>
    <row r="42" spans="1:52" x14ac:dyDescent="0.2">
      <c r="A42" s="127"/>
      <c r="B42" s="192" t="s">
        <v>350</v>
      </c>
      <c r="C42" s="127"/>
      <c r="D42" s="127">
        <v>192240</v>
      </c>
      <c r="E42" s="127">
        <v>0</v>
      </c>
      <c r="F42" s="127">
        <v>192240</v>
      </c>
      <c r="G42" s="127">
        <v>0</v>
      </c>
      <c r="H42" s="127">
        <v>192240</v>
      </c>
      <c r="I42" s="127">
        <v>0</v>
      </c>
      <c r="J42" s="127">
        <v>192240</v>
      </c>
      <c r="K42" s="127">
        <v>0</v>
      </c>
      <c r="L42" s="127">
        <v>192240</v>
      </c>
      <c r="M42" s="127">
        <v>0</v>
      </c>
      <c r="N42" s="127">
        <v>192240</v>
      </c>
      <c r="O42" s="127">
        <v>0</v>
      </c>
      <c r="P42" s="127">
        <v>192240</v>
      </c>
      <c r="Q42" s="127">
        <v>0</v>
      </c>
      <c r="R42" s="127">
        <v>192240</v>
      </c>
      <c r="S42" s="127">
        <v>0</v>
      </c>
      <c r="T42" s="127">
        <v>192240</v>
      </c>
      <c r="U42" s="127">
        <v>0</v>
      </c>
      <c r="V42" s="127">
        <v>192240</v>
      </c>
      <c r="W42" s="127">
        <v>0</v>
      </c>
      <c r="X42" s="127">
        <v>192240</v>
      </c>
      <c r="Y42" s="127">
        <v>0</v>
      </c>
      <c r="Z42" s="127">
        <v>192240</v>
      </c>
      <c r="AA42" s="127">
        <v>0</v>
      </c>
      <c r="AB42" s="127">
        <v>192240</v>
      </c>
      <c r="AC42" s="127">
        <v>0</v>
      </c>
      <c r="AD42" s="127">
        <v>192240</v>
      </c>
      <c r="AE42" s="127">
        <v>0</v>
      </c>
      <c r="AF42" s="127">
        <v>192240</v>
      </c>
      <c r="AG42" s="127">
        <v>0</v>
      </c>
      <c r="AH42" s="127">
        <v>192240</v>
      </c>
      <c r="AI42" s="127">
        <v>0</v>
      </c>
      <c r="AJ42" s="127">
        <v>192240</v>
      </c>
      <c r="AK42" s="127">
        <v>0</v>
      </c>
      <c r="AL42" s="127">
        <v>192240</v>
      </c>
      <c r="AM42" s="127">
        <v>0</v>
      </c>
      <c r="AN42" s="127">
        <v>192240</v>
      </c>
      <c r="AO42" s="127">
        <v>0</v>
      </c>
      <c r="AP42" s="127">
        <v>192240</v>
      </c>
      <c r="AQ42" s="127">
        <v>0</v>
      </c>
      <c r="AR42" s="127">
        <v>192240</v>
      </c>
      <c r="AS42" s="127">
        <v>0</v>
      </c>
      <c r="AT42" s="127">
        <v>192240</v>
      </c>
      <c r="AU42" s="127">
        <v>0</v>
      </c>
      <c r="AV42" s="127">
        <v>192240</v>
      </c>
      <c r="AW42" s="127">
        <v>0</v>
      </c>
      <c r="AX42" s="127">
        <v>192240</v>
      </c>
      <c r="AY42" s="127">
        <v>0</v>
      </c>
      <c r="AZ42">
        <f>SUM($D$42:$AY$42)</f>
        <v>4613760</v>
      </c>
    </row>
    <row r="43" spans="1:52" x14ac:dyDescent="0.2">
      <c r="A43" s="127"/>
      <c r="B43" s="192" t="s">
        <v>351</v>
      </c>
      <c r="C43" s="127"/>
      <c r="D43" s="127">
        <v>73394.801766000019</v>
      </c>
      <c r="E43" s="127">
        <v>0</v>
      </c>
      <c r="F43" s="127">
        <v>17435.896861500012</v>
      </c>
      <c r="G43" s="127">
        <v>121565.89686150002</v>
      </c>
      <c r="H43" s="127">
        <v>17435.896861500012</v>
      </c>
      <c r="I43" s="127">
        <v>121565.89686150002</v>
      </c>
      <c r="J43" s="127">
        <v>17435.896861500012</v>
      </c>
      <c r="K43" s="127">
        <v>121565.89686150002</v>
      </c>
      <c r="L43" s="127">
        <v>17435.896861500012</v>
      </c>
      <c r="M43" s="127">
        <v>121565.89686150002</v>
      </c>
      <c r="N43" s="127">
        <v>17435.896861500012</v>
      </c>
      <c r="O43" s="127">
        <v>121565.89686150002</v>
      </c>
      <c r="P43" s="127">
        <v>17435.896861500012</v>
      </c>
      <c r="Q43" s="127">
        <v>121565.89686150002</v>
      </c>
      <c r="R43" s="127">
        <v>17435.896861500012</v>
      </c>
      <c r="S43" s="127">
        <v>121565.89686150002</v>
      </c>
      <c r="T43" s="127">
        <v>17435.896861500012</v>
      </c>
      <c r="U43" s="127">
        <v>121565.89686150002</v>
      </c>
      <c r="V43" s="127">
        <v>17435.896861500012</v>
      </c>
      <c r="W43" s="127">
        <v>121565.89686150002</v>
      </c>
      <c r="X43" s="127">
        <v>17435.896861500012</v>
      </c>
      <c r="Y43" s="127">
        <v>121565.89686150002</v>
      </c>
      <c r="Z43" s="127">
        <v>17435.896861500012</v>
      </c>
      <c r="AA43" s="127">
        <v>121565.89686150002</v>
      </c>
      <c r="AB43" s="127">
        <v>17435.896861500012</v>
      </c>
      <c r="AC43" s="127">
        <v>121565.89686150002</v>
      </c>
      <c r="AD43" s="127">
        <v>17435.896861500012</v>
      </c>
      <c r="AE43" s="127">
        <v>121565.89686150002</v>
      </c>
      <c r="AF43" s="127">
        <v>17435.896861500012</v>
      </c>
      <c r="AG43" s="127">
        <v>121565.89686150002</v>
      </c>
      <c r="AH43" s="127">
        <v>17435.896861500012</v>
      </c>
      <c r="AI43" s="127">
        <v>121565.89686150002</v>
      </c>
      <c r="AJ43" s="127">
        <v>17435.896861500012</v>
      </c>
      <c r="AK43" s="127">
        <v>121565.89686150002</v>
      </c>
      <c r="AL43" s="127">
        <v>17435.896861500012</v>
      </c>
      <c r="AM43" s="127">
        <v>121565.89686150002</v>
      </c>
      <c r="AN43" s="127">
        <v>17435.896861500012</v>
      </c>
      <c r="AO43" s="127">
        <v>121565.89686150002</v>
      </c>
      <c r="AP43" s="127">
        <v>17435.896861500012</v>
      </c>
      <c r="AQ43" s="127">
        <v>121565.89686150002</v>
      </c>
      <c r="AR43" s="127">
        <v>17435.896861500012</v>
      </c>
      <c r="AS43" s="127">
        <v>121565.89686150002</v>
      </c>
      <c r="AT43" s="127">
        <v>17435.896861500012</v>
      </c>
      <c r="AU43" s="127">
        <v>121565.89686150002</v>
      </c>
      <c r="AV43" s="127">
        <v>17435.896861500012</v>
      </c>
      <c r="AW43" s="127">
        <v>121565.89686150002</v>
      </c>
      <c r="AX43" s="127">
        <v>17435.896861500012</v>
      </c>
      <c r="AY43" s="127">
        <v>121565.89686150002</v>
      </c>
      <c r="AZ43">
        <f>SUM($D$43:$AY$43)</f>
        <v>3270436.0573950033</v>
      </c>
    </row>
    <row r="44" spans="1:52" x14ac:dyDescent="0.2">
      <c r="A44" s="151" t="s">
        <v>59</v>
      </c>
      <c r="B44" s="151" t="s">
        <v>341</v>
      </c>
      <c r="C44" s="140"/>
      <c r="D44" s="140">
        <f>D$21*shipping_manufacturing!$D$28/100</f>
        <v>71.419415999999998</v>
      </c>
      <c r="E44" s="140">
        <f>E$21*shipping_manufacturing!$D$28/100</f>
        <v>0</v>
      </c>
      <c r="F44" s="140">
        <f>F$21*shipping_manufacturing!$D$28/100</f>
        <v>48.906773999999999</v>
      </c>
      <c r="G44" s="140">
        <f>G$21*shipping_manufacturing!$D$28/100</f>
        <v>48.906773999999999</v>
      </c>
      <c r="H44" s="140">
        <f>H$21*shipping_manufacturing!$D$28/100</f>
        <v>48.906773999999999</v>
      </c>
      <c r="I44" s="140">
        <f>I$21*shipping_manufacturing!$D$28/100</f>
        <v>48.906773999999999</v>
      </c>
      <c r="J44" s="140">
        <f>J$21*shipping_manufacturing!$D$28/100</f>
        <v>48.906773999999999</v>
      </c>
      <c r="K44" s="140">
        <f>K$21*shipping_manufacturing!$D$28/100</f>
        <v>48.906773999999999</v>
      </c>
      <c r="L44" s="140">
        <f>L$21*shipping_manufacturing!$D$28/100</f>
        <v>48.906773999999999</v>
      </c>
      <c r="M44" s="140">
        <f>M$21*shipping_manufacturing!$D$28/100</f>
        <v>48.906773999999999</v>
      </c>
      <c r="N44" s="140">
        <f>N$21*shipping_manufacturing!$D$28/100</f>
        <v>48.906773999999999</v>
      </c>
      <c r="O44" s="140">
        <f>O$21*shipping_manufacturing!$D$28/100</f>
        <v>48.906773999999999</v>
      </c>
      <c r="P44" s="140">
        <f>P$21*shipping_manufacturing!$D$28/100</f>
        <v>48.906773999999999</v>
      </c>
      <c r="Q44" s="140">
        <f>Q$21*shipping_manufacturing!$D$28/100</f>
        <v>48.906773999999999</v>
      </c>
      <c r="R44" s="140">
        <f>R$21*shipping_manufacturing!$D$28/100</f>
        <v>48.906773999999999</v>
      </c>
      <c r="S44" s="140">
        <f>S$21*shipping_manufacturing!$D$28/100</f>
        <v>48.906773999999999</v>
      </c>
      <c r="T44" s="140">
        <f>T$21*shipping_manufacturing!$D$28/100</f>
        <v>48.906773999999999</v>
      </c>
      <c r="U44" s="140">
        <f>U$21*shipping_manufacturing!$D$28/100</f>
        <v>48.906773999999999</v>
      </c>
      <c r="V44" s="140">
        <f>V$21*shipping_manufacturing!$D$28/100</f>
        <v>48.906773999999999</v>
      </c>
      <c r="W44" s="140">
        <f>W$21*shipping_manufacturing!$D$28/100</f>
        <v>48.906773999999999</v>
      </c>
      <c r="X44" s="140">
        <f>X$21*shipping_manufacturing!$D$28/100</f>
        <v>48.906773999999999</v>
      </c>
      <c r="Y44" s="140">
        <f>Y$21*shipping_manufacturing!$D$28/100</f>
        <v>48.906773999999999</v>
      </c>
      <c r="Z44" s="140">
        <f>Z$21*shipping_manufacturing!$D$28/100</f>
        <v>48.906773999999999</v>
      </c>
      <c r="AA44" s="140">
        <f>AA$21*shipping_manufacturing!$D$28/100</f>
        <v>48.906773999999999</v>
      </c>
      <c r="AB44" s="140">
        <f>AB$21*shipping_manufacturing!$D$28/100</f>
        <v>48.906773999999999</v>
      </c>
      <c r="AC44" s="140">
        <f>AC$21*shipping_manufacturing!$D$28/100</f>
        <v>48.906773999999999</v>
      </c>
      <c r="AD44" s="140">
        <f>AD$21*shipping_manufacturing!$D$28/100</f>
        <v>48.906773999999999</v>
      </c>
      <c r="AE44" s="140">
        <f>AE$21*shipping_manufacturing!$D$28/100</f>
        <v>48.906773999999999</v>
      </c>
      <c r="AF44" s="140">
        <f>AF$21*shipping_manufacturing!$D$28/100</f>
        <v>48.906773999999999</v>
      </c>
      <c r="AG44" s="140">
        <f>AG$21*shipping_manufacturing!$D$28/100</f>
        <v>48.906773999999999</v>
      </c>
      <c r="AH44" s="140">
        <f>AH$21*shipping_manufacturing!$D$28/100</f>
        <v>48.906773999999999</v>
      </c>
      <c r="AI44" s="140">
        <f>AI$21*shipping_manufacturing!$D$28/100</f>
        <v>48.906773999999999</v>
      </c>
      <c r="AJ44" s="140">
        <f>AJ$21*shipping_manufacturing!$D$28/100</f>
        <v>48.906773999999999</v>
      </c>
      <c r="AK44" s="140">
        <f>AK$21*shipping_manufacturing!$D$28/100</f>
        <v>48.906773999999999</v>
      </c>
      <c r="AL44" s="140">
        <f>AL$21*shipping_manufacturing!$D$28/100</f>
        <v>48.906773999999999</v>
      </c>
      <c r="AM44" s="140">
        <f>AM$21*shipping_manufacturing!$D$28/100</f>
        <v>48.906773999999999</v>
      </c>
      <c r="AN44" s="140">
        <f>AN$21*shipping_manufacturing!$D$28/100</f>
        <v>48.906773999999999</v>
      </c>
      <c r="AO44" s="140">
        <f>AO$21*shipping_manufacturing!$D$28/100</f>
        <v>48.906773999999999</v>
      </c>
      <c r="AP44" s="140">
        <f>AP$21*shipping_manufacturing!$D$28/100</f>
        <v>48.906773999999999</v>
      </c>
      <c r="AQ44" s="140">
        <f>AQ$21*shipping_manufacturing!$D$28/100</f>
        <v>48.906773999999999</v>
      </c>
      <c r="AR44" s="140">
        <f>AR$21*shipping_manufacturing!$D$28/100</f>
        <v>48.906773999999999</v>
      </c>
      <c r="AS44" s="140">
        <f>AS$21*shipping_manufacturing!$D$28/100</f>
        <v>48.906773999999999</v>
      </c>
      <c r="AT44" s="140">
        <f>AT$21*shipping_manufacturing!$D$28/100</f>
        <v>48.906773999999999</v>
      </c>
      <c r="AU44" s="140">
        <f>AU$21*shipping_manufacturing!$D$28/100</f>
        <v>48.906773999999999</v>
      </c>
      <c r="AV44" s="140">
        <f>AV$21*shipping_manufacturing!$D$28/100</f>
        <v>48.906773999999999</v>
      </c>
      <c r="AW44" s="140">
        <f>AW$21*shipping_manufacturing!$D$28/100</f>
        <v>48.906773999999999</v>
      </c>
      <c r="AX44" s="140">
        <f>AX$21*shipping_manufacturing!$D$28/100</f>
        <v>48.906773999999999</v>
      </c>
      <c r="AY44" s="140">
        <f>AY$21*shipping_manufacturing!$D$28/100</f>
        <v>48.906773999999999</v>
      </c>
    </row>
    <row r="45" spans="1:52" x14ac:dyDescent="0.2">
      <c r="A45" s="129" t="s">
        <v>340</v>
      </c>
      <c r="B45" s="181" t="s">
        <v>342</v>
      </c>
      <c r="C45" s="127"/>
      <c r="D45" s="127">
        <f>D$22*shipping_manufacturing!$E$28/100</f>
        <v>276</v>
      </c>
      <c r="E45" s="127">
        <f>E$22*shipping_manufacturing!$E$28/100</f>
        <v>0</v>
      </c>
      <c r="F45" s="127">
        <f>F$22*shipping_manufacturing!$E$28/100</f>
        <v>189</v>
      </c>
      <c r="G45" s="127">
        <f>G$22*shipping_manufacturing!$E$28/100</f>
        <v>189</v>
      </c>
      <c r="H45" s="127">
        <f>H$22*shipping_manufacturing!$E$28/100</f>
        <v>189</v>
      </c>
      <c r="I45" s="127">
        <f>I$22*shipping_manufacturing!$E$28/100</f>
        <v>189</v>
      </c>
      <c r="J45" s="127">
        <f>J$22*shipping_manufacturing!$E$28/100</f>
        <v>189</v>
      </c>
      <c r="K45" s="127">
        <f>K$22*shipping_manufacturing!$E$28/100</f>
        <v>189</v>
      </c>
      <c r="L45" s="127">
        <f>L$22*shipping_manufacturing!$E$28/100</f>
        <v>189</v>
      </c>
      <c r="M45" s="127">
        <f>M$22*shipping_manufacturing!$E$28/100</f>
        <v>189</v>
      </c>
      <c r="N45" s="127">
        <f>N$22*shipping_manufacturing!$E$28/100</f>
        <v>189</v>
      </c>
      <c r="O45" s="127">
        <f>O$22*shipping_manufacturing!$E$28/100</f>
        <v>189</v>
      </c>
      <c r="P45" s="127">
        <f>P$22*shipping_manufacturing!$E$28/100</f>
        <v>189</v>
      </c>
      <c r="Q45" s="127">
        <f>Q$22*shipping_manufacturing!$E$28/100</f>
        <v>189</v>
      </c>
      <c r="R45" s="127">
        <f>R$22*shipping_manufacturing!$E$28/100</f>
        <v>189</v>
      </c>
      <c r="S45" s="127">
        <f>S$22*shipping_manufacturing!$E$28/100</f>
        <v>189</v>
      </c>
      <c r="T45" s="127">
        <f>T$22*shipping_manufacturing!$E$28/100</f>
        <v>189</v>
      </c>
      <c r="U45" s="127">
        <f>U$22*shipping_manufacturing!$E$28/100</f>
        <v>189</v>
      </c>
      <c r="V45" s="127">
        <f>V$22*shipping_manufacturing!$E$28/100</f>
        <v>189</v>
      </c>
      <c r="W45" s="127">
        <f>W$22*shipping_manufacturing!$E$28/100</f>
        <v>189</v>
      </c>
      <c r="X45" s="127">
        <f>X$22*shipping_manufacturing!$E$28/100</f>
        <v>189</v>
      </c>
      <c r="Y45" s="127">
        <f>Y$22*shipping_manufacturing!$E$28/100</f>
        <v>189</v>
      </c>
      <c r="Z45" s="127">
        <f>Z$22*shipping_manufacturing!$E$28/100</f>
        <v>189</v>
      </c>
      <c r="AA45" s="127">
        <f>AA$22*shipping_manufacturing!$E$28/100</f>
        <v>189</v>
      </c>
      <c r="AB45" s="127">
        <f>AB$22*shipping_manufacturing!$E$28/100</f>
        <v>189</v>
      </c>
      <c r="AC45" s="127">
        <f>AC$22*shipping_manufacturing!$E$28/100</f>
        <v>189</v>
      </c>
      <c r="AD45" s="127">
        <f>AD$22*shipping_manufacturing!$E$28/100</f>
        <v>189</v>
      </c>
      <c r="AE45" s="127">
        <f>AE$22*shipping_manufacturing!$E$28/100</f>
        <v>189</v>
      </c>
      <c r="AF45" s="127">
        <f>AF$22*shipping_manufacturing!$E$28/100</f>
        <v>189</v>
      </c>
      <c r="AG45" s="127">
        <f>AG$22*shipping_manufacturing!$E$28/100</f>
        <v>189</v>
      </c>
      <c r="AH45" s="127">
        <f>AH$22*shipping_manufacturing!$E$28/100</f>
        <v>189</v>
      </c>
      <c r="AI45" s="127">
        <f>AI$22*shipping_manufacturing!$E$28/100</f>
        <v>189</v>
      </c>
      <c r="AJ45" s="127">
        <f>AJ$22*shipping_manufacturing!$E$28/100</f>
        <v>189</v>
      </c>
      <c r="AK45" s="127">
        <f>AK$22*shipping_manufacturing!$E$28/100</f>
        <v>189</v>
      </c>
      <c r="AL45" s="127">
        <f>AL$22*shipping_manufacturing!$E$28/100</f>
        <v>189</v>
      </c>
      <c r="AM45" s="127">
        <f>AM$22*shipping_manufacturing!$E$28/100</f>
        <v>189</v>
      </c>
      <c r="AN45" s="127">
        <f>AN$22*shipping_manufacturing!$E$28/100</f>
        <v>189</v>
      </c>
      <c r="AO45" s="127">
        <f>AO$22*shipping_manufacturing!$E$28/100</f>
        <v>189</v>
      </c>
      <c r="AP45" s="127">
        <f>AP$22*shipping_manufacturing!$E$28/100</f>
        <v>189</v>
      </c>
      <c r="AQ45" s="127">
        <f>AQ$22*shipping_manufacturing!$E$28/100</f>
        <v>189</v>
      </c>
      <c r="AR45" s="127">
        <f>AR$22*shipping_manufacturing!$E$28/100</f>
        <v>189</v>
      </c>
      <c r="AS45" s="127">
        <f>AS$22*shipping_manufacturing!$E$28/100</f>
        <v>189</v>
      </c>
      <c r="AT45" s="127">
        <f>AT$22*shipping_manufacturing!$E$28/100</f>
        <v>189</v>
      </c>
      <c r="AU45" s="127">
        <f>AU$22*shipping_manufacturing!$E$28/100</f>
        <v>189</v>
      </c>
      <c r="AV45" s="127">
        <f>AV$22*shipping_manufacturing!$E$28/100</f>
        <v>189</v>
      </c>
      <c r="AW45" s="127">
        <f>AW$22*shipping_manufacturing!$E$28/100</f>
        <v>189</v>
      </c>
      <c r="AX45" s="127">
        <f>AX$22*shipping_manufacturing!$E$28/100</f>
        <v>189</v>
      </c>
      <c r="AY45" s="127">
        <f>AY$22*shipping_manufacturing!$E$28/100</f>
        <v>189</v>
      </c>
    </row>
    <row r="46" spans="1:52" x14ac:dyDescent="0.2">
      <c r="A46" s="127">
        <v>718</v>
      </c>
      <c r="B46" s="181" t="s">
        <v>343</v>
      </c>
      <c r="C46" s="127"/>
      <c r="D46" s="127">
        <f>SUM(D44:D45)</f>
        <v>347.41941600000001</v>
      </c>
      <c r="E46" s="127">
        <f t="shared" ref="E46:AY46" si="14">SUM(E44:E45)</f>
        <v>0</v>
      </c>
      <c r="F46" s="127">
        <f t="shared" si="14"/>
        <v>237.90677399999998</v>
      </c>
      <c r="G46" s="127">
        <f t="shared" si="14"/>
        <v>237.90677399999998</v>
      </c>
      <c r="H46" s="127">
        <f t="shared" si="14"/>
        <v>237.90677399999998</v>
      </c>
      <c r="I46" s="127">
        <f t="shared" si="14"/>
        <v>237.90677399999998</v>
      </c>
      <c r="J46" s="127">
        <f t="shared" si="14"/>
        <v>237.90677399999998</v>
      </c>
      <c r="K46" s="127">
        <f t="shared" si="14"/>
        <v>237.90677399999998</v>
      </c>
      <c r="L46" s="127">
        <f t="shared" si="14"/>
        <v>237.90677399999998</v>
      </c>
      <c r="M46" s="127">
        <f t="shared" si="14"/>
        <v>237.90677399999998</v>
      </c>
      <c r="N46" s="127">
        <f t="shared" si="14"/>
        <v>237.90677399999998</v>
      </c>
      <c r="O46" s="127">
        <f t="shared" si="14"/>
        <v>237.90677399999998</v>
      </c>
      <c r="P46" s="127">
        <f t="shared" si="14"/>
        <v>237.90677399999998</v>
      </c>
      <c r="Q46" s="127">
        <f t="shared" si="14"/>
        <v>237.90677399999998</v>
      </c>
      <c r="R46" s="127">
        <f t="shared" si="14"/>
        <v>237.90677399999998</v>
      </c>
      <c r="S46" s="127">
        <f t="shared" si="14"/>
        <v>237.90677399999998</v>
      </c>
      <c r="T46" s="127">
        <f t="shared" si="14"/>
        <v>237.90677399999998</v>
      </c>
      <c r="U46" s="127">
        <f t="shared" si="14"/>
        <v>237.90677399999998</v>
      </c>
      <c r="V46" s="127">
        <f t="shared" si="14"/>
        <v>237.90677399999998</v>
      </c>
      <c r="W46" s="127">
        <f t="shared" si="14"/>
        <v>237.90677399999998</v>
      </c>
      <c r="X46" s="127">
        <f t="shared" si="14"/>
        <v>237.90677399999998</v>
      </c>
      <c r="Y46" s="127">
        <f t="shared" si="14"/>
        <v>237.90677399999998</v>
      </c>
      <c r="Z46" s="127">
        <f t="shared" si="14"/>
        <v>237.90677399999998</v>
      </c>
      <c r="AA46" s="127">
        <f t="shared" si="14"/>
        <v>237.90677399999998</v>
      </c>
      <c r="AB46" s="127">
        <f t="shared" si="14"/>
        <v>237.90677399999998</v>
      </c>
      <c r="AC46" s="127">
        <f t="shared" si="14"/>
        <v>237.90677399999998</v>
      </c>
      <c r="AD46" s="127">
        <f t="shared" si="14"/>
        <v>237.90677399999998</v>
      </c>
      <c r="AE46" s="127">
        <f t="shared" si="14"/>
        <v>237.90677399999998</v>
      </c>
      <c r="AF46" s="127">
        <f t="shared" si="14"/>
        <v>237.90677399999998</v>
      </c>
      <c r="AG46" s="127">
        <f t="shared" si="14"/>
        <v>237.90677399999998</v>
      </c>
      <c r="AH46" s="127">
        <f t="shared" si="14"/>
        <v>237.90677399999998</v>
      </c>
      <c r="AI46" s="127">
        <f t="shared" si="14"/>
        <v>237.90677399999998</v>
      </c>
      <c r="AJ46" s="127">
        <f t="shared" si="14"/>
        <v>237.90677399999998</v>
      </c>
      <c r="AK46" s="127">
        <f t="shared" si="14"/>
        <v>237.90677399999998</v>
      </c>
      <c r="AL46" s="127">
        <f t="shared" si="14"/>
        <v>237.90677399999998</v>
      </c>
      <c r="AM46" s="127">
        <f t="shared" si="14"/>
        <v>237.90677399999998</v>
      </c>
      <c r="AN46" s="127">
        <f t="shared" si="14"/>
        <v>237.90677399999998</v>
      </c>
      <c r="AO46" s="127">
        <f t="shared" si="14"/>
        <v>237.90677399999998</v>
      </c>
      <c r="AP46" s="127">
        <f t="shared" si="14"/>
        <v>237.90677399999998</v>
      </c>
      <c r="AQ46" s="127">
        <f t="shared" si="14"/>
        <v>237.90677399999998</v>
      </c>
      <c r="AR46" s="127">
        <f t="shared" si="14"/>
        <v>237.90677399999998</v>
      </c>
      <c r="AS46" s="127">
        <f t="shared" si="14"/>
        <v>237.90677399999998</v>
      </c>
      <c r="AT46" s="127">
        <f t="shared" si="14"/>
        <v>237.90677399999998</v>
      </c>
      <c r="AU46" s="127">
        <f t="shared" si="14"/>
        <v>237.90677399999998</v>
      </c>
      <c r="AV46" s="127">
        <f t="shared" si="14"/>
        <v>237.90677399999998</v>
      </c>
      <c r="AW46" s="127">
        <f t="shared" si="14"/>
        <v>237.90677399999998</v>
      </c>
      <c r="AX46" s="127">
        <f t="shared" si="14"/>
        <v>237.90677399999998</v>
      </c>
      <c r="AY46" s="127">
        <f t="shared" si="14"/>
        <v>237.90677399999998</v>
      </c>
    </row>
    <row r="47" spans="1:52" x14ac:dyDescent="0.2">
      <c r="A47" s="127"/>
      <c r="B47" s="181" t="s">
        <v>344</v>
      </c>
      <c r="C47" s="127"/>
      <c r="D47" s="127">
        <v>49.337080918931719</v>
      </c>
      <c r="E47" s="127"/>
      <c r="F47" s="127">
        <v>48.906773999999999</v>
      </c>
      <c r="G47" s="127"/>
      <c r="H47" s="127">
        <v>48.906773999999999</v>
      </c>
      <c r="I47" s="127"/>
      <c r="J47" s="127">
        <v>48.906773999999999</v>
      </c>
      <c r="K47" s="127"/>
      <c r="L47" s="127">
        <v>48.906773999999999</v>
      </c>
      <c r="M47" s="127"/>
      <c r="N47" s="127">
        <v>48.906773999999999</v>
      </c>
      <c r="O47" s="127"/>
      <c r="P47" s="127">
        <v>48.906773999999999</v>
      </c>
      <c r="Q47" s="127"/>
      <c r="R47" s="127">
        <v>48.906773999999999</v>
      </c>
      <c r="S47" s="127"/>
      <c r="T47" s="127">
        <v>48.906773999999999</v>
      </c>
      <c r="U47" s="127"/>
      <c r="V47" s="127">
        <v>48.906773999999999</v>
      </c>
      <c r="W47" s="127"/>
      <c r="X47" s="127">
        <v>48.906773999999999</v>
      </c>
      <c r="Y47" s="127"/>
      <c r="Z47" s="127">
        <v>48.906773999999999</v>
      </c>
      <c r="AA47" s="127"/>
      <c r="AB47" s="127">
        <v>48.906773999999999</v>
      </c>
      <c r="AC47" s="127"/>
      <c r="AD47" s="127">
        <v>48.906773999999999</v>
      </c>
      <c r="AE47" s="127"/>
      <c r="AF47" s="127">
        <v>48.906773999999999</v>
      </c>
      <c r="AG47" s="127"/>
      <c r="AH47" s="127">
        <v>48.906773999999999</v>
      </c>
      <c r="AI47" s="127"/>
      <c r="AJ47" s="127">
        <v>48.906773999999999</v>
      </c>
      <c r="AK47" s="127"/>
      <c r="AL47" s="127">
        <v>48.906773999999999</v>
      </c>
      <c r="AM47" s="127"/>
      <c r="AN47" s="127">
        <v>48.906773999999999</v>
      </c>
      <c r="AO47" s="127"/>
      <c r="AP47" s="127">
        <v>48.906773999999999</v>
      </c>
      <c r="AQ47" s="127"/>
      <c r="AR47" s="127">
        <v>48.906773999999999</v>
      </c>
      <c r="AS47" s="127"/>
      <c r="AT47" s="127">
        <v>48.906773999999999</v>
      </c>
      <c r="AU47" s="127"/>
      <c r="AV47" s="127">
        <v>48.906773999999999</v>
      </c>
      <c r="AW47" s="127"/>
      <c r="AX47" s="127">
        <v>48.906773999999999</v>
      </c>
      <c r="AY47" s="127"/>
    </row>
    <row r="48" spans="1:52" x14ac:dyDescent="0.2">
      <c r="A48" s="127"/>
      <c r="B48" s="181" t="s">
        <v>345</v>
      </c>
      <c r="C48" s="127"/>
      <c r="D48" s="127">
        <v>190.66291908106825</v>
      </c>
      <c r="E48" s="127"/>
      <c r="F48" s="127">
        <v>189</v>
      </c>
      <c r="G48" s="127"/>
      <c r="H48" s="127">
        <v>189</v>
      </c>
      <c r="I48" s="127"/>
      <c r="J48" s="127">
        <v>189</v>
      </c>
      <c r="K48" s="127"/>
      <c r="L48" s="127">
        <v>189</v>
      </c>
      <c r="M48" s="127"/>
      <c r="N48" s="127">
        <v>189</v>
      </c>
      <c r="O48" s="127"/>
      <c r="P48" s="127">
        <v>189</v>
      </c>
      <c r="Q48" s="127"/>
      <c r="R48" s="127">
        <v>189</v>
      </c>
      <c r="S48" s="127"/>
      <c r="T48" s="127">
        <v>189</v>
      </c>
      <c r="U48" s="127"/>
      <c r="V48" s="127">
        <v>189</v>
      </c>
      <c r="W48" s="127"/>
      <c r="X48" s="127">
        <v>189</v>
      </c>
      <c r="Y48" s="127"/>
      <c r="Z48" s="127">
        <v>189</v>
      </c>
      <c r="AA48" s="127"/>
      <c r="AB48" s="127">
        <v>189</v>
      </c>
      <c r="AC48" s="127"/>
      <c r="AD48" s="127">
        <v>189</v>
      </c>
      <c r="AE48" s="127"/>
      <c r="AF48" s="127">
        <v>189</v>
      </c>
      <c r="AG48" s="127"/>
      <c r="AH48" s="127">
        <v>189</v>
      </c>
      <c r="AI48" s="127"/>
      <c r="AJ48" s="127">
        <v>189</v>
      </c>
      <c r="AK48" s="127"/>
      <c r="AL48" s="127">
        <v>189</v>
      </c>
      <c r="AM48" s="127"/>
      <c r="AN48" s="127">
        <v>189</v>
      </c>
      <c r="AO48" s="127"/>
      <c r="AP48" s="127">
        <v>189</v>
      </c>
      <c r="AQ48" s="127"/>
      <c r="AR48" s="127">
        <v>189</v>
      </c>
      <c r="AS48" s="127"/>
      <c r="AT48" s="127">
        <v>189</v>
      </c>
      <c r="AU48" s="127"/>
      <c r="AV48" s="127">
        <v>189</v>
      </c>
      <c r="AW48" s="127"/>
      <c r="AX48" s="127">
        <v>189</v>
      </c>
      <c r="AY48" s="127"/>
    </row>
    <row r="49" spans="1:52" x14ac:dyDescent="0.2">
      <c r="A49" s="127"/>
      <c r="B49" s="181" t="s">
        <v>346</v>
      </c>
      <c r="C49" s="127"/>
      <c r="D49" s="127">
        <v>8</v>
      </c>
      <c r="E49" s="127"/>
      <c r="F49" s="127">
        <v>8</v>
      </c>
      <c r="G49" s="127"/>
      <c r="H49" s="127">
        <v>8</v>
      </c>
      <c r="I49" s="127"/>
      <c r="J49" s="127">
        <v>8</v>
      </c>
      <c r="K49" s="127"/>
      <c r="L49" s="127">
        <v>8</v>
      </c>
      <c r="M49" s="127"/>
      <c r="N49" s="127">
        <v>8</v>
      </c>
      <c r="O49" s="127"/>
      <c r="P49" s="127">
        <v>8</v>
      </c>
      <c r="Q49" s="127"/>
      <c r="R49" s="127">
        <v>8</v>
      </c>
      <c r="S49" s="127"/>
      <c r="T49" s="127">
        <v>8</v>
      </c>
      <c r="U49" s="127"/>
      <c r="V49" s="127">
        <v>8</v>
      </c>
      <c r="W49" s="127"/>
      <c r="X49" s="127">
        <v>8</v>
      </c>
      <c r="Y49" s="127"/>
      <c r="Z49" s="127">
        <v>8</v>
      </c>
      <c r="AA49" s="127"/>
      <c r="AB49" s="127">
        <v>8</v>
      </c>
      <c r="AC49" s="127"/>
      <c r="AD49" s="127">
        <v>8</v>
      </c>
      <c r="AE49" s="127"/>
      <c r="AF49" s="127">
        <v>8</v>
      </c>
      <c r="AG49" s="127"/>
      <c r="AH49" s="127">
        <v>8</v>
      </c>
      <c r="AI49" s="127"/>
      <c r="AJ49" s="127">
        <v>8</v>
      </c>
      <c r="AK49" s="127"/>
      <c r="AL49" s="127">
        <v>8</v>
      </c>
      <c r="AM49" s="127"/>
      <c r="AN49" s="127">
        <v>8</v>
      </c>
      <c r="AO49" s="127"/>
      <c r="AP49" s="127">
        <v>8</v>
      </c>
      <c r="AQ49" s="127"/>
      <c r="AR49" s="127">
        <v>8</v>
      </c>
      <c r="AS49" s="127"/>
      <c r="AT49" s="127">
        <v>8</v>
      </c>
      <c r="AU49" s="127"/>
      <c r="AV49" s="127">
        <v>8</v>
      </c>
      <c r="AW49" s="127"/>
      <c r="AX49" s="127">
        <v>8</v>
      </c>
      <c r="AY49" s="127"/>
    </row>
    <row r="50" spans="1:52" x14ac:dyDescent="0.2">
      <c r="A50" s="127"/>
      <c r="B50" s="181" t="s">
        <v>347</v>
      </c>
      <c r="C50" s="127"/>
      <c r="D50" s="127">
        <f>D44-D47</f>
        <v>22.08233508106828</v>
      </c>
      <c r="E50" s="127">
        <f t="shared" ref="E50:AY50" si="15">E44-E47</f>
        <v>0</v>
      </c>
      <c r="F50" s="127">
        <f t="shared" si="15"/>
        <v>0</v>
      </c>
      <c r="G50" s="127">
        <f t="shared" si="15"/>
        <v>48.906773999999999</v>
      </c>
      <c r="H50" s="127">
        <f t="shared" si="15"/>
        <v>0</v>
      </c>
      <c r="I50" s="127">
        <f t="shared" si="15"/>
        <v>48.906773999999999</v>
      </c>
      <c r="J50" s="127">
        <f t="shared" si="15"/>
        <v>0</v>
      </c>
      <c r="K50" s="127">
        <f t="shared" si="15"/>
        <v>48.906773999999999</v>
      </c>
      <c r="L50" s="127">
        <f t="shared" si="15"/>
        <v>0</v>
      </c>
      <c r="M50" s="127">
        <f t="shared" si="15"/>
        <v>48.906773999999999</v>
      </c>
      <c r="N50" s="127">
        <f t="shared" si="15"/>
        <v>0</v>
      </c>
      <c r="O50" s="127">
        <f t="shared" si="15"/>
        <v>48.906773999999999</v>
      </c>
      <c r="P50" s="127">
        <f t="shared" si="15"/>
        <v>0</v>
      </c>
      <c r="Q50" s="127">
        <f t="shared" si="15"/>
        <v>48.906773999999999</v>
      </c>
      <c r="R50" s="127">
        <f t="shared" si="15"/>
        <v>0</v>
      </c>
      <c r="S50" s="127">
        <f t="shared" si="15"/>
        <v>48.906773999999999</v>
      </c>
      <c r="T50" s="127">
        <f t="shared" si="15"/>
        <v>0</v>
      </c>
      <c r="U50" s="127">
        <f t="shared" si="15"/>
        <v>48.906773999999999</v>
      </c>
      <c r="V50" s="127">
        <f t="shared" si="15"/>
        <v>0</v>
      </c>
      <c r="W50" s="127">
        <f t="shared" si="15"/>
        <v>48.906773999999999</v>
      </c>
      <c r="X50" s="127">
        <f t="shared" si="15"/>
        <v>0</v>
      </c>
      <c r="Y50" s="127">
        <f t="shared" si="15"/>
        <v>48.906773999999999</v>
      </c>
      <c r="Z50" s="127">
        <f t="shared" si="15"/>
        <v>0</v>
      </c>
      <c r="AA50" s="127">
        <f t="shared" si="15"/>
        <v>48.906773999999999</v>
      </c>
      <c r="AB50" s="127">
        <f t="shared" si="15"/>
        <v>0</v>
      </c>
      <c r="AC50" s="127">
        <f t="shared" si="15"/>
        <v>48.906773999999999</v>
      </c>
      <c r="AD50" s="127">
        <f t="shared" si="15"/>
        <v>0</v>
      </c>
      <c r="AE50" s="127">
        <f t="shared" si="15"/>
        <v>48.906773999999999</v>
      </c>
      <c r="AF50" s="127">
        <f t="shared" si="15"/>
        <v>0</v>
      </c>
      <c r="AG50" s="127">
        <f t="shared" si="15"/>
        <v>48.906773999999999</v>
      </c>
      <c r="AH50" s="127">
        <f t="shared" si="15"/>
        <v>0</v>
      </c>
      <c r="AI50" s="127">
        <f t="shared" si="15"/>
        <v>48.906773999999999</v>
      </c>
      <c r="AJ50" s="127">
        <f t="shared" si="15"/>
        <v>0</v>
      </c>
      <c r="AK50" s="127">
        <f t="shared" si="15"/>
        <v>48.906773999999999</v>
      </c>
      <c r="AL50" s="127">
        <f t="shared" si="15"/>
        <v>0</v>
      </c>
      <c r="AM50" s="127">
        <f t="shared" si="15"/>
        <v>48.906773999999999</v>
      </c>
      <c r="AN50" s="127">
        <f t="shared" si="15"/>
        <v>0</v>
      </c>
      <c r="AO50" s="127">
        <f t="shared" si="15"/>
        <v>48.906773999999999</v>
      </c>
      <c r="AP50" s="127">
        <f t="shared" si="15"/>
        <v>0</v>
      </c>
      <c r="AQ50" s="127">
        <f t="shared" si="15"/>
        <v>48.906773999999999</v>
      </c>
      <c r="AR50" s="127">
        <f t="shared" si="15"/>
        <v>0</v>
      </c>
      <c r="AS50" s="127">
        <f t="shared" si="15"/>
        <v>48.906773999999999</v>
      </c>
      <c r="AT50" s="127">
        <f t="shared" si="15"/>
        <v>0</v>
      </c>
      <c r="AU50" s="127">
        <f t="shared" si="15"/>
        <v>48.906773999999999</v>
      </c>
      <c r="AV50" s="127">
        <f t="shared" si="15"/>
        <v>0</v>
      </c>
      <c r="AW50" s="127">
        <f t="shared" si="15"/>
        <v>48.906773999999999</v>
      </c>
      <c r="AX50" s="127">
        <f t="shared" si="15"/>
        <v>0</v>
      </c>
      <c r="AY50" s="127">
        <f t="shared" si="15"/>
        <v>48.906773999999999</v>
      </c>
    </row>
    <row r="51" spans="1:52" x14ac:dyDescent="0.2">
      <c r="A51" s="127"/>
      <c r="B51" s="181" t="s">
        <v>348</v>
      </c>
      <c r="C51" s="127"/>
      <c r="D51" s="127">
        <f>D45-D48</f>
        <v>85.337080918931747</v>
      </c>
      <c r="E51" s="127">
        <f t="shared" ref="E51:AY51" si="16">E45-E48</f>
        <v>0</v>
      </c>
      <c r="F51" s="127">
        <f t="shared" si="16"/>
        <v>0</v>
      </c>
      <c r="G51" s="127">
        <f t="shared" si="16"/>
        <v>189</v>
      </c>
      <c r="H51" s="127">
        <f t="shared" si="16"/>
        <v>0</v>
      </c>
      <c r="I51" s="127">
        <f t="shared" si="16"/>
        <v>189</v>
      </c>
      <c r="J51" s="127">
        <f t="shared" si="16"/>
        <v>0</v>
      </c>
      <c r="K51" s="127">
        <f t="shared" si="16"/>
        <v>189</v>
      </c>
      <c r="L51" s="127">
        <f t="shared" si="16"/>
        <v>0</v>
      </c>
      <c r="M51" s="127">
        <f t="shared" si="16"/>
        <v>189</v>
      </c>
      <c r="N51" s="127">
        <f t="shared" si="16"/>
        <v>0</v>
      </c>
      <c r="O51" s="127">
        <f t="shared" si="16"/>
        <v>189</v>
      </c>
      <c r="P51" s="127">
        <f t="shared" si="16"/>
        <v>0</v>
      </c>
      <c r="Q51" s="127">
        <f t="shared" si="16"/>
        <v>189</v>
      </c>
      <c r="R51" s="127">
        <f t="shared" si="16"/>
        <v>0</v>
      </c>
      <c r="S51" s="127">
        <f t="shared" si="16"/>
        <v>189</v>
      </c>
      <c r="T51" s="127">
        <f t="shared" si="16"/>
        <v>0</v>
      </c>
      <c r="U51" s="127">
        <f t="shared" si="16"/>
        <v>189</v>
      </c>
      <c r="V51" s="127">
        <f t="shared" si="16"/>
        <v>0</v>
      </c>
      <c r="W51" s="127">
        <f t="shared" si="16"/>
        <v>189</v>
      </c>
      <c r="X51" s="127">
        <f t="shared" si="16"/>
        <v>0</v>
      </c>
      <c r="Y51" s="127">
        <f t="shared" si="16"/>
        <v>189</v>
      </c>
      <c r="Z51" s="127">
        <f t="shared" si="16"/>
        <v>0</v>
      </c>
      <c r="AA51" s="127">
        <f t="shared" si="16"/>
        <v>189</v>
      </c>
      <c r="AB51" s="127">
        <f t="shared" si="16"/>
        <v>0</v>
      </c>
      <c r="AC51" s="127">
        <f t="shared" si="16"/>
        <v>189</v>
      </c>
      <c r="AD51" s="127">
        <f t="shared" si="16"/>
        <v>0</v>
      </c>
      <c r="AE51" s="127">
        <f t="shared" si="16"/>
        <v>189</v>
      </c>
      <c r="AF51" s="127">
        <f t="shared" si="16"/>
        <v>0</v>
      </c>
      <c r="AG51" s="127">
        <f t="shared" si="16"/>
        <v>189</v>
      </c>
      <c r="AH51" s="127">
        <f t="shared" si="16"/>
        <v>0</v>
      </c>
      <c r="AI51" s="127">
        <f t="shared" si="16"/>
        <v>189</v>
      </c>
      <c r="AJ51" s="127">
        <f t="shared" si="16"/>
        <v>0</v>
      </c>
      <c r="AK51" s="127">
        <f t="shared" si="16"/>
        <v>189</v>
      </c>
      <c r="AL51" s="127">
        <f t="shared" si="16"/>
        <v>0</v>
      </c>
      <c r="AM51" s="127">
        <f t="shared" si="16"/>
        <v>189</v>
      </c>
      <c r="AN51" s="127">
        <f t="shared" si="16"/>
        <v>0</v>
      </c>
      <c r="AO51" s="127">
        <f t="shared" si="16"/>
        <v>189</v>
      </c>
      <c r="AP51" s="127">
        <f t="shared" si="16"/>
        <v>0</v>
      </c>
      <c r="AQ51" s="127">
        <f t="shared" si="16"/>
        <v>189</v>
      </c>
      <c r="AR51" s="127">
        <f t="shared" si="16"/>
        <v>0</v>
      </c>
      <c r="AS51" s="127">
        <f t="shared" si="16"/>
        <v>189</v>
      </c>
      <c r="AT51" s="127">
        <f t="shared" si="16"/>
        <v>0</v>
      </c>
      <c r="AU51" s="127">
        <f t="shared" si="16"/>
        <v>189</v>
      </c>
      <c r="AV51" s="127">
        <f t="shared" si="16"/>
        <v>0</v>
      </c>
      <c r="AW51" s="127">
        <f t="shared" si="16"/>
        <v>189</v>
      </c>
      <c r="AX51" s="127">
        <f t="shared" si="16"/>
        <v>0</v>
      </c>
      <c r="AY51" s="127">
        <f t="shared" si="16"/>
        <v>189</v>
      </c>
    </row>
    <row r="52" spans="1:52" x14ac:dyDescent="0.2">
      <c r="A52" s="127"/>
      <c r="B52" s="181" t="s">
        <v>349</v>
      </c>
      <c r="C52" s="127"/>
      <c r="D52" s="127">
        <v>2</v>
      </c>
      <c r="E52" s="127">
        <v>2</v>
      </c>
      <c r="F52" s="127">
        <v>1</v>
      </c>
      <c r="G52" s="127">
        <v>1</v>
      </c>
      <c r="H52" s="127">
        <v>2</v>
      </c>
      <c r="I52" s="127">
        <v>1</v>
      </c>
      <c r="J52" s="127">
        <v>1</v>
      </c>
      <c r="K52" s="127">
        <v>2</v>
      </c>
      <c r="L52" s="127">
        <v>1</v>
      </c>
      <c r="M52" s="127">
        <v>2</v>
      </c>
      <c r="N52" s="127">
        <v>1</v>
      </c>
      <c r="O52" s="127">
        <v>1</v>
      </c>
      <c r="P52" s="127">
        <v>1</v>
      </c>
      <c r="Q52" s="127">
        <v>1</v>
      </c>
      <c r="R52" s="127">
        <v>1</v>
      </c>
      <c r="S52" s="127">
        <v>2</v>
      </c>
      <c r="T52" s="127">
        <v>1</v>
      </c>
      <c r="U52" s="127">
        <v>1</v>
      </c>
      <c r="V52" s="127">
        <v>1</v>
      </c>
      <c r="W52" s="127">
        <v>2</v>
      </c>
      <c r="X52" s="127">
        <v>1</v>
      </c>
      <c r="Y52" s="127">
        <v>2</v>
      </c>
      <c r="Z52" s="127">
        <v>1</v>
      </c>
      <c r="AA52" s="127">
        <v>1</v>
      </c>
      <c r="AB52" s="127">
        <v>1</v>
      </c>
      <c r="AC52" s="127">
        <v>1</v>
      </c>
      <c r="AD52" s="127">
        <v>3</v>
      </c>
      <c r="AE52" s="127">
        <v>1</v>
      </c>
      <c r="AF52" s="127">
        <v>2</v>
      </c>
      <c r="AG52" s="127">
        <v>1</v>
      </c>
      <c r="AH52" s="127">
        <v>1</v>
      </c>
      <c r="AI52" s="127">
        <v>1</v>
      </c>
      <c r="AJ52" s="127">
        <v>1</v>
      </c>
      <c r="AK52" s="127">
        <v>1</v>
      </c>
      <c r="AL52" s="127">
        <v>2</v>
      </c>
      <c r="AM52" s="127">
        <v>2</v>
      </c>
      <c r="AN52" s="127">
        <v>1</v>
      </c>
      <c r="AO52" s="127">
        <v>1</v>
      </c>
      <c r="AP52" s="127">
        <v>1</v>
      </c>
      <c r="AQ52" s="127">
        <v>1</v>
      </c>
      <c r="AR52" s="127">
        <v>1</v>
      </c>
      <c r="AS52" s="127">
        <v>1</v>
      </c>
      <c r="AT52" s="127">
        <v>1</v>
      </c>
      <c r="AU52" s="127">
        <v>2</v>
      </c>
      <c r="AV52" s="127">
        <v>2</v>
      </c>
      <c r="AW52" s="127">
        <v>1</v>
      </c>
      <c r="AX52" s="127">
        <v>2</v>
      </c>
      <c r="AY52" s="127">
        <v>1</v>
      </c>
    </row>
    <row r="53" spans="1:52" x14ac:dyDescent="0.2">
      <c r="A53" s="127"/>
      <c r="B53" s="192" t="s">
        <v>350</v>
      </c>
      <c r="C53" s="127"/>
      <c r="D53" s="127">
        <v>206784</v>
      </c>
      <c r="E53" s="127">
        <v>0</v>
      </c>
      <c r="F53" s="127">
        <v>206784</v>
      </c>
      <c r="G53" s="127">
        <v>0</v>
      </c>
      <c r="H53" s="127">
        <v>206784</v>
      </c>
      <c r="I53" s="127">
        <v>0</v>
      </c>
      <c r="J53" s="127">
        <v>206784</v>
      </c>
      <c r="K53" s="127">
        <v>0</v>
      </c>
      <c r="L53" s="127">
        <v>206784</v>
      </c>
      <c r="M53" s="127">
        <v>0</v>
      </c>
      <c r="N53" s="127">
        <v>206784</v>
      </c>
      <c r="O53" s="127">
        <v>0</v>
      </c>
      <c r="P53" s="127">
        <v>206784</v>
      </c>
      <c r="Q53" s="127">
        <v>0</v>
      </c>
      <c r="R53" s="127">
        <v>206784</v>
      </c>
      <c r="S53" s="127">
        <v>0</v>
      </c>
      <c r="T53" s="127">
        <v>206784</v>
      </c>
      <c r="U53" s="127">
        <v>0</v>
      </c>
      <c r="V53" s="127">
        <v>206784</v>
      </c>
      <c r="W53" s="127">
        <v>0</v>
      </c>
      <c r="X53" s="127">
        <v>206784</v>
      </c>
      <c r="Y53" s="127">
        <v>0</v>
      </c>
      <c r="Z53" s="127">
        <v>206784</v>
      </c>
      <c r="AA53" s="127">
        <v>0</v>
      </c>
      <c r="AB53" s="127">
        <v>206784</v>
      </c>
      <c r="AC53" s="127">
        <v>0</v>
      </c>
      <c r="AD53" s="127">
        <v>206784</v>
      </c>
      <c r="AE53" s="127">
        <v>0</v>
      </c>
      <c r="AF53" s="127">
        <v>206784</v>
      </c>
      <c r="AG53" s="127">
        <v>0</v>
      </c>
      <c r="AH53" s="127">
        <v>206784</v>
      </c>
      <c r="AI53" s="127">
        <v>0</v>
      </c>
      <c r="AJ53" s="127">
        <v>206784</v>
      </c>
      <c r="AK53" s="127">
        <v>0</v>
      </c>
      <c r="AL53" s="127">
        <v>206784</v>
      </c>
      <c r="AM53" s="127">
        <v>0</v>
      </c>
      <c r="AN53" s="127">
        <v>206784</v>
      </c>
      <c r="AO53" s="127">
        <v>0</v>
      </c>
      <c r="AP53" s="127">
        <v>206784</v>
      </c>
      <c r="AQ53" s="127">
        <v>0</v>
      </c>
      <c r="AR53" s="127">
        <v>206784</v>
      </c>
      <c r="AS53" s="127">
        <v>0</v>
      </c>
      <c r="AT53" s="127">
        <v>206784</v>
      </c>
      <c r="AU53" s="127">
        <v>0</v>
      </c>
      <c r="AV53" s="127">
        <v>206784</v>
      </c>
      <c r="AW53" s="127">
        <v>0</v>
      </c>
      <c r="AX53" s="127">
        <v>206784</v>
      </c>
      <c r="AY53" s="127">
        <v>0</v>
      </c>
      <c r="AZ53">
        <f>SUM($D$53:$AY$53)</f>
        <v>4962816</v>
      </c>
    </row>
    <row r="54" spans="1:52" x14ac:dyDescent="0.2">
      <c r="A54" s="141"/>
      <c r="B54" s="156" t="s">
        <v>351</v>
      </c>
      <c r="C54" s="141"/>
      <c r="D54" s="141">
        <v>50132.641447200011</v>
      </c>
      <c r="E54" s="141">
        <v>0</v>
      </c>
      <c r="F54" s="141">
        <v>0</v>
      </c>
      <c r="G54" s="141">
        <v>111031.0914258</v>
      </c>
      <c r="H54" s="141">
        <v>0</v>
      </c>
      <c r="I54" s="141">
        <v>111031.0914258</v>
      </c>
      <c r="J54" s="141">
        <v>0</v>
      </c>
      <c r="K54" s="141">
        <v>111031.0914258</v>
      </c>
      <c r="L54" s="141">
        <v>0</v>
      </c>
      <c r="M54" s="141">
        <v>111031.0914258</v>
      </c>
      <c r="N54" s="141">
        <v>0</v>
      </c>
      <c r="O54" s="141">
        <v>111031.0914258</v>
      </c>
      <c r="P54" s="141">
        <v>0</v>
      </c>
      <c r="Q54" s="141">
        <v>111031.0914258</v>
      </c>
      <c r="R54" s="141">
        <v>0</v>
      </c>
      <c r="S54" s="141">
        <v>111031.0914258</v>
      </c>
      <c r="T54" s="141">
        <v>0</v>
      </c>
      <c r="U54" s="141">
        <v>111031.0914258</v>
      </c>
      <c r="V54" s="141">
        <v>0</v>
      </c>
      <c r="W54" s="141">
        <v>111031.0914258</v>
      </c>
      <c r="X54" s="141">
        <v>0</v>
      </c>
      <c r="Y54" s="141">
        <v>111031.0914258</v>
      </c>
      <c r="Z54" s="141">
        <v>0</v>
      </c>
      <c r="AA54" s="141">
        <v>111031.0914258</v>
      </c>
      <c r="AB54" s="141">
        <v>0</v>
      </c>
      <c r="AC54" s="141">
        <v>111031.0914258</v>
      </c>
      <c r="AD54" s="141">
        <v>0</v>
      </c>
      <c r="AE54" s="141">
        <v>111031.0914258</v>
      </c>
      <c r="AF54" s="141">
        <v>0</v>
      </c>
      <c r="AG54" s="141">
        <v>111031.0914258</v>
      </c>
      <c r="AH54" s="141">
        <v>0</v>
      </c>
      <c r="AI54" s="141">
        <v>111031.0914258</v>
      </c>
      <c r="AJ54" s="141">
        <v>0</v>
      </c>
      <c r="AK54" s="141">
        <v>111031.0914258</v>
      </c>
      <c r="AL54" s="141">
        <v>0</v>
      </c>
      <c r="AM54" s="141">
        <v>111031.0914258</v>
      </c>
      <c r="AN54" s="141">
        <v>0</v>
      </c>
      <c r="AO54" s="141">
        <v>111031.0914258</v>
      </c>
      <c r="AP54" s="141">
        <v>0</v>
      </c>
      <c r="AQ54" s="141">
        <v>111031.0914258</v>
      </c>
      <c r="AR54" s="141">
        <v>0</v>
      </c>
      <c r="AS54" s="141">
        <v>111031.0914258</v>
      </c>
      <c r="AT54" s="141">
        <v>0</v>
      </c>
      <c r="AU54" s="141">
        <v>111031.0914258</v>
      </c>
      <c r="AV54" s="141">
        <v>0</v>
      </c>
      <c r="AW54" s="141">
        <v>111031.0914258</v>
      </c>
      <c r="AX54" s="141">
        <v>0</v>
      </c>
      <c r="AY54" s="141">
        <v>111031.0914258</v>
      </c>
      <c r="AZ54">
        <f>SUM($D$54:$AY$54)</f>
        <v>2603847.7442405988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customWidth="1"/>
    <col min="2" max="2" width="17.7109375" customWidth="1"/>
    <col min="52" max="52" width="10.7109375" customWidth="1"/>
  </cols>
  <sheetData>
    <row r="1" spans="1:52" x14ac:dyDescent="0.2">
      <c r="A1" s="1" t="s">
        <v>118</v>
      </c>
    </row>
    <row r="2" spans="1:52" x14ac:dyDescent="0.2">
      <c r="A2" t="s">
        <v>303</v>
      </c>
      <c r="B2" s="124" t="s">
        <v>10</v>
      </c>
      <c r="E2" s="127"/>
    </row>
    <row r="3" spans="1:52" x14ac:dyDescent="0.2">
      <c r="A3" t="s">
        <v>286</v>
      </c>
      <c r="B3" s="124">
        <v>514</v>
      </c>
      <c r="E3" s="127"/>
    </row>
    <row r="4" spans="1:52" x14ac:dyDescent="0.2">
      <c r="A4" s="1"/>
      <c r="C4" s="9" t="s">
        <v>287</v>
      </c>
    </row>
    <row r="5" spans="1:52" x14ac:dyDescent="0.2">
      <c r="B5" s="123"/>
      <c r="C5" s="128">
        <v>0</v>
      </c>
      <c r="D5" s="128">
        <v>1</v>
      </c>
      <c r="E5" s="128">
        <v>2</v>
      </c>
      <c r="F5" s="128">
        <v>3</v>
      </c>
      <c r="G5" s="128">
        <v>4</v>
      </c>
      <c r="H5" s="128">
        <v>5</v>
      </c>
      <c r="I5" s="128">
        <v>6</v>
      </c>
      <c r="J5" s="128">
        <v>7</v>
      </c>
      <c r="K5" s="128">
        <v>8</v>
      </c>
      <c r="L5" s="128">
        <v>9</v>
      </c>
      <c r="M5" s="128">
        <v>10</v>
      </c>
      <c r="N5" s="128">
        <v>11</v>
      </c>
      <c r="O5" s="128">
        <v>12</v>
      </c>
      <c r="P5" s="128">
        <v>13</v>
      </c>
      <c r="Q5" s="128">
        <v>14</v>
      </c>
      <c r="R5" s="128">
        <v>15</v>
      </c>
      <c r="S5" s="128">
        <v>16</v>
      </c>
      <c r="T5" s="128">
        <v>17</v>
      </c>
      <c r="U5" s="128">
        <v>18</v>
      </c>
      <c r="V5" s="128">
        <v>19</v>
      </c>
      <c r="W5" s="128">
        <v>20</v>
      </c>
      <c r="X5" s="128">
        <v>21</v>
      </c>
      <c r="Y5" s="128">
        <v>22</v>
      </c>
      <c r="Z5" s="128">
        <v>23</v>
      </c>
      <c r="AA5" s="128">
        <v>24</v>
      </c>
      <c r="AB5" s="128">
        <v>25</v>
      </c>
      <c r="AC5" s="128">
        <v>26</v>
      </c>
      <c r="AD5" s="128">
        <v>27</v>
      </c>
      <c r="AE5" s="128">
        <v>28</v>
      </c>
      <c r="AF5" s="128">
        <v>29</v>
      </c>
      <c r="AG5" s="128">
        <v>30</v>
      </c>
      <c r="AH5" s="128">
        <v>31</v>
      </c>
      <c r="AI5" s="128">
        <v>32</v>
      </c>
      <c r="AJ5" s="128">
        <v>33</v>
      </c>
      <c r="AK5" s="128">
        <v>34</v>
      </c>
      <c r="AL5" s="128">
        <v>35</v>
      </c>
      <c r="AM5" s="128">
        <v>36</v>
      </c>
      <c r="AN5" s="128">
        <v>37</v>
      </c>
      <c r="AO5" s="128">
        <v>38</v>
      </c>
      <c r="AP5" s="128">
        <v>39</v>
      </c>
      <c r="AQ5" s="128">
        <v>40</v>
      </c>
      <c r="AR5" s="128">
        <v>41</v>
      </c>
      <c r="AS5" s="128">
        <v>42</v>
      </c>
      <c r="AT5" s="128">
        <v>43</v>
      </c>
      <c r="AU5" s="128">
        <v>44</v>
      </c>
      <c r="AV5" s="128">
        <v>45</v>
      </c>
      <c r="AW5" s="128">
        <v>46</v>
      </c>
      <c r="AX5" s="128">
        <v>47</v>
      </c>
      <c r="AY5" s="128">
        <v>48</v>
      </c>
    </row>
    <row r="6" spans="1:52" x14ac:dyDescent="0.2">
      <c r="A6" s="1" t="s">
        <v>304</v>
      </c>
      <c r="B6" s="130"/>
      <c r="C6" s="129" t="s">
        <v>288</v>
      </c>
      <c r="D6" s="128" t="s">
        <v>289</v>
      </c>
      <c r="E6" s="128" t="s">
        <v>289</v>
      </c>
      <c r="F6" s="128" t="s">
        <v>289</v>
      </c>
      <c r="G6" s="128" t="s">
        <v>289</v>
      </c>
      <c r="H6" s="128" t="s">
        <v>289</v>
      </c>
      <c r="I6" s="128" t="s">
        <v>289</v>
      </c>
      <c r="J6" s="128" t="s">
        <v>289</v>
      </c>
      <c r="K6" s="128" t="s">
        <v>289</v>
      </c>
      <c r="L6" s="128" t="s">
        <v>289</v>
      </c>
      <c r="M6" s="128" t="s">
        <v>289</v>
      </c>
      <c r="N6" s="128" t="s">
        <v>289</v>
      </c>
      <c r="O6" s="128" t="s">
        <v>289</v>
      </c>
      <c r="P6" s="128" t="s">
        <v>289</v>
      </c>
      <c r="Q6" s="128" t="s">
        <v>289</v>
      </c>
      <c r="R6" s="128" t="s">
        <v>289</v>
      </c>
      <c r="S6" s="128" t="s">
        <v>289</v>
      </c>
      <c r="T6" s="128" t="s">
        <v>289</v>
      </c>
      <c r="U6" s="128" t="s">
        <v>289</v>
      </c>
      <c r="V6" s="128" t="s">
        <v>289</v>
      </c>
      <c r="W6" s="128" t="s">
        <v>289</v>
      </c>
      <c r="X6" s="128" t="s">
        <v>289</v>
      </c>
      <c r="Y6" s="128" t="s">
        <v>289</v>
      </c>
      <c r="Z6" s="128" t="s">
        <v>289</v>
      </c>
      <c r="AA6" s="128" t="s">
        <v>289</v>
      </c>
      <c r="AB6" s="128" t="s">
        <v>289</v>
      </c>
      <c r="AC6" s="128" t="s">
        <v>289</v>
      </c>
      <c r="AD6" s="128" t="s">
        <v>289</v>
      </c>
      <c r="AE6" s="128" t="s">
        <v>289</v>
      </c>
      <c r="AF6" s="128" t="s">
        <v>289</v>
      </c>
      <c r="AG6" s="128" t="s">
        <v>289</v>
      </c>
      <c r="AH6" s="128" t="s">
        <v>289</v>
      </c>
      <c r="AI6" s="128" t="s">
        <v>289</v>
      </c>
      <c r="AJ6" s="128" t="s">
        <v>289</v>
      </c>
      <c r="AK6" s="128" t="s">
        <v>289</v>
      </c>
      <c r="AL6" s="128" t="s">
        <v>289</v>
      </c>
      <c r="AM6" s="128" t="s">
        <v>289</v>
      </c>
      <c r="AN6" s="128" t="s">
        <v>289</v>
      </c>
      <c r="AO6" s="128" t="s">
        <v>289</v>
      </c>
      <c r="AP6" s="128" t="s">
        <v>289</v>
      </c>
      <c r="AQ6" s="128" t="s">
        <v>289</v>
      </c>
      <c r="AR6" s="128" t="s">
        <v>289</v>
      </c>
      <c r="AS6" s="128" t="s">
        <v>289</v>
      </c>
      <c r="AT6" s="128" t="s">
        <v>289</v>
      </c>
      <c r="AU6" s="128" t="s">
        <v>289</v>
      </c>
      <c r="AV6" s="128" t="s">
        <v>289</v>
      </c>
      <c r="AW6" s="128" t="s">
        <v>289</v>
      </c>
      <c r="AX6" s="128" t="s">
        <v>289</v>
      </c>
      <c r="AY6" s="9" t="s">
        <v>290</v>
      </c>
      <c r="AZ6" s="158" t="s">
        <v>150</v>
      </c>
    </row>
    <row r="7" spans="1:52" x14ac:dyDescent="0.2">
      <c r="A7" s="131" t="s">
        <v>125</v>
      </c>
      <c r="B7" s="159">
        <v>1</v>
      </c>
      <c r="C7" s="160" t="s">
        <v>293</v>
      </c>
      <c r="D7" s="160">
        <v>553.47946714580848</v>
      </c>
      <c r="E7" s="160">
        <v>553.47946714580848</v>
      </c>
      <c r="F7" s="160">
        <v>553.47946714580848</v>
      </c>
      <c r="G7" s="160">
        <v>553.47946714580848</v>
      </c>
      <c r="H7" s="160">
        <v>355.81938733281606</v>
      </c>
      <c r="I7" s="160">
        <v>553.47946714580848</v>
      </c>
      <c r="J7" s="160">
        <v>89.340989381364679</v>
      </c>
      <c r="K7" s="160">
        <v>553.47946714580848</v>
      </c>
      <c r="L7" s="160">
        <v>553.47946714580848</v>
      </c>
      <c r="M7" s="160">
        <v>553.47946714580848</v>
      </c>
      <c r="N7" s="160">
        <v>553.47946714580848</v>
      </c>
      <c r="O7" s="160">
        <v>553.47946714580848</v>
      </c>
      <c r="P7" s="160">
        <v>553.47946714580848</v>
      </c>
      <c r="Q7" s="160">
        <v>553.47946714580848</v>
      </c>
      <c r="R7" s="160">
        <v>553.47946714580848</v>
      </c>
      <c r="S7" s="160">
        <v>553.47946714580848</v>
      </c>
      <c r="T7" s="160">
        <v>553.47946714580848</v>
      </c>
      <c r="U7" s="160">
        <v>553.47946714580848</v>
      </c>
      <c r="V7" s="160">
        <v>553.47946714580848</v>
      </c>
      <c r="W7" s="160">
        <v>553.47946714580848</v>
      </c>
      <c r="X7" s="160">
        <v>553.47946714580848</v>
      </c>
      <c r="Y7" s="160">
        <v>553.47946714580848</v>
      </c>
      <c r="Z7" s="160">
        <v>553.47946714580848</v>
      </c>
      <c r="AA7" s="160">
        <v>553.47946714580848</v>
      </c>
      <c r="AB7" s="160">
        <v>553.47946714580848</v>
      </c>
      <c r="AC7" s="160">
        <v>553.47946714580848</v>
      </c>
      <c r="AD7" s="160">
        <v>553.47946714580848</v>
      </c>
      <c r="AE7" s="160">
        <v>553.47946714580848</v>
      </c>
      <c r="AF7" s="160">
        <v>553.47946714580848</v>
      </c>
      <c r="AG7" s="160">
        <v>553.47946714580848</v>
      </c>
      <c r="AH7" s="160">
        <v>553.47946714580848</v>
      </c>
      <c r="AI7" s="160">
        <v>553.47946714580848</v>
      </c>
      <c r="AJ7" s="160">
        <v>94.218624621210111</v>
      </c>
      <c r="AK7" s="160">
        <v>553.47946714580848</v>
      </c>
      <c r="AL7" s="160">
        <v>553.47946714580848</v>
      </c>
      <c r="AM7" s="160">
        <v>553.47946714580848</v>
      </c>
      <c r="AN7" s="160">
        <v>553.47946714580848</v>
      </c>
      <c r="AO7" s="160">
        <v>553.47946714580848</v>
      </c>
      <c r="AP7" s="160">
        <v>553.47946714580848</v>
      </c>
      <c r="AQ7" s="160">
        <v>381.78426484763941</v>
      </c>
      <c r="AR7" s="160">
        <v>382.46848831725299</v>
      </c>
      <c r="AS7" s="160">
        <v>383.14808431752488</v>
      </c>
      <c r="AT7" s="160">
        <v>383.82294318611321</v>
      </c>
      <c r="AU7" s="160">
        <v>384.49295604435622</v>
      </c>
      <c r="AV7" s="160">
        <v>385.15801481681507</v>
      </c>
      <c r="AW7" s="160">
        <v>96.454503062670852</v>
      </c>
      <c r="AX7" s="160">
        <v>553.47946714580848</v>
      </c>
      <c r="AY7" s="160">
        <v>553.47946714580848</v>
      </c>
      <c r="AZ7" s="123"/>
    </row>
    <row r="8" spans="1:52" x14ac:dyDescent="0.2">
      <c r="A8" s="161"/>
      <c r="B8" s="162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161"/>
      <c r="AY8" s="161"/>
      <c r="AZ8" s="163"/>
    </row>
    <row r="9" spans="1:52" x14ac:dyDescent="0.2">
      <c r="A9" s="1" t="s">
        <v>294</v>
      </c>
      <c r="B9" s="164"/>
      <c r="C9" s="123"/>
      <c r="D9" s="123"/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</row>
    <row r="10" spans="1:52" x14ac:dyDescent="0.2">
      <c r="A10" s="165" t="s">
        <v>125</v>
      </c>
      <c r="B10" s="166">
        <v>1</v>
      </c>
      <c r="C10" s="160" t="s">
        <v>293</v>
      </c>
      <c r="D10" s="160">
        <f t="shared" ref="D10:AY10" si="0">MAX(SUM(D$14:D$16)+D$7-$B$3,0)</f>
        <v>39.479467145808485</v>
      </c>
      <c r="E10" s="160">
        <f t="shared" si="0"/>
        <v>39.479467145808485</v>
      </c>
      <c r="F10" s="160">
        <f t="shared" si="0"/>
        <v>39.479467145808485</v>
      </c>
      <c r="G10" s="160">
        <f t="shared" si="0"/>
        <v>39.479467145808485</v>
      </c>
      <c r="H10" s="160">
        <f t="shared" si="0"/>
        <v>0</v>
      </c>
      <c r="I10" s="160">
        <f t="shared" si="0"/>
        <v>39.479467145808485</v>
      </c>
      <c r="J10" s="160">
        <f t="shared" si="0"/>
        <v>89.340989381364693</v>
      </c>
      <c r="K10" s="160">
        <f t="shared" si="0"/>
        <v>39.479467145808485</v>
      </c>
      <c r="L10" s="160">
        <f t="shared" si="0"/>
        <v>39.479467145808485</v>
      </c>
      <c r="M10" s="160">
        <f t="shared" si="0"/>
        <v>39.479467145808485</v>
      </c>
      <c r="N10" s="160">
        <f t="shared" si="0"/>
        <v>39.479467145808485</v>
      </c>
      <c r="O10" s="160">
        <f t="shared" si="0"/>
        <v>39.479467145808485</v>
      </c>
      <c r="P10" s="160">
        <f t="shared" si="0"/>
        <v>39.479467145808485</v>
      </c>
      <c r="Q10" s="160">
        <f t="shared" si="0"/>
        <v>39.479467145808485</v>
      </c>
      <c r="R10" s="160">
        <f t="shared" si="0"/>
        <v>39.479467145808485</v>
      </c>
      <c r="S10" s="160">
        <f t="shared" si="0"/>
        <v>553.47946714580848</v>
      </c>
      <c r="T10" s="160">
        <f t="shared" si="0"/>
        <v>39.479467145808485</v>
      </c>
      <c r="U10" s="160">
        <f t="shared" si="0"/>
        <v>39.479467145808485</v>
      </c>
      <c r="V10" s="160">
        <f t="shared" si="0"/>
        <v>39.479467145808485</v>
      </c>
      <c r="W10" s="160">
        <f t="shared" si="0"/>
        <v>39.479467145808485</v>
      </c>
      <c r="X10" s="160">
        <f t="shared" si="0"/>
        <v>39.479467145808485</v>
      </c>
      <c r="Y10" s="160">
        <f t="shared" si="0"/>
        <v>39.479467145808485</v>
      </c>
      <c r="Z10" s="160">
        <f t="shared" si="0"/>
        <v>39.479467145808485</v>
      </c>
      <c r="AA10" s="160">
        <f t="shared" si="0"/>
        <v>39.479467145808485</v>
      </c>
      <c r="AB10" s="160">
        <f t="shared" si="0"/>
        <v>39.479467145808485</v>
      </c>
      <c r="AC10" s="160">
        <f t="shared" si="0"/>
        <v>39.479467145808485</v>
      </c>
      <c r="AD10" s="160">
        <f t="shared" si="0"/>
        <v>39.479467145808485</v>
      </c>
      <c r="AE10" s="160">
        <f t="shared" si="0"/>
        <v>39.479467145808485</v>
      </c>
      <c r="AF10" s="160">
        <f t="shared" si="0"/>
        <v>553.47946714580848</v>
      </c>
      <c r="AG10" s="160">
        <f t="shared" si="0"/>
        <v>39.479467145808485</v>
      </c>
      <c r="AH10" s="160">
        <f t="shared" si="0"/>
        <v>39.479467145808485</v>
      </c>
      <c r="AI10" s="160">
        <f t="shared" si="0"/>
        <v>39.479467145808485</v>
      </c>
      <c r="AJ10" s="160">
        <f t="shared" si="0"/>
        <v>0</v>
      </c>
      <c r="AK10" s="160">
        <f t="shared" si="0"/>
        <v>39.479467145808485</v>
      </c>
      <c r="AL10" s="160">
        <f t="shared" si="0"/>
        <v>39.479467145808485</v>
      </c>
      <c r="AM10" s="160">
        <f t="shared" si="0"/>
        <v>39.479467145808485</v>
      </c>
      <c r="AN10" s="160">
        <f t="shared" si="0"/>
        <v>39.479467145808485</v>
      </c>
      <c r="AO10" s="160">
        <f t="shared" si="0"/>
        <v>39.479467145808485</v>
      </c>
      <c r="AP10" s="160">
        <f t="shared" si="0"/>
        <v>39.479467145808485</v>
      </c>
      <c r="AQ10" s="160">
        <f t="shared" si="0"/>
        <v>0</v>
      </c>
      <c r="AR10" s="160">
        <f t="shared" si="0"/>
        <v>0</v>
      </c>
      <c r="AS10" s="160">
        <f t="shared" si="0"/>
        <v>0</v>
      </c>
      <c r="AT10" s="160">
        <f t="shared" si="0"/>
        <v>0</v>
      </c>
      <c r="AU10" s="160">
        <f t="shared" si="0"/>
        <v>0</v>
      </c>
      <c r="AV10" s="160">
        <f t="shared" si="0"/>
        <v>0</v>
      </c>
      <c r="AW10" s="160">
        <f t="shared" si="0"/>
        <v>0</v>
      </c>
      <c r="AX10" s="160">
        <f t="shared" si="0"/>
        <v>39.479467145808485</v>
      </c>
      <c r="AY10" s="160">
        <f t="shared" si="0"/>
        <v>39.479467145808485</v>
      </c>
      <c r="AZ10" s="167">
        <f>SUM($D10:$AY10)</f>
        <v>2617.560740922087</v>
      </c>
    </row>
    <row r="11" spans="1:52" x14ac:dyDescent="0.2">
      <c r="C11" s="127"/>
    </row>
    <row r="12" spans="1:52" x14ac:dyDescent="0.2">
      <c r="A12" s="168" t="s">
        <v>295</v>
      </c>
      <c r="B12" s="162"/>
      <c r="C12" s="127"/>
    </row>
    <row r="13" spans="1:52" x14ac:dyDescent="0.2">
      <c r="A13" s="138" t="s">
        <v>125</v>
      </c>
      <c r="B13" s="139">
        <v>1</v>
      </c>
      <c r="C13" s="140">
        <v>0</v>
      </c>
      <c r="D13" s="154">
        <f t="shared" ref="D13:AY13" si="1">D$7-D$10</f>
        <v>514</v>
      </c>
      <c r="E13" s="154">
        <f t="shared" si="1"/>
        <v>514</v>
      </c>
      <c r="F13" s="154">
        <f t="shared" si="1"/>
        <v>514</v>
      </c>
      <c r="G13" s="154">
        <f t="shared" si="1"/>
        <v>514</v>
      </c>
      <c r="H13" s="154">
        <f t="shared" si="1"/>
        <v>355.81938733281606</v>
      </c>
      <c r="I13" s="154">
        <f t="shared" si="1"/>
        <v>514</v>
      </c>
      <c r="J13" s="154">
        <f t="shared" si="1"/>
        <v>0</v>
      </c>
      <c r="K13" s="154">
        <f t="shared" si="1"/>
        <v>514</v>
      </c>
      <c r="L13" s="154">
        <f t="shared" si="1"/>
        <v>514</v>
      </c>
      <c r="M13" s="154">
        <f t="shared" si="1"/>
        <v>514</v>
      </c>
      <c r="N13" s="154">
        <f t="shared" si="1"/>
        <v>514</v>
      </c>
      <c r="O13" s="154">
        <f t="shared" si="1"/>
        <v>514</v>
      </c>
      <c r="P13" s="154">
        <f t="shared" si="1"/>
        <v>514</v>
      </c>
      <c r="Q13" s="154">
        <f t="shared" si="1"/>
        <v>514</v>
      </c>
      <c r="R13" s="154">
        <f t="shared" si="1"/>
        <v>514</v>
      </c>
      <c r="S13" s="154">
        <f t="shared" si="1"/>
        <v>0</v>
      </c>
      <c r="T13" s="154">
        <f t="shared" si="1"/>
        <v>514</v>
      </c>
      <c r="U13" s="154">
        <f t="shared" si="1"/>
        <v>514</v>
      </c>
      <c r="V13" s="154">
        <f t="shared" si="1"/>
        <v>514</v>
      </c>
      <c r="W13" s="154">
        <f t="shared" si="1"/>
        <v>514</v>
      </c>
      <c r="X13" s="154">
        <f t="shared" si="1"/>
        <v>514</v>
      </c>
      <c r="Y13" s="154">
        <f t="shared" si="1"/>
        <v>514</v>
      </c>
      <c r="Z13" s="154">
        <f t="shared" si="1"/>
        <v>514</v>
      </c>
      <c r="AA13" s="154">
        <f t="shared" si="1"/>
        <v>514</v>
      </c>
      <c r="AB13" s="154">
        <f t="shared" si="1"/>
        <v>514</v>
      </c>
      <c r="AC13" s="154">
        <f t="shared" si="1"/>
        <v>514</v>
      </c>
      <c r="AD13" s="154">
        <f t="shared" si="1"/>
        <v>514</v>
      </c>
      <c r="AE13" s="154">
        <f t="shared" si="1"/>
        <v>514</v>
      </c>
      <c r="AF13" s="154">
        <f t="shared" si="1"/>
        <v>0</v>
      </c>
      <c r="AG13" s="154">
        <f t="shared" si="1"/>
        <v>514</v>
      </c>
      <c r="AH13" s="154">
        <f t="shared" si="1"/>
        <v>514</v>
      </c>
      <c r="AI13" s="154">
        <f t="shared" si="1"/>
        <v>514</v>
      </c>
      <c r="AJ13" s="154">
        <f t="shared" si="1"/>
        <v>94.218624621210111</v>
      </c>
      <c r="AK13" s="154">
        <f t="shared" si="1"/>
        <v>514</v>
      </c>
      <c r="AL13" s="154">
        <f t="shared" si="1"/>
        <v>514</v>
      </c>
      <c r="AM13" s="154">
        <f t="shared" si="1"/>
        <v>514</v>
      </c>
      <c r="AN13" s="154">
        <f t="shared" si="1"/>
        <v>514</v>
      </c>
      <c r="AO13" s="154">
        <f t="shared" si="1"/>
        <v>514</v>
      </c>
      <c r="AP13" s="154">
        <f t="shared" si="1"/>
        <v>514</v>
      </c>
      <c r="AQ13" s="154">
        <f t="shared" si="1"/>
        <v>381.78426484763941</v>
      </c>
      <c r="AR13" s="154">
        <f t="shared" si="1"/>
        <v>382.46848831725299</v>
      </c>
      <c r="AS13" s="154">
        <f t="shared" si="1"/>
        <v>383.14808431752488</v>
      </c>
      <c r="AT13" s="154">
        <f t="shared" si="1"/>
        <v>383.82294318611321</v>
      </c>
      <c r="AU13" s="154">
        <f t="shared" si="1"/>
        <v>384.49295604435622</v>
      </c>
      <c r="AV13" s="154">
        <f t="shared" si="1"/>
        <v>385.15801481681507</v>
      </c>
      <c r="AW13" s="154">
        <f t="shared" si="1"/>
        <v>96.454503062670852</v>
      </c>
      <c r="AX13" s="154">
        <f t="shared" si="1"/>
        <v>514</v>
      </c>
      <c r="AY13" s="154">
        <f t="shared" si="1"/>
        <v>514</v>
      </c>
      <c r="AZ13" s="126"/>
    </row>
    <row r="14" spans="1:52" x14ac:dyDescent="0.2">
      <c r="A14" s="127"/>
      <c r="B14" s="136">
        <v>2</v>
      </c>
      <c r="C14" s="127">
        <v>0</v>
      </c>
      <c r="D14" s="123">
        <f>IF(C$20="Yes",C13,0)</f>
        <v>0</v>
      </c>
      <c r="E14" s="123">
        <f t="shared" ref="E14:AY17" si="2">IF(D$20="Yes",D13,0)</f>
        <v>0</v>
      </c>
      <c r="F14" s="123">
        <f t="shared" si="2"/>
        <v>0</v>
      </c>
      <c r="G14" s="123">
        <f t="shared" si="2"/>
        <v>0</v>
      </c>
      <c r="H14" s="123">
        <f t="shared" si="2"/>
        <v>0</v>
      </c>
      <c r="I14" s="123">
        <f t="shared" si="2"/>
        <v>0</v>
      </c>
      <c r="J14" s="123">
        <f t="shared" si="2"/>
        <v>514</v>
      </c>
      <c r="K14" s="123">
        <f t="shared" si="2"/>
        <v>0</v>
      </c>
      <c r="L14" s="123">
        <f t="shared" si="2"/>
        <v>0</v>
      </c>
      <c r="M14" s="123">
        <f t="shared" si="2"/>
        <v>0</v>
      </c>
      <c r="N14" s="123">
        <f t="shared" si="2"/>
        <v>0</v>
      </c>
      <c r="O14" s="123">
        <f t="shared" si="2"/>
        <v>0</v>
      </c>
      <c r="P14" s="123">
        <f t="shared" si="2"/>
        <v>0</v>
      </c>
      <c r="Q14" s="123">
        <f t="shared" si="2"/>
        <v>0</v>
      </c>
      <c r="R14" s="123">
        <f t="shared" si="2"/>
        <v>0</v>
      </c>
      <c r="S14" s="123">
        <f t="shared" si="2"/>
        <v>514</v>
      </c>
      <c r="T14" s="123">
        <f t="shared" si="2"/>
        <v>0</v>
      </c>
      <c r="U14" s="123">
        <f t="shared" si="2"/>
        <v>0</v>
      </c>
      <c r="V14" s="123">
        <f t="shared" si="2"/>
        <v>0</v>
      </c>
      <c r="W14" s="123">
        <f t="shared" si="2"/>
        <v>0</v>
      </c>
      <c r="X14" s="123">
        <f t="shared" si="2"/>
        <v>0</v>
      </c>
      <c r="Y14" s="123">
        <f t="shared" si="2"/>
        <v>0</v>
      </c>
      <c r="Z14" s="123">
        <f t="shared" si="2"/>
        <v>0</v>
      </c>
      <c r="AA14" s="123">
        <f t="shared" si="2"/>
        <v>0</v>
      </c>
      <c r="AB14" s="123">
        <f t="shared" si="2"/>
        <v>0</v>
      </c>
      <c r="AC14" s="123">
        <f t="shared" si="2"/>
        <v>0</v>
      </c>
      <c r="AD14" s="123">
        <f t="shared" si="2"/>
        <v>0</v>
      </c>
      <c r="AE14" s="123">
        <f t="shared" si="2"/>
        <v>0</v>
      </c>
      <c r="AF14" s="123">
        <f t="shared" si="2"/>
        <v>514</v>
      </c>
      <c r="AG14" s="123">
        <f t="shared" si="2"/>
        <v>0</v>
      </c>
      <c r="AH14" s="123">
        <f t="shared" si="2"/>
        <v>0</v>
      </c>
      <c r="AI14" s="123">
        <f t="shared" si="2"/>
        <v>0</v>
      </c>
      <c r="AJ14" s="123">
        <f t="shared" si="2"/>
        <v>0</v>
      </c>
      <c r="AK14" s="123">
        <f t="shared" si="2"/>
        <v>0</v>
      </c>
      <c r="AL14" s="123">
        <f t="shared" si="2"/>
        <v>0</v>
      </c>
      <c r="AM14" s="123">
        <f t="shared" si="2"/>
        <v>0</v>
      </c>
      <c r="AN14" s="123">
        <f t="shared" si="2"/>
        <v>0</v>
      </c>
      <c r="AO14" s="123">
        <f t="shared" si="2"/>
        <v>0</v>
      </c>
      <c r="AP14" s="123">
        <f t="shared" si="2"/>
        <v>0</v>
      </c>
      <c r="AQ14" s="123">
        <f t="shared" si="2"/>
        <v>0</v>
      </c>
      <c r="AR14" s="123">
        <f t="shared" si="2"/>
        <v>0</v>
      </c>
      <c r="AS14" s="123">
        <f t="shared" si="2"/>
        <v>0</v>
      </c>
      <c r="AT14" s="123">
        <f t="shared" si="2"/>
        <v>0</v>
      </c>
      <c r="AU14" s="123">
        <f t="shared" si="2"/>
        <v>0</v>
      </c>
      <c r="AV14" s="123">
        <f t="shared" si="2"/>
        <v>0</v>
      </c>
      <c r="AW14" s="123">
        <f t="shared" si="2"/>
        <v>0</v>
      </c>
      <c r="AX14" s="123">
        <f t="shared" si="2"/>
        <v>0</v>
      </c>
      <c r="AY14" s="123">
        <f t="shared" si="2"/>
        <v>0</v>
      </c>
      <c r="AZ14" s="126"/>
    </row>
    <row r="15" spans="1:52" x14ac:dyDescent="0.2">
      <c r="A15" s="127"/>
      <c r="B15" s="143">
        <v>3</v>
      </c>
      <c r="C15" s="127">
        <v>0</v>
      </c>
      <c r="D15" s="123">
        <f>IF(C$20="Yes",C14,0)</f>
        <v>0</v>
      </c>
      <c r="E15" s="123">
        <f t="shared" si="2"/>
        <v>0</v>
      </c>
      <c r="F15" s="123">
        <f t="shared" si="2"/>
        <v>0</v>
      </c>
      <c r="G15" s="123">
        <f t="shared" si="2"/>
        <v>0</v>
      </c>
      <c r="H15" s="123">
        <f t="shared" si="2"/>
        <v>0</v>
      </c>
      <c r="I15" s="123">
        <f t="shared" si="2"/>
        <v>0</v>
      </c>
      <c r="J15" s="123">
        <f t="shared" si="2"/>
        <v>0</v>
      </c>
      <c r="K15" s="123">
        <f t="shared" si="2"/>
        <v>0</v>
      </c>
      <c r="L15" s="123">
        <f t="shared" si="2"/>
        <v>0</v>
      </c>
      <c r="M15" s="123">
        <f t="shared" si="2"/>
        <v>0</v>
      </c>
      <c r="N15" s="123">
        <f t="shared" si="2"/>
        <v>0</v>
      </c>
      <c r="O15" s="123">
        <f t="shared" si="2"/>
        <v>0</v>
      </c>
      <c r="P15" s="123">
        <f t="shared" si="2"/>
        <v>0</v>
      </c>
      <c r="Q15" s="123">
        <f t="shared" si="2"/>
        <v>0</v>
      </c>
      <c r="R15" s="123">
        <f t="shared" si="2"/>
        <v>0</v>
      </c>
      <c r="S15" s="123">
        <f t="shared" si="2"/>
        <v>0</v>
      </c>
      <c r="T15" s="123">
        <f t="shared" si="2"/>
        <v>0</v>
      </c>
      <c r="U15" s="123">
        <f t="shared" si="2"/>
        <v>0</v>
      </c>
      <c r="V15" s="123">
        <f t="shared" si="2"/>
        <v>0</v>
      </c>
      <c r="W15" s="123">
        <f t="shared" si="2"/>
        <v>0</v>
      </c>
      <c r="X15" s="123">
        <f t="shared" si="2"/>
        <v>0</v>
      </c>
      <c r="Y15" s="123">
        <f t="shared" si="2"/>
        <v>0</v>
      </c>
      <c r="Z15" s="123">
        <f t="shared" si="2"/>
        <v>0</v>
      </c>
      <c r="AA15" s="123">
        <f t="shared" si="2"/>
        <v>0</v>
      </c>
      <c r="AB15" s="123">
        <f t="shared" si="2"/>
        <v>0</v>
      </c>
      <c r="AC15" s="123">
        <f t="shared" si="2"/>
        <v>0</v>
      </c>
      <c r="AD15" s="123">
        <f t="shared" si="2"/>
        <v>0</v>
      </c>
      <c r="AE15" s="123">
        <f t="shared" si="2"/>
        <v>0</v>
      </c>
      <c r="AF15" s="123">
        <f t="shared" si="2"/>
        <v>0</v>
      </c>
      <c r="AG15" s="123">
        <f t="shared" si="2"/>
        <v>0</v>
      </c>
      <c r="AH15" s="123">
        <f t="shared" si="2"/>
        <v>0</v>
      </c>
      <c r="AI15" s="123">
        <f t="shared" si="2"/>
        <v>0</v>
      </c>
      <c r="AJ15" s="123">
        <f t="shared" si="2"/>
        <v>0</v>
      </c>
      <c r="AK15" s="123">
        <f t="shared" si="2"/>
        <v>0</v>
      </c>
      <c r="AL15" s="123">
        <f t="shared" si="2"/>
        <v>0</v>
      </c>
      <c r="AM15" s="123">
        <f t="shared" si="2"/>
        <v>0</v>
      </c>
      <c r="AN15" s="123">
        <f t="shared" si="2"/>
        <v>0</v>
      </c>
      <c r="AO15" s="123">
        <f t="shared" si="2"/>
        <v>0</v>
      </c>
      <c r="AP15" s="123">
        <f t="shared" si="2"/>
        <v>0</v>
      </c>
      <c r="AQ15" s="123">
        <f t="shared" si="2"/>
        <v>0</v>
      </c>
      <c r="AR15" s="123">
        <f t="shared" si="2"/>
        <v>0</v>
      </c>
      <c r="AS15" s="123">
        <f t="shared" si="2"/>
        <v>0</v>
      </c>
      <c r="AT15" s="123">
        <f t="shared" si="2"/>
        <v>0</v>
      </c>
      <c r="AU15" s="123">
        <f t="shared" si="2"/>
        <v>0</v>
      </c>
      <c r="AV15" s="123">
        <f t="shared" si="2"/>
        <v>0</v>
      </c>
      <c r="AW15" s="123">
        <f t="shared" si="2"/>
        <v>0</v>
      </c>
      <c r="AX15" s="123">
        <f t="shared" si="2"/>
        <v>0</v>
      </c>
      <c r="AY15" s="123">
        <f t="shared" si="2"/>
        <v>0</v>
      </c>
      <c r="AZ15" s="126"/>
    </row>
    <row r="16" spans="1:52" x14ac:dyDescent="0.2">
      <c r="A16" s="127"/>
      <c r="B16" s="146">
        <v>4</v>
      </c>
      <c r="C16" s="127">
        <v>0</v>
      </c>
      <c r="D16" s="123">
        <f>IF(C$20="Yes",C15,0)</f>
        <v>0</v>
      </c>
      <c r="E16" s="123">
        <f t="shared" si="2"/>
        <v>0</v>
      </c>
      <c r="F16" s="123">
        <f t="shared" si="2"/>
        <v>0</v>
      </c>
      <c r="G16" s="123">
        <f t="shared" si="2"/>
        <v>0</v>
      </c>
      <c r="H16" s="123">
        <f t="shared" si="2"/>
        <v>0</v>
      </c>
      <c r="I16" s="123">
        <f t="shared" si="2"/>
        <v>0</v>
      </c>
      <c r="J16" s="123">
        <f t="shared" si="2"/>
        <v>0</v>
      </c>
      <c r="K16" s="123">
        <f t="shared" si="2"/>
        <v>0</v>
      </c>
      <c r="L16" s="123">
        <f t="shared" si="2"/>
        <v>0</v>
      </c>
      <c r="M16" s="123">
        <f t="shared" si="2"/>
        <v>0</v>
      </c>
      <c r="N16" s="123">
        <f t="shared" si="2"/>
        <v>0</v>
      </c>
      <c r="O16" s="123">
        <f t="shared" si="2"/>
        <v>0</v>
      </c>
      <c r="P16" s="123">
        <f t="shared" si="2"/>
        <v>0</v>
      </c>
      <c r="Q16" s="123">
        <f t="shared" si="2"/>
        <v>0</v>
      </c>
      <c r="R16" s="123">
        <f t="shared" si="2"/>
        <v>0</v>
      </c>
      <c r="S16" s="123">
        <f t="shared" si="2"/>
        <v>0</v>
      </c>
      <c r="T16" s="123">
        <f t="shared" si="2"/>
        <v>0</v>
      </c>
      <c r="U16" s="123">
        <f t="shared" si="2"/>
        <v>0</v>
      </c>
      <c r="V16" s="123">
        <f t="shared" si="2"/>
        <v>0</v>
      </c>
      <c r="W16" s="123">
        <f t="shared" si="2"/>
        <v>0</v>
      </c>
      <c r="X16" s="123">
        <f t="shared" si="2"/>
        <v>0</v>
      </c>
      <c r="Y16" s="123">
        <f t="shared" si="2"/>
        <v>0</v>
      </c>
      <c r="Z16" s="123">
        <f t="shared" si="2"/>
        <v>0</v>
      </c>
      <c r="AA16" s="123">
        <f t="shared" si="2"/>
        <v>0</v>
      </c>
      <c r="AB16" s="123">
        <f t="shared" si="2"/>
        <v>0</v>
      </c>
      <c r="AC16" s="123">
        <f t="shared" si="2"/>
        <v>0</v>
      </c>
      <c r="AD16" s="123">
        <f t="shared" si="2"/>
        <v>0</v>
      </c>
      <c r="AE16" s="123">
        <f t="shared" si="2"/>
        <v>0</v>
      </c>
      <c r="AF16" s="123">
        <f t="shared" si="2"/>
        <v>0</v>
      </c>
      <c r="AG16" s="123">
        <f t="shared" si="2"/>
        <v>0</v>
      </c>
      <c r="AH16" s="123">
        <f t="shared" si="2"/>
        <v>0</v>
      </c>
      <c r="AI16" s="123">
        <f t="shared" si="2"/>
        <v>0</v>
      </c>
      <c r="AJ16" s="123">
        <f t="shared" si="2"/>
        <v>0</v>
      </c>
      <c r="AK16" s="123">
        <f t="shared" si="2"/>
        <v>0</v>
      </c>
      <c r="AL16" s="123">
        <f t="shared" si="2"/>
        <v>0</v>
      </c>
      <c r="AM16" s="123">
        <f t="shared" si="2"/>
        <v>0</v>
      </c>
      <c r="AN16" s="123">
        <f t="shared" si="2"/>
        <v>0</v>
      </c>
      <c r="AO16" s="123">
        <f t="shared" si="2"/>
        <v>0</v>
      </c>
      <c r="AP16" s="123">
        <f t="shared" si="2"/>
        <v>0</v>
      </c>
      <c r="AQ16" s="123">
        <f t="shared" si="2"/>
        <v>0</v>
      </c>
      <c r="AR16" s="123">
        <f t="shared" si="2"/>
        <v>0</v>
      </c>
      <c r="AS16" s="123">
        <f t="shared" si="2"/>
        <v>0</v>
      </c>
      <c r="AT16" s="123">
        <f t="shared" si="2"/>
        <v>0</v>
      </c>
      <c r="AU16" s="123">
        <f t="shared" si="2"/>
        <v>0</v>
      </c>
      <c r="AV16" s="123">
        <f t="shared" si="2"/>
        <v>0</v>
      </c>
      <c r="AW16" s="123">
        <f t="shared" si="2"/>
        <v>0</v>
      </c>
      <c r="AX16" s="123">
        <f t="shared" si="2"/>
        <v>0</v>
      </c>
      <c r="AY16" s="123">
        <f t="shared" si="2"/>
        <v>0</v>
      </c>
      <c r="AZ16" s="144"/>
    </row>
    <row r="17" spans="1:52" x14ac:dyDescent="0.2">
      <c r="A17" s="141"/>
      <c r="B17" s="148" t="s">
        <v>296</v>
      </c>
      <c r="C17" s="141">
        <v>0</v>
      </c>
      <c r="D17" s="130">
        <f>IF(C$20="Yes",C16,0)</f>
        <v>0</v>
      </c>
      <c r="E17" s="130">
        <f t="shared" si="2"/>
        <v>0</v>
      </c>
      <c r="F17" s="130">
        <f t="shared" si="2"/>
        <v>0</v>
      </c>
      <c r="G17" s="130">
        <f t="shared" si="2"/>
        <v>0</v>
      </c>
      <c r="H17" s="130">
        <f t="shared" si="2"/>
        <v>0</v>
      </c>
      <c r="I17" s="130">
        <f t="shared" si="2"/>
        <v>0</v>
      </c>
      <c r="J17" s="130">
        <f t="shared" si="2"/>
        <v>0</v>
      </c>
      <c r="K17" s="130">
        <f t="shared" si="2"/>
        <v>0</v>
      </c>
      <c r="L17" s="130">
        <f t="shared" si="2"/>
        <v>0</v>
      </c>
      <c r="M17" s="130">
        <f t="shared" si="2"/>
        <v>0</v>
      </c>
      <c r="N17" s="130">
        <f t="shared" si="2"/>
        <v>0</v>
      </c>
      <c r="O17" s="130">
        <f t="shared" si="2"/>
        <v>0</v>
      </c>
      <c r="P17" s="130">
        <f t="shared" si="2"/>
        <v>0</v>
      </c>
      <c r="Q17" s="130">
        <f t="shared" si="2"/>
        <v>0</v>
      </c>
      <c r="R17" s="130">
        <f t="shared" si="2"/>
        <v>0</v>
      </c>
      <c r="S17" s="130">
        <f t="shared" si="2"/>
        <v>0</v>
      </c>
      <c r="T17" s="130">
        <f t="shared" si="2"/>
        <v>0</v>
      </c>
      <c r="U17" s="130">
        <f t="shared" si="2"/>
        <v>0</v>
      </c>
      <c r="V17" s="130">
        <f t="shared" si="2"/>
        <v>0</v>
      </c>
      <c r="W17" s="130">
        <f t="shared" si="2"/>
        <v>0</v>
      </c>
      <c r="X17" s="130">
        <f t="shared" si="2"/>
        <v>0</v>
      </c>
      <c r="Y17" s="130">
        <f t="shared" si="2"/>
        <v>0</v>
      </c>
      <c r="Z17" s="130">
        <f t="shared" si="2"/>
        <v>0</v>
      </c>
      <c r="AA17" s="130">
        <f t="shared" si="2"/>
        <v>0</v>
      </c>
      <c r="AB17" s="130">
        <f t="shared" si="2"/>
        <v>0</v>
      </c>
      <c r="AC17" s="130">
        <f t="shared" si="2"/>
        <v>0</v>
      </c>
      <c r="AD17" s="130">
        <f t="shared" si="2"/>
        <v>0</v>
      </c>
      <c r="AE17" s="130">
        <f t="shared" si="2"/>
        <v>0</v>
      </c>
      <c r="AF17" s="130">
        <f t="shared" si="2"/>
        <v>0</v>
      </c>
      <c r="AG17" s="130">
        <f t="shared" si="2"/>
        <v>0</v>
      </c>
      <c r="AH17" s="130">
        <f t="shared" si="2"/>
        <v>0</v>
      </c>
      <c r="AI17" s="130">
        <f t="shared" si="2"/>
        <v>0</v>
      </c>
      <c r="AJ17" s="130">
        <f t="shared" si="2"/>
        <v>0</v>
      </c>
      <c r="AK17" s="130">
        <f t="shared" si="2"/>
        <v>0</v>
      </c>
      <c r="AL17" s="130">
        <f t="shared" si="2"/>
        <v>0</v>
      </c>
      <c r="AM17" s="130">
        <f t="shared" si="2"/>
        <v>0</v>
      </c>
      <c r="AN17" s="130">
        <f t="shared" si="2"/>
        <v>0</v>
      </c>
      <c r="AO17" s="130">
        <f t="shared" si="2"/>
        <v>0</v>
      </c>
      <c r="AP17" s="130">
        <f t="shared" si="2"/>
        <v>0</v>
      </c>
      <c r="AQ17" s="130">
        <f t="shared" si="2"/>
        <v>0</v>
      </c>
      <c r="AR17" s="130">
        <f t="shared" si="2"/>
        <v>0</v>
      </c>
      <c r="AS17" s="130">
        <f t="shared" si="2"/>
        <v>0</v>
      </c>
      <c r="AT17" s="130">
        <f t="shared" si="2"/>
        <v>0</v>
      </c>
      <c r="AU17" s="130">
        <f t="shared" si="2"/>
        <v>0</v>
      </c>
      <c r="AV17" s="130">
        <f t="shared" si="2"/>
        <v>0</v>
      </c>
      <c r="AW17" s="130">
        <f t="shared" si="2"/>
        <v>0</v>
      </c>
      <c r="AX17" s="130">
        <f t="shared" si="2"/>
        <v>0</v>
      </c>
      <c r="AY17" s="130">
        <f t="shared" si="2"/>
        <v>0</v>
      </c>
      <c r="AZ17" s="167">
        <f>SUM($D$17:$AY$17)</f>
        <v>0</v>
      </c>
    </row>
    <row r="18" spans="1:52" x14ac:dyDescent="0.2">
      <c r="A18" s="123"/>
      <c r="B18" s="169"/>
      <c r="C18" s="154"/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  <c r="W18" s="154"/>
      <c r="X18" s="154"/>
      <c r="Y18" s="154"/>
      <c r="Z18" s="154"/>
      <c r="AA18" s="154"/>
      <c r="AB18" s="154"/>
      <c r="AC18" s="154"/>
      <c r="AD18" s="154"/>
      <c r="AE18" s="154"/>
      <c r="AF18" s="154"/>
      <c r="AG18" s="154"/>
      <c r="AH18" s="154"/>
      <c r="AI18" s="154"/>
      <c r="AJ18" s="154"/>
      <c r="AK18" s="154"/>
      <c r="AL18" s="154"/>
      <c r="AM18" s="154"/>
      <c r="AN18" s="154"/>
      <c r="AO18" s="154"/>
      <c r="AP18" s="154"/>
      <c r="AQ18" s="154"/>
      <c r="AR18" s="154"/>
      <c r="AS18" s="154"/>
      <c r="AT18" s="154"/>
      <c r="AU18" s="154"/>
      <c r="AV18" s="154"/>
      <c r="AW18" s="154"/>
      <c r="AX18" s="154"/>
      <c r="AY18" s="154"/>
      <c r="AZ18" s="123"/>
    </row>
    <row r="19" spans="1:52" x14ac:dyDescent="0.2">
      <c r="A19" s="1" t="s">
        <v>116</v>
      </c>
      <c r="B19" s="123"/>
      <c r="C19" s="123"/>
      <c r="D19" s="123"/>
      <c r="E19" s="123"/>
      <c r="F19" s="123"/>
      <c r="G19" s="123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  <c r="AP19" s="123"/>
      <c r="AQ19" s="123"/>
      <c r="AR19" s="123"/>
      <c r="AS19" s="123"/>
      <c r="AT19" s="123"/>
      <c r="AU19" s="123"/>
      <c r="AV19" s="123"/>
      <c r="AW19" s="123"/>
      <c r="AX19" s="123"/>
      <c r="AY19" s="123"/>
    </row>
    <row r="20" spans="1:52" s="127" customFormat="1" x14ac:dyDescent="0.2">
      <c r="A20" s="131" t="s">
        <v>305</v>
      </c>
      <c r="B20" s="170" t="s">
        <v>306</v>
      </c>
      <c r="C20" s="133" t="s">
        <v>313</v>
      </c>
      <c r="D20" s="133"/>
      <c r="E20" s="133"/>
      <c r="F20" s="133"/>
      <c r="G20" s="133"/>
      <c r="H20" s="133"/>
      <c r="I20" s="133" t="s">
        <v>313</v>
      </c>
      <c r="J20" s="133"/>
      <c r="K20" s="133"/>
      <c r="L20" s="133"/>
      <c r="M20" s="133"/>
      <c r="N20" s="133"/>
      <c r="O20" s="133"/>
      <c r="P20" s="133"/>
      <c r="Q20" s="133"/>
      <c r="R20" s="133" t="s">
        <v>313</v>
      </c>
      <c r="S20" s="133"/>
      <c r="T20" s="133"/>
      <c r="U20" s="133"/>
      <c r="V20" s="133"/>
      <c r="W20" s="133"/>
      <c r="X20" s="133"/>
      <c r="Y20" s="133"/>
      <c r="Z20" s="133"/>
      <c r="AA20" s="133"/>
      <c r="AB20" s="133"/>
      <c r="AC20" s="133"/>
      <c r="AD20" s="133"/>
      <c r="AE20" s="133" t="s">
        <v>313</v>
      </c>
      <c r="AF20" s="133"/>
      <c r="AG20" s="133"/>
      <c r="AH20" s="133"/>
      <c r="AI20" s="133"/>
      <c r="AJ20" s="133"/>
      <c r="AK20" s="133"/>
      <c r="AL20" s="133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24"/>
    </row>
    <row r="21" spans="1:52" s="127" customFormat="1" x14ac:dyDescent="0.2">
      <c r="A21" s="171" t="s">
        <v>133</v>
      </c>
      <c r="B21" s="172">
        <f>shipping_manufacturing!$E$19/100</f>
        <v>0.5</v>
      </c>
      <c r="C21" s="172" t="s">
        <v>293</v>
      </c>
      <c r="D21" s="123">
        <f>IF(C$20="Yes",0,SUM(C$13:C$16)*$B$21)</f>
        <v>0</v>
      </c>
      <c r="E21" s="123">
        <f t="shared" ref="E21:AY21" si="3">IF(D$20="Yes",0,SUM(D$13:D$16)*$B$21)</f>
        <v>257</v>
      </c>
      <c r="F21" s="123">
        <f t="shared" si="3"/>
        <v>257</v>
      </c>
      <c r="G21" s="123">
        <f t="shared" si="3"/>
        <v>257</v>
      </c>
      <c r="H21" s="123">
        <f t="shared" si="3"/>
        <v>257</v>
      </c>
      <c r="I21" s="123">
        <f t="shared" si="3"/>
        <v>177.90969366640803</v>
      </c>
      <c r="J21" s="123">
        <f t="shared" si="3"/>
        <v>0</v>
      </c>
      <c r="K21" s="123">
        <f t="shared" si="3"/>
        <v>257</v>
      </c>
      <c r="L21" s="123">
        <f t="shared" si="3"/>
        <v>257</v>
      </c>
      <c r="M21" s="123">
        <f t="shared" si="3"/>
        <v>257</v>
      </c>
      <c r="N21" s="123">
        <f t="shared" si="3"/>
        <v>257</v>
      </c>
      <c r="O21" s="123">
        <f t="shared" si="3"/>
        <v>257</v>
      </c>
      <c r="P21" s="123">
        <f t="shared" si="3"/>
        <v>257</v>
      </c>
      <c r="Q21" s="123">
        <f t="shared" si="3"/>
        <v>257</v>
      </c>
      <c r="R21" s="123">
        <f t="shared" si="3"/>
        <v>257</v>
      </c>
      <c r="S21" s="123">
        <f t="shared" si="3"/>
        <v>0</v>
      </c>
      <c r="T21" s="123">
        <f t="shared" si="3"/>
        <v>257</v>
      </c>
      <c r="U21" s="123">
        <f t="shared" si="3"/>
        <v>257</v>
      </c>
      <c r="V21" s="123">
        <f t="shared" si="3"/>
        <v>257</v>
      </c>
      <c r="W21" s="123">
        <f t="shared" si="3"/>
        <v>257</v>
      </c>
      <c r="X21" s="123">
        <f t="shared" si="3"/>
        <v>257</v>
      </c>
      <c r="Y21" s="123">
        <f t="shared" si="3"/>
        <v>257</v>
      </c>
      <c r="Z21" s="123">
        <f t="shared" si="3"/>
        <v>257</v>
      </c>
      <c r="AA21" s="123">
        <f t="shared" si="3"/>
        <v>257</v>
      </c>
      <c r="AB21" s="123">
        <f t="shared" si="3"/>
        <v>257</v>
      </c>
      <c r="AC21" s="123">
        <f t="shared" si="3"/>
        <v>257</v>
      </c>
      <c r="AD21" s="123">
        <f t="shared" si="3"/>
        <v>257</v>
      </c>
      <c r="AE21" s="123">
        <f t="shared" si="3"/>
        <v>257</v>
      </c>
      <c r="AF21" s="123">
        <f t="shared" si="3"/>
        <v>0</v>
      </c>
      <c r="AG21" s="123">
        <f t="shared" si="3"/>
        <v>257</v>
      </c>
      <c r="AH21" s="123">
        <f t="shared" si="3"/>
        <v>257</v>
      </c>
      <c r="AI21" s="123">
        <f t="shared" si="3"/>
        <v>257</v>
      </c>
      <c r="AJ21" s="123">
        <f t="shared" si="3"/>
        <v>257</v>
      </c>
      <c r="AK21" s="123">
        <f t="shared" si="3"/>
        <v>47.109312310605056</v>
      </c>
      <c r="AL21" s="123">
        <f t="shared" si="3"/>
        <v>257</v>
      </c>
      <c r="AM21" s="123">
        <f t="shared" si="3"/>
        <v>257</v>
      </c>
      <c r="AN21" s="123">
        <f t="shared" si="3"/>
        <v>257</v>
      </c>
      <c r="AO21" s="123">
        <f t="shared" si="3"/>
        <v>257</v>
      </c>
      <c r="AP21" s="123">
        <f t="shared" si="3"/>
        <v>257</v>
      </c>
      <c r="AQ21" s="123">
        <f t="shared" si="3"/>
        <v>257</v>
      </c>
      <c r="AR21" s="123">
        <f t="shared" si="3"/>
        <v>190.8921324238197</v>
      </c>
      <c r="AS21" s="123">
        <f t="shared" si="3"/>
        <v>191.2342441586265</v>
      </c>
      <c r="AT21" s="123">
        <f t="shared" si="3"/>
        <v>191.57404215876244</v>
      </c>
      <c r="AU21" s="123">
        <f t="shared" si="3"/>
        <v>191.9114715930566</v>
      </c>
      <c r="AV21" s="123">
        <f t="shared" si="3"/>
        <v>192.24647802217811</v>
      </c>
      <c r="AW21" s="123">
        <f t="shared" si="3"/>
        <v>192.57900740840753</v>
      </c>
      <c r="AX21" s="123">
        <f t="shared" si="3"/>
        <v>48.227251531335426</v>
      </c>
      <c r="AY21" s="123">
        <f t="shared" si="3"/>
        <v>257</v>
      </c>
      <c r="AZ21" s="173">
        <f>SUM($D21:$AY21)</f>
        <v>10418.6836332732</v>
      </c>
    </row>
    <row r="22" spans="1:52" s="127" customFormat="1" x14ac:dyDescent="0.2">
      <c r="A22" s="174" t="s">
        <v>123</v>
      </c>
      <c r="B22" s="175">
        <f>1-$B$21</f>
        <v>0.5</v>
      </c>
      <c r="C22" s="175" t="s">
        <v>293</v>
      </c>
      <c r="D22" s="130">
        <f>IF(C$20="Yes",0,SUM(C$13:C$16)*$B$22)</f>
        <v>0</v>
      </c>
      <c r="E22" s="130">
        <f t="shared" ref="E22:AY22" si="4">IF(D$20="Yes",0,SUM(D$13:D$16)*$B$22)</f>
        <v>257</v>
      </c>
      <c r="F22" s="130">
        <f t="shared" si="4"/>
        <v>257</v>
      </c>
      <c r="G22" s="130">
        <f t="shared" si="4"/>
        <v>257</v>
      </c>
      <c r="H22" s="130">
        <f t="shared" si="4"/>
        <v>257</v>
      </c>
      <c r="I22" s="130">
        <f t="shared" si="4"/>
        <v>177.90969366640803</v>
      </c>
      <c r="J22" s="130">
        <f t="shared" si="4"/>
        <v>0</v>
      </c>
      <c r="K22" s="130">
        <f t="shared" si="4"/>
        <v>257</v>
      </c>
      <c r="L22" s="130">
        <f t="shared" si="4"/>
        <v>257</v>
      </c>
      <c r="M22" s="130">
        <f t="shared" si="4"/>
        <v>257</v>
      </c>
      <c r="N22" s="130">
        <f t="shared" si="4"/>
        <v>257</v>
      </c>
      <c r="O22" s="130">
        <f t="shared" si="4"/>
        <v>257</v>
      </c>
      <c r="P22" s="130">
        <f t="shared" si="4"/>
        <v>257</v>
      </c>
      <c r="Q22" s="130">
        <f t="shared" si="4"/>
        <v>257</v>
      </c>
      <c r="R22" s="130">
        <f t="shared" si="4"/>
        <v>257</v>
      </c>
      <c r="S22" s="130">
        <f t="shared" si="4"/>
        <v>0</v>
      </c>
      <c r="T22" s="130">
        <f t="shared" si="4"/>
        <v>257</v>
      </c>
      <c r="U22" s="130">
        <f t="shared" si="4"/>
        <v>257</v>
      </c>
      <c r="V22" s="130">
        <f t="shared" si="4"/>
        <v>257</v>
      </c>
      <c r="W22" s="130">
        <f t="shared" si="4"/>
        <v>257</v>
      </c>
      <c r="X22" s="130">
        <f t="shared" si="4"/>
        <v>257</v>
      </c>
      <c r="Y22" s="130">
        <f t="shared" si="4"/>
        <v>257</v>
      </c>
      <c r="Z22" s="130">
        <f t="shared" si="4"/>
        <v>257</v>
      </c>
      <c r="AA22" s="130">
        <f t="shared" si="4"/>
        <v>257</v>
      </c>
      <c r="AB22" s="130">
        <f t="shared" si="4"/>
        <v>257</v>
      </c>
      <c r="AC22" s="130">
        <f t="shared" si="4"/>
        <v>257</v>
      </c>
      <c r="AD22" s="130">
        <f t="shared" si="4"/>
        <v>257</v>
      </c>
      <c r="AE22" s="130">
        <f t="shared" si="4"/>
        <v>257</v>
      </c>
      <c r="AF22" s="130">
        <f t="shared" si="4"/>
        <v>0</v>
      </c>
      <c r="AG22" s="130">
        <f t="shared" si="4"/>
        <v>257</v>
      </c>
      <c r="AH22" s="130">
        <f t="shared" si="4"/>
        <v>257</v>
      </c>
      <c r="AI22" s="130">
        <f t="shared" si="4"/>
        <v>257</v>
      </c>
      <c r="AJ22" s="130">
        <f t="shared" si="4"/>
        <v>257</v>
      </c>
      <c r="AK22" s="130">
        <f t="shared" si="4"/>
        <v>47.109312310605056</v>
      </c>
      <c r="AL22" s="130">
        <f t="shared" si="4"/>
        <v>257</v>
      </c>
      <c r="AM22" s="130">
        <f t="shared" si="4"/>
        <v>257</v>
      </c>
      <c r="AN22" s="130">
        <f t="shared" si="4"/>
        <v>257</v>
      </c>
      <c r="AO22" s="130">
        <f t="shared" si="4"/>
        <v>257</v>
      </c>
      <c r="AP22" s="130">
        <f t="shared" si="4"/>
        <v>257</v>
      </c>
      <c r="AQ22" s="130">
        <f t="shared" si="4"/>
        <v>257</v>
      </c>
      <c r="AR22" s="130">
        <f t="shared" si="4"/>
        <v>190.8921324238197</v>
      </c>
      <c r="AS22" s="130">
        <f t="shared" si="4"/>
        <v>191.2342441586265</v>
      </c>
      <c r="AT22" s="130">
        <f t="shared" si="4"/>
        <v>191.57404215876244</v>
      </c>
      <c r="AU22" s="130">
        <f t="shared" si="4"/>
        <v>191.9114715930566</v>
      </c>
      <c r="AV22" s="130">
        <f t="shared" si="4"/>
        <v>192.24647802217811</v>
      </c>
      <c r="AW22" s="130">
        <f t="shared" si="4"/>
        <v>192.57900740840753</v>
      </c>
      <c r="AX22" s="130">
        <f t="shared" si="4"/>
        <v>48.227251531335426</v>
      </c>
      <c r="AY22" s="130">
        <f t="shared" si="4"/>
        <v>257</v>
      </c>
      <c r="AZ22" s="157">
        <f t="shared" ref="AZ22:AZ30" si="5">SUM($D22:$AY22)</f>
        <v>10418.6836332732</v>
      </c>
    </row>
    <row r="23" spans="1:52" x14ac:dyDescent="0.2">
      <c r="A23" s="176" t="s">
        <v>307</v>
      </c>
      <c r="B23" s="140">
        <v>2000</v>
      </c>
      <c r="C23" t="s">
        <v>293</v>
      </c>
      <c r="D23">
        <f>D$21*$B$23</f>
        <v>0</v>
      </c>
      <c r="E23">
        <f t="shared" ref="E23:AY23" si="6">E$21*$B$23</f>
        <v>514000</v>
      </c>
      <c r="F23">
        <f t="shared" si="6"/>
        <v>514000</v>
      </c>
      <c r="G23">
        <f t="shared" si="6"/>
        <v>514000</v>
      </c>
      <c r="H23">
        <f t="shared" si="6"/>
        <v>514000</v>
      </c>
      <c r="I23">
        <f t="shared" si="6"/>
        <v>355819.38733281608</v>
      </c>
      <c r="J23">
        <f t="shared" si="6"/>
        <v>0</v>
      </c>
      <c r="K23">
        <f t="shared" si="6"/>
        <v>514000</v>
      </c>
      <c r="L23">
        <f t="shared" si="6"/>
        <v>514000</v>
      </c>
      <c r="M23">
        <f t="shared" si="6"/>
        <v>514000</v>
      </c>
      <c r="N23">
        <f t="shared" si="6"/>
        <v>514000</v>
      </c>
      <c r="O23">
        <f t="shared" si="6"/>
        <v>514000</v>
      </c>
      <c r="P23">
        <f t="shared" si="6"/>
        <v>514000</v>
      </c>
      <c r="Q23">
        <f t="shared" si="6"/>
        <v>514000</v>
      </c>
      <c r="R23">
        <f t="shared" si="6"/>
        <v>514000</v>
      </c>
      <c r="S23">
        <f t="shared" si="6"/>
        <v>0</v>
      </c>
      <c r="T23">
        <f t="shared" si="6"/>
        <v>514000</v>
      </c>
      <c r="U23">
        <f t="shared" si="6"/>
        <v>514000</v>
      </c>
      <c r="V23">
        <f t="shared" si="6"/>
        <v>514000</v>
      </c>
      <c r="W23">
        <f t="shared" si="6"/>
        <v>514000</v>
      </c>
      <c r="X23">
        <f t="shared" si="6"/>
        <v>514000</v>
      </c>
      <c r="Y23">
        <f t="shared" si="6"/>
        <v>514000</v>
      </c>
      <c r="Z23">
        <f t="shared" si="6"/>
        <v>514000</v>
      </c>
      <c r="AA23">
        <f t="shared" si="6"/>
        <v>514000</v>
      </c>
      <c r="AB23">
        <f t="shared" si="6"/>
        <v>514000</v>
      </c>
      <c r="AC23">
        <f t="shared" si="6"/>
        <v>514000</v>
      </c>
      <c r="AD23">
        <f t="shared" si="6"/>
        <v>514000</v>
      </c>
      <c r="AE23">
        <f t="shared" si="6"/>
        <v>514000</v>
      </c>
      <c r="AF23">
        <f t="shared" si="6"/>
        <v>0</v>
      </c>
      <c r="AG23">
        <f t="shared" si="6"/>
        <v>514000</v>
      </c>
      <c r="AH23">
        <f t="shared" si="6"/>
        <v>514000</v>
      </c>
      <c r="AI23">
        <f t="shared" si="6"/>
        <v>514000</v>
      </c>
      <c r="AJ23">
        <f t="shared" si="6"/>
        <v>514000</v>
      </c>
      <c r="AK23">
        <f t="shared" si="6"/>
        <v>94218.62462121011</v>
      </c>
      <c r="AL23">
        <f t="shared" si="6"/>
        <v>514000</v>
      </c>
      <c r="AM23">
        <f t="shared" si="6"/>
        <v>514000</v>
      </c>
      <c r="AN23">
        <f t="shared" si="6"/>
        <v>514000</v>
      </c>
      <c r="AO23">
        <f t="shared" si="6"/>
        <v>514000</v>
      </c>
      <c r="AP23">
        <f t="shared" si="6"/>
        <v>514000</v>
      </c>
      <c r="AQ23">
        <f t="shared" si="6"/>
        <v>514000</v>
      </c>
      <c r="AR23">
        <f t="shared" si="6"/>
        <v>381784.26484763942</v>
      </c>
      <c r="AS23">
        <f t="shared" si="6"/>
        <v>382468.48831725301</v>
      </c>
      <c r="AT23">
        <f t="shared" si="6"/>
        <v>383148.08431752486</v>
      </c>
      <c r="AU23">
        <f t="shared" si="6"/>
        <v>383822.9431861132</v>
      </c>
      <c r="AV23">
        <f t="shared" si="6"/>
        <v>384492.95604435622</v>
      </c>
      <c r="AW23">
        <f t="shared" si="6"/>
        <v>385158.01481681509</v>
      </c>
      <c r="AX23">
        <f t="shared" si="6"/>
        <v>96454.503062670847</v>
      </c>
      <c r="AY23">
        <f t="shared" si="6"/>
        <v>514000</v>
      </c>
      <c r="AZ23" s="155">
        <f t="shared" si="5"/>
        <v>20837367.266546395</v>
      </c>
    </row>
    <row r="24" spans="1:52" s="127" customFormat="1" x14ac:dyDescent="0.2">
      <c r="A24" s="177" t="s">
        <v>308</v>
      </c>
      <c r="B24" s="178">
        <v>1000</v>
      </c>
      <c r="C24" s="172" t="s">
        <v>293</v>
      </c>
      <c r="D24" s="123">
        <f>D$22*$B$24</f>
        <v>0</v>
      </c>
      <c r="E24" s="123">
        <f t="shared" ref="E24:AY24" si="7">E$22*$B$24</f>
        <v>257000</v>
      </c>
      <c r="F24" s="123">
        <f t="shared" si="7"/>
        <v>257000</v>
      </c>
      <c r="G24" s="123">
        <f t="shared" si="7"/>
        <v>257000</v>
      </c>
      <c r="H24" s="123">
        <f t="shared" si="7"/>
        <v>257000</v>
      </c>
      <c r="I24" s="123">
        <f t="shared" si="7"/>
        <v>177909.69366640804</v>
      </c>
      <c r="J24" s="123">
        <f t="shared" si="7"/>
        <v>0</v>
      </c>
      <c r="K24" s="123">
        <f t="shared" si="7"/>
        <v>257000</v>
      </c>
      <c r="L24" s="123">
        <f t="shared" si="7"/>
        <v>257000</v>
      </c>
      <c r="M24" s="123">
        <f t="shared" si="7"/>
        <v>257000</v>
      </c>
      <c r="N24" s="123">
        <f t="shared" si="7"/>
        <v>257000</v>
      </c>
      <c r="O24" s="123">
        <f t="shared" si="7"/>
        <v>257000</v>
      </c>
      <c r="P24" s="123">
        <f t="shared" si="7"/>
        <v>257000</v>
      </c>
      <c r="Q24" s="123">
        <f t="shared" si="7"/>
        <v>257000</v>
      </c>
      <c r="R24" s="123">
        <f t="shared" si="7"/>
        <v>257000</v>
      </c>
      <c r="S24" s="123">
        <f t="shared" si="7"/>
        <v>0</v>
      </c>
      <c r="T24" s="123">
        <f t="shared" si="7"/>
        <v>257000</v>
      </c>
      <c r="U24" s="123">
        <f t="shared" si="7"/>
        <v>257000</v>
      </c>
      <c r="V24" s="123">
        <f t="shared" si="7"/>
        <v>257000</v>
      </c>
      <c r="W24" s="123">
        <f t="shared" si="7"/>
        <v>257000</v>
      </c>
      <c r="X24" s="123">
        <f t="shared" si="7"/>
        <v>257000</v>
      </c>
      <c r="Y24" s="123">
        <f t="shared" si="7"/>
        <v>257000</v>
      </c>
      <c r="Z24" s="123">
        <f t="shared" si="7"/>
        <v>257000</v>
      </c>
      <c r="AA24" s="123">
        <f t="shared" si="7"/>
        <v>257000</v>
      </c>
      <c r="AB24" s="123">
        <f t="shared" si="7"/>
        <v>257000</v>
      </c>
      <c r="AC24" s="123">
        <f t="shared" si="7"/>
        <v>257000</v>
      </c>
      <c r="AD24" s="123">
        <f t="shared" si="7"/>
        <v>257000</v>
      </c>
      <c r="AE24" s="123">
        <f t="shared" si="7"/>
        <v>257000</v>
      </c>
      <c r="AF24" s="123">
        <f t="shared" si="7"/>
        <v>0</v>
      </c>
      <c r="AG24" s="123">
        <f t="shared" si="7"/>
        <v>257000</v>
      </c>
      <c r="AH24" s="123">
        <f t="shared" si="7"/>
        <v>257000</v>
      </c>
      <c r="AI24" s="123">
        <f t="shared" si="7"/>
        <v>257000</v>
      </c>
      <c r="AJ24" s="123">
        <f t="shared" si="7"/>
        <v>257000</v>
      </c>
      <c r="AK24" s="123">
        <f t="shared" si="7"/>
        <v>47109.312310605055</v>
      </c>
      <c r="AL24" s="123">
        <f t="shared" si="7"/>
        <v>257000</v>
      </c>
      <c r="AM24" s="123">
        <f t="shared" si="7"/>
        <v>257000</v>
      </c>
      <c r="AN24" s="123">
        <f t="shared" si="7"/>
        <v>257000</v>
      </c>
      <c r="AO24" s="123">
        <f t="shared" si="7"/>
        <v>257000</v>
      </c>
      <c r="AP24" s="123">
        <f t="shared" si="7"/>
        <v>257000</v>
      </c>
      <c r="AQ24" s="123">
        <f t="shared" si="7"/>
        <v>257000</v>
      </c>
      <c r="AR24" s="123">
        <f t="shared" si="7"/>
        <v>190892.13242381971</v>
      </c>
      <c r="AS24" s="123">
        <f t="shared" si="7"/>
        <v>191234.2441586265</v>
      </c>
      <c r="AT24" s="123">
        <f t="shared" si="7"/>
        <v>191574.04215876243</v>
      </c>
      <c r="AU24" s="123">
        <f t="shared" si="7"/>
        <v>191911.4715930566</v>
      </c>
      <c r="AV24" s="123">
        <f t="shared" si="7"/>
        <v>192246.47802217811</v>
      </c>
      <c r="AW24" s="123">
        <f t="shared" si="7"/>
        <v>192579.00740840755</v>
      </c>
      <c r="AX24" s="123">
        <f t="shared" si="7"/>
        <v>48227.251531335423</v>
      </c>
      <c r="AY24" s="123">
        <f t="shared" si="7"/>
        <v>257000</v>
      </c>
      <c r="AZ24" s="157">
        <f t="shared" si="5"/>
        <v>10418683.633273197</v>
      </c>
    </row>
    <row r="25" spans="1:52" x14ac:dyDescent="0.2">
      <c r="C25" s="154"/>
      <c r="D25" s="154"/>
      <c r="E25" s="154"/>
      <c r="F25" s="154"/>
      <c r="G25" s="154"/>
      <c r="H25" s="154"/>
      <c r="I25" s="154"/>
      <c r="J25" s="154"/>
      <c r="K25" s="154"/>
      <c r="L25" s="154"/>
      <c r="M25" s="154"/>
      <c r="N25" s="154"/>
      <c r="O25" s="154"/>
      <c r="P25" s="154"/>
      <c r="Q25" s="154"/>
      <c r="R25" s="154"/>
      <c r="S25" s="154"/>
      <c r="T25" s="154"/>
      <c r="U25" s="154"/>
      <c r="V25" s="154"/>
      <c r="W25" s="154"/>
      <c r="X25" s="154"/>
      <c r="Y25" s="154"/>
      <c r="Z25" s="154"/>
      <c r="AA25" s="154"/>
      <c r="AB25" s="154"/>
      <c r="AC25" s="154"/>
      <c r="AD25" s="154"/>
      <c r="AE25" s="154"/>
      <c r="AF25" s="154"/>
      <c r="AG25" s="154"/>
      <c r="AH25" s="154"/>
      <c r="AI25" s="154"/>
      <c r="AJ25" s="154"/>
      <c r="AK25" s="154"/>
      <c r="AL25" s="154"/>
      <c r="AM25" s="154"/>
      <c r="AN25" s="154"/>
      <c r="AO25" s="154"/>
      <c r="AP25" s="154"/>
      <c r="AQ25" s="154"/>
      <c r="AR25" s="154"/>
      <c r="AS25" s="154"/>
      <c r="AT25" s="154"/>
      <c r="AU25" s="154"/>
      <c r="AV25" s="154"/>
      <c r="AW25" s="154"/>
      <c r="AX25" s="154"/>
      <c r="AY25" s="154"/>
      <c r="AZ25" s="123"/>
    </row>
    <row r="26" spans="1:52" x14ac:dyDescent="0.2">
      <c r="A26" s="179" t="s">
        <v>18</v>
      </c>
      <c r="C26" s="123"/>
      <c r="D26" s="123"/>
      <c r="E26" s="123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</row>
    <row r="27" spans="1:52" x14ac:dyDescent="0.2">
      <c r="B27" s="151" t="s">
        <v>309</v>
      </c>
      <c r="C27" s="140">
        <v>22</v>
      </c>
      <c r="D27" s="140">
        <f>C$27-C$28+C$29</f>
        <v>22</v>
      </c>
      <c r="E27" s="140">
        <f t="shared" ref="E27:AY27" si="8">D27-D28+D29</f>
        <v>22</v>
      </c>
      <c r="F27" s="140">
        <f t="shared" si="8"/>
        <v>4</v>
      </c>
      <c r="G27" s="140">
        <f t="shared" si="8"/>
        <v>18</v>
      </c>
      <c r="H27" s="140">
        <f t="shared" si="8"/>
        <v>4</v>
      </c>
      <c r="I27" s="140">
        <f t="shared" si="8"/>
        <v>18</v>
      </c>
      <c r="J27" s="140">
        <f t="shared" si="8"/>
        <v>9</v>
      </c>
      <c r="K27" s="140">
        <f t="shared" si="8"/>
        <v>22</v>
      </c>
      <c r="L27" s="140">
        <f t="shared" si="8"/>
        <v>4</v>
      </c>
      <c r="M27" s="140">
        <f t="shared" si="8"/>
        <v>18</v>
      </c>
      <c r="N27" s="140">
        <f t="shared" si="8"/>
        <v>4</v>
      </c>
      <c r="O27" s="140">
        <f t="shared" si="8"/>
        <v>18</v>
      </c>
      <c r="P27" s="140">
        <f t="shared" si="8"/>
        <v>4</v>
      </c>
      <c r="Q27" s="140">
        <f t="shared" si="8"/>
        <v>18</v>
      </c>
      <c r="R27" s="140">
        <f t="shared" si="8"/>
        <v>4</v>
      </c>
      <c r="S27" s="140">
        <f t="shared" si="8"/>
        <v>18</v>
      </c>
      <c r="T27" s="140">
        <f t="shared" si="8"/>
        <v>22</v>
      </c>
      <c r="U27" s="140">
        <f t="shared" si="8"/>
        <v>4</v>
      </c>
      <c r="V27" s="140">
        <f t="shared" si="8"/>
        <v>18</v>
      </c>
      <c r="W27" s="140">
        <f t="shared" si="8"/>
        <v>4</v>
      </c>
      <c r="X27" s="140">
        <f t="shared" si="8"/>
        <v>18</v>
      </c>
      <c r="Y27" s="140">
        <f t="shared" si="8"/>
        <v>4</v>
      </c>
      <c r="Z27" s="140">
        <f t="shared" si="8"/>
        <v>18</v>
      </c>
      <c r="AA27" s="140">
        <f t="shared" si="8"/>
        <v>4</v>
      </c>
      <c r="AB27" s="140">
        <f t="shared" si="8"/>
        <v>18</v>
      </c>
      <c r="AC27" s="140">
        <f t="shared" si="8"/>
        <v>4</v>
      </c>
      <c r="AD27" s="140">
        <f t="shared" si="8"/>
        <v>18</v>
      </c>
      <c r="AE27" s="140">
        <f t="shared" si="8"/>
        <v>4</v>
      </c>
      <c r="AF27" s="140">
        <f t="shared" si="8"/>
        <v>18</v>
      </c>
      <c r="AG27" s="140">
        <f t="shared" si="8"/>
        <v>22</v>
      </c>
      <c r="AH27" s="140">
        <f t="shared" si="8"/>
        <v>4</v>
      </c>
      <c r="AI27" s="140">
        <f t="shared" si="8"/>
        <v>18</v>
      </c>
      <c r="AJ27" s="140">
        <f t="shared" si="8"/>
        <v>4</v>
      </c>
      <c r="AK27" s="140">
        <f t="shared" si="8"/>
        <v>18</v>
      </c>
      <c r="AL27" s="140">
        <f t="shared" si="8"/>
        <v>18</v>
      </c>
      <c r="AM27" s="140">
        <f t="shared" si="8"/>
        <v>4</v>
      </c>
      <c r="AN27" s="140">
        <f t="shared" si="8"/>
        <v>18</v>
      </c>
      <c r="AO27" s="140">
        <f t="shared" si="8"/>
        <v>4</v>
      </c>
      <c r="AP27" s="140">
        <f t="shared" si="8"/>
        <v>18</v>
      </c>
      <c r="AQ27" s="140">
        <f t="shared" si="8"/>
        <v>4</v>
      </c>
      <c r="AR27" s="140">
        <f t="shared" si="8"/>
        <v>18</v>
      </c>
      <c r="AS27" s="140">
        <f t="shared" si="8"/>
        <v>9</v>
      </c>
      <c r="AT27" s="140">
        <f t="shared" si="8"/>
        <v>13</v>
      </c>
      <c r="AU27" s="140">
        <f t="shared" si="8"/>
        <v>9</v>
      </c>
      <c r="AV27" s="140">
        <f t="shared" si="8"/>
        <v>13</v>
      </c>
      <c r="AW27" s="140">
        <f t="shared" si="8"/>
        <v>9</v>
      </c>
      <c r="AX27" s="140">
        <f t="shared" si="8"/>
        <v>13</v>
      </c>
      <c r="AY27" s="180">
        <f t="shared" si="8"/>
        <v>18</v>
      </c>
      <c r="AZ27" s="123"/>
    </row>
    <row r="28" spans="1:52" x14ac:dyDescent="0.2">
      <c r="B28" s="181" t="s">
        <v>310</v>
      </c>
      <c r="C28" s="127">
        <v>0</v>
      </c>
      <c r="D28" s="127">
        <v>0</v>
      </c>
      <c r="E28" s="127">
        <v>18</v>
      </c>
      <c r="F28" s="127">
        <v>4</v>
      </c>
      <c r="G28" s="127">
        <v>18</v>
      </c>
      <c r="H28" s="127">
        <v>4</v>
      </c>
      <c r="I28" s="127">
        <v>13</v>
      </c>
      <c r="J28" s="127">
        <v>0</v>
      </c>
      <c r="K28" s="127">
        <v>18</v>
      </c>
      <c r="L28" s="127">
        <v>4</v>
      </c>
      <c r="M28" s="127">
        <v>18</v>
      </c>
      <c r="N28" s="127">
        <v>4</v>
      </c>
      <c r="O28" s="127">
        <v>18</v>
      </c>
      <c r="P28" s="127">
        <v>4</v>
      </c>
      <c r="Q28" s="127">
        <v>18</v>
      </c>
      <c r="R28" s="127">
        <v>4</v>
      </c>
      <c r="S28" s="127">
        <v>0</v>
      </c>
      <c r="T28" s="127">
        <v>18</v>
      </c>
      <c r="U28" s="127">
        <v>4</v>
      </c>
      <c r="V28" s="127">
        <v>18</v>
      </c>
      <c r="W28" s="127">
        <v>4</v>
      </c>
      <c r="X28" s="127">
        <v>18</v>
      </c>
      <c r="Y28" s="127">
        <v>4</v>
      </c>
      <c r="Z28" s="127">
        <v>18</v>
      </c>
      <c r="AA28" s="127">
        <v>4</v>
      </c>
      <c r="AB28" s="127">
        <v>18</v>
      </c>
      <c r="AC28" s="127">
        <v>4</v>
      </c>
      <c r="AD28" s="127">
        <v>18</v>
      </c>
      <c r="AE28" s="127">
        <v>4</v>
      </c>
      <c r="AF28" s="127">
        <v>0</v>
      </c>
      <c r="AG28" s="127">
        <v>18</v>
      </c>
      <c r="AH28" s="127">
        <v>4</v>
      </c>
      <c r="AI28" s="127">
        <v>18</v>
      </c>
      <c r="AJ28" s="127">
        <v>4</v>
      </c>
      <c r="AK28" s="127">
        <v>4</v>
      </c>
      <c r="AL28" s="127">
        <v>18</v>
      </c>
      <c r="AM28" s="127">
        <v>4</v>
      </c>
      <c r="AN28" s="127">
        <v>18</v>
      </c>
      <c r="AO28" s="127">
        <v>4</v>
      </c>
      <c r="AP28" s="127">
        <v>18</v>
      </c>
      <c r="AQ28" s="127">
        <v>4</v>
      </c>
      <c r="AR28" s="127">
        <v>13</v>
      </c>
      <c r="AS28" s="127">
        <v>9</v>
      </c>
      <c r="AT28" s="127">
        <v>13</v>
      </c>
      <c r="AU28" s="127">
        <v>9</v>
      </c>
      <c r="AV28" s="127">
        <v>13</v>
      </c>
      <c r="AW28" s="127">
        <v>9</v>
      </c>
      <c r="AX28" s="127">
        <v>4</v>
      </c>
      <c r="AY28" s="182">
        <v>18</v>
      </c>
      <c r="AZ28" s="123"/>
    </row>
    <row r="29" spans="1:52" x14ac:dyDescent="0.2">
      <c r="B29" s="152" t="s">
        <v>311</v>
      </c>
      <c r="C29" s="141">
        <v>0</v>
      </c>
      <c r="D29" s="141">
        <f>C$28</f>
        <v>0</v>
      </c>
      <c r="E29" s="141">
        <f t="shared" ref="E29:AY29" si="9">D$28</f>
        <v>0</v>
      </c>
      <c r="F29" s="141">
        <f t="shared" si="9"/>
        <v>18</v>
      </c>
      <c r="G29" s="141">
        <f t="shared" si="9"/>
        <v>4</v>
      </c>
      <c r="H29" s="141">
        <f t="shared" si="9"/>
        <v>18</v>
      </c>
      <c r="I29" s="141">
        <f t="shared" si="9"/>
        <v>4</v>
      </c>
      <c r="J29" s="141">
        <f t="shared" si="9"/>
        <v>13</v>
      </c>
      <c r="K29" s="141">
        <f t="shared" si="9"/>
        <v>0</v>
      </c>
      <c r="L29" s="141">
        <f t="shared" si="9"/>
        <v>18</v>
      </c>
      <c r="M29" s="141">
        <f t="shared" si="9"/>
        <v>4</v>
      </c>
      <c r="N29" s="141">
        <f t="shared" si="9"/>
        <v>18</v>
      </c>
      <c r="O29" s="141">
        <f t="shared" si="9"/>
        <v>4</v>
      </c>
      <c r="P29" s="141">
        <f t="shared" si="9"/>
        <v>18</v>
      </c>
      <c r="Q29" s="141">
        <f t="shared" si="9"/>
        <v>4</v>
      </c>
      <c r="R29" s="141">
        <f t="shared" si="9"/>
        <v>18</v>
      </c>
      <c r="S29" s="141">
        <f t="shared" si="9"/>
        <v>4</v>
      </c>
      <c r="T29" s="141">
        <f t="shared" si="9"/>
        <v>0</v>
      </c>
      <c r="U29" s="141">
        <f t="shared" si="9"/>
        <v>18</v>
      </c>
      <c r="V29" s="141">
        <f t="shared" si="9"/>
        <v>4</v>
      </c>
      <c r="W29" s="141">
        <f t="shared" si="9"/>
        <v>18</v>
      </c>
      <c r="X29" s="141">
        <f t="shared" si="9"/>
        <v>4</v>
      </c>
      <c r="Y29" s="141">
        <f t="shared" si="9"/>
        <v>18</v>
      </c>
      <c r="Z29" s="141">
        <f t="shared" si="9"/>
        <v>4</v>
      </c>
      <c r="AA29" s="141">
        <f t="shared" si="9"/>
        <v>18</v>
      </c>
      <c r="AB29" s="141">
        <f t="shared" si="9"/>
        <v>4</v>
      </c>
      <c r="AC29" s="141">
        <f t="shared" si="9"/>
        <v>18</v>
      </c>
      <c r="AD29" s="141">
        <f t="shared" si="9"/>
        <v>4</v>
      </c>
      <c r="AE29" s="141">
        <f t="shared" si="9"/>
        <v>18</v>
      </c>
      <c r="AF29" s="141">
        <f t="shared" si="9"/>
        <v>4</v>
      </c>
      <c r="AG29" s="141">
        <f t="shared" si="9"/>
        <v>0</v>
      </c>
      <c r="AH29" s="141">
        <f t="shared" si="9"/>
        <v>18</v>
      </c>
      <c r="AI29" s="141">
        <f t="shared" si="9"/>
        <v>4</v>
      </c>
      <c r="AJ29" s="141">
        <f t="shared" si="9"/>
        <v>18</v>
      </c>
      <c r="AK29" s="141">
        <f t="shared" si="9"/>
        <v>4</v>
      </c>
      <c r="AL29" s="141">
        <f t="shared" si="9"/>
        <v>4</v>
      </c>
      <c r="AM29" s="141">
        <f t="shared" si="9"/>
        <v>18</v>
      </c>
      <c r="AN29" s="141">
        <f t="shared" si="9"/>
        <v>4</v>
      </c>
      <c r="AO29" s="141">
        <f t="shared" si="9"/>
        <v>18</v>
      </c>
      <c r="AP29" s="141">
        <f t="shared" si="9"/>
        <v>4</v>
      </c>
      <c r="AQ29" s="141">
        <f t="shared" si="9"/>
        <v>18</v>
      </c>
      <c r="AR29" s="141">
        <f t="shared" si="9"/>
        <v>4</v>
      </c>
      <c r="AS29" s="141">
        <f t="shared" si="9"/>
        <v>13</v>
      </c>
      <c r="AT29" s="141">
        <f t="shared" si="9"/>
        <v>9</v>
      </c>
      <c r="AU29" s="141">
        <f t="shared" si="9"/>
        <v>13</v>
      </c>
      <c r="AV29" s="141">
        <f t="shared" si="9"/>
        <v>9</v>
      </c>
      <c r="AW29" s="141">
        <f t="shared" si="9"/>
        <v>13</v>
      </c>
      <c r="AX29" s="141">
        <f t="shared" si="9"/>
        <v>9</v>
      </c>
      <c r="AY29" s="183">
        <f t="shared" si="9"/>
        <v>4</v>
      </c>
      <c r="AZ29" s="184"/>
    </row>
    <row r="30" spans="1:52" x14ac:dyDescent="0.2">
      <c r="A30" s="185" t="s">
        <v>312</v>
      </c>
      <c r="B30" s="160">
        <v>10</v>
      </c>
      <c r="C30" s="133" t="s">
        <v>293</v>
      </c>
      <c r="D30" s="133">
        <f>D$27*$B$30</f>
        <v>220</v>
      </c>
      <c r="E30" s="133">
        <f t="shared" ref="E30:AY30" si="10">E$27*$B$30</f>
        <v>220</v>
      </c>
      <c r="F30" s="133">
        <f t="shared" si="10"/>
        <v>40</v>
      </c>
      <c r="G30" s="133">
        <f t="shared" si="10"/>
        <v>180</v>
      </c>
      <c r="H30" s="133">
        <f t="shared" si="10"/>
        <v>40</v>
      </c>
      <c r="I30" s="133">
        <f t="shared" si="10"/>
        <v>180</v>
      </c>
      <c r="J30" s="133">
        <f t="shared" si="10"/>
        <v>90</v>
      </c>
      <c r="K30" s="133">
        <f t="shared" si="10"/>
        <v>220</v>
      </c>
      <c r="L30" s="133">
        <f t="shared" si="10"/>
        <v>40</v>
      </c>
      <c r="M30" s="133">
        <f t="shared" si="10"/>
        <v>180</v>
      </c>
      <c r="N30" s="133">
        <f t="shared" si="10"/>
        <v>40</v>
      </c>
      <c r="O30" s="133">
        <f t="shared" si="10"/>
        <v>180</v>
      </c>
      <c r="P30" s="133">
        <f t="shared" si="10"/>
        <v>40</v>
      </c>
      <c r="Q30" s="133">
        <f t="shared" si="10"/>
        <v>180</v>
      </c>
      <c r="R30" s="133">
        <f>R$27*$B$30</f>
        <v>40</v>
      </c>
      <c r="S30" s="133">
        <f t="shared" si="10"/>
        <v>180</v>
      </c>
      <c r="T30" s="133">
        <f t="shared" si="10"/>
        <v>220</v>
      </c>
      <c r="U30" s="133">
        <f t="shared" si="10"/>
        <v>40</v>
      </c>
      <c r="V30" s="133">
        <f t="shared" si="10"/>
        <v>180</v>
      </c>
      <c r="W30" s="133">
        <f t="shared" si="10"/>
        <v>40</v>
      </c>
      <c r="X30" s="133">
        <f t="shared" si="10"/>
        <v>180</v>
      </c>
      <c r="Y30" s="133">
        <f t="shared" si="10"/>
        <v>40</v>
      </c>
      <c r="Z30" s="133">
        <f t="shared" si="10"/>
        <v>180</v>
      </c>
      <c r="AA30" s="133">
        <f t="shared" si="10"/>
        <v>40</v>
      </c>
      <c r="AB30" s="133">
        <f t="shared" si="10"/>
        <v>180</v>
      </c>
      <c r="AC30" s="133">
        <f t="shared" si="10"/>
        <v>40</v>
      </c>
      <c r="AD30" s="133">
        <f t="shared" si="10"/>
        <v>180</v>
      </c>
      <c r="AE30" s="133">
        <f>AE$27*$B$30</f>
        <v>40</v>
      </c>
      <c r="AF30" s="133">
        <f t="shared" si="10"/>
        <v>180</v>
      </c>
      <c r="AG30" s="133">
        <f t="shared" si="10"/>
        <v>220</v>
      </c>
      <c r="AH30" s="133">
        <f t="shared" si="10"/>
        <v>40</v>
      </c>
      <c r="AI30" s="133">
        <f t="shared" si="10"/>
        <v>180</v>
      </c>
      <c r="AJ30" s="133">
        <f t="shared" si="10"/>
        <v>40</v>
      </c>
      <c r="AK30" s="133">
        <f t="shared" si="10"/>
        <v>180</v>
      </c>
      <c r="AL30" s="133">
        <f t="shared" si="10"/>
        <v>180</v>
      </c>
      <c r="AM30" s="133">
        <f t="shared" si="10"/>
        <v>40</v>
      </c>
      <c r="AN30" s="133">
        <f t="shared" si="10"/>
        <v>180</v>
      </c>
      <c r="AO30" s="133">
        <f t="shared" si="10"/>
        <v>40</v>
      </c>
      <c r="AP30" s="133">
        <f t="shared" si="10"/>
        <v>180</v>
      </c>
      <c r="AQ30" s="133">
        <f t="shared" si="10"/>
        <v>40</v>
      </c>
      <c r="AR30" s="133">
        <f t="shared" si="10"/>
        <v>180</v>
      </c>
      <c r="AS30" s="133">
        <f t="shared" si="10"/>
        <v>90</v>
      </c>
      <c r="AT30" s="133">
        <f t="shared" si="10"/>
        <v>130</v>
      </c>
      <c r="AU30" s="133">
        <f t="shared" si="10"/>
        <v>90</v>
      </c>
      <c r="AV30" s="133">
        <f t="shared" si="10"/>
        <v>130</v>
      </c>
      <c r="AW30" s="133">
        <f t="shared" si="10"/>
        <v>90</v>
      </c>
      <c r="AX30" s="133">
        <f t="shared" si="10"/>
        <v>130</v>
      </c>
      <c r="AY30" s="133">
        <f t="shared" si="10"/>
        <v>180</v>
      </c>
      <c r="AZ30" s="157">
        <f t="shared" si="5"/>
        <v>5950</v>
      </c>
    </row>
    <row r="32" spans="1:52" x14ac:dyDescent="0.2">
      <c r="A32" s="1" t="s">
        <v>300</v>
      </c>
    </row>
    <row r="33" spans="1:52" x14ac:dyDescent="0.2">
      <c r="A33" s="151" t="s">
        <v>22</v>
      </c>
      <c r="B33" s="151" t="s">
        <v>341</v>
      </c>
      <c r="C33" s="140"/>
      <c r="D33" s="140">
        <f>D$21*shipping_manufacturing!$F$27/100</f>
        <v>0</v>
      </c>
      <c r="E33" s="140">
        <f>E$21*shipping_manufacturing!$F$27/100</f>
        <v>78.95146475989705</v>
      </c>
      <c r="F33" s="140">
        <f>F$21*shipping_manufacturing!$F$27/100</f>
        <v>78.95146475989705</v>
      </c>
      <c r="G33" s="140">
        <f>G$21*shipping_manufacturing!$F$27/100</f>
        <v>78.95146475989705</v>
      </c>
      <c r="H33" s="140">
        <f>H$21*shipping_manufacturing!$F$27/100</f>
        <v>78.95146475989705</v>
      </c>
      <c r="I33" s="140">
        <f>I$21*shipping_manufacturing!$F$27/100</f>
        <v>54.654594980340434</v>
      </c>
      <c r="J33" s="140">
        <f>J$21*shipping_manufacturing!$F$27/100</f>
        <v>0</v>
      </c>
      <c r="K33" s="140">
        <f>K$21*shipping_manufacturing!$F$27/100</f>
        <v>78.95146475989705</v>
      </c>
      <c r="L33" s="140">
        <f>L$21*shipping_manufacturing!$F$27/100</f>
        <v>78.95146475989705</v>
      </c>
      <c r="M33" s="140">
        <f>M$21*shipping_manufacturing!$F$27/100</f>
        <v>78.95146475989705</v>
      </c>
      <c r="N33" s="140">
        <f>N$21*shipping_manufacturing!$F$27/100</f>
        <v>78.95146475989705</v>
      </c>
      <c r="O33" s="140">
        <f>O$21*shipping_manufacturing!$F$27/100</f>
        <v>78.95146475989705</v>
      </c>
      <c r="P33" s="140">
        <f>P$21*shipping_manufacturing!$F$27/100</f>
        <v>78.95146475989705</v>
      </c>
      <c r="Q33" s="140">
        <f>Q$21*shipping_manufacturing!$F$27/100</f>
        <v>78.95146475989705</v>
      </c>
      <c r="R33" s="140">
        <f>R$21*shipping_manufacturing!$F$27/100</f>
        <v>78.95146475989705</v>
      </c>
      <c r="S33" s="140">
        <f>S$21*shipping_manufacturing!$F$27/100</f>
        <v>0</v>
      </c>
      <c r="T33" s="140">
        <f>T$21*shipping_manufacturing!$F$27/100</f>
        <v>78.95146475989705</v>
      </c>
      <c r="U33" s="140">
        <f>U$21*shipping_manufacturing!$F$27/100</f>
        <v>78.95146475989705</v>
      </c>
      <c r="V33" s="140">
        <f>V$21*shipping_manufacturing!$F$27/100</f>
        <v>78.95146475989705</v>
      </c>
      <c r="W33" s="140">
        <f>W$21*shipping_manufacturing!$F$27/100</f>
        <v>78.95146475989705</v>
      </c>
      <c r="X33" s="140">
        <f>X$21*shipping_manufacturing!$F$27/100</f>
        <v>78.95146475989705</v>
      </c>
      <c r="Y33" s="140">
        <f>Y$21*shipping_manufacturing!$F$27/100</f>
        <v>78.95146475989705</v>
      </c>
      <c r="Z33" s="140">
        <f>Z$21*shipping_manufacturing!$F$27/100</f>
        <v>78.95146475989705</v>
      </c>
      <c r="AA33" s="140">
        <f>AA$21*shipping_manufacturing!$F$27/100</f>
        <v>78.95146475989705</v>
      </c>
      <c r="AB33" s="140">
        <f>AB$21*shipping_manufacturing!$F$27/100</f>
        <v>78.95146475989705</v>
      </c>
      <c r="AC33" s="140">
        <f>AC$21*shipping_manufacturing!$F$27/100</f>
        <v>78.95146475989705</v>
      </c>
      <c r="AD33" s="140">
        <f>AD$21*shipping_manufacturing!$F$27/100</f>
        <v>78.95146475989705</v>
      </c>
      <c r="AE33" s="140">
        <f>AE$21*shipping_manufacturing!$F$27/100</f>
        <v>78.95146475989705</v>
      </c>
      <c r="AF33" s="140">
        <f>AF$21*shipping_manufacturing!$F$27/100</f>
        <v>0</v>
      </c>
      <c r="AG33" s="140">
        <f>AG$21*shipping_manufacturing!$F$27/100</f>
        <v>78.95146475989705</v>
      </c>
      <c r="AH33" s="140">
        <f>AH$21*shipping_manufacturing!$F$27/100</f>
        <v>78.95146475989705</v>
      </c>
      <c r="AI33" s="140">
        <f>AI$21*shipping_manufacturing!$F$27/100</f>
        <v>78.95146475989705</v>
      </c>
      <c r="AJ33" s="140">
        <f>AJ$21*shipping_manufacturing!$F$27/100</f>
        <v>78.95146475989705</v>
      </c>
      <c r="AK33" s="140">
        <f>AK$21*shipping_manufacturing!$F$27/100</f>
        <v>14.472175917329645</v>
      </c>
      <c r="AL33" s="140">
        <f>AL$21*shipping_manufacturing!$F$27/100</f>
        <v>78.95146475989705</v>
      </c>
      <c r="AM33" s="140">
        <f>AM$21*shipping_manufacturing!$F$27/100</f>
        <v>78.95146475989705</v>
      </c>
      <c r="AN33" s="140">
        <f>AN$21*shipping_manufacturing!$F$27/100</f>
        <v>78.95146475989705</v>
      </c>
      <c r="AO33" s="140">
        <f>AO$21*shipping_manufacturing!$F$27/100</f>
        <v>78.95146475989705</v>
      </c>
      <c r="AP33" s="140">
        <f>AP$21*shipping_manufacturing!$F$27/100</f>
        <v>78.95146475989705</v>
      </c>
      <c r="AQ33" s="140">
        <f>AQ$21*shipping_manufacturing!$F$27/100</f>
        <v>78.95146475989705</v>
      </c>
      <c r="AR33" s="140">
        <f>AR$21*shipping_manufacturing!$F$27/100</f>
        <v>58.642853953310514</v>
      </c>
      <c r="AS33" s="140">
        <f>AS$21*shipping_manufacturing!$F$27/100</f>
        <v>58.747952095623923</v>
      </c>
      <c r="AT33" s="140">
        <f>AT$21*shipping_manufacturing!$F$27/100</f>
        <v>58.852339449060565</v>
      </c>
      <c r="AU33" s="140">
        <f>AU$21*shipping_manufacturing!$F$27/100</f>
        <v>58.955999169257559</v>
      </c>
      <c r="AV33" s="140">
        <f>AV$21*shipping_manufacturing!$F$27/100</f>
        <v>59.058914532226915</v>
      </c>
      <c r="AW33" s="140">
        <f>AW$21*shipping_manufacturing!$F$27/100</f>
        <v>59.161068937357356</v>
      </c>
      <c r="AX33" s="140">
        <f>AX$21*shipping_manufacturing!$F$27/100</f>
        <v>14.815611477598909</v>
      </c>
      <c r="AY33" s="140">
        <f>AY$21*shipping_manufacturing!$F$27/100</f>
        <v>78.95146475989705</v>
      </c>
    </row>
    <row r="34" spans="1:52" x14ac:dyDescent="0.2">
      <c r="A34" s="129" t="s">
        <v>340</v>
      </c>
      <c r="B34" s="181" t="s">
        <v>342</v>
      </c>
      <c r="C34" s="127"/>
      <c r="D34" s="127">
        <f>D$22*shipping_manufacturing!$G$27/100</f>
        <v>0</v>
      </c>
      <c r="E34" s="127">
        <f>E$22*shipping_manufacturing!$G$27/100</f>
        <v>0</v>
      </c>
      <c r="F34" s="127">
        <f>F$22*shipping_manufacturing!$G$27/100</f>
        <v>0</v>
      </c>
      <c r="G34" s="127">
        <f>G$22*shipping_manufacturing!$G$27/100</f>
        <v>0</v>
      </c>
      <c r="H34" s="127">
        <f>H$22*shipping_manufacturing!$G$27/100</f>
        <v>0</v>
      </c>
      <c r="I34" s="127">
        <f>I$22*shipping_manufacturing!$G$27/100</f>
        <v>0</v>
      </c>
      <c r="J34" s="127">
        <f>J$22*shipping_manufacturing!$G$27/100</f>
        <v>0</v>
      </c>
      <c r="K34" s="127">
        <f>K$22*shipping_manufacturing!$G$27/100</f>
        <v>0</v>
      </c>
      <c r="L34" s="127">
        <f>L$22*shipping_manufacturing!$G$27/100</f>
        <v>0</v>
      </c>
      <c r="M34" s="127">
        <f>M$22*shipping_manufacturing!$G$27/100</f>
        <v>0</v>
      </c>
      <c r="N34" s="127">
        <f>N$22*shipping_manufacturing!$G$27/100</f>
        <v>0</v>
      </c>
      <c r="O34" s="127">
        <f>O$22*shipping_manufacturing!$G$27/100</f>
        <v>0</v>
      </c>
      <c r="P34" s="127">
        <f>P$22*shipping_manufacturing!$G$27/100</f>
        <v>0</v>
      </c>
      <c r="Q34" s="127">
        <f>Q$22*shipping_manufacturing!$G$27/100</f>
        <v>0</v>
      </c>
      <c r="R34" s="127">
        <f>R$22*shipping_manufacturing!$G$27/100</f>
        <v>0</v>
      </c>
      <c r="S34" s="127">
        <f>S$22*shipping_manufacturing!$G$27/100</f>
        <v>0</v>
      </c>
      <c r="T34" s="127">
        <f>T$22*shipping_manufacturing!$G$27/100</f>
        <v>0</v>
      </c>
      <c r="U34" s="127">
        <f>U$22*shipping_manufacturing!$G$27/100</f>
        <v>0</v>
      </c>
      <c r="V34" s="127">
        <f>V$22*shipping_manufacturing!$G$27/100</f>
        <v>0</v>
      </c>
      <c r="W34" s="127">
        <f>W$22*shipping_manufacturing!$G$27/100</f>
        <v>0</v>
      </c>
      <c r="X34" s="127">
        <f>X$22*shipping_manufacturing!$G$27/100</f>
        <v>0</v>
      </c>
      <c r="Y34" s="127">
        <f>Y$22*shipping_manufacturing!$G$27/100</f>
        <v>0</v>
      </c>
      <c r="Z34" s="127">
        <f>Z$22*shipping_manufacturing!$G$27/100</f>
        <v>0</v>
      </c>
      <c r="AA34" s="127">
        <f>AA$22*shipping_manufacturing!$G$27/100</f>
        <v>0</v>
      </c>
      <c r="AB34" s="127">
        <f>AB$22*shipping_manufacturing!$G$27/100</f>
        <v>0</v>
      </c>
      <c r="AC34" s="127">
        <f>AC$22*shipping_manufacturing!$G$27/100</f>
        <v>0</v>
      </c>
      <c r="AD34" s="127">
        <f>AD$22*shipping_manufacturing!$G$27/100</f>
        <v>0</v>
      </c>
      <c r="AE34" s="127">
        <f>AE$22*shipping_manufacturing!$G$27/100</f>
        <v>0</v>
      </c>
      <c r="AF34" s="127">
        <f>AF$22*shipping_manufacturing!$G$27/100</f>
        <v>0</v>
      </c>
      <c r="AG34" s="127">
        <f>AG$22*shipping_manufacturing!$G$27/100</f>
        <v>0</v>
      </c>
      <c r="AH34" s="127">
        <f>AH$22*shipping_manufacturing!$G$27/100</f>
        <v>0</v>
      </c>
      <c r="AI34" s="127">
        <f>AI$22*shipping_manufacturing!$G$27/100</f>
        <v>0</v>
      </c>
      <c r="AJ34" s="127">
        <f>AJ$22*shipping_manufacturing!$G$27/100</f>
        <v>0</v>
      </c>
      <c r="AK34" s="127">
        <f>AK$22*shipping_manufacturing!$G$27/100</f>
        <v>0</v>
      </c>
      <c r="AL34" s="127">
        <f>AL$22*shipping_manufacturing!$G$27/100</f>
        <v>0</v>
      </c>
      <c r="AM34" s="127">
        <f>AM$22*shipping_manufacturing!$G$27/100</f>
        <v>0</v>
      </c>
      <c r="AN34" s="127">
        <f>AN$22*shipping_manufacturing!$G$27/100</f>
        <v>0</v>
      </c>
      <c r="AO34" s="127">
        <f>AO$22*shipping_manufacturing!$G$27/100</f>
        <v>0</v>
      </c>
      <c r="AP34" s="127">
        <f>AP$22*shipping_manufacturing!$G$27/100</f>
        <v>0</v>
      </c>
      <c r="AQ34" s="127">
        <f>AQ$22*shipping_manufacturing!$G$27/100</f>
        <v>0</v>
      </c>
      <c r="AR34" s="127">
        <f>AR$22*shipping_manufacturing!$G$27/100</f>
        <v>0</v>
      </c>
      <c r="AS34" s="127">
        <f>AS$22*shipping_manufacturing!$G$27/100</f>
        <v>0</v>
      </c>
      <c r="AT34" s="127">
        <f>AT$22*shipping_manufacturing!$G$27/100</f>
        <v>0</v>
      </c>
      <c r="AU34" s="127">
        <f>AU$22*shipping_manufacturing!$G$27/100</f>
        <v>0</v>
      </c>
      <c r="AV34" s="127">
        <f>AV$22*shipping_manufacturing!$G$27/100</f>
        <v>0</v>
      </c>
      <c r="AW34" s="127">
        <f>AW$22*shipping_manufacturing!$G$27/100</f>
        <v>0</v>
      </c>
      <c r="AX34" s="127">
        <f>AX$22*shipping_manufacturing!$G$27/100</f>
        <v>0</v>
      </c>
      <c r="AY34" s="127">
        <f>AY$22*shipping_manufacturing!$G$27/100</f>
        <v>0</v>
      </c>
    </row>
    <row r="35" spans="1:52" x14ac:dyDescent="0.2">
      <c r="A35" s="127">
        <v>1225</v>
      </c>
      <c r="B35" s="181" t="s">
        <v>343</v>
      </c>
      <c r="C35" s="127"/>
      <c r="D35" s="127">
        <f>SUM(D33:D34)</f>
        <v>0</v>
      </c>
      <c r="E35" s="127">
        <f t="shared" ref="E35:AY35" si="11">SUM(E33:E34)</f>
        <v>78.95146475989705</v>
      </c>
      <c r="F35" s="127">
        <f t="shared" si="11"/>
        <v>78.95146475989705</v>
      </c>
      <c r="G35" s="127">
        <f t="shared" si="11"/>
        <v>78.95146475989705</v>
      </c>
      <c r="H35" s="127">
        <f t="shared" si="11"/>
        <v>78.95146475989705</v>
      </c>
      <c r="I35" s="127">
        <f t="shared" si="11"/>
        <v>54.654594980340434</v>
      </c>
      <c r="J35" s="127">
        <f t="shared" si="11"/>
        <v>0</v>
      </c>
      <c r="K35" s="127">
        <f t="shared" si="11"/>
        <v>78.95146475989705</v>
      </c>
      <c r="L35" s="127">
        <f t="shared" si="11"/>
        <v>78.95146475989705</v>
      </c>
      <c r="M35" s="127">
        <f t="shared" si="11"/>
        <v>78.95146475989705</v>
      </c>
      <c r="N35" s="127">
        <f t="shared" si="11"/>
        <v>78.95146475989705</v>
      </c>
      <c r="O35" s="127">
        <f t="shared" si="11"/>
        <v>78.95146475989705</v>
      </c>
      <c r="P35" s="127">
        <f t="shared" si="11"/>
        <v>78.95146475989705</v>
      </c>
      <c r="Q35" s="127">
        <f t="shared" si="11"/>
        <v>78.95146475989705</v>
      </c>
      <c r="R35" s="127">
        <f t="shared" si="11"/>
        <v>78.95146475989705</v>
      </c>
      <c r="S35" s="127">
        <f t="shared" si="11"/>
        <v>0</v>
      </c>
      <c r="T35" s="127">
        <f t="shared" si="11"/>
        <v>78.95146475989705</v>
      </c>
      <c r="U35" s="127">
        <f t="shared" si="11"/>
        <v>78.95146475989705</v>
      </c>
      <c r="V35" s="127">
        <f t="shared" si="11"/>
        <v>78.95146475989705</v>
      </c>
      <c r="W35" s="127">
        <f t="shared" si="11"/>
        <v>78.95146475989705</v>
      </c>
      <c r="X35" s="127">
        <f t="shared" si="11"/>
        <v>78.95146475989705</v>
      </c>
      <c r="Y35" s="127">
        <f t="shared" si="11"/>
        <v>78.95146475989705</v>
      </c>
      <c r="Z35" s="127">
        <f t="shared" si="11"/>
        <v>78.95146475989705</v>
      </c>
      <c r="AA35" s="127">
        <f t="shared" si="11"/>
        <v>78.95146475989705</v>
      </c>
      <c r="AB35" s="127">
        <f t="shared" si="11"/>
        <v>78.95146475989705</v>
      </c>
      <c r="AC35" s="127">
        <f t="shared" si="11"/>
        <v>78.95146475989705</v>
      </c>
      <c r="AD35" s="127">
        <f t="shared" si="11"/>
        <v>78.95146475989705</v>
      </c>
      <c r="AE35" s="127">
        <f t="shared" si="11"/>
        <v>78.95146475989705</v>
      </c>
      <c r="AF35" s="127">
        <f t="shared" si="11"/>
        <v>0</v>
      </c>
      <c r="AG35" s="127">
        <f t="shared" si="11"/>
        <v>78.95146475989705</v>
      </c>
      <c r="AH35" s="127">
        <f t="shared" si="11"/>
        <v>78.95146475989705</v>
      </c>
      <c r="AI35" s="127">
        <f t="shared" si="11"/>
        <v>78.95146475989705</v>
      </c>
      <c r="AJ35" s="127">
        <f t="shared" si="11"/>
        <v>78.95146475989705</v>
      </c>
      <c r="AK35" s="127">
        <f t="shared" si="11"/>
        <v>14.472175917329645</v>
      </c>
      <c r="AL35" s="127">
        <f t="shared" si="11"/>
        <v>78.95146475989705</v>
      </c>
      <c r="AM35" s="127">
        <f t="shared" si="11"/>
        <v>78.95146475989705</v>
      </c>
      <c r="AN35" s="127">
        <f t="shared" si="11"/>
        <v>78.95146475989705</v>
      </c>
      <c r="AO35" s="127">
        <f t="shared" si="11"/>
        <v>78.95146475989705</v>
      </c>
      <c r="AP35" s="127">
        <f t="shared" si="11"/>
        <v>78.95146475989705</v>
      </c>
      <c r="AQ35" s="127">
        <f t="shared" si="11"/>
        <v>78.95146475989705</v>
      </c>
      <c r="AR35" s="127">
        <f t="shared" si="11"/>
        <v>58.642853953310514</v>
      </c>
      <c r="AS35" s="127">
        <f t="shared" si="11"/>
        <v>58.747952095623923</v>
      </c>
      <c r="AT35" s="127">
        <f t="shared" si="11"/>
        <v>58.852339449060565</v>
      </c>
      <c r="AU35" s="127">
        <f t="shared" si="11"/>
        <v>58.955999169257559</v>
      </c>
      <c r="AV35" s="127">
        <f t="shared" si="11"/>
        <v>59.058914532226915</v>
      </c>
      <c r="AW35" s="127">
        <f t="shared" si="11"/>
        <v>59.161068937357356</v>
      </c>
      <c r="AX35" s="127">
        <f t="shared" si="11"/>
        <v>14.815611477598909</v>
      </c>
      <c r="AY35" s="127">
        <f t="shared" si="11"/>
        <v>78.95146475989705</v>
      </c>
    </row>
    <row r="36" spans="1:52" x14ac:dyDescent="0.2">
      <c r="A36" s="127"/>
      <c r="B36" s="181" t="s">
        <v>344</v>
      </c>
      <c r="C36" s="127"/>
      <c r="D36" s="127"/>
      <c r="E36" s="127">
        <v>78.95146475989705</v>
      </c>
      <c r="F36" s="127"/>
      <c r="G36" s="127">
        <v>78.95146475989705</v>
      </c>
      <c r="H36" s="127"/>
      <c r="I36" s="127">
        <v>54.654594980340434</v>
      </c>
      <c r="J36" s="127"/>
      <c r="K36" s="127">
        <v>78.95146475989705</v>
      </c>
      <c r="L36" s="127"/>
      <c r="M36" s="127">
        <v>78.95146475989705</v>
      </c>
      <c r="N36" s="127"/>
      <c r="O36" s="127">
        <v>78.95146475989705</v>
      </c>
      <c r="P36" s="127"/>
      <c r="Q36" s="127">
        <v>78.95146475989705</v>
      </c>
      <c r="R36" s="127"/>
      <c r="S36" s="127"/>
      <c r="T36" s="127">
        <v>78.95146475989705</v>
      </c>
      <c r="U36" s="127"/>
      <c r="V36" s="127">
        <v>78.95146475989705</v>
      </c>
      <c r="W36" s="127"/>
      <c r="X36" s="127">
        <v>78.95146475989705</v>
      </c>
      <c r="Y36" s="127"/>
      <c r="Z36" s="127">
        <v>78.95146475989705</v>
      </c>
      <c r="AA36" s="127"/>
      <c r="AB36" s="127">
        <v>78.95146475989705</v>
      </c>
      <c r="AC36" s="127"/>
      <c r="AD36" s="127">
        <v>78.95146475989705</v>
      </c>
      <c r="AE36" s="127"/>
      <c r="AF36" s="127"/>
      <c r="AG36" s="127">
        <v>78.95146475989705</v>
      </c>
      <c r="AH36" s="127"/>
      <c r="AI36" s="127">
        <v>78.95146475989705</v>
      </c>
      <c r="AJ36" s="127"/>
      <c r="AK36" s="127">
        <v>14.472175917329645</v>
      </c>
      <c r="AL36" s="127">
        <v>78.95146475989705</v>
      </c>
      <c r="AM36" s="127"/>
      <c r="AN36" s="127">
        <v>78.95146475989705</v>
      </c>
      <c r="AO36" s="127"/>
      <c r="AP36" s="127">
        <v>78.95146475989705</v>
      </c>
      <c r="AQ36" s="127"/>
      <c r="AR36" s="127">
        <v>58.642853953310514</v>
      </c>
      <c r="AS36" s="127"/>
      <c r="AT36" s="127">
        <v>58.852339449060565</v>
      </c>
      <c r="AU36" s="127"/>
      <c r="AV36" s="127">
        <v>59.058914532226915</v>
      </c>
      <c r="AW36" s="127"/>
      <c r="AX36" s="127">
        <v>14.815611477598909</v>
      </c>
      <c r="AY36" s="127">
        <v>78.95146475989705</v>
      </c>
    </row>
    <row r="37" spans="1:52" x14ac:dyDescent="0.2">
      <c r="A37" s="127"/>
      <c r="B37" s="181" t="s">
        <v>345</v>
      </c>
      <c r="C37" s="127"/>
      <c r="D37" s="127"/>
      <c r="E37" s="127">
        <v>0</v>
      </c>
      <c r="F37" s="127"/>
      <c r="G37" s="127">
        <v>0</v>
      </c>
      <c r="H37" s="127"/>
      <c r="I37" s="127">
        <v>0</v>
      </c>
      <c r="J37" s="127"/>
      <c r="K37" s="127">
        <v>0</v>
      </c>
      <c r="L37" s="127"/>
      <c r="M37" s="127">
        <v>0</v>
      </c>
      <c r="N37" s="127"/>
      <c r="O37" s="127">
        <v>0</v>
      </c>
      <c r="P37" s="127"/>
      <c r="Q37" s="127">
        <v>0</v>
      </c>
      <c r="R37" s="127"/>
      <c r="S37" s="127"/>
      <c r="T37" s="127">
        <v>0</v>
      </c>
      <c r="U37" s="127"/>
      <c r="V37" s="127">
        <v>0</v>
      </c>
      <c r="W37" s="127"/>
      <c r="X37" s="127">
        <v>0</v>
      </c>
      <c r="Y37" s="127"/>
      <c r="Z37" s="127">
        <v>0</v>
      </c>
      <c r="AA37" s="127"/>
      <c r="AB37" s="127">
        <v>0</v>
      </c>
      <c r="AC37" s="127"/>
      <c r="AD37" s="127">
        <v>0</v>
      </c>
      <c r="AE37" s="127"/>
      <c r="AF37" s="127"/>
      <c r="AG37" s="127">
        <v>0</v>
      </c>
      <c r="AH37" s="127"/>
      <c r="AI37" s="127">
        <v>0</v>
      </c>
      <c r="AJ37" s="127"/>
      <c r="AK37" s="127">
        <v>0</v>
      </c>
      <c r="AL37" s="127">
        <v>0</v>
      </c>
      <c r="AM37" s="127"/>
      <c r="AN37" s="127">
        <v>0</v>
      </c>
      <c r="AO37" s="127"/>
      <c r="AP37" s="127">
        <v>0</v>
      </c>
      <c r="AQ37" s="127"/>
      <c r="AR37" s="127">
        <v>0</v>
      </c>
      <c r="AS37" s="127"/>
      <c r="AT37" s="127">
        <v>0</v>
      </c>
      <c r="AU37" s="127"/>
      <c r="AV37" s="127">
        <v>0</v>
      </c>
      <c r="AW37" s="127"/>
      <c r="AX37" s="127">
        <v>0</v>
      </c>
      <c r="AY37" s="127">
        <v>0</v>
      </c>
    </row>
    <row r="38" spans="1:52" x14ac:dyDescent="0.2">
      <c r="A38" s="127"/>
      <c r="B38" s="181" t="s">
        <v>346</v>
      </c>
      <c r="C38" s="127"/>
      <c r="D38" s="127"/>
      <c r="E38" s="127">
        <v>3</v>
      </c>
      <c r="F38" s="127"/>
      <c r="G38" s="127">
        <v>3</v>
      </c>
      <c r="H38" s="127"/>
      <c r="I38" s="127">
        <v>2</v>
      </c>
      <c r="J38" s="127"/>
      <c r="K38" s="127">
        <v>3</v>
      </c>
      <c r="L38" s="127"/>
      <c r="M38" s="127">
        <v>3</v>
      </c>
      <c r="N38" s="127"/>
      <c r="O38" s="127">
        <v>3</v>
      </c>
      <c r="P38" s="127"/>
      <c r="Q38" s="127">
        <v>3</v>
      </c>
      <c r="R38" s="127"/>
      <c r="S38" s="127"/>
      <c r="T38" s="127">
        <v>3</v>
      </c>
      <c r="U38" s="127"/>
      <c r="V38" s="127">
        <v>3</v>
      </c>
      <c r="W38" s="127"/>
      <c r="X38" s="127">
        <v>3</v>
      </c>
      <c r="Y38" s="127"/>
      <c r="Z38" s="127">
        <v>3</v>
      </c>
      <c r="AA38" s="127"/>
      <c r="AB38" s="127">
        <v>3</v>
      </c>
      <c r="AC38" s="127"/>
      <c r="AD38" s="127">
        <v>3</v>
      </c>
      <c r="AE38" s="127"/>
      <c r="AF38" s="127"/>
      <c r="AG38" s="127">
        <v>3</v>
      </c>
      <c r="AH38" s="127"/>
      <c r="AI38" s="127">
        <v>3</v>
      </c>
      <c r="AJ38" s="127"/>
      <c r="AK38" s="127">
        <v>1</v>
      </c>
      <c r="AL38" s="127">
        <v>3</v>
      </c>
      <c r="AM38" s="127"/>
      <c r="AN38" s="127">
        <v>3</v>
      </c>
      <c r="AO38" s="127"/>
      <c r="AP38" s="127">
        <v>3</v>
      </c>
      <c r="AQ38" s="127"/>
      <c r="AR38" s="127">
        <v>2</v>
      </c>
      <c r="AS38" s="127"/>
      <c r="AT38" s="127">
        <v>2</v>
      </c>
      <c r="AU38" s="127"/>
      <c r="AV38" s="127">
        <v>2</v>
      </c>
      <c r="AW38" s="127"/>
      <c r="AX38" s="127">
        <v>1</v>
      </c>
      <c r="AY38" s="127">
        <v>3</v>
      </c>
    </row>
    <row r="39" spans="1:52" x14ac:dyDescent="0.2">
      <c r="A39" s="127"/>
      <c r="B39" s="181" t="s">
        <v>347</v>
      </c>
      <c r="C39" s="127"/>
      <c r="D39" s="127">
        <f>D33-D36</f>
        <v>0</v>
      </c>
      <c r="E39" s="127">
        <f t="shared" ref="E39:AY39" si="12">E33-E36</f>
        <v>0</v>
      </c>
      <c r="F39" s="127">
        <f t="shared" si="12"/>
        <v>78.95146475989705</v>
      </c>
      <c r="G39" s="127">
        <f t="shared" si="12"/>
        <v>0</v>
      </c>
      <c r="H39" s="127">
        <f t="shared" si="12"/>
        <v>78.95146475989705</v>
      </c>
      <c r="I39" s="127">
        <f t="shared" si="12"/>
        <v>0</v>
      </c>
      <c r="J39" s="127">
        <f t="shared" si="12"/>
        <v>0</v>
      </c>
      <c r="K39" s="127">
        <f t="shared" si="12"/>
        <v>0</v>
      </c>
      <c r="L39" s="127">
        <f t="shared" si="12"/>
        <v>78.95146475989705</v>
      </c>
      <c r="M39" s="127">
        <f t="shared" si="12"/>
        <v>0</v>
      </c>
      <c r="N39" s="127">
        <f t="shared" si="12"/>
        <v>78.95146475989705</v>
      </c>
      <c r="O39" s="127">
        <f t="shared" si="12"/>
        <v>0</v>
      </c>
      <c r="P39" s="127">
        <f t="shared" si="12"/>
        <v>78.95146475989705</v>
      </c>
      <c r="Q39" s="127">
        <f t="shared" si="12"/>
        <v>0</v>
      </c>
      <c r="R39" s="127">
        <f t="shared" si="12"/>
        <v>78.95146475989705</v>
      </c>
      <c r="S39" s="127">
        <f t="shared" si="12"/>
        <v>0</v>
      </c>
      <c r="T39" s="127">
        <f t="shared" si="12"/>
        <v>0</v>
      </c>
      <c r="U39" s="127">
        <f t="shared" si="12"/>
        <v>78.95146475989705</v>
      </c>
      <c r="V39" s="127">
        <f t="shared" si="12"/>
        <v>0</v>
      </c>
      <c r="W39" s="127">
        <f t="shared" si="12"/>
        <v>78.95146475989705</v>
      </c>
      <c r="X39" s="127">
        <f t="shared" si="12"/>
        <v>0</v>
      </c>
      <c r="Y39" s="127">
        <f t="shared" si="12"/>
        <v>78.95146475989705</v>
      </c>
      <c r="Z39" s="127">
        <f t="shared" si="12"/>
        <v>0</v>
      </c>
      <c r="AA39" s="127">
        <f t="shared" si="12"/>
        <v>78.95146475989705</v>
      </c>
      <c r="AB39" s="127">
        <f t="shared" si="12"/>
        <v>0</v>
      </c>
      <c r="AC39" s="127">
        <f t="shared" si="12"/>
        <v>78.95146475989705</v>
      </c>
      <c r="AD39" s="127">
        <f t="shared" si="12"/>
        <v>0</v>
      </c>
      <c r="AE39" s="127">
        <f t="shared" si="12"/>
        <v>78.95146475989705</v>
      </c>
      <c r="AF39" s="127">
        <f t="shared" si="12"/>
        <v>0</v>
      </c>
      <c r="AG39" s="127">
        <f t="shared" si="12"/>
        <v>0</v>
      </c>
      <c r="AH39" s="127">
        <f t="shared" si="12"/>
        <v>78.95146475989705</v>
      </c>
      <c r="AI39" s="127">
        <f t="shared" si="12"/>
        <v>0</v>
      </c>
      <c r="AJ39" s="127">
        <f t="shared" si="12"/>
        <v>78.95146475989705</v>
      </c>
      <c r="AK39" s="127">
        <f t="shared" si="12"/>
        <v>0</v>
      </c>
      <c r="AL39" s="127">
        <f t="shared" si="12"/>
        <v>0</v>
      </c>
      <c r="AM39" s="127">
        <f t="shared" si="12"/>
        <v>78.95146475989705</v>
      </c>
      <c r="AN39" s="127">
        <f t="shared" si="12"/>
        <v>0</v>
      </c>
      <c r="AO39" s="127">
        <f t="shared" si="12"/>
        <v>78.95146475989705</v>
      </c>
      <c r="AP39" s="127">
        <f t="shared" si="12"/>
        <v>0</v>
      </c>
      <c r="AQ39" s="127">
        <f t="shared" si="12"/>
        <v>78.95146475989705</v>
      </c>
      <c r="AR39" s="127">
        <f t="shared" si="12"/>
        <v>0</v>
      </c>
      <c r="AS39" s="127">
        <f t="shared" si="12"/>
        <v>58.747952095623923</v>
      </c>
      <c r="AT39" s="127">
        <f t="shared" si="12"/>
        <v>0</v>
      </c>
      <c r="AU39" s="127">
        <f t="shared" si="12"/>
        <v>58.955999169257559</v>
      </c>
      <c r="AV39" s="127">
        <f t="shared" si="12"/>
        <v>0</v>
      </c>
      <c r="AW39" s="127">
        <f t="shared" si="12"/>
        <v>59.161068937357356</v>
      </c>
      <c r="AX39" s="127">
        <f t="shared" si="12"/>
        <v>0</v>
      </c>
      <c r="AY39" s="127">
        <f t="shared" si="12"/>
        <v>0</v>
      </c>
    </row>
    <row r="40" spans="1:52" x14ac:dyDescent="0.2">
      <c r="A40" s="127"/>
      <c r="B40" s="181" t="s">
        <v>348</v>
      </c>
      <c r="C40" s="127"/>
      <c r="D40" s="127">
        <f>D34-D37</f>
        <v>0</v>
      </c>
      <c r="E40" s="127">
        <f t="shared" ref="E40:AY40" si="13">E34-E37</f>
        <v>0</v>
      </c>
      <c r="F40" s="127">
        <f t="shared" si="13"/>
        <v>0</v>
      </c>
      <c r="G40" s="127">
        <f t="shared" si="13"/>
        <v>0</v>
      </c>
      <c r="H40" s="127">
        <f t="shared" si="13"/>
        <v>0</v>
      </c>
      <c r="I40" s="127">
        <f t="shared" si="13"/>
        <v>0</v>
      </c>
      <c r="J40" s="127">
        <f t="shared" si="13"/>
        <v>0</v>
      </c>
      <c r="K40" s="127">
        <f t="shared" si="13"/>
        <v>0</v>
      </c>
      <c r="L40" s="127">
        <f t="shared" si="13"/>
        <v>0</v>
      </c>
      <c r="M40" s="127">
        <f t="shared" si="13"/>
        <v>0</v>
      </c>
      <c r="N40" s="127">
        <f t="shared" si="13"/>
        <v>0</v>
      </c>
      <c r="O40" s="127">
        <f t="shared" si="13"/>
        <v>0</v>
      </c>
      <c r="P40" s="127">
        <f t="shared" si="13"/>
        <v>0</v>
      </c>
      <c r="Q40" s="127">
        <f t="shared" si="13"/>
        <v>0</v>
      </c>
      <c r="R40" s="127">
        <f t="shared" si="13"/>
        <v>0</v>
      </c>
      <c r="S40" s="127">
        <f t="shared" si="13"/>
        <v>0</v>
      </c>
      <c r="T40" s="127">
        <f t="shared" si="13"/>
        <v>0</v>
      </c>
      <c r="U40" s="127">
        <f t="shared" si="13"/>
        <v>0</v>
      </c>
      <c r="V40" s="127">
        <f t="shared" si="13"/>
        <v>0</v>
      </c>
      <c r="W40" s="127">
        <f t="shared" si="13"/>
        <v>0</v>
      </c>
      <c r="X40" s="127">
        <f t="shared" si="13"/>
        <v>0</v>
      </c>
      <c r="Y40" s="127">
        <f t="shared" si="13"/>
        <v>0</v>
      </c>
      <c r="Z40" s="127">
        <f t="shared" si="13"/>
        <v>0</v>
      </c>
      <c r="AA40" s="127">
        <f t="shared" si="13"/>
        <v>0</v>
      </c>
      <c r="AB40" s="127">
        <f t="shared" si="13"/>
        <v>0</v>
      </c>
      <c r="AC40" s="127">
        <f t="shared" si="13"/>
        <v>0</v>
      </c>
      <c r="AD40" s="127">
        <f t="shared" si="13"/>
        <v>0</v>
      </c>
      <c r="AE40" s="127">
        <f t="shared" si="13"/>
        <v>0</v>
      </c>
      <c r="AF40" s="127">
        <f t="shared" si="13"/>
        <v>0</v>
      </c>
      <c r="AG40" s="127">
        <f t="shared" si="13"/>
        <v>0</v>
      </c>
      <c r="AH40" s="127">
        <f t="shared" si="13"/>
        <v>0</v>
      </c>
      <c r="AI40" s="127">
        <f t="shared" si="13"/>
        <v>0</v>
      </c>
      <c r="AJ40" s="127">
        <f t="shared" si="13"/>
        <v>0</v>
      </c>
      <c r="AK40" s="127">
        <f t="shared" si="13"/>
        <v>0</v>
      </c>
      <c r="AL40" s="127">
        <f t="shared" si="13"/>
        <v>0</v>
      </c>
      <c r="AM40" s="127">
        <f t="shared" si="13"/>
        <v>0</v>
      </c>
      <c r="AN40" s="127">
        <f t="shared" si="13"/>
        <v>0</v>
      </c>
      <c r="AO40" s="127">
        <f t="shared" si="13"/>
        <v>0</v>
      </c>
      <c r="AP40" s="127">
        <f t="shared" si="13"/>
        <v>0</v>
      </c>
      <c r="AQ40" s="127">
        <f t="shared" si="13"/>
        <v>0</v>
      </c>
      <c r="AR40" s="127">
        <f t="shared" si="13"/>
        <v>0</v>
      </c>
      <c r="AS40" s="127">
        <f t="shared" si="13"/>
        <v>0</v>
      </c>
      <c r="AT40" s="127">
        <f t="shared" si="13"/>
        <v>0</v>
      </c>
      <c r="AU40" s="127">
        <f t="shared" si="13"/>
        <v>0</v>
      </c>
      <c r="AV40" s="127">
        <f t="shared" si="13"/>
        <v>0</v>
      </c>
      <c r="AW40" s="127">
        <f t="shared" si="13"/>
        <v>0</v>
      </c>
      <c r="AX40" s="127">
        <f t="shared" si="13"/>
        <v>0</v>
      </c>
      <c r="AY40" s="127">
        <f t="shared" si="13"/>
        <v>0</v>
      </c>
    </row>
    <row r="41" spans="1:52" x14ac:dyDescent="0.2">
      <c r="A41" s="127"/>
      <c r="B41" s="181" t="s">
        <v>349</v>
      </c>
      <c r="C41" s="127"/>
      <c r="D41" s="127">
        <v>1</v>
      </c>
      <c r="E41" s="127">
        <v>1</v>
      </c>
      <c r="F41" s="127">
        <v>2</v>
      </c>
      <c r="G41" s="127">
        <v>2</v>
      </c>
      <c r="H41" s="127">
        <v>1</v>
      </c>
      <c r="I41" s="127">
        <v>2</v>
      </c>
      <c r="J41" s="127">
        <v>2</v>
      </c>
      <c r="K41" s="127">
        <v>2</v>
      </c>
      <c r="L41" s="127">
        <v>1</v>
      </c>
      <c r="M41" s="127">
        <v>1</v>
      </c>
      <c r="N41" s="127">
        <v>1</v>
      </c>
      <c r="O41" s="127">
        <v>1</v>
      </c>
      <c r="P41" s="127">
        <v>2</v>
      </c>
      <c r="Q41" s="127">
        <v>1</v>
      </c>
      <c r="R41" s="127">
        <v>1</v>
      </c>
      <c r="S41" s="127">
        <v>1</v>
      </c>
      <c r="T41" s="127">
        <v>1</v>
      </c>
      <c r="U41" s="127">
        <v>1</v>
      </c>
      <c r="V41" s="127">
        <v>3</v>
      </c>
      <c r="W41" s="127">
        <v>1</v>
      </c>
      <c r="X41" s="127">
        <v>1</v>
      </c>
      <c r="Y41" s="127">
        <v>1</v>
      </c>
      <c r="Z41" s="127">
        <v>1</v>
      </c>
      <c r="AA41" s="127">
        <v>1</v>
      </c>
      <c r="AB41" s="127">
        <v>1</v>
      </c>
      <c r="AC41" s="127">
        <v>2</v>
      </c>
      <c r="AD41" s="127">
        <v>3</v>
      </c>
      <c r="AE41" s="127">
        <v>1</v>
      </c>
      <c r="AF41" s="127">
        <v>2</v>
      </c>
      <c r="AG41" s="127">
        <v>3</v>
      </c>
      <c r="AH41" s="127">
        <v>1</v>
      </c>
      <c r="AI41" s="127">
        <v>1</v>
      </c>
      <c r="AJ41" s="127">
        <v>1</v>
      </c>
      <c r="AK41" s="127">
        <v>1</v>
      </c>
      <c r="AL41" s="127">
        <v>1</v>
      </c>
      <c r="AM41" s="127">
        <v>1</v>
      </c>
      <c r="AN41" s="127">
        <v>1</v>
      </c>
      <c r="AO41" s="127">
        <v>2</v>
      </c>
      <c r="AP41" s="127">
        <v>3</v>
      </c>
      <c r="AQ41" s="127">
        <v>1</v>
      </c>
      <c r="AR41" s="127">
        <v>2</v>
      </c>
      <c r="AS41" s="127">
        <v>3</v>
      </c>
      <c r="AT41" s="127">
        <v>3</v>
      </c>
      <c r="AU41" s="127">
        <v>1</v>
      </c>
      <c r="AV41" s="127">
        <v>3</v>
      </c>
      <c r="AW41" s="127">
        <v>1</v>
      </c>
      <c r="AX41" s="127">
        <v>1</v>
      </c>
      <c r="AY41" s="127">
        <v>1</v>
      </c>
    </row>
    <row r="42" spans="1:52" x14ac:dyDescent="0.2">
      <c r="A42" s="127"/>
      <c r="B42" s="192" t="s">
        <v>350</v>
      </c>
      <c r="C42" s="127"/>
      <c r="D42" s="127">
        <v>0</v>
      </c>
      <c r="E42" s="127">
        <v>132300</v>
      </c>
      <c r="F42" s="127">
        <v>0</v>
      </c>
      <c r="G42" s="127">
        <v>132300</v>
      </c>
      <c r="H42" s="127">
        <v>0</v>
      </c>
      <c r="I42" s="127">
        <v>88200</v>
      </c>
      <c r="J42" s="127">
        <v>0</v>
      </c>
      <c r="K42" s="127">
        <v>132300</v>
      </c>
      <c r="L42" s="127">
        <v>0</v>
      </c>
      <c r="M42" s="127">
        <v>132300</v>
      </c>
      <c r="N42" s="127">
        <v>0</v>
      </c>
      <c r="O42" s="127">
        <v>132300</v>
      </c>
      <c r="P42" s="127">
        <v>0</v>
      </c>
      <c r="Q42" s="127">
        <v>132300</v>
      </c>
      <c r="R42" s="127">
        <v>0</v>
      </c>
      <c r="S42" s="127">
        <v>0</v>
      </c>
      <c r="T42" s="127">
        <v>132300</v>
      </c>
      <c r="U42" s="127">
        <v>0</v>
      </c>
      <c r="V42" s="127">
        <v>132300</v>
      </c>
      <c r="W42" s="127">
        <v>0</v>
      </c>
      <c r="X42" s="127">
        <v>132300</v>
      </c>
      <c r="Y42" s="127">
        <v>0</v>
      </c>
      <c r="Z42" s="127">
        <v>132300</v>
      </c>
      <c r="AA42" s="127">
        <v>0</v>
      </c>
      <c r="AB42" s="127">
        <v>132300</v>
      </c>
      <c r="AC42" s="127">
        <v>0</v>
      </c>
      <c r="AD42" s="127">
        <v>132300</v>
      </c>
      <c r="AE42" s="127">
        <v>0</v>
      </c>
      <c r="AF42" s="127">
        <v>0</v>
      </c>
      <c r="AG42" s="127">
        <v>132300</v>
      </c>
      <c r="AH42" s="127">
        <v>0</v>
      </c>
      <c r="AI42" s="127">
        <v>132300</v>
      </c>
      <c r="AJ42" s="127">
        <v>0</v>
      </c>
      <c r="AK42" s="127">
        <v>44100</v>
      </c>
      <c r="AL42" s="127">
        <v>132300</v>
      </c>
      <c r="AM42" s="127">
        <v>0</v>
      </c>
      <c r="AN42" s="127">
        <v>132300</v>
      </c>
      <c r="AO42" s="127">
        <v>0</v>
      </c>
      <c r="AP42" s="127">
        <v>132300</v>
      </c>
      <c r="AQ42" s="127">
        <v>0</v>
      </c>
      <c r="AR42" s="127">
        <v>88200</v>
      </c>
      <c r="AS42" s="127">
        <v>0</v>
      </c>
      <c r="AT42" s="127">
        <v>88200</v>
      </c>
      <c r="AU42" s="127">
        <v>0</v>
      </c>
      <c r="AV42" s="127">
        <v>88200</v>
      </c>
      <c r="AW42" s="127">
        <v>0</v>
      </c>
      <c r="AX42" s="127">
        <v>44100</v>
      </c>
      <c r="AY42" s="127">
        <v>132300</v>
      </c>
      <c r="AZ42">
        <f>SUM($D$42:$AY$42)</f>
        <v>2822400</v>
      </c>
    </row>
    <row r="43" spans="1:52" x14ac:dyDescent="0.2">
      <c r="A43" s="127"/>
      <c r="B43" s="192" t="s">
        <v>351</v>
      </c>
      <c r="C43" s="127"/>
      <c r="D43" s="127">
        <v>0</v>
      </c>
      <c r="E43" s="127">
        <v>0</v>
      </c>
      <c r="F43" s="127">
        <v>62865.103815068032</v>
      </c>
      <c r="G43" s="127">
        <v>0</v>
      </c>
      <c r="H43" s="127">
        <v>62865.103815068032</v>
      </c>
      <c r="I43" s="127">
        <v>0</v>
      </c>
      <c r="J43" s="127">
        <v>0</v>
      </c>
      <c r="K43" s="127">
        <v>0</v>
      </c>
      <c r="L43" s="127">
        <v>62865.103815068032</v>
      </c>
      <c r="M43" s="127">
        <v>0</v>
      </c>
      <c r="N43" s="127">
        <v>62865.103815068032</v>
      </c>
      <c r="O43" s="127">
        <v>0</v>
      </c>
      <c r="P43" s="127">
        <v>62865.103815068032</v>
      </c>
      <c r="Q43" s="127">
        <v>0</v>
      </c>
      <c r="R43" s="127">
        <v>62865.103815068032</v>
      </c>
      <c r="S43" s="127">
        <v>0</v>
      </c>
      <c r="T43" s="127">
        <v>0</v>
      </c>
      <c r="U43" s="127">
        <v>62865.103815068032</v>
      </c>
      <c r="V43" s="127">
        <v>0</v>
      </c>
      <c r="W43" s="127">
        <v>62865.103815068032</v>
      </c>
      <c r="X43" s="127">
        <v>0</v>
      </c>
      <c r="Y43" s="127">
        <v>62865.103815068032</v>
      </c>
      <c r="Z43" s="127">
        <v>0</v>
      </c>
      <c r="AA43" s="127">
        <v>62865.103815068032</v>
      </c>
      <c r="AB43" s="127">
        <v>0</v>
      </c>
      <c r="AC43" s="127">
        <v>62865.103815068032</v>
      </c>
      <c r="AD43" s="127">
        <v>0</v>
      </c>
      <c r="AE43" s="127">
        <v>62865.103815068032</v>
      </c>
      <c r="AF43" s="127">
        <v>0</v>
      </c>
      <c r="AG43" s="127">
        <v>0</v>
      </c>
      <c r="AH43" s="127">
        <v>62865.103815068032</v>
      </c>
      <c r="AI43" s="127">
        <v>0</v>
      </c>
      <c r="AJ43" s="127">
        <v>62865.103815068032</v>
      </c>
      <c r="AK43" s="127">
        <v>0</v>
      </c>
      <c r="AL43" s="127">
        <v>0</v>
      </c>
      <c r="AM43" s="127">
        <v>62865.103815068032</v>
      </c>
      <c r="AN43" s="127">
        <v>0</v>
      </c>
      <c r="AO43" s="127">
        <v>62865.103815068032</v>
      </c>
      <c r="AP43" s="127">
        <v>0</v>
      </c>
      <c r="AQ43" s="127">
        <v>62865.103815068032</v>
      </c>
      <c r="AR43" s="127">
        <v>0</v>
      </c>
      <c r="AS43" s="127">
        <v>46778.056856140545</v>
      </c>
      <c r="AT43" s="127">
        <v>0</v>
      </c>
      <c r="AU43" s="127">
        <v>46943.714338521335</v>
      </c>
      <c r="AV43" s="127">
        <v>0</v>
      </c>
      <c r="AW43" s="127">
        <v>47107.001141370798</v>
      </c>
      <c r="AX43" s="127">
        <v>0</v>
      </c>
      <c r="AY43" s="127">
        <v>0</v>
      </c>
      <c r="AZ43">
        <f>SUM($D$43:$AY$43)</f>
        <v>1209535.5371921891</v>
      </c>
    </row>
    <row r="44" spans="1:52" x14ac:dyDescent="0.2">
      <c r="A44" s="151" t="s">
        <v>59</v>
      </c>
      <c r="B44" s="151" t="s">
        <v>341</v>
      </c>
      <c r="C44" s="140"/>
      <c r="D44" s="140">
        <f>D$21*shipping_manufacturing!$F$28/100</f>
        <v>0</v>
      </c>
      <c r="E44" s="140">
        <f>E$21*shipping_manufacturing!$F$28/100</f>
        <v>178.04853524010295</v>
      </c>
      <c r="F44" s="140">
        <f>F$21*shipping_manufacturing!$F$28/100</f>
        <v>178.04853524010295</v>
      </c>
      <c r="G44" s="140">
        <f>G$21*shipping_manufacturing!$F$28/100</f>
        <v>178.04853524010295</v>
      </c>
      <c r="H44" s="140">
        <f>H$21*shipping_manufacturing!$F$28/100</f>
        <v>178.04853524010295</v>
      </c>
      <c r="I44" s="140">
        <f>I$21*shipping_manufacturing!$F$28/100</f>
        <v>123.25509868606758</v>
      </c>
      <c r="J44" s="140">
        <f>J$21*shipping_manufacturing!$F$28/100</f>
        <v>0</v>
      </c>
      <c r="K44" s="140">
        <f>K$21*shipping_manufacturing!$F$28/100</f>
        <v>178.04853524010295</v>
      </c>
      <c r="L44" s="140">
        <f>L$21*shipping_manufacturing!$F$28/100</f>
        <v>178.04853524010295</v>
      </c>
      <c r="M44" s="140">
        <f>M$21*shipping_manufacturing!$F$28/100</f>
        <v>178.04853524010295</v>
      </c>
      <c r="N44" s="140">
        <f>N$21*shipping_manufacturing!$F$28/100</f>
        <v>178.04853524010295</v>
      </c>
      <c r="O44" s="140">
        <f>O$21*shipping_manufacturing!$F$28/100</f>
        <v>178.04853524010295</v>
      </c>
      <c r="P44" s="140">
        <f>P$21*shipping_manufacturing!$F$28/100</f>
        <v>178.04853524010295</v>
      </c>
      <c r="Q44" s="140">
        <f>Q$21*shipping_manufacturing!$F$28/100</f>
        <v>178.04853524010295</v>
      </c>
      <c r="R44" s="140">
        <f>R$21*shipping_manufacturing!$F$28/100</f>
        <v>178.04853524010295</v>
      </c>
      <c r="S44" s="140">
        <f>S$21*shipping_manufacturing!$F$28/100</f>
        <v>0</v>
      </c>
      <c r="T44" s="140">
        <f>T$21*shipping_manufacturing!$F$28/100</f>
        <v>178.04853524010295</v>
      </c>
      <c r="U44" s="140">
        <f>U$21*shipping_manufacturing!$F$28/100</f>
        <v>178.04853524010295</v>
      </c>
      <c r="V44" s="140">
        <f>V$21*shipping_manufacturing!$F$28/100</f>
        <v>178.04853524010295</v>
      </c>
      <c r="W44" s="140">
        <f>W$21*shipping_manufacturing!$F$28/100</f>
        <v>178.04853524010295</v>
      </c>
      <c r="X44" s="140">
        <f>X$21*shipping_manufacturing!$F$28/100</f>
        <v>178.04853524010295</v>
      </c>
      <c r="Y44" s="140">
        <f>Y$21*shipping_manufacturing!$F$28/100</f>
        <v>178.04853524010295</v>
      </c>
      <c r="Z44" s="140">
        <f>Z$21*shipping_manufacturing!$F$28/100</f>
        <v>178.04853524010295</v>
      </c>
      <c r="AA44" s="140">
        <f>AA$21*shipping_manufacturing!$F$28/100</f>
        <v>178.04853524010295</v>
      </c>
      <c r="AB44" s="140">
        <f>AB$21*shipping_manufacturing!$F$28/100</f>
        <v>178.04853524010295</v>
      </c>
      <c r="AC44" s="140">
        <f>AC$21*shipping_manufacturing!$F$28/100</f>
        <v>178.04853524010295</v>
      </c>
      <c r="AD44" s="140">
        <f>AD$21*shipping_manufacturing!$F$28/100</f>
        <v>178.04853524010295</v>
      </c>
      <c r="AE44" s="140">
        <f>AE$21*shipping_manufacturing!$F$28/100</f>
        <v>178.04853524010295</v>
      </c>
      <c r="AF44" s="140">
        <f>AF$21*shipping_manufacturing!$F$28/100</f>
        <v>0</v>
      </c>
      <c r="AG44" s="140">
        <f>AG$21*shipping_manufacturing!$F$28/100</f>
        <v>178.04853524010295</v>
      </c>
      <c r="AH44" s="140">
        <f>AH$21*shipping_manufacturing!$F$28/100</f>
        <v>178.04853524010295</v>
      </c>
      <c r="AI44" s="140">
        <f>AI$21*shipping_manufacturing!$F$28/100</f>
        <v>178.04853524010295</v>
      </c>
      <c r="AJ44" s="140">
        <f>AJ$21*shipping_manufacturing!$F$28/100</f>
        <v>178.04853524010295</v>
      </c>
      <c r="AK44" s="140">
        <f>AK$21*shipping_manufacturing!$F$28/100</f>
        <v>32.637136393275405</v>
      </c>
      <c r="AL44" s="140">
        <f>AL$21*shipping_manufacturing!$F$28/100</f>
        <v>178.04853524010295</v>
      </c>
      <c r="AM44" s="140">
        <f>AM$21*shipping_manufacturing!$F$28/100</f>
        <v>178.04853524010295</v>
      </c>
      <c r="AN44" s="140">
        <f>AN$21*shipping_manufacturing!$F$28/100</f>
        <v>178.04853524010295</v>
      </c>
      <c r="AO44" s="140">
        <f>AO$21*shipping_manufacturing!$F$28/100</f>
        <v>178.04853524010295</v>
      </c>
      <c r="AP44" s="140">
        <f>AP$21*shipping_manufacturing!$F$28/100</f>
        <v>178.04853524010295</v>
      </c>
      <c r="AQ44" s="140">
        <f>AQ$21*shipping_manufacturing!$F$28/100</f>
        <v>178.04853524010295</v>
      </c>
      <c r="AR44" s="140">
        <f>AR$21*shipping_manufacturing!$F$28/100</f>
        <v>132.24927847050918</v>
      </c>
      <c r="AS44" s="140">
        <f>AS$21*shipping_manufacturing!$F$28/100</f>
        <v>132.48629206300257</v>
      </c>
      <c r="AT44" s="140">
        <f>AT$21*shipping_manufacturing!$F$28/100</f>
        <v>132.72170270970184</v>
      </c>
      <c r="AU44" s="140">
        <f>AU$21*shipping_manufacturing!$F$28/100</f>
        <v>132.95547242379905</v>
      </c>
      <c r="AV44" s="140">
        <f>AV$21*shipping_manufacturing!$F$28/100</f>
        <v>133.18756348995117</v>
      </c>
      <c r="AW44" s="140">
        <f>AW$21*shipping_manufacturing!$F$28/100</f>
        <v>133.41793847105018</v>
      </c>
      <c r="AX44" s="140">
        <f>AX$21*shipping_manufacturing!$F$28/100</f>
        <v>33.411640053736512</v>
      </c>
      <c r="AY44" s="140">
        <f>AY$21*shipping_manufacturing!$F$28/100</f>
        <v>178.04853524010295</v>
      </c>
    </row>
    <row r="45" spans="1:52" x14ac:dyDescent="0.2">
      <c r="A45" s="129" t="s">
        <v>340</v>
      </c>
      <c r="B45" s="181" t="s">
        <v>342</v>
      </c>
      <c r="C45" s="127"/>
      <c r="D45" s="127">
        <f>D$22*shipping_manufacturing!$G$28/100</f>
        <v>0</v>
      </c>
      <c r="E45" s="127">
        <f>E$22*shipping_manufacturing!$G$28/100</f>
        <v>257</v>
      </c>
      <c r="F45" s="127">
        <f>F$22*shipping_manufacturing!$G$28/100</f>
        <v>257</v>
      </c>
      <c r="G45" s="127">
        <f>G$22*shipping_manufacturing!$G$28/100</f>
        <v>257</v>
      </c>
      <c r="H45" s="127">
        <f>H$22*shipping_manufacturing!$G$28/100</f>
        <v>257</v>
      </c>
      <c r="I45" s="127">
        <f>I$22*shipping_manufacturing!$G$28/100</f>
        <v>177.90969366640803</v>
      </c>
      <c r="J45" s="127">
        <f>J$22*shipping_manufacturing!$G$28/100</f>
        <v>0</v>
      </c>
      <c r="K45" s="127">
        <f>K$22*shipping_manufacturing!$G$28/100</f>
        <v>257</v>
      </c>
      <c r="L45" s="127">
        <f>L$22*shipping_manufacturing!$G$28/100</f>
        <v>257</v>
      </c>
      <c r="M45" s="127">
        <f>M$22*shipping_manufacturing!$G$28/100</f>
        <v>257</v>
      </c>
      <c r="N45" s="127">
        <f>N$22*shipping_manufacturing!$G$28/100</f>
        <v>257</v>
      </c>
      <c r="O45" s="127">
        <f>O$22*shipping_manufacturing!$G$28/100</f>
        <v>257</v>
      </c>
      <c r="P45" s="127">
        <f>P$22*shipping_manufacturing!$G$28/100</f>
        <v>257</v>
      </c>
      <c r="Q45" s="127">
        <f>Q$22*shipping_manufacturing!$G$28/100</f>
        <v>257</v>
      </c>
      <c r="R45" s="127">
        <f>R$22*shipping_manufacturing!$G$28/100</f>
        <v>257</v>
      </c>
      <c r="S45" s="127">
        <f>S$22*shipping_manufacturing!$G$28/100</f>
        <v>0</v>
      </c>
      <c r="T45" s="127">
        <f>T$22*shipping_manufacturing!$G$28/100</f>
        <v>257</v>
      </c>
      <c r="U45" s="127">
        <f>U$22*shipping_manufacturing!$G$28/100</f>
        <v>257</v>
      </c>
      <c r="V45" s="127">
        <f>V$22*shipping_manufacturing!$G$28/100</f>
        <v>257</v>
      </c>
      <c r="W45" s="127">
        <f>W$22*shipping_manufacturing!$G$28/100</f>
        <v>257</v>
      </c>
      <c r="X45" s="127">
        <f>X$22*shipping_manufacturing!$G$28/100</f>
        <v>257</v>
      </c>
      <c r="Y45" s="127">
        <f>Y$22*shipping_manufacturing!$G$28/100</f>
        <v>257</v>
      </c>
      <c r="Z45" s="127">
        <f>Z$22*shipping_manufacturing!$G$28/100</f>
        <v>257</v>
      </c>
      <c r="AA45" s="127">
        <f>AA$22*shipping_manufacturing!$G$28/100</f>
        <v>257</v>
      </c>
      <c r="AB45" s="127">
        <f>AB$22*shipping_manufacturing!$G$28/100</f>
        <v>257</v>
      </c>
      <c r="AC45" s="127">
        <f>AC$22*shipping_manufacturing!$G$28/100</f>
        <v>257</v>
      </c>
      <c r="AD45" s="127">
        <f>AD$22*shipping_manufacturing!$G$28/100</f>
        <v>257</v>
      </c>
      <c r="AE45" s="127">
        <f>AE$22*shipping_manufacturing!$G$28/100</f>
        <v>257</v>
      </c>
      <c r="AF45" s="127">
        <f>AF$22*shipping_manufacturing!$G$28/100</f>
        <v>0</v>
      </c>
      <c r="AG45" s="127">
        <f>AG$22*shipping_manufacturing!$G$28/100</f>
        <v>257</v>
      </c>
      <c r="AH45" s="127">
        <f>AH$22*shipping_manufacturing!$G$28/100</f>
        <v>257</v>
      </c>
      <c r="AI45" s="127">
        <f>AI$22*shipping_manufacturing!$G$28/100</f>
        <v>257</v>
      </c>
      <c r="AJ45" s="127">
        <f>AJ$22*shipping_manufacturing!$G$28/100</f>
        <v>257</v>
      </c>
      <c r="AK45" s="127">
        <f>AK$22*shipping_manufacturing!$G$28/100</f>
        <v>47.109312310605056</v>
      </c>
      <c r="AL45" s="127">
        <f>AL$22*shipping_manufacturing!$G$28/100</f>
        <v>257</v>
      </c>
      <c r="AM45" s="127">
        <f>AM$22*shipping_manufacturing!$G$28/100</f>
        <v>257</v>
      </c>
      <c r="AN45" s="127">
        <f>AN$22*shipping_manufacturing!$G$28/100</f>
        <v>257</v>
      </c>
      <c r="AO45" s="127">
        <f>AO$22*shipping_manufacturing!$G$28/100</f>
        <v>257</v>
      </c>
      <c r="AP45" s="127">
        <f>AP$22*shipping_manufacturing!$G$28/100</f>
        <v>257</v>
      </c>
      <c r="AQ45" s="127">
        <f>AQ$22*shipping_manufacturing!$G$28/100</f>
        <v>257</v>
      </c>
      <c r="AR45" s="127">
        <f>AR$22*shipping_manufacturing!$G$28/100</f>
        <v>190.8921324238197</v>
      </c>
      <c r="AS45" s="127">
        <f>AS$22*shipping_manufacturing!$G$28/100</f>
        <v>191.2342441586265</v>
      </c>
      <c r="AT45" s="127">
        <f>AT$22*shipping_manufacturing!$G$28/100</f>
        <v>191.57404215876241</v>
      </c>
      <c r="AU45" s="127">
        <f>AU$22*shipping_manufacturing!$G$28/100</f>
        <v>191.9114715930566</v>
      </c>
      <c r="AV45" s="127">
        <f>AV$22*shipping_manufacturing!$G$28/100</f>
        <v>192.24647802217814</v>
      </c>
      <c r="AW45" s="127">
        <f>AW$22*shipping_manufacturing!$G$28/100</f>
        <v>192.57900740840753</v>
      </c>
      <c r="AX45" s="127">
        <f>AX$22*shipping_manufacturing!$G$28/100</f>
        <v>48.227251531335426</v>
      </c>
      <c r="AY45" s="127">
        <f>AY$22*shipping_manufacturing!$G$28/100</f>
        <v>257</v>
      </c>
    </row>
    <row r="46" spans="1:52" x14ac:dyDescent="0.2">
      <c r="A46" s="127">
        <v>2339</v>
      </c>
      <c r="B46" s="181" t="s">
        <v>343</v>
      </c>
      <c r="C46" s="127"/>
      <c r="D46" s="127">
        <f>SUM(D44:D45)</f>
        <v>0</v>
      </c>
      <c r="E46" s="127">
        <f t="shared" ref="E46:AY46" si="14">SUM(E44:E45)</f>
        <v>435.04853524010298</v>
      </c>
      <c r="F46" s="127">
        <f t="shared" si="14"/>
        <v>435.04853524010298</v>
      </c>
      <c r="G46" s="127">
        <f t="shared" si="14"/>
        <v>435.04853524010298</v>
      </c>
      <c r="H46" s="127">
        <f t="shared" si="14"/>
        <v>435.04853524010298</v>
      </c>
      <c r="I46" s="127">
        <f t="shared" si="14"/>
        <v>301.16479235247562</v>
      </c>
      <c r="J46" s="127">
        <f t="shared" si="14"/>
        <v>0</v>
      </c>
      <c r="K46" s="127">
        <f t="shared" si="14"/>
        <v>435.04853524010298</v>
      </c>
      <c r="L46" s="127">
        <f t="shared" si="14"/>
        <v>435.04853524010298</v>
      </c>
      <c r="M46" s="127">
        <f t="shared" si="14"/>
        <v>435.04853524010298</v>
      </c>
      <c r="N46" s="127">
        <f t="shared" si="14"/>
        <v>435.04853524010298</v>
      </c>
      <c r="O46" s="127">
        <f t="shared" si="14"/>
        <v>435.04853524010298</v>
      </c>
      <c r="P46" s="127">
        <f t="shared" si="14"/>
        <v>435.04853524010298</v>
      </c>
      <c r="Q46" s="127">
        <f t="shared" si="14"/>
        <v>435.04853524010298</v>
      </c>
      <c r="R46" s="127">
        <f t="shared" si="14"/>
        <v>435.04853524010298</v>
      </c>
      <c r="S46" s="127">
        <f t="shared" si="14"/>
        <v>0</v>
      </c>
      <c r="T46" s="127">
        <f t="shared" si="14"/>
        <v>435.04853524010298</v>
      </c>
      <c r="U46" s="127">
        <f t="shared" si="14"/>
        <v>435.04853524010298</v>
      </c>
      <c r="V46" s="127">
        <f t="shared" si="14"/>
        <v>435.04853524010298</v>
      </c>
      <c r="W46" s="127">
        <f t="shared" si="14"/>
        <v>435.04853524010298</v>
      </c>
      <c r="X46" s="127">
        <f t="shared" si="14"/>
        <v>435.04853524010298</v>
      </c>
      <c r="Y46" s="127">
        <f t="shared" si="14"/>
        <v>435.04853524010298</v>
      </c>
      <c r="Z46" s="127">
        <f t="shared" si="14"/>
        <v>435.04853524010298</v>
      </c>
      <c r="AA46" s="127">
        <f t="shared" si="14"/>
        <v>435.04853524010298</v>
      </c>
      <c r="AB46" s="127">
        <f t="shared" si="14"/>
        <v>435.04853524010298</v>
      </c>
      <c r="AC46" s="127">
        <f t="shared" si="14"/>
        <v>435.04853524010298</v>
      </c>
      <c r="AD46" s="127">
        <f t="shared" si="14"/>
        <v>435.04853524010298</v>
      </c>
      <c r="AE46" s="127">
        <f t="shared" si="14"/>
        <v>435.04853524010298</v>
      </c>
      <c r="AF46" s="127">
        <f t="shared" si="14"/>
        <v>0</v>
      </c>
      <c r="AG46" s="127">
        <f t="shared" si="14"/>
        <v>435.04853524010298</v>
      </c>
      <c r="AH46" s="127">
        <f t="shared" si="14"/>
        <v>435.04853524010298</v>
      </c>
      <c r="AI46" s="127">
        <f t="shared" si="14"/>
        <v>435.04853524010298</v>
      </c>
      <c r="AJ46" s="127">
        <f t="shared" si="14"/>
        <v>435.04853524010298</v>
      </c>
      <c r="AK46" s="127">
        <f t="shared" si="14"/>
        <v>79.746448703880461</v>
      </c>
      <c r="AL46" s="127">
        <f t="shared" si="14"/>
        <v>435.04853524010298</v>
      </c>
      <c r="AM46" s="127">
        <f t="shared" si="14"/>
        <v>435.04853524010298</v>
      </c>
      <c r="AN46" s="127">
        <f t="shared" si="14"/>
        <v>435.04853524010298</v>
      </c>
      <c r="AO46" s="127">
        <f t="shared" si="14"/>
        <v>435.04853524010298</v>
      </c>
      <c r="AP46" s="127">
        <f t="shared" si="14"/>
        <v>435.04853524010298</v>
      </c>
      <c r="AQ46" s="127">
        <f t="shared" si="14"/>
        <v>435.04853524010298</v>
      </c>
      <c r="AR46" s="127">
        <f t="shared" si="14"/>
        <v>323.14141089432889</v>
      </c>
      <c r="AS46" s="127">
        <f t="shared" si="14"/>
        <v>323.72053622162906</v>
      </c>
      <c r="AT46" s="127">
        <f t="shared" si="14"/>
        <v>324.29574486846423</v>
      </c>
      <c r="AU46" s="127">
        <f t="shared" si="14"/>
        <v>324.86694401685565</v>
      </c>
      <c r="AV46" s="127">
        <f t="shared" si="14"/>
        <v>325.43404151212928</v>
      </c>
      <c r="AW46" s="127">
        <f t="shared" si="14"/>
        <v>325.99694587945771</v>
      </c>
      <c r="AX46" s="127">
        <f t="shared" si="14"/>
        <v>81.638891585071946</v>
      </c>
      <c r="AY46" s="127">
        <f t="shared" si="14"/>
        <v>435.04853524010298</v>
      </c>
    </row>
    <row r="47" spans="1:52" x14ac:dyDescent="0.2">
      <c r="A47" s="127"/>
      <c r="B47" s="181" t="s">
        <v>344</v>
      </c>
      <c r="C47" s="127"/>
      <c r="D47" s="127"/>
      <c r="E47" s="127">
        <v>178.04853524010298</v>
      </c>
      <c r="F47" s="127">
        <v>49.111357694884703</v>
      </c>
      <c r="G47" s="127">
        <v>178.04853524010298</v>
      </c>
      <c r="H47" s="127">
        <v>49.111357694884703</v>
      </c>
      <c r="I47" s="127">
        <v>123.25509868606757</v>
      </c>
      <c r="J47" s="127"/>
      <c r="K47" s="127">
        <v>178.04853524010298</v>
      </c>
      <c r="L47" s="127">
        <v>49.111357694884703</v>
      </c>
      <c r="M47" s="127">
        <v>178.04853524010298</v>
      </c>
      <c r="N47" s="127">
        <v>49.111357694884703</v>
      </c>
      <c r="O47" s="127">
        <v>178.04853524010298</v>
      </c>
      <c r="P47" s="127">
        <v>49.111357694884703</v>
      </c>
      <c r="Q47" s="127">
        <v>178.04853524010298</v>
      </c>
      <c r="R47" s="127">
        <v>49.111357694884703</v>
      </c>
      <c r="S47" s="127"/>
      <c r="T47" s="127">
        <v>178.04853524010298</v>
      </c>
      <c r="U47" s="127">
        <v>49.111357694884703</v>
      </c>
      <c r="V47" s="127">
        <v>178.04853524010298</v>
      </c>
      <c r="W47" s="127">
        <v>49.111357694884703</v>
      </c>
      <c r="X47" s="127">
        <v>178.04853524010298</v>
      </c>
      <c r="Y47" s="127">
        <v>49.111357694884703</v>
      </c>
      <c r="Z47" s="127">
        <v>178.04853524010298</v>
      </c>
      <c r="AA47" s="127">
        <v>49.111357694884703</v>
      </c>
      <c r="AB47" s="127">
        <v>178.04853524010298</v>
      </c>
      <c r="AC47" s="127">
        <v>49.111357694884703</v>
      </c>
      <c r="AD47" s="127">
        <v>178.04853524010298</v>
      </c>
      <c r="AE47" s="127">
        <v>49.111357694884703</v>
      </c>
      <c r="AF47" s="127"/>
      <c r="AG47" s="127">
        <v>178.04853524010298</v>
      </c>
      <c r="AH47" s="127">
        <v>49.111357694884703</v>
      </c>
      <c r="AI47" s="127">
        <v>178.04853524010298</v>
      </c>
      <c r="AJ47" s="127">
        <v>49.111357694884703</v>
      </c>
      <c r="AK47" s="127">
        <v>32.637136393275405</v>
      </c>
      <c r="AL47" s="127">
        <v>178.04853524010298</v>
      </c>
      <c r="AM47" s="127">
        <v>49.111357694884703</v>
      </c>
      <c r="AN47" s="127">
        <v>178.04853524010298</v>
      </c>
      <c r="AO47" s="127">
        <v>49.111357694884703</v>
      </c>
      <c r="AP47" s="127">
        <v>178.04853524010298</v>
      </c>
      <c r="AQ47" s="127">
        <v>49.111357694884703</v>
      </c>
      <c r="AR47" s="127">
        <v>132.24927847050918</v>
      </c>
      <c r="AS47" s="127">
        <v>110.5005548134906</v>
      </c>
      <c r="AT47" s="127">
        <v>132.72170270970184</v>
      </c>
      <c r="AU47" s="127">
        <v>110.50055481349061</v>
      </c>
      <c r="AV47" s="127">
        <v>133.18756348995117</v>
      </c>
      <c r="AW47" s="127">
        <v>110.50055481349061</v>
      </c>
      <c r="AX47" s="127">
        <v>33.411640053736512</v>
      </c>
      <c r="AY47" s="127">
        <v>178.04853524010298</v>
      </c>
    </row>
    <row r="48" spans="1:52" x14ac:dyDescent="0.2">
      <c r="A48" s="127"/>
      <c r="B48" s="181" t="s">
        <v>345</v>
      </c>
      <c r="C48" s="127"/>
      <c r="D48" s="127"/>
      <c r="E48" s="127">
        <v>257.00000000000017</v>
      </c>
      <c r="F48" s="127">
        <v>70.888642305115283</v>
      </c>
      <c r="G48" s="127">
        <v>257.00000000000017</v>
      </c>
      <c r="H48" s="127">
        <v>70.888642305115283</v>
      </c>
      <c r="I48" s="127">
        <v>177.90969366640809</v>
      </c>
      <c r="J48" s="127"/>
      <c r="K48" s="127">
        <v>257.00000000000017</v>
      </c>
      <c r="L48" s="127">
        <v>70.888642305115283</v>
      </c>
      <c r="M48" s="127">
        <v>257.00000000000017</v>
      </c>
      <c r="N48" s="127">
        <v>70.888642305115283</v>
      </c>
      <c r="O48" s="127">
        <v>257.00000000000017</v>
      </c>
      <c r="P48" s="127">
        <v>70.888642305115283</v>
      </c>
      <c r="Q48" s="127">
        <v>257.00000000000017</v>
      </c>
      <c r="R48" s="127">
        <v>70.888642305115283</v>
      </c>
      <c r="S48" s="127"/>
      <c r="T48" s="127">
        <v>257.00000000000017</v>
      </c>
      <c r="U48" s="127">
        <v>70.888642305115283</v>
      </c>
      <c r="V48" s="127">
        <v>257.00000000000017</v>
      </c>
      <c r="W48" s="127">
        <v>70.888642305115283</v>
      </c>
      <c r="X48" s="127">
        <v>257.00000000000017</v>
      </c>
      <c r="Y48" s="127">
        <v>70.888642305115283</v>
      </c>
      <c r="Z48" s="127">
        <v>257.00000000000017</v>
      </c>
      <c r="AA48" s="127">
        <v>70.888642305115283</v>
      </c>
      <c r="AB48" s="127">
        <v>257.00000000000017</v>
      </c>
      <c r="AC48" s="127">
        <v>70.888642305115283</v>
      </c>
      <c r="AD48" s="127">
        <v>257.00000000000017</v>
      </c>
      <c r="AE48" s="127">
        <v>70.888642305115283</v>
      </c>
      <c r="AF48" s="127"/>
      <c r="AG48" s="127">
        <v>257.00000000000017</v>
      </c>
      <c r="AH48" s="127">
        <v>70.888642305115283</v>
      </c>
      <c r="AI48" s="127">
        <v>257.00000000000017</v>
      </c>
      <c r="AJ48" s="127">
        <v>70.888642305115283</v>
      </c>
      <c r="AK48" s="127">
        <v>47.109312310605063</v>
      </c>
      <c r="AL48" s="127">
        <v>257.00000000000017</v>
      </c>
      <c r="AM48" s="127">
        <v>70.888642305115283</v>
      </c>
      <c r="AN48" s="127">
        <v>257.00000000000017</v>
      </c>
      <c r="AO48" s="127">
        <v>70.888642305115283</v>
      </c>
      <c r="AP48" s="127">
        <v>257.00000000000017</v>
      </c>
      <c r="AQ48" s="127">
        <v>70.888642305115283</v>
      </c>
      <c r="AR48" s="127">
        <v>190.89213242381976</v>
      </c>
      <c r="AS48" s="127">
        <v>159.4994451865094</v>
      </c>
      <c r="AT48" s="127">
        <v>191.57404215876244</v>
      </c>
      <c r="AU48" s="127">
        <v>159.49944518650943</v>
      </c>
      <c r="AV48" s="127">
        <v>192.24647802217811</v>
      </c>
      <c r="AW48" s="127">
        <v>159.49944518650943</v>
      </c>
      <c r="AX48" s="127">
        <v>48.227251531335426</v>
      </c>
      <c r="AY48" s="127">
        <v>257.00000000000017</v>
      </c>
    </row>
    <row r="49" spans="1:52" x14ac:dyDescent="0.2">
      <c r="A49" s="127"/>
      <c r="B49" s="181" t="s">
        <v>346</v>
      </c>
      <c r="C49" s="127"/>
      <c r="D49" s="127"/>
      <c r="E49" s="127">
        <v>15</v>
      </c>
      <c r="F49" s="127">
        <v>4</v>
      </c>
      <c r="G49" s="127">
        <v>15</v>
      </c>
      <c r="H49" s="127">
        <v>4</v>
      </c>
      <c r="I49" s="127">
        <v>11</v>
      </c>
      <c r="J49" s="127"/>
      <c r="K49" s="127">
        <v>15</v>
      </c>
      <c r="L49" s="127">
        <v>4</v>
      </c>
      <c r="M49" s="127">
        <v>15</v>
      </c>
      <c r="N49" s="127">
        <v>4</v>
      </c>
      <c r="O49" s="127">
        <v>15</v>
      </c>
      <c r="P49" s="127">
        <v>4</v>
      </c>
      <c r="Q49" s="127">
        <v>15</v>
      </c>
      <c r="R49" s="127">
        <v>4</v>
      </c>
      <c r="S49" s="127"/>
      <c r="T49" s="127">
        <v>15</v>
      </c>
      <c r="U49" s="127">
        <v>4</v>
      </c>
      <c r="V49" s="127">
        <v>15</v>
      </c>
      <c r="W49" s="127">
        <v>4</v>
      </c>
      <c r="X49" s="127">
        <v>15</v>
      </c>
      <c r="Y49" s="127">
        <v>4</v>
      </c>
      <c r="Z49" s="127">
        <v>15</v>
      </c>
      <c r="AA49" s="127">
        <v>4</v>
      </c>
      <c r="AB49" s="127">
        <v>15</v>
      </c>
      <c r="AC49" s="127">
        <v>4</v>
      </c>
      <c r="AD49" s="127">
        <v>15</v>
      </c>
      <c r="AE49" s="127">
        <v>4</v>
      </c>
      <c r="AF49" s="127"/>
      <c r="AG49" s="127">
        <v>15</v>
      </c>
      <c r="AH49" s="127">
        <v>4</v>
      </c>
      <c r="AI49" s="127">
        <v>15</v>
      </c>
      <c r="AJ49" s="127">
        <v>4</v>
      </c>
      <c r="AK49" s="127">
        <v>3</v>
      </c>
      <c r="AL49" s="127">
        <v>15</v>
      </c>
      <c r="AM49" s="127">
        <v>4</v>
      </c>
      <c r="AN49" s="127">
        <v>15</v>
      </c>
      <c r="AO49" s="127">
        <v>4</v>
      </c>
      <c r="AP49" s="127">
        <v>15</v>
      </c>
      <c r="AQ49" s="127">
        <v>4</v>
      </c>
      <c r="AR49" s="127">
        <v>11</v>
      </c>
      <c r="AS49" s="127">
        <v>9</v>
      </c>
      <c r="AT49" s="127">
        <v>11</v>
      </c>
      <c r="AU49" s="127">
        <v>9</v>
      </c>
      <c r="AV49" s="127">
        <v>11</v>
      </c>
      <c r="AW49" s="127">
        <v>9</v>
      </c>
      <c r="AX49" s="127">
        <v>3</v>
      </c>
      <c r="AY49" s="127">
        <v>15</v>
      </c>
    </row>
    <row r="50" spans="1:52" x14ac:dyDescent="0.2">
      <c r="A50" s="127"/>
      <c r="B50" s="181" t="s">
        <v>347</v>
      </c>
      <c r="C50" s="127"/>
      <c r="D50" s="127">
        <f>D44-D47</f>
        <v>0</v>
      </c>
      <c r="E50" s="127">
        <f t="shared" ref="E50:AY50" si="15">E44-E47</f>
        <v>0</v>
      </c>
      <c r="F50" s="127">
        <f t="shared" si="15"/>
        <v>128.93717754521825</v>
      </c>
      <c r="G50" s="127">
        <f t="shared" si="15"/>
        <v>0</v>
      </c>
      <c r="H50" s="127">
        <f t="shared" si="15"/>
        <v>128.93717754521825</v>
      </c>
      <c r="I50" s="127">
        <f t="shared" si="15"/>
        <v>0</v>
      </c>
      <c r="J50" s="127">
        <f t="shared" si="15"/>
        <v>0</v>
      </c>
      <c r="K50" s="127">
        <f t="shared" si="15"/>
        <v>0</v>
      </c>
      <c r="L50" s="127">
        <f t="shared" si="15"/>
        <v>128.93717754521825</v>
      </c>
      <c r="M50" s="127">
        <f t="shared" si="15"/>
        <v>0</v>
      </c>
      <c r="N50" s="127">
        <f t="shared" si="15"/>
        <v>128.93717754521825</v>
      </c>
      <c r="O50" s="127">
        <f t="shared" si="15"/>
        <v>0</v>
      </c>
      <c r="P50" s="127">
        <f t="shared" si="15"/>
        <v>128.93717754521825</v>
      </c>
      <c r="Q50" s="127">
        <f t="shared" si="15"/>
        <v>0</v>
      </c>
      <c r="R50" s="127">
        <f t="shared" si="15"/>
        <v>128.93717754521825</v>
      </c>
      <c r="S50" s="127">
        <f t="shared" si="15"/>
        <v>0</v>
      </c>
      <c r="T50" s="127">
        <f t="shared" si="15"/>
        <v>0</v>
      </c>
      <c r="U50" s="127">
        <f t="shared" si="15"/>
        <v>128.93717754521825</v>
      </c>
      <c r="V50" s="127">
        <f t="shared" si="15"/>
        <v>0</v>
      </c>
      <c r="W50" s="127">
        <f t="shared" si="15"/>
        <v>128.93717754521825</v>
      </c>
      <c r="X50" s="127">
        <f t="shared" si="15"/>
        <v>0</v>
      </c>
      <c r="Y50" s="127">
        <f t="shared" si="15"/>
        <v>128.93717754521825</v>
      </c>
      <c r="Z50" s="127">
        <f t="shared" si="15"/>
        <v>0</v>
      </c>
      <c r="AA50" s="127">
        <f t="shared" si="15"/>
        <v>128.93717754521825</v>
      </c>
      <c r="AB50" s="127">
        <f t="shared" si="15"/>
        <v>0</v>
      </c>
      <c r="AC50" s="127">
        <f t="shared" si="15"/>
        <v>128.93717754521825</v>
      </c>
      <c r="AD50" s="127">
        <f t="shared" si="15"/>
        <v>0</v>
      </c>
      <c r="AE50" s="127">
        <f t="shared" si="15"/>
        <v>128.93717754521825</v>
      </c>
      <c r="AF50" s="127">
        <f t="shared" si="15"/>
        <v>0</v>
      </c>
      <c r="AG50" s="127">
        <f t="shared" si="15"/>
        <v>0</v>
      </c>
      <c r="AH50" s="127">
        <f t="shared" si="15"/>
        <v>128.93717754521825</v>
      </c>
      <c r="AI50" s="127">
        <f t="shared" si="15"/>
        <v>0</v>
      </c>
      <c r="AJ50" s="127">
        <f t="shared" si="15"/>
        <v>128.93717754521825</v>
      </c>
      <c r="AK50" s="127">
        <f t="shared" si="15"/>
        <v>0</v>
      </c>
      <c r="AL50" s="127">
        <f t="shared" si="15"/>
        <v>0</v>
      </c>
      <c r="AM50" s="127">
        <f t="shared" si="15"/>
        <v>128.93717754521825</v>
      </c>
      <c r="AN50" s="127">
        <f t="shared" si="15"/>
        <v>0</v>
      </c>
      <c r="AO50" s="127">
        <f t="shared" si="15"/>
        <v>128.93717754521825</v>
      </c>
      <c r="AP50" s="127">
        <f t="shared" si="15"/>
        <v>0</v>
      </c>
      <c r="AQ50" s="127">
        <f t="shared" si="15"/>
        <v>128.93717754521825</v>
      </c>
      <c r="AR50" s="127">
        <f t="shared" si="15"/>
        <v>0</v>
      </c>
      <c r="AS50" s="127">
        <f t="shared" si="15"/>
        <v>21.985737249511971</v>
      </c>
      <c r="AT50" s="127">
        <f t="shared" si="15"/>
        <v>0</v>
      </c>
      <c r="AU50" s="127">
        <f t="shared" si="15"/>
        <v>22.454917610308442</v>
      </c>
      <c r="AV50" s="127">
        <f t="shared" si="15"/>
        <v>0</v>
      </c>
      <c r="AW50" s="127">
        <f t="shared" si="15"/>
        <v>22.917383657559569</v>
      </c>
      <c r="AX50" s="127">
        <f t="shared" si="15"/>
        <v>0</v>
      </c>
      <c r="AY50" s="127">
        <f t="shared" si="15"/>
        <v>0</v>
      </c>
    </row>
    <row r="51" spans="1:52" x14ac:dyDescent="0.2">
      <c r="A51" s="127"/>
      <c r="B51" s="181" t="s">
        <v>348</v>
      </c>
      <c r="C51" s="127"/>
      <c r="D51" s="127">
        <f>D45-D48</f>
        <v>0</v>
      </c>
      <c r="E51" s="127">
        <f t="shared" ref="E51:AY51" si="16">E45-E48</f>
        <v>0</v>
      </c>
      <c r="F51" s="127">
        <f t="shared" si="16"/>
        <v>186.1113576948847</v>
      </c>
      <c r="G51" s="127">
        <f t="shared" si="16"/>
        <v>0</v>
      </c>
      <c r="H51" s="127">
        <f t="shared" si="16"/>
        <v>186.1113576948847</v>
      </c>
      <c r="I51" s="127">
        <f t="shared" si="16"/>
        <v>0</v>
      </c>
      <c r="J51" s="127">
        <f t="shared" si="16"/>
        <v>0</v>
      </c>
      <c r="K51" s="127">
        <f t="shared" si="16"/>
        <v>0</v>
      </c>
      <c r="L51" s="127">
        <f t="shared" si="16"/>
        <v>186.1113576948847</v>
      </c>
      <c r="M51" s="127">
        <f t="shared" si="16"/>
        <v>0</v>
      </c>
      <c r="N51" s="127">
        <f t="shared" si="16"/>
        <v>186.1113576948847</v>
      </c>
      <c r="O51" s="127">
        <f t="shared" si="16"/>
        <v>0</v>
      </c>
      <c r="P51" s="127">
        <f t="shared" si="16"/>
        <v>186.1113576948847</v>
      </c>
      <c r="Q51" s="127">
        <f t="shared" si="16"/>
        <v>0</v>
      </c>
      <c r="R51" s="127">
        <f t="shared" si="16"/>
        <v>186.1113576948847</v>
      </c>
      <c r="S51" s="127">
        <f t="shared" si="16"/>
        <v>0</v>
      </c>
      <c r="T51" s="127">
        <f t="shared" si="16"/>
        <v>0</v>
      </c>
      <c r="U51" s="127">
        <f t="shared" si="16"/>
        <v>186.1113576948847</v>
      </c>
      <c r="V51" s="127">
        <f t="shared" si="16"/>
        <v>0</v>
      </c>
      <c r="W51" s="127">
        <f t="shared" si="16"/>
        <v>186.1113576948847</v>
      </c>
      <c r="X51" s="127">
        <f t="shared" si="16"/>
        <v>0</v>
      </c>
      <c r="Y51" s="127">
        <f t="shared" si="16"/>
        <v>186.1113576948847</v>
      </c>
      <c r="Z51" s="127">
        <f t="shared" si="16"/>
        <v>0</v>
      </c>
      <c r="AA51" s="127">
        <f t="shared" si="16"/>
        <v>186.1113576948847</v>
      </c>
      <c r="AB51" s="127">
        <f t="shared" si="16"/>
        <v>0</v>
      </c>
      <c r="AC51" s="127">
        <f t="shared" si="16"/>
        <v>186.1113576948847</v>
      </c>
      <c r="AD51" s="127">
        <f t="shared" si="16"/>
        <v>0</v>
      </c>
      <c r="AE51" s="127">
        <f t="shared" si="16"/>
        <v>186.1113576948847</v>
      </c>
      <c r="AF51" s="127">
        <f t="shared" si="16"/>
        <v>0</v>
      </c>
      <c r="AG51" s="127">
        <f t="shared" si="16"/>
        <v>0</v>
      </c>
      <c r="AH51" s="127">
        <f t="shared" si="16"/>
        <v>186.1113576948847</v>
      </c>
      <c r="AI51" s="127">
        <f t="shared" si="16"/>
        <v>0</v>
      </c>
      <c r="AJ51" s="127">
        <f t="shared" si="16"/>
        <v>186.1113576948847</v>
      </c>
      <c r="AK51" s="127">
        <f t="shared" si="16"/>
        <v>0</v>
      </c>
      <c r="AL51" s="127">
        <f t="shared" si="16"/>
        <v>0</v>
      </c>
      <c r="AM51" s="127">
        <f t="shared" si="16"/>
        <v>186.1113576948847</v>
      </c>
      <c r="AN51" s="127">
        <f t="shared" si="16"/>
        <v>0</v>
      </c>
      <c r="AO51" s="127">
        <f t="shared" si="16"/>
        <v>186.1113576948847</v>
      </c>
      <c r="AP51" s="127">
        <f t="shared" si="16"/>
        <v>0</v>
      </c>
      <c r="AQ51" s="127">
        <f t="shared" si="16"/>
        <v>186.1113576948847</v>
      </c>
      <c r="AR51" s="127">
        <f t="shared" si="16"/>
        <v>0</v>
      </c>
      <c r="AS51" s="127">
        <f t="shared" si="16"/>
        <v>31.73479897211709</v>
      </c>
      <c r="AT51" s="127">
        <f t="shared" si="16"/>
        <v>0</v>
      </c>
      <c r="AU51" s="127">
        <f t="shared" si="16"/>
        <v>32.41202640654717</v>
      </c>
      <c r="AV51" s="127">
        <f t="shared" si="16"/>
        <v>0</v>
      </c>
      <c r="AW51" s="127">
        <f t="shared" si="16"/>
        <v>33.079562221898101</v>
      </c>
      <c r="AX51" s="127">
        <f t="shared" si="16"/>
        <v>0</v>
      </c>
      <c r="AY51" s="127">
        <f t="shared" si="16"/>
        <v>0</v>
      </c>
    </row>
    <row r="52" spans="1:52" x14ac:dyDescent="0.2">
      <c r="A52" s="127"/>
      <c r="B52" s="181" t="s">
        <v>349</v>
      </c>
      <c r="C52" s="127"/>
      <c r="D52" s="127">
        <v>3</v>
      </c>
      <c r="E52" s="127">
        <v>2</v>
      </c>
      <c r="F52" s="127">
        <v>2</v>
      </c>
      <c r="G52" s="127">
        <v>2</v>
      </c>
      <c r="H52" s="127">
        <v>3</v>
      </c>
      <c r="I52" s="127">
        <v>3</v>
      </c>
      <c r="J52" s="127">
        <v>2</v>
      </c>
      <c r="K52" s="127">
        <v>2</v>
      </c>
      <c r="L52" s="127">
        <v>3</v>
      </c>
      <c r="M52" s="127">
        <v>4</v>
      </c>
      <c r="N52" s="127">
        <v>2</v>
      </c>
      <c r="O52" s="127">
        <v>2</v>
      </c>
      <c r="P52" s="127">
        <v>4</v>
      </c>
      <c r="Q52" s="127">
        <v>2</v>
      </c>
      <c r="R52" s="127">
        <v>3</v>
      </c>
      <c r="S52" s="127">
        <v>3</v>
      </c>
      <c r="T52" s="127">
        <v>3</v>
      </c>
      <c r="U52" s="127">
        <v>2</v>
      </c>
      <c r="V52" s="127">
        <v>3</v>
      </c>
      <c r="W52" s="127">
        <v>2</v>
      </c>
      <c r="X52" s="127">
        <v>3</v>
      </c>
      <c r="Y52" s="127">
        <v>2</v>
      </c>
      <c r="Z52" s="127">
        <v>2</v>
      </c>
      <c r="AA52" s="127">
        <v>4</v>
      </c>
      <c r="AB52" s="127">
        <v>2</v>
      </c>
      <c r="AC52" s="127">
        <v>2</v>
      </c>
      <c r="AD52" s="127">
        <v>4</v>
      </c>
      <c r="AE52" s="127">
        <v>2</v>
      </c>
      <c r="AF52" s="127">
        <v>2</v>
      </c>
      <c r="AG52" s="127">
        <v>2</v>
      </c>
      <c r="AH52" s="127">
        <v>2</v>
      </c>
      <c r="AI52" s="127">
        <v>2</v>
      </c>
      <c r="AJ52" s="127">
        <v>3</v>
      </c>
      <c r="AK52" s="127">
        <v>2</v>
      </c>
      <c r="AL52" s="127">
        <v>3</v>
      </c>
      <c r="AM52" s="127">
        <v>2</v>
      </c>
      <c r="AN52" s="127">
        <v>3</v>
      </c>
      <c r="AO52" s="127">
        <v>3</v>
      </c>
      <c r="AP52" s="127">
        <v>2</v>
      </c>
      <c r="AQ52" s="127">
        <v>2</v>
      </c>
      <c r="AR52" s="127">
        <v>3</v>
      </c>
      <c r="AS52" s="127">
        <v>3</v>
      </c>
      <c r="AT52" s="127">
        <v>3</v>
      </c>
      <c r="AU52" s="127">
        <v>4</v>
      </c>
      <c r="AV52" s="127">
        <v>3</v>
      </c>
      <c r="AW52" s="127">
        <v>2</v>
      </c>
      <c r="AX52" s="127">
        <v>4</v>
      </c>
      <c r="AY52" s="127">
        <v>2</v>
      </c>
    </row>
    <row r="53" spans="1:52" x14ac:dyDescent="0.2">
      <c r="A53" s="127"/>
      <c r="B53" s="192" t="s">
        <v>350</v>
      </c>
      <c r="C53" s="127"/>
      <c r="D53" s="127">
        <v>0</v>
      </c>
      <c r="E53" s="127">
        <v>1263060</v>
      </c>
      <c r="F53" s="127">
        <v>336816</v>
      </c>
      <c r="G53" s="127">
        <v>1263060</v>
      </c>
      <c r="H53" s="127">
        <v>336816</v>
      </c>
      <c r="I53" s="127">
        <v>926244</v>
      </c>
      <c r="J53" s="127">
        <v>0</v>
      </c>
      <c r="K53" s="127">
        <v>1263060</v>
      </c>
      <c r="L53" s="127">
        <v>336816</v>
      </c>
      <c r="M53" s="127">
        <v>1263060</v>
      </c>
      <c r="N53" s="127">
        <v>336816</v>
      </c>
      <c r="O53" s="127">
        <v>1263060</v>
      </c>
      <c r="P53" s="127">
        <v>336816</v>
      </c>
      <c r="Q53" s="127">
        <v>1263060</v>
      </c>
      <c r="R53" s="127">
        <v>336816</v>
      </c>
      <c r="S53" s="127">
        <v>0</v>
      </c>
      <c r="T53" s="127">
        <v>1263060</v>
      </c>
      <c r="U53" s="127">
        <v>336816</v>
      </c>
      <c r="V53" s="127">
        <v>1263060</v>
      </c>
      <c r="W53" s="127">
        <v>336816</v>
      </c>
      <c r="X53" s="127">
        <v>1263060</v>
      </c>
      <c r="Y53" s="127">
        <v>336816</v>
      </c>
      <c r="Z53" s="127">
        <v>1263060</v>
      </c>
      <c r="AA53" s="127">
        <v>336816</v>
      </c>
      <c r="AB53" s="127">
        <v>1263060</v>
      </c>
      <c r="AC53" s="127">
        <v>336816</v>
      </c>
      <c r="AD53" s="127">
        <v>1263060</v>
      </c>
      <c r="AE53" s="127">
        <v>336816</v>
      </c>
      <c r="AF53" s="127">
        <v>0</v>
      </c>
      <c r="AG53" s="127">
        <v>1263060</v>
      </c>
      <c r="AH53" s="127">
        <v>336816</v>
      </c>
      <c r="AI53" s="127">
        <v>1263060</v>
      </c>
      <c r="AJ53" s="127">
        <v>336816</v>
      </c>
      <c r="AK53" s="127">
        <v>252612</v>
      </c>
      <c r="AL53" s="127">
        <v>1263060</v>
      </c>
      <c r="AM53" s="127">
        <v>336816</v>
      </c>
      <c r="AN53" s="127">
        <v>1263060</v>
      </c>
      <c r="AO53" s="127">
        <v>336816</v>
      </c>
      <c r="AP53" s="127">
        <v>1263060</v>
      </c>
      <c r="AQ53" s="127">
        <v>336816</v>
      </c>
      <c r="AR53" s="127">
        <v>926244</v>
      </c>
      <c r="AS53" s="127">
        <v>757836</v>
      </c>
      <c r="AT53" s="127">
        <v>926244</v>
      </c>
      <c r="AU53" s="127">
        <v>757836</v>
      </c>
      <c r="AV53" s="127">
        <v>926244</v>
      </c>
      <c r="AW53" s="127">
        <v>757836</v>
      </c>
      <c r="AX53" s="127">
        <v>252612</v>
      </c>
      <c r="AY53" s="127">
        <v>1263060</v>
      </c>
      <c r="AZ53">
        <f>SUM($D$53:$AY$53)</f>
        <v>34944660</v>
      </c>
    </row>
    <row r="54" spans="1:52" x14ac:dyDescent="0.2">
      <c r="A54" s="141"/>
      <c r="B54" s="156" t="s">
        <v>351</v>
      </c>
      <c r="C54" s="141"/>
      <c r="D54" s="141">
        <v>0</v>
      </c>
      <c r="E54" s="141">
        <v>0</v>
      </c>
      <c r="F54" s="141">
        <v>478984.04055229056</v>
      </c>
      <c r="G54" s="141">
        <v>0</v>
      </c>
      <c r="H54" s="141">
        <v>478984.04055229056</v>
      </c>
      <c r="I54" s="141">
        <v>0</v>
      </c>
      <c r="J54" s="141">
        <v>0</v>
      </c>
      <c r="K54" s="141">
        <v>0</v>
      </c>
      <c r="L54" s="141">
        <v>478984.04055229056</v>
      </c>
      <c r="M54" s="141">
        <v>0</v>
      </c>
      <c r="N54" s="141">
        <v>478984.04055229056</v>
      </c>
      <c r="O54" s="141">
        <v>0</v>
      </c>
      <c r="P54" s="141">
        <v>478984.04055229056</v>
      </c>
      <c r="Q54" s="141">
        <v>0</v>
      </c>
      <c r="R54" s="141">
        <v>478984.04055229056</v>
      </c>
      <c r="S54" s="141">
        <v>0</v>
      </c>
      <c r="T54" s="141">
        <v>0</v>
      </c>
      <c r="U54" s="141">
        <v>478984.04055229056</v>
      </c>
      <c r="V54" s="141">
        <v>0</v>
      </c>
      <c r="W54" s="141">
        <v>478984.04055229056</v>
      </c>
      <c r="X54" s="141">
        <v>0</v>
      </c>
      <c r="Y54" s="141">
        <v>478984.04055229056</v>
      </c>
      <c r="Z54" s="141">
        <v>0</v>
      </c>
      <c r="AA54" s="141">
        <v>478984.04055229056</v>
      </c>
      <c r="AB54" s="141">
        <v>0</v>
      </c>
      <c r="AC54" s="141">
        <v>478984.04055229056</v>
      </c>
      <c r="AD54" s="141">
        <v>0</v>
      </c>
      <c r="AE54" s="141">
        <v>478984.04055229056</v>
      </c>
      <c r="AF54" s="141">
        <v>0</v>
      </c>
      <c r="AG54" s="141">
        <v>0</v>
      </c>
      <c r="AH54" s="141">
        <v>478984.04055229056</v>
      </c>
      <c r="AI54" s="141">
        <v>0</v>
      </c>
      <c r="AJ54" s="141">
        <v>478984.04055229056</v>
      </c>
      <c r="AK54" s="141">
        <v>0</v>
      </c>
      <c r="AL54" s="141">
        <v>0</v>
      </c>
      <c r="AM54" s="141">
        <v>478984.04055229056</v>
      </c>
      <c r="AN54" s="141">
        <v>0</v>
      </c>
      <c r="AO54" s="141">
        <v>478984.04055229056</v>
      </c>
      <c r="AP54" s="141">
        <v>0</v>
      </c>
      <c r="AQ54" s="141">
        <v>478984.04055229056</v>
      </c>
      <c r="AR54" s="141">
        <v>0</v>
      </c>
      <c r="AS54" s="141">
        <v>81674.017244553746</v>
      </c>
      <c r="AT54" s="141">
        <v>0</v>
      </c>
      <c r="AU54" s="141">
        <v>83416.958336026437</v>
      </c>
      <c r="AV54" s="141">
        <v>0</v>
      </c>
      <c r="AW54" s="141">
        <v>85134.956667833467</v>
      </c>
      <c r="AX54" s="141">
        <v>0</v>
      </c>
      <c r="AY54" s="141">
        <v>0</v>
      </c>
      <c r="AZ54">
        <f>SUM($D$54:$AY$54)</f>
        <v>8392954.6216373499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customWidth="1"/>
    <col min="2" max="2" width="17.7109375" customWidth="1"/>
    <col min="52" max="52" width="10.7109375" customWidth="1"/>
  </cols>
  <sheetData>
    <row r="1" spans="1:52" x14ac:dyDescent="0.2">
      <c r="A1" s="1" t="s">
        <v>118</v>
      </c>
    </row>
    <row r="2" spans="1:52" x14ac:dyDescent="0.2">
      <c r="A2" t="s">
        <v>303</v>
      </c>
      <c r="B2" s="124" t="s">
        <v>12</v>
      </c>
      <c r="E2" s="127"/>
    </row>
    <row r="3" spans="1:52" x14ac:dyDescent="0.2">
      <c r="A3" t="s">
        <v>286</v>
      </c>
      <c r="B3" s="124">
        <v>3634</v>
      </c>
      <c r="E3" s="127"/>
    </row>
    <row r="4" spans="1:52" x14ac:dyDescent="0.2">
      <c r="A4" s="1"/>
      <c r="C4" s="9" t="s">
        <v>287</v>
      </c>
    </row>
    <row r="5" spans="1:52" x14ac:dyDescent="0.2">
      <c r="B5" s="123"/>
      <c r="C5" s="128">
        <v>0</v>
      </c>
      <c r="D5" s="128">
        <v>1</v>
      </c>
      <c r="E5" s="128">
        <v>2</v>
      </c>
      <c r="F5" s="128">
        <v>3</v>
      </c>
      <c r="G5" s="128">
        <v>4</v>
      </c>
      <c r="H5" s="128">
        <v>5</v>
      </c>
      <c r="I5" s="128">
        <v>6</v>
      </c>
      <c r="J5" s="128">
        <v>7</v>
      </c>
      <c r="K5" s="128">
        <v>8</v>
      </c>
      <c r="L5" s="128">
        <v>9</v>
      </c>
      <c r="M5" s="128">
        <v>10</v>
      </c>
      <c r="N5" s="128">
        <v>11</v>
      </c>
      <c r="O5" s="128">
        <v>12</v>
      </c>
      <c r="P5" s="128">
        <v>13</v>
      </c>
      <c r="Q5" s="128">
        <v>14</v>
      </c>
      <c r="R5" s="128">
        <v>15</v>
      </c>
      <c r="S5" s="128">
        <v>16</v>
      </c>
      <c r="T5" s="128">
        <v>17</v>
      </c>
      <c r="U5" s="128">
        <v>18</v>
      </c>
      <c r="V5" s="128">
        <v>19</v>
      </c>
      <c r="W5" s="128">
        <v>20</v>
      </c>
      <c r="X5" s="128">
        <v>21</v>
      </c>
      <c r="Y5" s="128">
        <v>22</v>
      </c>
      <c r="Z5" s="128">
        <v>23</v>
      </c>
      <c r="AA5" s="128">
        <v>24</v>
      </c>
      <c r="AB5" s="128">
        <v>25</v>
      </c>
      <c r="AC5" s="128">
        <v>26</v>
      </c>
      <c r="AD5" s="128">
        <v>27</v>
      </c>
      <c r="AE5" s="128">
        <v>28</v>
      </c>
      <c r="AF5" s="128">
        <v>29</v>
      </c>
      <c r="AG5" s="128">
        <v>30</v>
      </c>
      <c r="AH5" s="128">
        <v>31</v>
      </c>
      <c r="AI5" s="128">
        <v>32</v>
      </c>
      <c r="AJ5" s="128">
        <v>33</v>
      </c>
      <c r="AK5" s="128">
        <v>34</v>
      </c>
      <c r="AL5" s="128">
        <v>35</v>
      </c>
      <c r="AM5" s="128">
        <v>36</v>
      </c>
      <c r="AN5" s="128">
        <v>37</v>
      </c>
      <c r="AO5" s="128">
        <v>38</v>
      </c>
      <c r="AP5" s="128">
        <v>39</v>
      </c>
      <c r="AQ5" s="128">
        <v>40</v>
      </c>
      <c r="AR5" s="128">
        <v>41</v>
      </c>
      <c r="AS5" s="128">
        <v>42</v>
      </c>
      <c r="AT5" s="128">
        <v>43</v>
      </c>
      <c r="AU5" s="128">
        <v>44</v>
      </c>
      <c r="AV5" s="128">
        <v>45</v>
      </c>
      <c r="AW5" s="128">
        <v>46</v>
      </c>
      <c r="AX5" s="128">
        <v>47</v>
      </c>
      <c r="AY5" s="128">
        <v>48</v>
      </c>
    </row>
    <row r="6" spans="1:52" x14ac:dyDescent="0.2">
      <c r="A6" s="1" t="s">
        <v>304</v>
      </c>
      <c r="B6" s="130"/>
      <c r="C6" s="129" t="s">
        <v>288</v>
      </c>
      <c r="D6" s="128" t="s">
        <v>289</v>
      </c>
      <c r="E6" s="128" t="s">
        <v>289</v>
      </c>
      <c r="F6" s="128" t="s">
        <v>289</v>
      </c>
      <c r="G6" s="128" t="s">
        <v>289</v>
      </c>
      <c r="H6" s="128" t="s">
        <v>289</v>
      </c>
      <c r="I6" s="128" t="s">
        <v>289</v>
      </c>
      <c r="J6" s="128" t="s">
        <v>289</v>
      </c>
      <c r="K6" s="128" t="s">
        <v>289</v>
      </c>
      <c r="L6" s="128" t="s">
        <v>289</v>
      </c>
      <c r="M6" s="128" t="s">
        <v>289</v>
      </c>
      <c r="N6" s="128" t="s">
        <v>289</v>
      </c>
      <c r="O6" s="128" t="s">
        <v>289</v>
      </c>
      <c r="P6" s="128" t="s">
        <v>289</v>
      </c>
      <c r="Q6" s="128" t="s">
        <v>289</v>
      </c>
      <c r="R6" s="128" t="s">
        <v>289</v>
      </c>
      <c r="S6" s="128" t="s">
        <v>289</v>
      </c>
      <c r="T6" s="128" t="s">
        <v>289</v>
      </c>
      <c r="U6" s="128" t="s">
        <v>289</v>
      </c>
      <c r="V6" s="128" t="s">
        <v>289</v>
      </c>
      <c r="W6" s="128" t="s">
        <v>289</v>
      </c>
      <c r="X6" s="128" t="s">
        <v>289</v>
      </c>
      <c r="Y6" s="128" t="s">
        <v>289</v>
      </c>
      <c r="Z6" s="128" t="s">
        <v>289</v>
      </c>
      <c r="AA6" s="128" t="s">
        <v>289</v>
      </c>
      <c r="AB6" s="128" t="s">
        <v>289</v>
      </c>
      <c r="AC6" s="128" t="s">
        <v>289</v>
      </c>
      <c r="AD6" s="128" t="s">
        <v>289</v>
      </c>
      <c r="AE6" s="128" t="s">
        <v>289</v>
      </c>
      <c r="AF6" s="128" t="s">
        <v>289</v>
      </c>
      <c r="AG6" s="128" t="s">
        <v>289</v>
      </c>
      <c r="AH6" s="128" t="s">
        <v>289</v>
      </c>
      <c r="AI6" s="128" t="s">
        <v>289</v>
      </c>
      <c r="AJ6" s="128" t="s">
        <v>289</v>
      </c>
      <c r="AK6" s="128" t="s">
        <v>289</v>
      </c>
      <c r="AL6" s="128" t="s">
        <v>289</v>
      </c>
      <c r="AM6" s="128" t="s">
        <v>289</v>
      </c>
      <c r="AN6" s="128" t="s">
        <v>289</v>
      </c>
      <c r="AO6" s="128" t="s">
        <v>289</v>
      </c>
      <c r="AP6" s="128" t="s">
        <v>289</v>
      </c>
      <c r="AQ6" s="128" t="s">
        <v>289</v>
      </c>
      <c r="AR6" s="128" t="s">
        <v>289</v>
      </c>
      <c r="AS6" s="128" t="s">
        <v>289</v>
      </c>
      <c r="AT6" s="128" t="s">
        <v>289</v>
      </c>
      <c r="AU6" s="128" t="s">
        <v>289</v>
      </c>
      <c r="AV6" s="128" t="s">
        <v>289</v>
      </c>
      <c r="AW6" s="128" t="s">
        <v>289</v>
      </c>
      <c r="AX6" s="128" t="s">
        <v>289</v>
      </c>
      <c r="AY6" s="9" t="s">
        <v>290</v>
      </c>
      <c r="AZ6" s="158" t="s">
        <v>150</v>
      </c>
    </row>
    <row r="7" spans="1:52" x14ac:dyDescent="0.2">
      <c r="A7" s="131" t="s">
        <v>125</v>
      </c>
      <c r="B7" s="159">
        <v>1</v>
      </c>
      <c r="C7" s="160" t="s">
        <v>293</v>
      </c>
      <c r="D7" s="160">
        <v>1935.3158722718733</v>
      </c>
      <c r="E7" s="160">
        <v>1935.3158722718733</v>
      </c>
      <c r="F7" s="160">
        <v>1935.3158722718733</v>
      </c>
      <c r="G7" s="160">
        <v>1935.3158722718733</v>
      </c>
      <c r="H7" s="160">
        <v>1935.3158722718733</v>
      </c>
      <c r="I7" s="160">
        <v>1935.3158722718733</v>
      </c>
      <c r="J7" s="160">
        <v>1935.3158722718733</v>
      </c>
      <c r="K7" s="160">
        <v>1935.3158722718733</v>
      </c>
      <c r="L7" s="160">
        <v>1935.3158722718733</v>
      </c>
      <c r="M7" s="160">
        <v>1935.3158722718733</v>
      </c>
      <c r="N7" s="160">
        <v>1935.3158722718733</v>
      </c>
      <c r="O7" s="160">
        <v>1935.3158722718733</v>
      </c>
      <c r="P7" s="160">
        <v>1935.3158722718733</v>
      </c>
      <c r="Q7" s="160">
        <v>1935.3158722718733</v>
      </c>
      <c r="R7" s="160">
        <v>1935.3158722718733</v>
      </c>
      <c r="S7" s="160">
        <v>1935.3158722718733</v>
      </c>
      <c r="T7" s="160">
        <v>1935.3158722718733</v>
      </c>
      <c r="U7" s="160">
        <v>1935.3158722718733</v>
      </c>
      <c r="V7" s="160">
        <v>1935.3158722718733</v>
      </c>
      <c r="W7" s="160">
        <v>1935.3158722718733</v>
      </c>
      <c r="X7" s="160">
        <v>1935.3158722718733</v>
      </c>
      <c r="Y7" s="160">
        <v>1935.3158722718733</v>
      </c>
      <c r="Z7" s="160">
        <v>1935.3158722718733</v>
      </c>
      <c r="AA7" s="160">
        <v>1935.3158722718733</v>
      </c>
      <c r="AB7" s="160">
        <v>1935.3158722718733</v>
      </c>
      <c r="AC7" s="160">
        <v>1935.3158722718733</v>
      </c>
      <c r="AD7" s="160">
        <v>1935.3158722718733</v>
      </c>
      <c r="AE7" s="160">
        <v>1935.3158722718733</v>
      </c>
      <c r="AF7" s="160">
        <v>1935.3158722718733</v>
      </c>
      <c r="AG7" s="160">
        <v>1935.3158722718733</v>
      </c>
      <c r="AH7" s="160">
        <v>1935.3158722718733</v>
      </c>
      <c r="AI7" s="160">
        <v>1935.3158722718733</v>
      </c>
      <c r="AJ7" s="160">
        <v>1935.3158722718733</v>
      </c>
      <c r="AK7" s="160">
        <v>1935.3158722718733</v>
      </c>
      <c r="AL7" s="160">
        <v>1935.3158722718733</v>
      </c>
      <c r="AM7" s="160">
        <v>1935.3158722718733</v>
      </c>
      <c r="AN7" s="160">
        <v>1935.3158722718733</v>
      </c>
      <c r="AO7" s="160">
        <v>1935.3158722718733</v>
      </c>
      <c r="AP7" s="160">
        <v>1935.3158722718733</v>
      </c>
      <c r="AQ7" s="160">
        <v>1935.3158722718733</v>
      </c>
      <c r="AR7" s="160">
        <v>1935.3158722718733</v>
      </c>
      <c r="AS7" s="160">
        <v>1935.3158722718733</v>
      </c>
      <c r="AT7" s="160">
        <v>1935.3158722718733</v>
      </c>
      <c r="AU7" s="160">
        <v>1935.3158722718733</v>
      </c>
      <c r="AV7" s="160">
        <v>1935.3158722718733</v>
      </c>
      <c r="AW7" s="160">
        <v>1935.3158722718733</v>
      </c>
      <c r="AX7" s="160">
        <v>1935.3158722718733</v>
      </c>
      <c r="AY7" s="160">
        <v>1935.3158722718733</v>
      </c>
      <c r="AZ7" s="123"/>
    </row>
    <row r="8" spans="1:52" x14ac:dyDescent="0.2">
      <c r="A8" s="161"/>
      <c r="B8" s="162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161"/>
      <c r="AY8" s="161"/>
      <c r="AZ8" s="163"/>
    </row>
    <row r="9" spans="1:52" x14ac:dyDescent="0.2">
      <c r="A9" s="1" t="s">
        <v>294</v>
      </c>
      <c r="B9" s="164"/>
      <c r="C9" s="123"/>
      <c r="D9" s="123"/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</row>
    <row r="10" spans="1:52" x14ac:dyDescent="0.2">
      <c r="A10" s="165" t="s">
        <v>125</v>
      </c>
      <c r="B10" s="166">
        <v>1</v>
      </c>
      <c r="C10" s="160" t="s">
        <v>293</v>
      </c>
      <c r="D10" s="160">
        <f t="shared" ref="D10:AY10" si="0">MAX(SUM(D$14:D$16)+D$7-$B$3,0)</f>
        <v>0</v>
      </c>
      <c r="E10" s="160">
        <f t="shared" si="0"/>
        <v>0</v>
      </c>
      <c r="F10" s="160">
        <f t="shared" si="0"/>
        <v>0</v>
      </c>
      <c r="G10" s="160">
        <f t="shared" si="0"/>
        <v>0</v>
      </c>
      <c r="H10" s="160">
        <f t="shared" si="0"/>
        <v>0</v>
      </c>
      <c r="I10" s="160">
        <f t="shared" si="0"/>
        <v>0</v>
      </c>
      <c r="J10" s="160">
        <f t="shared" si="0"/>
        <v>0</v>
      </c>
      <c r="K10" s="160">
        <f t="shared" si="0"/>
        <v>0</v>
      </c>
      <c r="L10" s="160">
        <f t="shared" si="0"/>
        <v>0</v>
      </c>
      <c r="M10" s="160">
        <f t="shared" si="0"/>
        <v>0</v>
      </c>
      <c r="N10" s="160">
        <f t="shared" si="0"/>
        <v>0</v>
      </c>
      <c r="O10" s="160">
        <f t="shared" si="0"/>
        <v>0</v>
      </c>
      <c r="P10" s="160">
        <f t="shared" si="0"/>
        <v>0</v>
      </c>
      <c r="Q10" s="160">
        <f t="shared" si="0"/>
        <v>0</v>
      </c>
      <c r="R10" s="160">
        <f t="shared" si="0"/>
        <v>0</v>
      </c>
      <c r="S10" s="160">
        <f t="shared" si="0"/>
        <v>0</v>
      </c>
      <c r="T10" s="160">
        <f t="shared" si="0"/>
        <v>0</v>
      </c>
      <c r="U10" s="160">
        <f t="shared" si="0"/>
        <v>0</v>
      </c>
      <c r="V10" s="160">
        <f t="shared" si="0"/>
        <v>0</v>
      </c>
      <c r="W10" s="160">
        <f t="shared" si="0"/>
        <v>0</v>
      </c>
      <c r="X10" s="160">
        <f t="shared" si="0"/>
        <v>0</v>
      </c>
      <c r="Y10" s="160">
        <f t="shared" si="0"/>
        <v>0</v>
      </c>
      <c r="Z10" s="160">
        <f t="shared" si="0"/>
        <v>0</v>
      </c>
      <c r="AA10" s="160">
        <f t="shared" si="0"/>
        <v>0</v>
      </c>
      <c r="AB10" s="160">
        <f t="shared" si="0"/>
        <v>0</v>
      </c>
      <c r="AC10" s="160">
        <f t="shared" si="0"/>
        <v>0</v>
      </c>
      <c r="AD10" s="160">
        <f t="shared" si="0"/>
        <v>0</v>
      </c>
      <c r="AE10" s="160">
        <f t="shared" si="0"/>
        <v>0</v>
      </c>
      <c r="AF10" s="160">
        <f t="shared" si="0"/>
        <v>0</v>
      </c>
      <c r="AG10" s="160">
        <f t="shared" si="0"/>
        <v>0</v>
      </c>
      <c r="AH10" s="160">
        <f t="shared" si="0"/>
        <v>0</v>
      </c>
      <c r="AI10" s="160">
        <f t="shared" si="0"/>
        <v>0</v>
      </c>
      <c r="AJ10" s="160">
        <f t="shared" si="0"/>
        <v>0</v>
      </c>
      <c r="AK10" s="160">
        <f t="shared" si="0"/>
        <v>0</v>
      </c>
      <c r="AL10" s="160">
        <f t="shared" si="0"/>
        <v>236.63174454374666</v>
      </c>
      <c r="AM10" s="160">
        <f t="shared" si="0"/>
        <v>0</v>
      </c>
      <c r="AN10" s="160">
        <f t="shared" si="0"/>
        <v>0</v>
      </c>
      <c r="AO10" s="160">
        <f t="shared" si="0"/>
        <v>0</v>
      </c>
      <c r="AP10" s="160">
        <f t="shared" si="0"/>
        <v>0</v>
      </c>
      <c r="AQ10" s="160">
        <f t="shared" si="0"/>
        <v>0</v>
      </c>
      <c r="AR10" s="160">
        <f t="shared" si="0"/>
        <v>236.63174454374666</v>
      </c>
      <c r="AS10" s="160">
        <f t="shared" si="0"/>
        <v>1935.3158722718736</v>
      </c>
      <c r="AT10" s="160">
        <f t="shared" si="0"/>
        <v>1935.3158722718736</v>
      </c>
      <c r="AU10" s="160">
        <f t="shared" si="0"/>
        <v>0</v>
      </c>
      <c r="AV10" s="160">
        <f t="shared" si="0"/>
        <v>0</v>
      </c>
      <c r="AW10" s="160">
        <f t="shared" si="0"/>
        <v>0</v>
      </c>
      <c r="AX10" s="160">
        <f t="shared" si="0"/>
        <v>0</v>
      </c>
      <c r="AY10" s="160">
        <f t="shared" si="0"/>
        <v>0</v>
      </c>
      <c r="AZ10" s="167">
        <f>SUM($D10:$AY10)</f>
        <v>4343.8952336312404</v>
      </c>
    </row>
    <row r="11" spans="1:52" x14ac:dyDescent="0.2">
      <c r="C11" s="127"/>
    </row>
    <row r="12" spans="1:52" x14ac:dyDescent="0.2">
      <c r="A12" s="168" t="s">
        <v>295</v>
      </c>
      <c r="B12" s="162"/>
      <c r="C12" s="127"/>
    </row>
    <row r="13" spans="1:52" x14ac:dyDescent="0.2">
      <c r="A13" s="138" t="s">
        <v>125</v>
      </c>
      <c r="B13" s="139">
        <v>1</v>
      </c>
      <c r="C13" s="140">
        <v>1325.5489045897211</v>
      </c>
      <c r="D13" s="154">
        <f t="shared" ref="D13:AY13" si="1">D$7-D$10</f>
        <v>1935.3158722718733</v>
      </c>
      <c r="E13" s="154">
        <f t="shared" si="1"/>
        <v>1935.3158722718733</v>
      </c>
      <c r="F13" s="154">
        <f t="shared" si="1"/>
        <v>1935.3158722718733</v>
      </c>
      <c r="G13" s="154">
        <f t="shared" si="1"/>
        <v>1935.3158722718733</v>
      </c>
      <c r="H13" s="154">
        <f t="shared" si="1"/>
        <v>1935.3158722718733</v>
      </c>
      <c r="I13" s="154">
        <f t="shared" si="1"/>
        <v>1935.3158722718733</v>
      </c>
      <c r="J13" s="154">
        <f t="shared" si="1"/>
        <v>1935.3158722718733</v>
      </c>
      <c r="K13" s="154">
        <f t="shared" si="1"/>
        <v>1935.3158722718733</v>
      </c>
      <c r="L13" s="154">
        <f t="shared" si="1"/>
        <v>1935.3158722718733</v>
      </c>
      <c r="M13" s="154">
        <f t="shared" si="1"/>
        <v>1935.3158722718733</v>
      </c>
      <c r="N13" s="154">
        <f t="shared" si="1"/>
        <v>1935.3158722718733</v>
      </c>
      <c r="O13" s="154">
        <f t="shared" si="1"/>
        <v>1935.3158722718733</v>
      </c>
      <c r="P13" s="154">
        <f t="shared" si="1"/>
        <v>1935.3158722718733</v>
      </c>
      <c r="Q13" s="154">
        <f t="shared" si="1"/>
        <v>1935.3158722718733</v>
      </c>
      <c r="R13" s="154">
        <f t="shared" si="1"/>
        <v>1935.3158722718733</v>
      </c>
      <c r="S13" s="154">
        <f t="shared" si="1"/>
        <v>1935.3158722718733</v>
      </c>
      <c r="T13" s="154">
        <f t="shared" si="1"/>
        <v>1935.3158722718733</v>
      </c>
      <c r="U13" s="154">
        <f t="shared" si="1"/>
        <v>1935.3158722718733</v>
      </c>
      <c r="V13" s="154">
        <f t="shared" si="1"/>
        <v>1935.3158722718733</v>
      </c>
      <c r="W13" s="154">
        <f t="shared" si="1"/>
        <v>1935.3158722718733</v>
      </c>
      <c r="X13" s="154">
        <f t="shared" si="1"/>
        <v>1935.3158722718733</v>
      </c>
      <c r="Y13" s="154">
        <f t="shared" si="1"/>
        <v>1935.3158722718733</v>
      </c>
      <c r="Z13" s="154">
        <f t="shared" si="1"/>
        <v>1935.3158722718733</v>
      </c>
      <c r="AA13" s="154">
        <f t="shared" si="1"/>
        <v>1935.3158722718733</v>
      </c>
      <c r="AB13" s="154">
        <f t="shared" si="1"/>
        <v>1935.3158722718733</v>
      </c>
      <c r="AC13" s="154">
        <f t="shared" si="1"/>
        <v>1935.3158722718733</v>
      </c>
      <c r="AD13" s="154">
        <f t="shared" si="1"/>
        <v>1935.3158722718733</v>
      </c>
      <c r="AE13" s="154">
        <f t="shared" si="1"/>
        <v>1935.3158722718733</v>
      </c>
      <c r="AF13" s="154">
        <f t="shared" si="1"/>
        <v>1935.3158722718733</v>
      </c>
      <c r="AG13" s="154">
        <f t="shared" si="1"/>
        <v>1935.3158722718733</v>
      </c>
      <c r="AH13" s="154">
        <f t="shared" si="1"/>
        <v>1935.3158722718733</v>
      </c>
      <c r="AI13" s="154">
        <f t="shared" si="1"/>
        <v>1935.3158722718733</v>
      </c>
      <c r="AJ13" s="154">
        <f t="shared" si="1"/>
        <v>1935.3158722718733</v>
      </c>
      <c r="AK13" s="154">
        <f t="shared" si="1"/>
        <v>1935.3158722718733</v>
      </c>
      <c r="AL13" s="154">
        <f t="shared" si="1"/>
        <v>1698.6841277281267</v>
      </c>
      <c r="AM13" s="154">
        <f t="shared" si="1"/>
        <v>1935.3158722718733</v>
      </c>
      <c r="AN13" s="154">
        <f t="shared" si="1"/>
        <v>1935.3158722718733</v>
      </c>
      <c r="AO13" s="154">
        <f t="shared" si="1"/>
        <v>1935.3158722718733</v>
      </c>
      <c r="AP13" s="154">
        <f t="shared" si="1"/>
        <v>1935.3158722718733</v>
      </c>
      <c r="AQ13" s="154">
        <f t="shared" si="1"/>
        <v>1935.3158722718733</v>
      </c>
      <c r="AR13" s="154">
        <f t="shared" si="1"/>
        <v>1698.6841277281267</v>
      </c>
      <c r="AS13" s="154">
        <f t="shared" si="1"/>
        <v>0</v>
      </c>
      <c r="AT13" s="154">
        <f t="shared" si="1"/>
        <v>0</v>
      </c>
      <c r="AU13" s="154">
        <f t="shared" si="1"/>
        <v>1935.3158722718733</v>
      </c>
      <c r="AV13" s="154">
        <f t="shared" si="1"/>
        <v>1935.3158722718733</v>
      </c>
      <c r="AW13" s="154">
        <f t="shared" si="1"/>
        <v>1935.3158722718733</v>
      </c>
      <c r="AX13" s="154">
        <f t="shared" si="1"/>
        <v>1935.3158722718733</v>
      </c>
      <c r="AY13" s="154">
        <f t="shared" si="1"/>
        <v>1935.3158722718733</v>
      </c>
      <c r="AZ13" s="126"/>
    </row>
    <row r="14" spans="1:52" x14ac:dyDescent="0.2">
      <c r="A14" s="127"/>
      <c r="B14" s="136">
        <v>2</v>
      </c>
      <c r="C14" s="127">
        <v>0</v>
      </c>
      <c r="D14" s="123">
        <f>IF(C$20="Yes",C13,0)</f>
        <v>0</v>
      </c>
      <c r="E14" s="123">
        <f t="shared" ref="E14:AY17" si="2">IF(D$20="Yes",D13,0)</f>
        <v>0</v>
      </c>
      <c r="F14" s="123">
        <f t="shared" si="2"/>
        <v>0</v>
      </c>
      <c r="G14" s="123">
        <f t="shared" si="2"/>
        <v>0</v>
      </c>
      <c r="H14" s="123">
        <f t="shared" si="2"/>
        <v>0</v>
      </c>
      <c r="I14" s="123">
        <f t="shared" si="2"/>
        <v>0</v>
      </c>
      <c r="J14" s="123">
        <f t="shared" si="2"/>
        <v>0</v>
      </c>
      <c r="K14" s="123">
        <f t="shared" si="2"/>
        <v>0</v>
      </c>
      <c r="L14" s="123">
        <f t="shared" si="2"/>
        <v>0</v>
      </c>
      <c r="M14" s="123">
        <f t="shared" si="2"/>
        <v>0</v>
      </c>
      <c r="N14" s="123">
        <f t="shared" si="2"/>
        <v>0</v>
      </c>
      <c r="O14" s="123">
        <f t="shared" si="2"/>
        <v>0</v>
      </c>
      <c r="P14" s="123">
        <f t="shared" si="2"/>
        <v>0</v>
      </c>
      <c r="Q14" s="123">
        <f t="shared" si="2"/>
        <v>0</v>
      </c>
      <c r="R14" s="123">
        <f t="shared" si="2"/>
        <v>0</v>
      </c>
      <c r="S14" s="123">
        <f t="shared" si="2"/>
        <v>0</v>
      </c>
      <c r="T14" s="123">
        <f t="shared" si="2"/>
        <v>0</v>
      </c>
      <c r="U14" s="123">
        <f t="shared" si="2"/>
        <v>0</v>
      </c>
      <c r="V14" s="123">
        <f t="shared" si="2"/>
        <v>0</v>
      </c>
      <c r="W14" s="123">
        <f t="shared" si="2"/>
        <v>0</v>
      </c>
      <c r="X14" s="123">
        <f t="shared" si="2"/>
        <v>0</v>
      </c>
      <c r="Y14" s="123">
        <f t="shared" si="2"/>
        <v>0</v>
      </c>
      <c r="Z14" s="123">
        <f t="shared" si="2"/>
        <v>0</v>
      </c>
      <c r="AA14" s="123">
        <f t="shared" si="2"/>
        <v>0</v>
      </c>
      <c r="AB14" s="123">
        <f t="shared" si="2"/>
        <v>0</v>
      </c>
      <c r="AC14" s="123">
        <f t="shared" si="2"/>
        <v>0</v>
      </c>
      <c r="AD14" s="123">
        <f t="shared" si="2"/>
        <v>0</v>
      </c>
      <c r="AE14" s="123">
        <f t="shared" si="2"/>
        <v>0</v>
      </c>
      <c r="AF14" s="123">
        <f t="shared" si="2"/>
        <v>0</v>
      </c>
      <c r="AG14" s="123">
        <f t="shared" si="2"/>
        <v>0</v>
      </c>
      <c r="AH14" s="123">
        <f t="shared" si="2"/>
        <v>0</v>
      </c>
      <c r="AI14" s="123">
        <f t="shared" si="2"/>
        <v>0</v>
      </c>
      <c r="AJ14" s="123">
        <f t="shared" si="2"/>
        <v>0</v>
      </c>
      <c r="AK14" s="123">
        <f t="shared" si="2"/>
        <v>0</v>
      </c>
      <c r="AL14" s="123">
        <f t="shared" si="2"/>
        <v>1935.3158722718733</v>
      </c>
      <c r="AM14" s="123">
        <f t="shared" si="2"/>
        <v>0</v>
      </c>
      <c r="AN14" s="123">
        <f t="shared" si="2"/>
        <v>0</v>
      </c>
      <c r="AO14" s="123">
        <f t="shared" si="2"/>
        <v>0</v>
      </c>
      <c r="AP14" s="123">
        <f t="shared" si="2"/>
        <v>0</v>
      </c>
      <c r="AQ14" s="123">
        <f t="shared" si="2"/>
        <v>0</v>
      </c>
      <c r="AR14" s="123">
        <f t="shared" si="2"/>
        <v>1935.3158722718733</v>
      </c>
      <c r="AS14" s="123">
        <f t="shared" si="2"/>
        <v>1698.6841277281267</v>
      </c>
      <c r="AT14" s="123">
        <f t="shared" si="2"/>
        <v>0</v>
      </c>
      <c r="AU14" s="123">
        <f t="shared" si="2"/>
        <v>0</v>
      </c>
      <c r="AV14" s="123">
        <f t="shared" si="2"/>
        <v>0</v>
      </c>
      <c r="AW14" s="123">
        <f t="shared" si="2"/>
        <v>0</v>
      </c>
      <c r="AX14" s="123">
        <f t="shared" si="2"/>
        <v>0</v>
      </c>
      <c r="AY14" s="123">
        <f t="shared" si="2"/>
        <v>0</v>
      </c>
      <c r="AZ14" s="126"/>
    </row>
    <row r="15" spans="1:52" x14ac:dyDescent="0.2">
      <c r="A15" s="127"/>
      <c r="B15" s="143">
        <v>3</v>
      </c>
      <c r="C15" s="127">
        <v>0</v>
      </c>
      <c r="D15" s="123">
        <f>IF(C$20="Yes",C14,0)</f>
        <v>0</v>
      </c>
      <c r="E15" s="123">
        <f t="shared" si="2"/>
        <v>0</v>
      </c>
      <c r="F15" s="123">
        <f t="shared" si="2"/>
        <v>0</v>
      </c>
      <c r="G15" s="123">
        <f t="shared" si="2"/>
        <v>0</v>
      </c>
      <c r="H15" s="123">
        <f t="shared" si="2"/>
        <v>0</v>
      </c>
      <c r="I15" s="123">
        <f t="shared" si="2"/>
        <v>0</v>
      </c>
      <c r="J15" s="123">
        <f t="shared" si="2"/>
        <v>0</v>
      </c>
      <c r="K15" s="123">
        <f t="shared" si="2"/>
        <v>0</v>
      </c>
      <c r="L15" s="123">
        <f t="shared" si="2"/>
        <v>0</v>
      </c>
      <c r="M15" s="123">
        <f t="shared" si="2"/>
        <v>0</v>
      </c>
      <c r="N15" s="123">
        <f t="shared" si="2"/>
        <v>0</v>
      </c>
      <c r="O15" s="123">
        <f t="shared" si="2"/>
        <v>0</v>
      </c>
      <c r="P15" s="123">
        <f t="shared" si="2"/>
        <v>0</v>
      </c>
      <c r="Q15" s="123">
        <f t="shared" si="2"/>
        <v>0</v>
      </c>
      <c r="R15" s="123">
        <f t="shared" si="2"/>
        <v>0</v>
      </c>
      <c r="S15" s="123">
        <f t="shared" si="2"/>
        <v>0</v>
      </c>
      <c r="T15" s="123">
        <f t="shared" si="2"/>
        <v>0</v>
      </c>
      <c r="U15" s="123">
        <f t="shared" si="2"/>
        <v>0</v>
      </c>
      <c r="V15" s="123">
        <f t="shared" si="2"/>
        <v>0</v>
      </c>
      <c r="W15" s="123">
        <f t="shared" si="2"/>
        <v>0</v>
      </c>
      <c r="X15" s="123">
        <f t="shared" si="2"/>
        <v>0</v>
      </c>
      <c r="Y15" s="123">
        <f t="shared" si="2"/>
        <v>0</v>
      </c>
      <c r="Z15" s="123">
        <f t="shared" si="2"/>
        <v>0</v>
      </c>
      <c r="AA15" s="123">
        <f t="shared" si="2"/>
        <v>0</v>
      </c>
      <c r="AB15" s="123">
        <f t="shared" si="2"/>
        <v>0</v>
      </c>
      <c r="AC15" s="123">
        <f t="shared" si="2"/>
        <v>0</v>
      </c>
      <c r="AD15" s="123">
        <f t="shared" si="2"/>
        <v>0</v>
      </c>
      <c r="AE15" s="123">
        <f t="shared" si="2"/>
        <v>0</v>
      </c>
      <c r="AF15" s="123">
        <f t="shared" si="2"/>
        <v>0</v>
      </c>
      <c r="AG15" s="123">
        <f t="shared" si="2"/>
        <v>0</v>
      </c>
      <c r="AH15" s="123">
        <f t="shared" si="2"/>
        <v>0</v>
      </c>
      <c r="AI15" s="123">
        <f t="shared" si="2"/>
        <v>0</v>
      </c>
      <c r="AJ15" s="123">
        <f t="shared" si="2"/>
        <v>0</v>
      </c>
      <c r="AK15" s="123">
        <f t="shared" si="2"/>
        <v>0</v>
      </c>
      <c r="AL15" s="123">
        <f t="shared" si="2"/>
        <v>0</v>
      </c>
      <c r="AM15" s="123">
        <f t="shared" si="2"/>
        <v>0</v>
      </c>
      <c r="AN15" s="123">
        <f t="shared" si="2"/>
        <v>0</v>
      </c>
      <c r="AO15" s="123">
        <f t="shared" si="2"/>
        <v>0</v>
      </c>
      <c r="AP15" s="123">
        <f t="shared" si="2"/>
        <v>0</v>
      </c>
      <c r="AQ15" s="123">
        <f t="shared" si="2"/>
        <v>0</v>
      </c>
      <c r="AR15" s="123">
        <f t="shared" si="2"/>
        <v>0</v>
      </c>
      <c r="AS15" s="123">
        <f t="shared" si="2"/>
        <v>1935.3158722718733</v>
      </c>
      <c r="AT15" s="123">
        <f t="shared" si="2"/>
        <v>1698.6841277281267</v>
      </c>
      <c r="AU15" s="123">
        <f t="shared" si="2"/>
        <v>0</v>
      </c>
      <c r="AV15" s="123">
        <f t="shared" si="2"/>
        <v>0</v>
      </c>
      <c r="AW15" s="123">
        <f t="shared" si="2"/>
        <v>0</v>
      </c>
      <c r="AX15" s="123">
        <f t="shared" si="2"/>
        <v>0</v>
      </c>
      <c r="AY15" s="123">
        <f t="shared" si="2"/>
        <v>0</v>
      </c>
      <c r="AZ15" s="126"/>
    </row>
    <row r="16" spans="1:52" x14ac:dyDescent="0.2">
      <c r="A16" s="127"/>
      <c r="B16" s="146">
        <v>4</v>
      </c>
      <c r="C16" s="127">
        <v>0</v>
      </c>
      <c r="D16" s="123">
        <f>IF(C$20="Yes",C15,0)</f>
        <v>0</v>
      </c>
      <c r="E16" s="123">
        <f t="shared" si="2"/>
        <v>0</v>
      </c>
      <c r="F16" s="123">
        <f t="shared" si="2"/>
        <v>0</v>
      </c>
      <c r="G16" s="123">
        <f t="shared" si="2"/>
        <v>0</v>
      </c>
      <c r="H16" s="123">
        <f t="shared" si="2"/>
        <v>0</v>
      </c>
      <c r="I16" s="123">
        <f t="shared" si="2"/>
        <v>0</v>
      </c>
      <c r="J16" s="123">
        <f t="shared" si="2"/>
        <v>0</v>
      </c>
      <c r="K16" s="123">
        <f t="shared" si="2"/>
        <v>0</v>
      </c>
      <c r="L16" s="123">
        <f t="shared" si="2"/>
        <v>0</v>
      </c>
      <c r="M16" s="123">
        <f t="shared" si="2"/>
        <v>0</v>
      </c>
      <c r="N16" s="123">
        <f t="shared" si="2"/>
        <v>0</v>
      </c>
      <c r="O16" s="123">
        <f t="shared" si="2"/>
        <v>0</v>
      </c>
      <c r="P16" s="123">
        <f t="shared" si="2"/>
        <v>0</v>
      </c>
      <c r="Q16" s="123">
        <f t="shared" si="2"/>
        <v>0</v>
      </c>
      <c r="R16" s="123">
        <f t="shared" si="2"/>
        <v>0</v>
      </c>
      <c r="S16" s="123">
        <f t="shared" si="2"/>
        <v>0</v>
      </c>
      <c r="T16" s="123">
        <f t="shared" si="2"/>
        <v>0</v>
      </c>
      <c r="U16" s="123">
        <f t="shared" si="2"/>
        <v>0</v>
      </c>
      <c r="V16" s="123">
        <f t="shared" si="2"/>
        <v>0</v>
      </c>
      <c r="W16" s="123">
        <f t="shared" si="2"/>
        <v>0</v>
      </c>
      <c r="X16" s="123">
        <f t="shared" si="2"/>
        <v>0</v>
      </c>
      <c r="Y16" s="123">
        <f t="shared" si="2"/>
        <v>0</v>
      </c>
      <c r="Z16" s="123">
        <f t="shared" si="2"/>
        <v>0</v>
      </c>
      <c r="AA16" s="123">
        <f t="shared" si="2"/>
        <v>0</v>
      </c>
      <c r="AB16" s="123">
        <f t="shared" si="2"/>
        <v>0</v>
      </c>
      <c r="AC16" s="123">
        <f t="shared" si="2"/>
        <v>0</v>
      </c>
      <c r="AD16" s="123">
        <f t="shared" si="2"/>
        <v>0</v>
      </c>
      <c r="AE16" s="123">
        <f t="shared" si="2"/>
        <v>0</v>
      </c>
      <c r="AF16" s="123">
        <f t="shared" si="2"/>
        <v>0</v>
      </c>
      <c r="AG16" s="123">
        <f t="shared" si="2"/>
        <v>0</v>
      </c>
      <c r="AH16" s="123">
        <f t="shared" si="2"/>
        <v>0</v>
      </c>
      <c r="AI16" s="123">
        <f t="shared" si="2"/>
        <v>0</v>
      </c>
      <c r="AJ16" s="123">
        <f t="shared" si="2"/>
        <v>0</v>
      </c>
      <c r="AK16" s="123">
        <f t="shared" si="2"/>
        <v>0</v>
      </c>
      <c r="AL16" s="123">
        <f t="shared" si="2"/>
        <v>0</v>
      </c>
      <c r="AM16" s="123">
        <f t="shared" si="2"/>
        <v>0</v>
      </c>
      <c r="AN16" s="123">
        <f t="shared" si="2"/>
        <v>0</v>
      </c>
      <c r="AO16" s="123">
        <f t="shared" si="2"/>
        <v>0</v>
      </c>
      <c r="AP16" s="123">
        <f t="shared" si="2"/>
        <v>0</v>
      </c>
      <c r="AQ16" s="123">
        <f t="shared" si="2"/>
        <v>0</v>
      </c>
      <c r="AR16" s="123">
        <f t="shared" si="2"/>
        <v>0</v>
      </c>
      <c r="AS16" s="123">
        <f t="shared" si="2"/>
        <v>0</v>
      </c>
      <c r="AT16" s="123">
        <f t="shared" si="2"/>
        <v>1935.3158722718733</v>
      </c>
      <c r="AU16" s="123">
        <f t="shared" si="2"/>
        <v>0</v>
      </c>
      <c r="AV16" s="123">
        <f t="shared" si="2"/>
        <v>0</v>
      </c>
      <c r="AW16" s="123">
        <f t="shared" si="2"/>
        <v>0</v>
      </c>
      <c r="AX16" s="123">
        <f t="shared" si="2"/>
        <v>0</v>
      </c>
      <c r="AY16" s="123">
        <f t="shared" si="2"/>
        <v>0</v>
      </c>
      <c r="AZ16" s="144"/>
    </row>
    <row r="17" spans="1:52" x14ac:dyDescent="0.2">
      <c r="A17" s="141"/>
      <c r="B17" s="148" t="s">
        <v>296</v>
      </c>
      <c r="C17" s="141">
        <v>0</v>
      </c>
      <c r="D17" s="130">
        <f>IF(C$20="Yes",C16,0)</f>
        <v>0</v>
      </c>
      <c r="E17" s="130">
        <f t="shared" si="2"/>
        <v>0</v>
      </c>
      <c r="F17" s="130">
        <f t="shared" si="2"/>
        <v>0</v>
      </c>
      <c r="G17" s="130">
        <f t="shared" si="2"/>
        <v>0</v>
      </c>
      <c r="H17" s="130">
        <f t="shared" si="2"/>
        <v>0</v>
      </c>
      <c r="I17" s="130">
        <f t="shared" si="2"/>
        <v>0</v>
      </c>
      <c r="J17" s="130">
        <f t="shared" si="2"/>
        <v>0</v>
      </c>
      <c r="K17" s="130">
        <f t="shared" si="2"/>
        <v>0</v>
      </c>
      <c r="L17" s="130">
        <f t="shared" si="2"/>
        <v>0</v>
      </c>
      <c r="M17" s="130">
        <f t="shared" si="2"/>
        <v>0</v>
      </c>
      <c r="N17" s="130">
        <f t="shared" si="2"/>
        <v>0</v>
      </c>
      <c r="O17" s="130">
        <f t="shared" si="2"/>
        <v>0</v>
      </c>
      <c r="P17" s="130">
        <f t="shared" si="2"/>
        <v>0</v>
      </c>
      <c r="Q17" s="130">
        <f t="shared" si="2"/>
        <v>0</v>
      </c>
      <c r="R17" s="130">
        <f t="shared" si="2"/>
        <v>0</v>
      </c>
      <c r="S17" s="130">
        <f t="shared" si="2"/>
        <v>0</v>
      </c>
      <c r="T17" s="130">
        <f t="shared" si="2"/>
        <v>0</v>
      </c>
      <c r="U17" s="130">
        <f t="shared" si="2"/>
        <v>0</v>
      </c>
      <c r="V17" s="130">
        <f t="shared" si="2"/>
        <v>0</v>
      </c>
      <c r="W17" s="130">
        <f t="shared" si="2"/>
        <v>0</v>
      </c>
      <c r="X17" s="130">
        <f t="shared" si="2"/>
        <v>0</v>
      </c>
      <c r="Y17" s="130">
        <f t="shared" si="2"/>
        <v>0</v>
      </c>
      <c r="Z17" s="130">
        <f t="shared" si="2"/>
        <v>0</v>
      </c>
      <c r="AA17" s="130">
        <f t="shared" si="2"/>
        <v>0</v>
      </c>
      <c r="AB17" s="130">
        <f t="shared" si="2"/>
        <v>0</v>
      </c>
      <c r="AC17" s="130">
        <f t="shared" si="2"/>
        <v>0</v>
      </c>
      <c r="AD17" s="130">
        <f t="shared" si="2"/>
        <v>0</v>
      </c>
      <c r="AE17" s="130">
        <f t="shared" si="2"/>
        <v>0</v>
      </c>
      <c r="AF17" s="130">
        <f t="shared" si="2"/>
        <v>0</v>
      </c>
      <c r="AG17" s="130">
        <f t="shared" si="2"/>
        <v>0</v>
      </c>
      <c r="AH17" s="130">
        <f t="shared" si="2"/>
        <v>0</v>
      </c>
      <c r="AI17" s="130">
        <f t="shared" si="2"/>
        <v>0</v>
      </c>
      <c r="AJ17" s="130">
        <f t="shared" si="2"/>
        <v>0</v>
      </c>
      <c r="AK17" s="130">
        <f t="shared" si="2"/>
        <v>0</v>
      </c>
      <c r="AL17" s="130">
        <f t="shared" si="2"/>
        <v>0</v>
      </c>
      <c r="AM17" s="130">
        <f t="shared" si="2"/>
        <v>0</v>
      </c>
      <c r="AN17" s="130">
        <f t="shared" si="2"/>
        <v>0</v>
      </c>
      <c r="AO17" s="130">
        <f t="shared" si="2"/>
        <v>0</v>
      </c>
      <c r="AP17" s="130">
        <f t="shared" si="2"/>
        <v>0</v>
      </c>
      <c r="AQ17" s="130">
        <f t="shared" si="2"/>
        <v>0</v>
      </c>
      <c r="AR17" s="130">
        <f t="shared" si="2"/>
        <v>0</v>
      </c>
      <c r="AS17" s="130">
        <f t="shared" si="2"/>
        <v>0</v>
      </c>
      <c r="AT17" s="130">
        <f t="shared" si="2"/>
        <v>0</v>
      </c>
      <c r="AU17" s="130">
        <f t="shared" si="2"/>
        <v>0</v>
      </c>
      <c r="AV17" s="130">
        <f t="shared" si="2"/>
        <v>0</v>
      </c>
      <c r="AW17" s="130">
        <f t="shared" si="2"/>
        <v>0</v>
      </c>
      <c r="AX17" s="130">
        <f t="shared" si="2"/>
        <v>0</v>
      </c>
      <c r="AY17" s="130">
        <f t="shared" si="2"/>
        <v>0</v>
      </c>
      <c r="AZ17" s="167">
        <f>SUM($D$17:$AY$17)</f>
        <v>0</v>
      </c>
    </row>
    <row r="18" spans="1:52" x14ac:dyDescent="0.2">
      <c r="A18" s="123"/>
      <c r="B18" s="169"/>
      <c r="C18" s="154"/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  <c r="W18" s="154"/>
      <c r="X18" s="154"/>
      <c r="Y18" s="154"/>
      <c r="Z18" s="154"/>
      <c r="AA18" s="154"/>
      <c r="AB18" s="154"/>
      <c r="AC18" s="154"/>
      <c r="AD18" s="154"/>
      <c r="AE18" s="154"/>
      <c r="AF18" s="154"/>
      <c r="AG18" s="154"/>
      <c r="AH18" s="154"/>
      <c r="AI18" s="154"/>
      <c r="AJ18" s="154"/>
      <c r="AK18" s="154"/>
      <c r="AL18" s="154"/>
      <c r="AM18" s="154"/>
      <c r="AN18" s="154"/>
      <c r="AO18" s="154"/>
      <c r="AP18" s="154"/>
      <c r="AQ18" s="154"/>
      <c r="AR18" s="154"/>
      <c r="AS18" s="154"/>
      <c r="AT18" s="154"/>
      <c r="AU18" s="154"/>
      <c r="AV18" s="154"/>
      <c r="AW18" s="154"/>
      <c r="AX18" s="154"/>
      <c r="AY18" s="154"/>
      <c r="AZ18" s="123"/>
    </row>
    <row r="19" spans="1:52" x14ac:dyDescent="0.2">
      <c r="A19" s="1" t="s">
        <v>116</v>
      </c>
      <c r="B19" s="123"/>
      <c r="C19" s="123"/>
      <c r="D19" s="123"/>
      <c r="E19" s="123"/>
      <c r="F19" s="123"/>
      <c r="G19" s="123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  <c r="AP19" s="123"/>
      <c r="AQ19" s="123"/>
      <c r="AR19" s="123"/>
      <c r="AS19" s="123"/>
      <c r="AT19" s="123"/>
      <c r="AU19" s="123"/>
      <c r="AV19" s="123"/>
      <c r="AW19" s="123"/>
      <c r="AX19" s="123"/>
      <c r="AY19" s="123"/>
    </row>
    <row r="20" spans="1:52" s="127" customFormat="1" x14ac:dyDescent="0.2">
      <c r="A20" s="131" t="s">
        <v>305</v>
      </c>
      <c r="B20" s="170" t="s">
        <v>306</v>
      </c>
      <c r="C20" s="133"/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  <c r="S20" s="133"/>
      <c r="T20" s="133"/>
      <c r="U20" s="133"/>
      <c r="V20" s="133"/>
      <c r="W20" s="133"/>
      <c r="X20" s="133"/>
      <c r="Y20" s="133"/>
      <c r="Z20" s="133"/>
      <c r="AA20" s="133"/>
      <c r="AB20" s="133"/>
      <c r="AC20" s="133"/>
      <c r="AD20" s="133"/>
      <c r="AE20" s="133"/>
      <c r="AF20" s="133"/>
      <c r="AG20" s="133"/>
      <c r="AH20" s="133"/>
      <c r="AI20" s="133"/>
      <c r="AJ20" s="133"/>
      <c r="AK20" s="133" t="s">
        <v>313</v>
      </c>
      <c r="AL20" s="133"/>
      <c r="AM20" s="133"/>
      <c r="AN20" s="133"/>
      <c r="AO20" s="133"/>
      <c r="AP20" s="133"/>
      <c r="AQ20" s="133" t="s">
        <v>313</v>
      </c>
      <c r="AR20" s="133" t="s">
        <v>313</v>
      </c>
      <c r="AS20" s="133" t="s">
        <v>313</v>
      </c>
      <c r="AT20" s="133"/>
      <c r="AU20" s="133"/>
      <c r="AV20" s="133"/>
      <c r="AW20" s="133"/>
      <c r="AX20" s="133"/>
      <c r="AY20" s="133"/>
      <c r="AZ20" s="124"/>
    </row>
    <row r="21" spans="1:52" s="127" customFormat="1" x14ac:dyDescent="0.2">
      <c r="A21" s="171" t="s">
        <v>133</v>
      </c>
      <c r="B21" s="172">
        <f>shipping_manufacturing!$G$19/100</f>
        <v>0.7</v>
      </c>
      <c r="C21" s="172" t="s">
        <v>293</v>
      </c>
      <c r="D21" s="123">
        <f>IF(C$20="Yes",0,SUM(C$13:C$16)*$B$21)</f>
        <v>927.8842332128047</v>
      </c>
      <c r="E21" s="123">
        <f t="shared" ref="E21:AY21" si="3">IF(D$20="Yes",0,SUM(D$13:D$16)*$B$21)</f>
        <v>1354.7211105903114</v>
      </c>
      <c r="F21" s="123">
        <f t="shared" si="3"/>
        <v>1354.7211105903114</v>
      </c>
      <c r="G21" s="123">
        <f t="shared" si="3"/>
        <v>1354.7211105903114</v>
      </c>
      <c r="H21" s="123">
        <f t="shared" si="3"/>
        <v>1354.7211105903114</v>
      </c>
      <c r="I21" s="123">
        <f t="shared" si="3"/>
        <v>1354.7211105903114</v>
      </c>
      <c r="J21" s="123">
        <f t="shared" si="3"/>
        <v>1354.7211105903114</v>
      </c>
      <c r="K21" s="123">
        <f t="shared" si="3"/>
        <v>1354.7211105903114</v>
      </c>
      <c r="L21" s="123">
        <f t="shared" si="3"/>
        <v>1354.7211105903114</v>
      </c>
      <c r="M21" s="123">
        <f t="shared" si="3"/>
        <v>1354.7211105903114</v>
      </c>
      <c r="N21" s="123">
        <f t="shared" si="3"/>
        <v>1354.7211105903114</v>
      </c>
      <c r="O21" s="123">
        <f t="shared" si="3"/>
        <v>1354.7211105903114</v>
      </c>
      <c r="P21" s="123">
        <f t="shared" si="3"/>
        <v>1354.7211105903114</v>
      </c>
      <c r="Q21" s="123">
        <f t="shared" si="3"/>
        <v>1354.7211105903114</v>
      </c>
      <c r="R21" s="123">
        <f t="shared" si="3"/>
        <v>1354.7211105903114</v>
      </c>
      <c r="S21" s="123">
        <f t="shared" si="3"/>
        <v>1354.7211105903114</v>
      </c>
      <c r="T21" s="123">
        <f t="shared" si="3"/>
        <v>1354.7211105903114</v>
      </c>
      <c r="U21" s="123">
        <f t="shared" si="3"/>
        <v>1354.7211105903114</v>
      </c>
      <c r="V21" s="123">
        <f t="shared" si="3"/>
        <v>1354.7211105903114</v>
      </c>
      <c r="W21" s="123">
        <f t="shared" si="3"/>
        <v>1354.7211105903114</v>
      </c>
      <c r="X21" s="123">
        <f t="shared" si="3"/>
        <v>1354.7211105903114</v>
      </c>
      <c r="Y21" s="123">
        <f t="shared" si="3"/>
        <v>1354.7211105903114</v>
      </c>
      <c r="Z21" s="123">
        <f t="shared" si="3"/>
        <v>1354.7211105903114</v>
      </c>
      <c r="AA21" s="123">
        <f t="shared" si="3"/>
        <v>1354.7211105903114</v>
      </c>
      <c r="AB21" s="123">
        <f t="shared" si="3"/>
        <v>1354.7211105903114</v>
      </c>
      <c r="AC21" s="123">
        <f t="shared" si="3"/>
        <v>1354.7211105903114</v>
      </c>
      <c r="AD21" s="123">
        <f t="shared" si="3"/>
        <v>1354.7211105903114</v>
      </c>
      <c r="AE21" s="123">
        <f t="shared" si="3"/>
        <v>1354.7211105903114</v>
      </c>
      <c r="AF21" s="123">
        <f t="shared" si="3"/>
        <v>1354.7211105903114</v>
      </c>
      <c r="AG21" s="123">
        <f t="shared" si="3"/>
        <v>1354.7211105903114</v>
      </c>
      <c r="AH21" s="123">
        <f t="shared" si="3"/>
        <v>1354.7211105903114</v>
      </c>
      <c r="AI21" s="123">
        <f t="shared" si="3"/>
        <v>1354.7211105903114</v>
      </c>
      <c r="AJ21" s="123">
        <f t="shared" si="3"/>
        <v>1354.7211105903114</v>
      </c>
      <c r="AK21" s="123">
        <f t="shared" si="3"/>
        <v>1354.7211105903114</v>
      </c>
      <c r="AL21" s="123">
        <f t="shared" si="3"/>
        <v>0</v>
      </c>
      <c r="AM21" s="123">
        <f t="shared" si="3"/>
        <v>2543.7999999999997</v>
      </c>
      <c r="AN21" s="123">
        <f t="shared" si="3"/>
        <v>1354.7211105903114</v>
      </c>
      <c r="AO21" s="123">
        <f t="shared" si="3"/>
        <v>1354.7211105903114</v>
      </c>
      <c r="AP21" s="123">
        <f t="shared" si="3"/>
        <v>1354.7211105903114</v>
      </c>
      <c r="AQ21" s="123">
        <f t="shared" si="3"/>
        <v>1354.7211105903114</v>
      </c>
      <c r="AR21" s="123">
        <f t="shared" si="3"/>
        <v>0</v>
      </c>
      <c r="AS21" s="123">
        <f t="shared" si="3"/>
        <v>0</v>
      </c>
      <c r="AT21" s="123">
        <f t="shared" si="3"/>
        <v>0</v>
      </c>
      <c r="AU21" s="123">
        <f t="shared" si="3"/>
        <v>2543.7999999999997</v>
      </c>
      <c r="AV21" s="123">
        <f t="shared" si="3"/>
        <v>1354.7211105903114</v>
      </c>
      <c r="AW21" s="123">
        <f t="shared" si="3"/>
        <v>1354.7211105903114</v>
      </c>
      <c r="AX21" s="123">
        <f t="shared" si="3"/>
        <v>1354.7211105903114</v>
      </c>
      <c r="AY21" s="123">
        <f t="shared" si="3"/>
        <v>1354.7211105903114</v>
      </c>
      <c r="AZ21" s="173">
        <f>SUM($D21:$AY21)</f>
        <v>61559.049767415585</v>
      </c>
    </row>
    <row r="22" spans="1:52" s="127" customFormat="1" x14ac:dyDescent="0.2">
      <c r="A22" s="174" t="s">
        <v>123</v>
      </c>
      <c r="B22" s="175">
        <f>1-$B$21</f>
        <v>0.30000000000000004</v>
      </c>
      <c r="C22" s="175" t="s">
        <v>293</v>
      </c>
      <c r="D22" s="130">
        <f>IF(C$20="Yes",0,SUM(C$13:C$16)*$B$22)</f>
        <v>397.66467137691637</v>
      </c>
      <c r="E22" s="130">
        <f t="shared" ref="E22:AY22" si="4">IF(D$20="Yes",0,SUM(D$13:D$16)*$B$22)</f>
        <v>580.59476168156209</v>
      </c>
      <c r="F22" s="130">
        <f t="shared" si="4"/>
        <v>580.59476168156209</v>
      </c>
      <c r="G22" s="130">
        <f t="shared" si="4"/>
        <v>580.59476168156209</v>
      </c>
      <c r="H22" s="130">
        <f t="shared" si="4"/>
        <v>580.59476168156209</v>
      </c>
      <c r="I22" s="130">
        <f t="shared" si="4"/>
        <v>580.59476168156209</v>
      </c>
      <c r="J22" s="130">
        <f t="shared" si="4"/>
        <v>580.59476168156209</v>
      </c>
      <c r="K22" s="130">
        <f t="shared" si="4"/>
        <v>580.59476168156209</v>
      </c>
      <c r="L22" s="130">
        <f t="shared" si="4"/>
        <v>580.59476168156209</v>
      </c>
      <c r="M22" s="130">
        <f t="shared" si="4"/>
        <v>580.59476168156209</v>
      </c>
      <c r="N22" s="130">
        <f t="shared" si="4"/>
        <v>580.59476168156209</v>
      </c>
      <c r="O22" s="130">
        <f t="shared" si="4"/>
        <v>580.59476168156209</v>
      </c>
      <c r="P22" s="130">
        <f t="shared" si="4"/>
        <v>580.59476168156209</v>
      </c>
      <c r="Q22" s="130">
        <f t="shared" si="4"/>
        <v>580.59476168156209</v>
      </c>
      <c r="R22" s="130">
        <f t="shared" si="4"/>
        <v>580.59476168156209</v>
      </c>
      <c r="S22" s="130">
        <f t="shared" si="4"/>
        <v>580.59476168156209</v>
      </c>
      <c r="T22" s="130">
        <f t="shared" si="4"/>
        <v>580.59476168156209</v>
      </c>
      <c r="U22" s="130">
        <f t="shared" si="4"/>
        <v>580.59476168156209</v>
      </c>
      <c r="V22" s="130">
        <f t="shared" si="4"/>
        <v>580.59476168156209</v>
      </c>
      <c r="W22" s="130">
        <f t="shared" si="4"/>
        <v>580.59476168156209</v>
      </c>
      <c r="X22" s="130">
        <f t="shared" si="4"/>
        <v>580.59476168156209</v>
      </c>
      <c r="Y22" s="130">
        <f t="shared" si="4"/>
        <v>580.59476168156209</v>
      </c>
      <c r="Z22" s="130">
        <f t="shared" si="4"/>
        <v>580.59476168156209</v>
      </c>
      <c r="AA22" s="130">
        <f t="shared" si="4"/>
        <v>580.59476168156209</v>
      </c>
      <c r="AB22" s="130">
        <f t="shared" si="4"/>
        <v>580.59476168156209</v>
      </c>
      <c r="AC22" s="130">
        <f t="shared" si="4"/>
        <v>580.59476168156209</v>
      </c>
      <c r="AD22" s="130">
        <f t="shared" si="4"/>
        <v>580.59476168156209</v>
      </c>
      <c r="AE22" s="130">
        <f t="shared" si="4"/>
        <v>580.59476168156209</v>
      </c>
      <c r="AF22" s="130">
        <f t="shared" si="4"/>
        <v>580.59476168156209</v>
      </c>
      <c r="AG22" s="130">
        <f t="shared" si="4"/>
        <v>580.59476168156209</v>
      </c>
      <c r="AH22" s="130">
        <f t="shared" si="4"/>
        <v>580.59476168156209</v>
      </c>
      <c r="AI22" s="130">
        <f t="shared" si="4"/>
        <v>580.59476168156209</v>
      </c>
      <c r="AJ22" s="130">
        <f t="shared" si="4"/>
        <v>580.59476168156209</v>
      </c>
      <c r="AK22" s="130">
        <f t="shared" si="4"/>
        <v>580.59476168156209</v>
      </c>
      <c r="AL22" s="130">
        <f t="shared" si="4"/>
        <v>0</v>
      </c>
      <c r="AM22" s="130">
        <f t="shared" si="4"/>
        <v>1090.2000000000003</v>
      </c>
      <c r="AN22" s="130">
        <f t="shared" si="4"/>
        <v>580.59476168156209</v>
      </c>
      <c r="AO22" s="130">
        <f t="shared" si="4"/>
        <v>580.59476168156209</v>
      </c>
      <c r="AP22" s="130">
        <f t="shared" si="4"/>
        <v>580.59476168156209</v>
      </c>
      <c r="AQ22" s="130">
        <f t="shared" si="4"/>
        <v>580.59476168156209</v>
      </c>
      <c r="AR22" s="130">
        <f t="shared" si="4"/>
        <v>0</v>
      </c>
      <c r="AS22" s="130">
        <f t="shared" si="4"/>
        <v>0</v>
      </c>
      <c r="AT22" s="130">
        <f t="shared" si="4"/>
        <v>0</v>
      </c>
      <c r="AU22" s="130">
        <f t="shared" si="4"/>
        <v>1090.2000000000003</v>
      </c>
      <c r="AV22" s="130">
        <f t="shared" si="4"/>
        <v>580.59476168156209</v>
      </c>
      <c r="AW22" s="130">
        <f t="shared" si="4"/>
        <v>580.59476168156209</v>
      </c>
      <c r="AX22" s="130">
        <f t="shared" si="4"/>
        <v>580.59476168156209</v>
      </c>
      <c r="AY22" s="130">
        <f t="shared" si="4"/>
        <v>580.59476168156209</v>
      </c>
      <c r="AZ22" s="157">
        <f t="shared" ref="AZ22:AZ30" si="5">SUM($D22:$AY22)</f>
        <v>26382.44990032096</v>
      </c>
    </row>
    <row r="23" spans="1:52" x14ac:dyDescent="0.2">
      <c r="A23" s="176" t="s">
        <v>307</v>
      </c>
      <c r="B23" s="140">
        <v>2000</v>
      </c>
      <c r="C23" t="s">
        <v>293</v>
      </c>
      <c r="D23">
        <f>D$21*$B$23</f>
        <v>1855768.4664256093</v>
      </c>
      <c r="E23">
        <f t="shared" ref="E23:AY23" si="6">E$21*$B$23</f>
        <v>2709442.2211806229</v>
      </c>
      <c r="F23">
        <f t="shared" si="6"/>
        <v>2709442.2211806229</v>
      </c>
      <c r="G23">
        <f t="shared" si="6"/>
        <v>2709442.2211806229</v>
      </c>
      <c r="H23">
        <f t="shared" si="6"/>
        <v>2709442.2211806229</v>
      </c>
      <c r="I23">
        <f t="shared" si="6"/>
        <v>2709442.2211806229</v>
      </c>
      <c r="J23">
        <f t="shared" si="6"/>
        <v>2709442.2211806229</v>
      </c>
      <c r="K23">
        <f t="shared" si="6"/>
        <v>2709442.2211806229</v>
      </c>
      <c r="L23">
        <f t="shared" si="6"/>
        <v>2709442.2211806229</v>
      </c>
      <c r="M23">
        <f t="shared" si="6"/>
        <v>2709442.2211806229</v>
      </c>
      <c r="N23">
        <f t="shared" si="6"/>
        <v>2709442.2211806229</v>
      </c>
      <c r="O23">
        <f t="shared" si="6"/>
        <v>2709442.2211806229</v>
      </c>
      <c r="P23">
        <f t="shared" si="6"/>
        <v>2709442.2211806229</v>
      </c>
      <c r="Q23">
        <f t="shared" si="6"/>
        <v>2709442.2211806229</v>
      </c>
      <c r="R23">
        <f t="shared" si="6"/>
        <v>2709442.2211806229</v>
      </c>
      <c r="S23">
        <f t="shared" si="6"/>
        <v>2709442.2211806229</v>
      </c>
      <c r="T23">
        <f t="shared" si="6"/>
        <v>2709442.2211806229</v>
      </c>
      <c r="U23">
        <f t="shared" si="6"/>
        <v>2709442.2211806229</v>
      </c>
      <c r="V23">
        <f t="shared" si="6"/>
        <v>2709442.2211806229</v>
      </c>
      <c r="W23">
        <f t="shared" si="6"/>
        <v>2709442.2211806229</v>
      </c>
      <c r="X23">
        <f t="shared" si="6"/>
        <v>2709442.2211806229</v>
      </c>
      <c r="Y23">
        <f t="shared" si="6"/>
        <v>2709442.2211806229</v>
      </c>
      <c r="Z23">
        <f t="shared" si="6"/>
        <v>2709442.2211806229</v>
      </c>
      <c r="AA23">
        <f t="shared" si="6"/>
        <v>2709442.2211806229</v>
      </c>
      <c r="AB23">
        <f t="shared" si="6"/>
        <v>2709442.2211806229</v>
      </c>
      <c r="AC23">
        <f t="shared" si="6"/>
        <v>2709442.2211806229</v>
      </c>
      <c r="AD23">
        <f t="shared" si="6"/>
        <v>2709442.2211806229</v>
      </c>
      <c r="AE23">
        <f t="shared" si="6"/>
        <v>2709442.2211806229</v>
      </c>
      <c r="AF23">
        <f t="shared" si="6"/>
        <v>2709442.2211806229</v>
      </c>
      <c r="AG23">
        <f t="shared" si="6"/>
        <v>2709442.2211806229</v>
      </c>
      <c r="AH23">
        <f t="shared" si="6"/>
        <v>2709442.2211806229</v>
      </c>
      <c r="AI23">
        <f t="shared" si="6"/>
        <v>2709442.2211806229</v>
      </c>
      <c r="AJ23">
        <f t="shared" si="6"/>
        <v>2709442.2211806229</v>
      </c>
      <c r="AK23">
        <f t="shared" si="6"/>
        <v>2709442.2211806229</v>
      </c>
      <c r="AL23">
        <f t="shared" si="6"/>
        <v>0</v>
      </c>
      <c r="AM23">
        <f t="shared" si="6"/>
        <v>5087599.9999999991</v>
      </c>
      <c r="AN23">
        <f t="shared" si="6"/>
        <v>2709442.2211806229</v>
      </c>
      <c r="AO23">
        <f t="shared" si="6"/>
        <v>2709442.2211806229</v>
      </c>
      <c r="AP23">
        <f t="shared" si="6"/>
        <v>2709442.2211806229</v>
      </c>
      <c r="AQ23">
        <f t="shared" si="6"/>
        <v>2709442.2211806229</v>
      </c>
      <c r="AR23">
        <f t="shared" si="6"/>
        <v>0</v>
      </c>
      <c r="AS23">
        <f t="shared" si="6"/>
        <v>0</v>
      </c>
      <c r="AT23">
        <f t="shared" si="6"/>
        <v>0</v>
      </c>
      <c r="AU23">
        <f t="shared" si="6"/>
        <v>5087599.9999999991</v>
      </c>
      <c r="AV23">
        <f t="shared" si="6"/>
        <v>2709442.2211806229</v>
      </c>
      <c r="AW23">
        <f t="shared" si="6"/>
        <v>2709442.2211806229</v>
      </c>
      <c r="AX23">
        <f t="shared" si="6"/>
        <v>2709442.2211806229</v>
      </c>
      <c r="AY23">
        <f t="shared" si="6"/>
        <v>2709442.2211806229</v>
      </c>
      <c r="AZ23" s="155">
        <f t="shared" si="5"/>
        <v>123118099.53483109</v>
      </c>
    </row>
    <row r="24" spans="1:52" s="127" customFormat="1" x14ac:dyDescent="0.2">
      <c r="A24" s="177" t="s">
        <v>308</v>
      </c>
      <c r="B24" s="178">
        <v>1000</v>
      </c>
      <c r="C24" s="172" t="s">
        <v>293</v>
      </c>
      <c r="D24" s="123">
        <f>D$22*$B$24</f>
        <v>397664.67137691635</v>
      </c>
      <c r="E24" s="123">
        <f t="shared" ref="E24:AY24" si="7">E$22*$B$24</f>
        <v>580594.76168156206</v>
      </c>
      <c r="F24" s="123">
        <f t="shared" si="7"/>
        <v>580594.76168156206</v>
      </c>
      <c r="G24" s="123">
        <f t="shared" si="7"/>
        <v>580594.76168156206</v>
      </c>
      <c r="H24" s="123">
        <f t="shared" si="7"/>
        <v>580594.76168156206</v>
      </c>
      <c r="I24" s="123">
        <f t="shared" si="7"/>
        <v>580594.76168156206</v>
      </c>
      <c r="J24" s="123">
        <f t="shared" si="7"/>
        <v>580594.76168156206</v>
      </c>
      <c r="K24" s="123">
        <f t="shared" si="7"/>
        <v>580594.76168156206</v>
      </c>
      <c r="L24" s="123">
        <f t="shared" si="7"/>
        <v>580594.76168156206</v>
      </c>
      <c r="M24" s="123">
        <f t="shared" si="7"/>
        <v>580594.76168156206</v>
      </c>
      <c r="N24" s="123">
        <f t="shared" si="7"/>
        <v>580594.76168156206</v>
      </c>
      <c r="O24" s="123">
        <f t="shared" si="7"/>
        <v>580594.76168156206</v>
      </c>
      <c r="P24" s="123">
        <f t="shared" si="7"/>
        <v>580594.76168156206</v>
      </c>
      <c r="Q24" s="123">
        <f t="shared" si="7"/>
        <v>580594.76168156206</v>
      </c>
      <c r="R24" s="123">
        <f t="shared" si="7"/>
        <v>580594.76168156206</v>
      </c>
      <c r="S24" s="123">
        <f t="shared" si="7"/>
        <v>580594.76168156206</v>
      </c>
      <c r="T24" s="123">
        <f t="shared" si="7"/>
        <v>580594.76168156206</v>
      </c>
      <c r="U24" s="123">
        <f t="shared" si="7"/>
        <v>580594.76168156206</v>
      </c>
      <c r="V24" s="123">
        <f t="shared" si="7"/>
        <v>580594.76168156206</v>
      </c>
      <c r="W24" s="123">
        <f t="shared" si="7"/>
        <v>580594.76168156206</v>
      </c>
      <c r="X24" s="123">
        <f t="shared" si="7"/>
        <v>580594.76168156206</v>
      </c>
      <c r="Y24" s="123">
        <f t="shared" si="7"/>
        <v>580594.76168156206</v>
      </c>
      <c r="Z24" s="123">
        <f t="shared" si="7"/>
        <v>580594.76168156206</v>
      </c>
      <c r="AA24" s="123">
        <f t="shared" si="7"/>
        <v>580594.76168156206</v>
      </c>
      <c r="AB24" s="123">
        <f t="shared" si="7"/>
        <v>580594.76168156206</v>
      </c>
      <c r="AC24" s="123">
        <f t="shared" si="7"/>
        <v>580594.76168156206</v>
      </c>
      <c r="AD24" s="123">
        <f t="shared" si="7"/>
        <v>580594.76168156206</v>
      </c>
      <c r="AE24" s="123">
        <f t="shared" si="7"/>
        <v>580594.76168156206</v>
      </c>
      <c r="AF24" s="123">
        <f t="shared" si="7"/>
        <v>580594.76168156206</v>
      </c>
      <c r="AG24" s="123">
        <f t="shared" si="7"/>
        <v>580594.76168156206</v>
      </c>
      <c r="AH24" s="123">
        <f t="shared" si="7"/>
        <v>580594.76168156206</v>
      </c>
      <c r="AI24" s="123">
        <f t="shared" si="7"/>
        <v>580594.76168156206</v>
      </c>
      <c r="AJ24" s="123">
        <f t="shared" si="7"/>
        <v>580594.76168156206</v>
      </c>
      <c r="AK24" s="123">
        <f t="shared" si="7"/>
        <v>580594.76168156206</v>
      </c>
      <c r="AL24" s="123">
        <f t="shared" si="7"/>
        <v>0</v>
      </c>
      <c r="AM24" s="123">
        <f t="shared" si="7"/>
        <v>1090200.0000000002</v>
      </c>
      <c r="AN24" s="123">
        <f t="shared" si="7"/>
        <v>580594.76168156206</v>
      </c>
      <c r="AO24" s="123">
        <f t="shared" si="7"/>
        <v>580594.76168156206</v>
      </c>
      <c r="AP24" s="123">
        <f t="shared" si="7"/>
        <v>580594.76168156206</v>
      </c>
      <c r="AQ24" s="123">
        <f t="shared" si="7"/>
        <v>580594.76168156206</v>
      </c>
      <c r="AR24" s="123">
        <f t="shared" si="7"/>
        <v>0</v>
      </c>
      <c r="AS24" s="123">
        <f t="shared" si="7"/>
        <v>0</v>
      </c>
      <c r="AT24" s="123">
        <f t="shared" si="7"/>
        <v>0</v>
      </c>
      <c r="AU24" s="123">
        <f t="shared" si="7"/>
        <v>1090200.0000000002</v>
      </c>
      <c r="AV24" s="123">
        <f t="shared" si="7"/>
        <v>580594.76168156206</v>
      </c>
      <c r="AW24" s="123">
        <f t="shared" si="7"/>
        <v>580594.76168156206</v>
      </c>
      <c r="AX24" s="123">
        <f t="shared" si="7"/>
        <v>580594.76168156206</v>
      </c>
      <c r="AY24" s="123">
        <f t="shared" si="7"/>
        <v>580594.76168156206</v>
      </c>
      <c r="AZ24" s="157">
        <f t="shared" si="5"/>
        <v>26382449.900320947</v>
      </c>
    </row>
    <row r="25" spans="1:52" x14ac:dyDescent="0.2">
      <c r="C25" s="154"/>
      <c r="D25" s="154"/>
      <c r="E25" s="154"/>
      <c r="F25" s="154"/>
      <c r="G25" s="154"/>
      <c r="H25" s="154"/>
      <c r="I25" s="154"/>
      <c r="J25" s="154"/>
      <c r="K25" s="154"/>
      <c r="L25" s="154"/>
      <c r="M25" s="154"/>
      <c r="N25" s="154"/>
      <c r="O25" s="154"/>
      <c r="P25" s="154"/>
      <c r="Q25" s="154"/>
      <c r="R25" s="154"/>
      <c r="S25" s="154"/>
      <c r="T25" s="154"/>
      <c r="U25" s="154"/>
      <c r="V25" s="154"/>
      <c r="W25" s="154"/>
      <c r="X25" s="154"/>
      <c r="Y25" s="154"/>
      <c r="Z25" s="154"/>
      <c r="AA25" s="154"/>
      <c r="AB25" s="154"/>
      <c r="AC25" s="154"/>
      <c r="AD25" s="154"/>
      <c r="AE25" s="154"/>
      <c r="AF25" s="154"/>
      <c r="AG25" s="154"/>
      <c r="AH25" s="154"/>
      <c r="AI25" s="154"/>
      <c r="AJ25" s="154"/>
      <c r="AK25" s="154"/>
      <c r="AL25" s="154"/>
      <c r="AM25" s="154"/>
      <c r="AN25" s="154"/>
      <c r="AO25" s="154"/>
      <c r="AP25" s="154"/>
      <c r="AQ25" s="154"/>
      <c r="AR25" s="154"/>
      <c r="AS25" s="154"/>
      <c r="AT25" s="154"/>
      <c r="AU25" s="154"/>
      <c r="AV25" s="154"/>
      <c r="AW25" s="154"/>
      <c r="AX25" s="154"/>
      <c r="AY25" s="154"/>
      <c r="AZ25" s="123"/>
    </row>
    <row r="26" spans="1:52" x14ac:dyDescent="0.2">
      <c r="A26" s="179" t="s">
        <v>18</v>
      </c>
      <c r="C26" s="123"/>
      <c r="D26" s="123"/>
      <c r="E26" s="123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</row>
    <row r="27" spans="1:52" x14ac:dyDescent="0.2">
      <c r="B27" s="151" t="s">
        <v>309</v>
      </c>
      <c r="C27" s="140">
        <v>56</v>
      </c>
      <c r="D27" s="140">
        <f>C$27-C$28+C$29</f>
        <v>-10</v>
      </c>
      <c r="E27" s="140">
        <f t="shared" ref="E27:AY27" si="8">D27-D28+D29</f>
        <v>56</v>
      </c>
      <c r="F27" s="140">
        <f t="shared" si="8"/>
        <v>0</v>
      </c>
      <c r="G27" s="140">
        <f t="shared" si="8"/>
        <v>56</v>
      </c>
      <c r="H27" s="140">
        <f t="shared" si="8"/>
        <v>0</v>
      </c>
      <c r="I27" s="140">
        <f t="shared" si="8"/>
        <v>56</v>
      </c>
      <c r="J27" s="140">
        <f t="shared" si="8"/>
        <v>0</v>
      </c>
      <c r="K27" s="140">
        <f t="shared" si="8"/>
        <v>56</v>
      </c>
      <c r="L27" s="140">
        <f t="shared" si="8"/>
        <v>0</v>
      </c>
      <c r="M27" s="140">
        <f t="shared" si="8"/>
        <v>56</v>
      </c>
      <c r="N27" s="140">
        <f t="shared" si="8"/>
        <v>0</v>
      </c>
      <c r="O27" s="140">
        <f t="shared" si="8"/>
        <v>56</v>
      </c>
      <c r="P27" s="140">
        <f t="shared" si="8"/>
        <v>0</v>
      </c>
      <c r="Q27" s="140">
        <f t="shared" si="8"/>
        <v>56</v>
      </c>
      <c r="R27" s="140">
        <f t="shared" si="8"/>
        <v>0</v>
      </c>
      <c r="S27" s="140">
        <f t="shared" si="8"/>
        <v>56</v>
      </c>
      <c r="T27" s="140">
        <f t="shared" si="8"/>
        <v>0</v>
      </c>
      <c r="U27" s="140">
        <f t="shared" si="8"/>
        <v>56</v>
      </c>
      <c r="V27" s="140">
        <f t="shared" si="8"/>
        <v>0</v>
      </c>
      <c r="W27" s="140">
        <f t="shared" si="8"/>
        <v>56</v>
      </c>
      <c r="X27" s="140">
        <f t="shared" si="8"/>
        <v>0</v>
      </c>
      <c r="Y27" s="140">
        <f t="shared" si="8"/>
        <v>56</v>
      </c>
      <c r="Z27" s="140">
        <f t="shared" si="8"/>
        <v>0</v>
      </c>
      <c r="AA27" s="140">
        <f t="shared" si="8"/>
        <v>56</v>
      </c>
      <c r="AB27" s="140">
        <f t="shared" si="8"/>
        <v>0</v>
      </c>
      <c r="AC27" s="140">
        <f t="shared" si="8"/>
        <v>56</v>
      </c>
      <c r="AD27" s="140">
        <f t="shared" si="8"/>
        <v>0</v>
      </c>
      <c r="AE27" s="140">
        <f t="shared" si="8"/>
        <v>56</v>
      </c>
      <c r="AF27" s="140">
        <f t="shared" si="8"/>
        <v>0</v>
      </c>
      <c r="AG27" s="140">
        <f t="shared" si="8"/>
        <v>56</v>
      </c>
      <c r="AH27" s="140">
        <f t="shared" si="8"/>
        <v>0</v>
      </c>
      <c r="AI27" s="140">
        <f t="shared" si="8"/>
        <v>56</v>
      </c>
      <c r="AJ27" s="140">
        <f t="shared" si="8"/>
        <v>0</v>
      </c>
      <c r="AK27" s="140">
        <f t="shared" si="8"/>
        <v>56</v>
      </c>
      <c r="AL27" s="140">
        <f t="shared" si="8"/>
        <v>0</v>
      </c>
      <c r="AM27" s="140">
        <f t="shared" si="8"/>
        <v>56</v>
      </c>
      <c r="AN27" s="140">
        <f t="shared" si="8"/>
        <v>0</v>
      </c>
      <c r="AO27" s="140">
        <f t="shared" si="8"/>
        <v>56</v>
      </c>
      <c r="AP27" s="140">
        <f t="shared" si="8"/>
        <v>0</v>
      </c>
      <c r="AQ27" s="140">
        <f t="shared" si="8"/>
        <v>56</v>
      </c>
      <c r="AR27" s="140">
        <f t="shared" si="8"/>
        <v>0</v>
      </c>
      <c r="AS27" s="140">
        <f t="shared" si="8"/>
        <v>56</v>
      </c>
      <c r="AT27" s="140">
        <f t="shared" si="8"/>
        <v>56</v>
      </c>
      <c r="AU27" s="140">
        <f t="shared" si="8"/>
        <v>56</v>
      </c>
      <c r="AV27" s="140">
        <f t="shared" si="8"/>
        <v>0</v>
      </c>
      <c r="AW27" s="140">
        <f t="shared" si="8"/>
        <v>56</v>
      </c>
      <c r="AX27" s="140">
        <f t="shared" si="8"/>
        <v>0</v>
      </c>
      <c r="AY27" s="180">
        <f t="shared" si="8"/>
        <v>56</v>
      </c>
      <c r="AZ27" s="123"/>
    </row>
    <row r="28" spans="1:52" x14ac:dyDescent="0.2">
      <c r="B28" s="181" t="s">
        <v>310</v>
      </c>
      <c r="C28" s="127">
        <v>66</v>
      </c>
      <c r="D28" s="127">
        <v>0</v>
      </c>
      <c r="E28" s="127">
        <v>56</v>
      </c>
      <c r="F28" s="127">
        <v>0</v>
      </c>
      <c r="G28" s="127">
        <v>56</v>
      </c>
      <c r="H28" s="127">
        <v>0</v>
      </c>
      <c r="I28" s="127">
        <v>56</v>
      </c>
      <c r="J28" s="127">
        <v>0</v>
      </c>
      <c r="K28" s="127">
        <v>56</v>
      </c>
      <c r="L28" s="127">
        <v>0</v>
      </c>
      <c r="M28" s="127">
        <v>56</v>
      </c>
      <c r="N28" s="127">
        <v>0</v>
      </c>
      <c r="O28" s="127">
        <v>56</v>
      </c>
      <c r="P28" s="127">
        <v>0</v>
      </c>
      <c r="Q28" s="127">
        <v>56</v>
      </c>
      <c r="R28" s="127">
        <v>0</v>
      </c>
      <c r="S28" s="127">
        <v>56</v>
      </c>
      <c r="T28" s="127">
        <v>0</v>
      </c>
      <c r="U28" s="127">
        <v>56</v>
      </c>
      <c r="V28" s="127">
        <v>0</v>
      </c>
      <c r="W28" s="127">
        <v>56</v>
      </c>
      <c r="X28" s="127">
        <v>0</v>
      </c>
      <c r="Y28" s="127">
        <v>56</v>
      </c>
      <c r="Z28" s="127">
        <v>0</v>
      </c>
      <c r="AA28" s="127">
        <v>56</v>
      </c>
      <c r="AB28" s="127">
        <v>0</v>
      </c>
      <c r="AC28" s="127">
        <v>56</v>
      </c>
      <c r="AD28" s="127">
        <v>0</v>
      </c>
      <c r="AE28" s="127">
        <v>56</v>
      </c>
      <c r="AF28" s="127">
        <v>0</v>
      </c>
      <c r="AG28" s="127">
        <v>56</v>
      </c>
      <c r="AH28" s="127">
        <v>0</v>
      </c>
      <c r="AI28" s="127">
        <v>56</v>
      </c>
      <c r="AJ28" s="127">
        <v>0</v>
      </c>
      <c r="AK28" s="127">
        <v>56</v>
      </c>
      <c r="AL28" s="127">
        <v>0</v>
      </c>
      <c r="AM28" s="127">
        <v>56</v>
      </c>
      <c r="AN28" s="127">
        <v>0</v>
      </c>
      <c r="AO28" s="127">
        <v>56</v>
      </c>
      <c r="AP28" s="127">
        <v>0</v>
      </c>
      <c r="AQ28" s="127">
        <v>56</v>
      </c>
      <c r="AR28" s="127">
        <v>0</v>
      </c>
      <c r="AS28" s="127">
        <v>0</v>
      </c>
      <c r="AT28" s="127">
        <v>0</v>
      </c>
      <c r="AU28" s="127">
        <v>56</v>
      </c>
      <c r="AV28" s="127">
        <v>0</v>
      </c>
      <c r="AW28" s="127">
        <v>56</v>
      </c>
      <c r="AX28" s="127">
        <v>0</v>
      </c>
      <c r="AY28" s="182">
        <v>56</v>
      </c>
      <c r="AZ28" s="123"/>
    </row>
    <row r="29" spans="1:52" x14ac:dyDescent="0.2">
      <c r="B29" s="152" t="s">
        <v>311</v>
      </c>
      <c r="C29" s="141">
        <v>0</v>
      </c>
      <c r="D29" s="141">
        <f>C$28</f>
        <v>66</v>
      </c>
      <c r="E29" s="141">
        <f t="shared" ref="E29:AY29" si="9">D$28</f>
        <v>0</v>
      </c>
      <c r="F29" s="141">
        <f t="shared" si="9"/>
        <v>56</v>
      </c>
      <c r="G29" s="141">
        <f t="shared" si="9"/>
        <v>0</v>
      </c>
      <c r="H29" s="141">
        <f t="shared" si="9"/>
        <v>56</v>
      </c>
      <c r="I29" s="141">
        <f t="shared" si="9"/>
        <v>0</v>
      </c>
      <c r="J29" s="141">
        <f t="shared" si="9"/>
        <v>56</v>
      </c>
      <c r="K29" s="141">
        <f t="shared" si="9"/>
        <v>0</v>
      </c>
      <c r="L29" s="141">
        <f t="shared" si="9"/>
        <v>56</v>
      </c>
      <c r="M29" s="141">
        <f t="shared" si="9"/>
        <v>0</v>
      </c>
      <c r="N29" s="141">
        <f t="shared" si="9"/>
        <v>56</v>
      </c>
      <c r="O29" s="141">
        <f t="shared" si="9"/>
        <v>0</v>
      </c>
      <c r="P29" s="141">
        <f t="shared" si="9"/>
        <v>56</v>
      </c>
      <c r="Q29" s="141">
        <f t="shared" si="9"/>
        <v>0</v>
      </c>
      <c r="R29" s="141">
        <f t="shared" si="9"/>
        <v>56</v>
      </c>
      <c r="S29" s="141">
        <f t="shared" si="9"/>
        <v>0</v>
      </c>
      <c r="T29" s="141">
        <f t="shared" si="9"/>
        <v>56</v>
      </c>
      <c r="U29" s="141">
        <f t="shared" si="9"/>
        <v>0</v>
      </c>
      <c r="V29" s="141">
        <f t="shared" si="9"/>
        <v>56</v>
      </c>
      <c r="W29" s="141">
        <f t="shared" si="9"/>
        <v>0</v>
      </c>
      <c r="X29" s="141">
        <f t="shared" si="9"/>
        <v>56</v>
      </c>
      <c r="Y29" s="141">
        <f t="shared" si="9"/>
        <v>0</v>
      </c>
      <c r="Z29" s="141">
        <f t="shared" si="9"/>
        <v>56</v>
      </c>
      <c r="AA29" s="141">
        <f t="shared" si="9"/>
        <v>0</v>
      </c>
      <c r="AB29" s="141">
        <f t="shared" si="9"/>
        <v>56</v>
      </c>
      <c r="AC29" s="141">
        <f t="shared" si="9"/>
        <v>0</v>
      </c>
      <c r="AD29" s="141">
        <f t="shared" si="9"/>
        <v>56</v>
      </c>
      <c r="AE29" s="141">
        <f t="shared" si="9"/>
        <v>0</v>
      </c>
      <c r="AF29" s="141">
        <f t="shared" si="9"/>
        <v>56</v>
      </c>
      <c r="AG29" s="141">
        <f t="shared" si="9"/>
        <v>0</v>
      </c>
      <c r="AH29" s="141">
        <f t="shared" si="9"/>
        <v>56</v>
      </c>
      <c r="AI29" s="141">
        <f t="shared" si="9"/>
        <v>0</v>
      </c>
      <c r="AJ29" s="141">
        <f t="shared" si="9"/>
        <v>56</v>
      </c>
      <c r="AK29" s="141">
        <f t="shared" si="9"/>
        <v>0</v>
      </c>
      <c r="AL29" s="141">
        <f t="shared" si="9"/>
        <v>56</v>
      </c>
      <c r="AM29" s="141">
        <f t="shared" si="9"/>
        <v>0</v>
      </c>
      <c r="AN29" s="141">
        <f t="shared" si="9"/>
        <v>56</v>
      </c>
      <c r="AO29" s="141">
        <f t="shared" si="9"/>
        <v>0</v>
      </c>
      <c r="AP29" s="141">
        <f t="shared" si="9"/>
        <v>56</v>
      </c>
      <c r="AQ29" s="141">
        <f t="shared" si="9"/>
        <v>0</v>
      </c>
      <c r="AR29" s="141">
        <f t="shared" si="9"/>
        <v>56</v>
      </c>
      <c r="AS29" s="141">
        <f t="shared" si="9"/>
        <v>0</v>
      </c>
      <c r="AT29" s="141">
        <f t="shared" si="9"/>
        <v>0</v>
      </c>
      <c r="AU29" s="141">
        <f t="shared" si="9"/>
        <v>0</v>
      </c>
      <c r="AV29" s="141">
        <f t="shared" si="9"/>
        <v>56</v>
      </c>
      <c r="AW29" s="141">
        <f t="shared" si="9"/>
        <v>0</v>
      </c>
      <c r="AX29" s="141">
        <f t="shared" si="9"/>
        <v>56</v>
      </c>
      <c r="AY29" s="183">
        <f t="shared" si="9"/>
        <v>0</v>
      </c>
      <c r="AZ29" s="184"/>
    </row>
    <row r="30" spans="1:52" x14ac:dyDescent="0.2">
      <c r="A30" s="185" t="s">
        <v>312</v>
      </c>
      <c r="B30" s="160">
        <v>10</v>
      </c>
      <c r="C30" s="133" t="s">
        <v>293</v>
      </c>
      <c r="D30" s="133">
        <f>D$27*$B$30</f>
        <v>-100</v>
      </c>
      <c r="E30" s="133">
        <f t="shared" ref="E30:AY30" si="10">E$27*$B$30</f>
        <v>560</v>
      </c>
      <c r="F30" s="133">
        <f t="shared" si="10"/>
        <v>0</v>
      </c>
      <c r="G30" s="133">
        <f t="shared" si="10"/>
        <v>560</v>
      </c>
      <c r="H30" s="133">
        <f t="shared" si="10"/>
        <v>0</v>
      </c>
      <c r="I30" s="133">
        <f t="shared" si="10"/>
        <v>560</v>
      </c>
      <c r="J30" s="133">
        <f t="shared" si="10"/>
        <v>0</v>
      </c>
      <c r="K30" s="133">
        <f t="shared" si="10"/>
        <v>560</v>
      </c>
      <c r="L30" s="133">
        <f t="shared" si="10"/>
        <v>0</v>
      </c>
      <c r="M30" s="133">
        <f t="shared" si="10"/>
        <v>560</v>
      </c>
      <c r="N30" s="133">
        <f t="shared" si="10"/>
        <v>0</v>
      </c>
      <c r="O30" s="133">
        <f t="shared" si="10"/>
        <v>560</v>
      </c>
      <c r="P30" s="133">
        <f t="shared" si="10"/>
        <v>0</v>
      </c>
      <c r="Q30" s="133">
        <f t="shared" si="10"/>
        <v>560</v>
      </c>
      <c r="R30" s="133">
        <f>R$27*$B$30</f>
        <v>0</v>
      </c>
      <c r="S30" s="133">
        <f t="shared" si="10"/>
        <v>560</v>
      </c>
      <c r="T30" s="133">
        <f t="shared" si="10"/>
        <v>0</v>
      </c>
      <c r="U30" s="133">
        <f t="shared" si="10"/>
        <v>560</v>
      </c>
      <c r="V30" s="133">
        <f t="shared" si="10"/>
        <v>0</v>
      </c>
      <c r="W30" s="133">
        <f t="shared" si="10"/>
        <v>560</v>
      </c>
      <c r="X30" s="133">
        <f t="shared" si="10"/>
        <v>0</v>
      </c>
      <c r="Y30" s="133">
        <f t="shared" si="10"/>
        <v>560</v>
      </c>
      <c r="Z30" s="133">
        <f t="shared" si="10"/>
        <v>0</v>
      </c>
      <c r="AA30" s="133">
        <f t="shared" si="10"/>
        <v>560</v>
      </c>
      <c r="AB30" s="133">
        <f t="shared" si="10"/>
        <v>0</v>
      </c>
      <c r="AC30" s="133">
        <f t="shared" si="10"/>
        <v>560</v>
      </c>
      <c r="AD30" s="133">
        <f t="shared" si="10"/>
        <v>0</v>
      </c>
      <c r="AE30" s="133">
        <f>AE$27*$B$30</f>
        <v>560</v>
      </c>
      <c r="AF30" s="133">
        <f t="shared" si="10"/>
        <v>0</v>
      </c>
      <c r="AG30" s="133">
        <f t="shared" si="10"/>
        <v>560</v>
      </c>
      <c r="AH30" s="133">
        <f t="shared" si="10"/>
        <v>0</v>
      </c>
      <c r="AI30" s="133">
        <f t="shared" si="10"/>
        <v>560</v>
      </c>
      <c r="AJ30" s="133">
        <f t="shared" si="10"/>
        <v>0</v>
      </c>
      <c r="AK30" s="133">
        <f t="shared" si="10"/>
        <v>560</v>
      </c>
      <c r="AL30" s="133">
        <f t="shared" si="10"/>
        <v>0</v>
      </c>
      <c r="AM30" s="133">
        <f t="shared" si="10"/>
        <v>560</v>
      </c>
      <c r="AN30" s="133">
        <f t="shared" si="10"/>
        <v>0</v>
      </c>
      <c r="AO30" s="133">
        <f t="shared" si="10"/>
        <v>560</v>
      </c>
      <c r="AP30" s="133">
        <f t="shared" si="10"/>
        <v>0</v>
      </c>
      <c r="AQ30" s="133">
        <f t="shared" si="10"/>
        <v>560</v>
      </c>
      <c r="AR30" s="133">
        <f t="shared" si="10"/>
        <v>0</v>
      </c>
      <c r="AS30" s="133">
        <f t="shared" si="10"/>
        <v>560</v>
      </c>
      <c r="AT30" s="133">
        <f t="shared" si="10"/>
        <v>560</v>
      </c>
      <c r="AU30" s="133">
        <f t="shared" si="10"/>
        <v>560</v>
      </c>
      <c r="AV30" s="133">
        <f t="shared" si="10"/>
        <v>0</v>
      </c>
      <c r="AW30" s="133">
        <f t="shared" si="10"/>
        <v>560</v>
      </c>
      <c r="AX30" s="133">
        <f t="shared" si="10"/>
        <v>0</v>
      </c>
      <c r="AY30" s="133">
        <f t="shared" si="10"/>
        <v>560</v>
      </c>
      <c r="AZ30" s="157">
        <f t="shared" si="5"/>
        <v>13900</v>
      </c>
    </row>
    <row r="32" spans="1:52" x14ac:dyDescent="0.2">
      <c r="A32" s="1" t="s">
        <v>300</v>
      </c>
    </row>
    <row r="33" spans="1:52" x14ac:dyDescent="0.2">
      <c r="A33" s="151" t="s">
        <v>22</v>
      </c>
      <c r="B33" s="151" t="s">
        <v>341</v>
      </c>
      <c r="C33" s="140"/>
      <c r="D33" s="140">
        <f>D$21*shipping_manufacturing!$H$27/100</f>
        <v>0</v>
      </c>
      <c r="E33" s="140">
        <f>E$21*shipping_manufacturing!$H$27/100</f>
        <v>0</v>
      </c>
      <c r="F33" s="140">
        <f>F$21*shipping_manufacturing!$H$27/100</f>
        <v>0</v>
      </c>
      <c r="G33" s="140">
        <f>G$21*shipping_manufacturing!$H$27/100</f>
        <v>0</v>
      </c>
      <c r="H33" s="140">
        <f>H$21*shipping_manufacturing!$H$27/100</f>
        <v>0</v>
      </c>
      <c r="I33" s="140">
        <f>I$21*shipping_manufacturing!$H$27/100</f>
        <v>0</v>
      </c>
      <c r="J33" s="140">
        <f>J$21*shipping_manufacturing!$H$27/100</f>
        <v>0</v>
      </c>
      <c r="K33" s="140">
        <f>K$21*shipping_manufacturing!$H$27/100</f>
        <v>0</v>
      </c>
      <c r="L33" s="140">
        <f>L$21*shipping_manufacturing!$H$27/100</f>
        <v>0</v>
      </c>
      <c r="M33" s="140">
        <f>M$21*shipping_manufacturing!$H$27/100</f>
        <v>0</v>
      </c>
      <c r="N33" s="140">
        <f>N$21*shipping_manufacturing!$H$27/100</f>
        <v>0</v>
      </c>
      <c r="O33" s="140">
        <f>O$21*shipping_manufacturing!$H$27/100</f>
        <v>0</v>
      </c>
      <c r="P33" s="140">
        <f>P$21*shipping_manufacturing!$H$27/100</f>
        <v>0</v>
      </c>
      <c r="Q33" s="140">
        <f>Q$21*shipping_manufacturing!$H$27/100</f>
        <v>0</v>
      </c>
      <c r="R33" s="140">
        <f>R$21*shipping_manufacturing!$H$27/100</f>
        <v>0</v>
      </c>
      <c r="S33" s="140">
        <f>S$21*shipping_manufacturing!$H$27/100</f>
        <v>0</v>
      </c>
      <c r="T33" s="140">
        <f>T$21*shipping_manufacturing!$H$27/100</f>
        <v>0</v>
      </c>
      <c r="U33" s="140">
        <f>U$21*shipping_manufacturing!$H$27/100</f>
        <v>0</v>
      </c>
      <c r="V33" s="140">
        <f>V$21*shipping_manufacturing!$H$27/100</f>
        <v>0</v>
      </c>
      <c r="W33" s="140">
        <f>W$21*shipping_manufacturing!$H$27/100</f>
        <v>0</v>
      </c>
      <c r="X33" s="140">
        <f>X$21*shipping_manufacturing!$H$27/100</f>
        <v>0</v>
      </c>
      <c r="Y33" s="140">
        <f>Y$21*shipping_manufacturing!$H$27/100</f>
        <v>0</v>
      </c>
      <c r="Z33" s="140">
        <f>Z$21*shipping_manufacturing!$H$27/100</f>
        <v>0</v>
      </c>
      <c r="AA33" s="140">
        <f>AA$21*shipping_manufacturing!$H$27/100</f>
        <v>0</v>
      </c>
      <c r="AB33" s="140">
        <f>AB$21*shipping_manufacturing!$H$27/100</f>
        <v>0</v>
      </c>
      <c r="AC33" s="140">
        <f>AC$21*shipping_manufacturing!$H$27/100</f>
        <v>0</v>
      </c>
      <c r="AD33" s="140">
        <f>AD$21*shipping_manufacturing!$H$27/100</f>
        <v>0</v>
      </c>
      <c r="AE33" s="140">
        <f>AE$21*shipping_manufacturing!$H$27/100</f>
        <v>0</v>
      </c>
      <c r="AF33" s="140">
        <f>AF$21*shipping_manufacturing!$H$27/100</f>
        <v>0</v>
      </c>
      <c r="AG33" s="140">
        <f>AG$21*shipping_manufacturing!$H$27/100</f>
        <v>0</v>
      </c>
      <c r="AH33" s="140">
        <f>AH$21*shipping_manufacturing!$H$27/100</f>
        <v>0</v>
      </c>
      <c r="AI33" s="140">
        <f>AI$21*shipping_manufacturing!$H$27/100</f>
        <v>0</v>
      </c>
      <c r="AJ33" s="140">
        <f>AJ$21*shipping_manufacturing!$H$27/100</f>
        <v>0</v>
      </c>
      <c r="AK33" s="140">
        <f>AK$21*shipping_manufacturing!$H$27/100</f>
        <v>0</v>
      </c>
      <c r="AL33" s="140">
        <f>AL$21*shipping_manufacturing!$H$27/100</f>
        <v>0</v>
      </c>
      <c r="AM33" s="140">
        <f>AM$21*shipping_manufacturing!$H$27/100</f>
        <v>0</v>
      </c>
      <c r="AN33" s="140">
        <f>AN$21*shipping_manufacturing!$H$27/100</f>
        <v>0</v>
      </c>
      <c r="AO33" s="140">
        <f>AO$21*shipping_manufacturing!$H$27/100</f>
        <v>0</v>
      </c>
      <c r="AP33" s="140">
        <f>AP$21*shipping_manufacturing!$H$27/100</f>
        <v>0</v>
      </c>
      <c r="AQ33" s="140">
        <f>AQ$21*shipping_manufacturing!$H$27/100</f>
        <v>0</v>
      </c>
      <c r="AR33" s="140">
        <f>AR$21*shipping_manufacturing!$H$27/100</f>
        <v>0</v>
      </c>
      <c r="AS33" s="140">
        <f>AS$21*shipping_manufacturing!$H$27/100</f>
        <v>0</v>
      </c>
      <c r="AT33" s="140">
        <f>AT$21*shipping_manufacturing!$H$27/100</f>
        <v>0</v>
      </c>
      <c r="AU33" s="140">
        <f>AU$21*shipping_manufacturing!$H$27/100</f>
        <v>0</v>
      </c>
      <c r="AV33" s="140">
        <f>AV$21*shipping_manufacturing!$H$27/100</f>
        <v>0</v>
      </c>
      <c r="AW33" s="140">
        <f>AW$21*shipping_manufacturing!$H$27/100</f>
        <v>0</v>
      </c>
      <c r="AX33" s="140">
        <f>AX$21*shipping_manufacturing!$H$27/100</f>
        <v>0</v>
      </c>
      <c r="AY33" s="140">
        <f>AY$21*shipping_manufacturing!$H$27/100</f>
        <v>0</v>
      </c>
    </row>
    <row r="34" spans="1:52" x14ac:dyDescent="0.2">
      <c r="A34" s="129" t="s">
        <v>340</v>
      </c>
      <c r="B34" s="181" t="s">
        <v>342</v>
      </c>
      <c r="C34" s="127"/>
      <c r="D34" s="127">
        <f>D$22*shipping_manufacturing!$I$27/100</f>
        <v>0</v>
      </c>
      <c r="E34" s="127">
        <f>E$22*shipping_manufacturing!$I$27/100</f>
        <v>0</v>
      </c>
      <c r="F34" s="127">
        <f>F$22*shipping_manufacturing!$I$27/100</f>
        <v>0</v>
      </c>
      <c r="G34" s="127">
        <f>G$22*shipping_manufacturing!$I$27/100</f>
        <v>0</v>
      </c>
      <c r="H34" s="127">
        <f>H$22*shipping_manufacturing!$I$27/100</f>
        <v>0</v>
      </c>
      <c r="I34" s="127">
        <f>I$22*shipping_manufacturing!$I$27/100</f>
        <v>0</v>
      </c>
      <c r="J34" s="127">
        <f>J$22*shipping_manufacturing!$I$27/100</f>
        <v>0</v>
      </c>
      <c r="K34" s="127">
        <f>K$22*shipping_manufacturing!$I$27/100</f>
        <v>0</v>
      </c>
      <c r="L34" s="127">
        <f>L$22*shipping_manufacturing!$I$27/100</f>
        <v>0</v>
      </c>
      <c r="M34" s="127">
        <f>M$22*shipping_manufacturing!$I$27/100</f>
        <v>0</v>
      </c>
      <c r="N34" s="127">
        <f>N$22*shipping_manufacturing!$I$27/100</f>
        <v>0</v>
      </c>
      <c r="O34" s="127">
        <f>O$22*shipping_manufacturing!$I$27/100</f>
        <v>0</v>
      </c>
      <c r="P34" s="127">
        <f>P$22*shipping_manufacturing!$I$27/100</f>
        <v>0</v>
      </c>
      <c r="Q34" s="127">
        <f>Q$22*shipping_manufacturing!$I$27/100</f>
        <v>0</v>
      </c>
      <c r="R34" s="127">
        <f>R$22*shipping_manufacturing!$I$27/100</f>
        <v>0</v>
      </c>
      <c r="S34" s="127">
        <f>S$22*shipping_manufacturing!$I$27/100</f>
        <v>0</v>
      </c>
      <c r="T34" s="127">
        <f>T$22*shipping_manufacturing!$I$27/100</f>
        <v>0</v>
      </c>
      <c r="U34" s="127">
        <f>U$22*shipping_manufacturing!$I$27/100</f>
        <v>0</v>
      </c>
      <c r="V34" s="127">
        <f>V$22*shipping_manufacturing!$I$27/100</f>
        <v>0</v>
      </c>
      <c r="W34" s="127">
        <f>W$22*shipping_manufacturing!$I$27/100</f>
        <v>0</v>
      </c>
      <c r="X34" s="127">
        <f>X$22*shipping_manufacturing!$I$27/100</f>
        <v>0</v>
      </c>
      <c r="Y34" s="127">
        <f>Y$22*shipping_manufacturing!$I$27/100</f>
        <v>0</v>
      </c>
      <c r="Z34" s="127">
        <f>Z$22*shipping_manufacturing!$I$27/100</f>
        <v>0</v>
      </c>
      <c r="AA34" s="127">
        <f>AA$22*shipping_manufacturing!$I$27/100</f>
        <v>0</v>
      </c>
      <c r="AB34" s="127">
        <f>AB$22*shipping_manufacturing!$I$27/100</f>
        <v>0</v>
      </c>
      <c r="AC34" s="127">
        <f>AC$22*shipping_manufacturing!$I$27/100</f>
        <v>0</v>
      </c>
      <c r="AD34" s="127">
        <f>AD$22*shipping_manufacturing!$I$27/100</f>
        <v>0</v>
      </c>
      <c r="AE34" s="127">
        <f>AE$22*shipping_manufacturing!$I$27/100</f>
        <v>0</v>
      </c>
      <c r="AF34" s="127">
        <f>AF$22*shipping_manufacturing!$I$27/100</f>
        <v>0</v>
      </c>
      <c r="AG34" s="127">
        <f>AG$22*shipping_manufacturing!$I$27/100</f>
        <v>0</v>
      </c>
      <c r="AH34" s="127">
        <f>AH$22*shipping_manufacturing!$I$27/100</f>
        <v>0</v>
      </c>
      <c r="AI34" s="127">
        <f>AI$22*shipping_manufacturing!$I$27/100</f>
        <v>0</v>
      </c>
      <c r="AJ34" s="127">
        <f>AJ$22*shipping_manufacturing!$I$27/100</f>
        <v>0</v>
      </c>
      <c r="AK34" s="127">
        <f>AK$22*shipping_manufacturing!$I$27/100</f>
        <v>0</v>
      </c>
      <c r="AL34" s="127">
        <f>AL$22*shipping_manufacturing!$I$27/100</f>
        <v>0</v>
      </c>
      <c r="AM34" s="127">
        <f>AM$22*shipping_manufacturing!$I$27/100</f>
        <v>0</v>
      </c>
      <c r="AN34" s="127">
        <f>AN$22*shipping_manufacturing!$I$27/100</f>
        <v>0</v>
      </c>
      <c r="AO34" s="127">
        <f>AO$22*shipping_manufacturing!$I$27/100</f>
        <v>0</v>
      </c>
      <c r="AP34" s="127">
        <f>AP$22*shipping_manufacturing!$I$27/100</f>
        <v>0</v>
      </c>
      <c r="AQ34" s="127">
        <f>AQ$22*shipping_manufacturing!$I$27/100</f>
        <v>0</v>
      </c>
      <c r="AR34" s="127">
        <f>AR$22*shipping_manufacturing!$I$27/100</f>
        <v>0</v>
      </c>
      <c r="AS34" s="127">
        <f>AS$22*shipping_manufacturing!$I$27/100</f>
        <v>0</v>
      </c>
      <c r="AT34" s="127">
        <f>AT$22*shipping_manufacturing!$I$27/100</f>
        <v>0</v>
      </c>
      <c r="AU34" s="127">
        <f>AU$22*shipping_manufacturing!$I$27/100</f>
        <v>0</v>
      </c>
      <c r="AV34" s="127">
        <f>AV$22*shipping_manufacturing!$I$27/100</f>
        <v>0</v>
      </c>
      <c r="AW34" s="127">
        <f>AW$22*shipping_manufacturing!$I$27/100</f>
        <v>0</v>
      </c>
      <c r="AX34" s="127">
        <f>AX$22*shipping_manufacturing!$I$27/100</f>
        <v>0</v>
      </c>
      <c r="AY34" s="127">
        <f>AY$22*shipping_manufacturing!$I$27/100</f>
        <v>0</v>
      </c>
    </row>
    <row r="35" spans="1:52" x14ac:dyDescent="0.2">
      <c r="A35" s="127">
        <v>1245</v>
      </c>
      <c r="B35" s="181" t="s">
        <v>343</v>
      </c>
      <c r="C35" s="127"/>
      <c r="D35" s="127">
        <f>SUM(D33:D34)</f>
        <v>0</v>
      </c>
      <c r="E35" s="127">
        <f t="shared" ref="E35:AY35" si="11">SUM(E33:E34)</f>
        <v>0</v>
      </c>
      <c r="F35" s="127">
        <f t="shared" si="11"/>
        <v>0</v>
      </c>
      <c r="G35" s="127">
        <f t="shared" si="11"/>
        <v>0</v>
      </c>
      <c r="H35" s="127">
        <f t="shared" si="11"/>
        <v>0</v>
      </c>
      <c r="I35" s="127">
        <f t="shared" si="11"/>
        <v>0</v>
      </c>
      <c r="J35" s="127">
        <f t="shared" si="11"/>
        <v>0</v>
      </c>
      <c r="K35" s="127">
        <f t="shared" si="11"/>
        <v>0</v>
      </c>
      <c r="L35" s="127">
        <f t="shared" si="11"/>
        <v>0</v>
      </c>
      <c r="M35" s="127">
        <f t="shared" si="11"/>
        <v>0</v>
      </c>
      <c r="N35" s="127">
        <f t="shared" si="11"/>
        <v>0</v>
      </c>
      <c r="O35" s="127">
        <f t="shared" si="11"/>
        <v>0</v>
      </c>
      <c r="P35" s="127">
        <f t="shared" si="11"/>
        <v>0</v>
      </c>
      <c r="Q35" s="127">
        <f t="shared" si="11"/>
        <v>0</v>
      </c>
      <c r="R35" s="127">
        <f t="shared" si="11"/>
        <v>0</v>
      </c>
      <c r="S35" s="127">
        <f t="shared" si="11"/>
        <v>0</v>
      </c>
      <c r="T35" s="127">
        <f t="shared" si="11"/>
        <v>0</v>
      </c>
      <c r="U35" s="127">
        <f t="shared" si="11"/>
        <v>0</v>
      </c>
      <c r="V35" s="127">
        <f t="shared" si="11"/>
        <v>0</v>
      </c>
      <c r="W35" s="127">
        <f t="shared" si="11"/>
        <v>0</v>
      </c>
      <c r="X35" s="127">
        <f t="shared" si="11"/>
        <v>0</v>
      </c>
      <c r="Y35" s="127">
        <f t="shared" si="11"/>
        <v>0</v>
      </c>
      <c r="Z35" s="127">
        <f t="shared" si="11"/>
        <v>0</v>
      </c>
      <c r="AA35" s="127">
        <f t="shared" si="11"/>
        <v>0</v>
      </c>
      <c r="AB35" s="127">
        <f t="shared" si="11"/>
        <v>0</v>
      </c>
      <c r="AC35" s="127">
        <f t="shared" si="11"/>
        <v>0</v>
      </c>
      <c r="AD35" s="127">
        <f t="shared" si="11"/>
        <v>0</v>
      </c>
      <c r="AE35" s="127">
        <f t="shared" si="11"/>
        <v>0</v>
      </c>
      <c r="AF35" s="127">
        <f t="shared" si="11"/>
        <v>0</v>
      </c>
      <c r="AG35" s="127">
        <f t="shared" si="11"/>
        <v>0</v>
      </c>
      <c r="AH35" s="127">
        <f t="shared" si="11"/>
        <v>0</v>
      </c>
      <c r="AI35" s="127">
        <f t="shared" si="11"/>
        <v>0</v>
      </c>
      <c r="AJ35" s="127">
        <f t="shared" si="11"/>
        <v>0</v>
      </c>
      <c r="AK35" s="127">
        <f t="shared" si="11"/>
        <v>0</v>
      </c>
      <c r="AL35" s="127">
        <f t="shared" si="11"/>
        <v>0</v>
      </c>
      <c r="AM35" s="127">
        <f t="shared" si="11"/>
        <v>0</v>
      </c>
      <c r="AN35" s="127">
        <f t="shared" si="11"/>
        <v>0</v>
      </c>
      <c r="AO35" s="127">
        <f t="shared" si="11"/>
        <v>0</v>
      </c>
      <c r="AP35" s="127">
        <f t="shared" si="11"/>
        <v>0</v>
      </c>
      <c r="AQ35" s="127">
        <f t="shared" si="11"/>
        <v>0</v>
      </c>
      <c r="AR35" s="127">
        <f t="shared" si="11"/>
        <v>0</v>
      </c>
      <c r="AS35" s="127">
        <f t="shared" si="11"/>
        <v>0</v>
      </c>
      <c r="AT35" s="127">
        <f t="shared" si="11"/>
        <v>0</v>
      </c>
      <c r="AU35" s="127">
        <f t="shared" si="11"/>
        <v>0</v>
      </c>
      <c r="AV35" s="127">
        <f t="shared" si="11"/>
        <v>0</v>
      </c>
      <c r="AW35" s="127">
        <f t="shared" si="11"/>
        <v>0</v>
      </c>
      <c r="AX35" s="127">
        <f t="shared" si="11"/>
        <v>0</v>
      </c>
      <c r="AY35" s="127">
        <f t="shared" si="11"/>
        <v>0</v>
      </c>
    </row>
    <row r="36" spans="1:52" x14ac:dyDescent="0.2">
      <c r="A36" s="127"/>
      <c r="B36" s="181" t="s">
        <v>344</v>
      </c>
      <c r="C36" s="127"/>
      <c r="D36" s="127"/>
      <c r="E36" s="127"/>
      <c r="F36" s="127"/>
      <c r="G36" s="127"/>
      <c r="H36" s="127"/>
      <c r="I36" s="127"/>
      <c r="J36" s="127"/>
      <c r="K36" s="127"/>
      <c r="L36" s="127"/>
      <c r="M36" s="127"/>
      <c r="N36" s="127"/>
      <c r="O36" s="127"/>
      <c r="P36" s="127"/>
      <c r="Q36" s="127"/>
      <c r="R36" s="127"/>
      <c r="S36" s="127"/>
      <c r="T36" s="127"/>
      <c r="U36" s="127"/>
      <c r="V36" s="127"/>
      <c r="W36" s="127"/>
      <c r="X36" s="127"/>
      <c r="Y36" s="127"/>
      <c r="Z36" s="127"/>
      <c r="AA36" s="127"/>
      <c r="AB36" s="127"/>
      <c r="AC36" s="127"/>
      <c r="AD36" s="127"/>
      <c r="AE36" s="127"/>
      <c r="AF36" s="127"/>
      <c r="AG36" s="127"/>
      <c r="AH36" s="127"/>
      <c r="AI36" s="127"/>
      <c r="AJ36" s="127"/>
      <c r="AK36" s="127"/>
      <c r="AL36" s="127"/>
      <c r="AM36" s="127"/>
      <c r="AN36" s="127"/>
      <c r="AO36" s="127"/>
      <c r="AP36" s="127"/>
      <c r="AQ36" s="127"/>
      <c r="AR36" s="127"/>
      <c r="AS36" s="127"/>
      <c r="AT36" s="127"/>
      <c r="AU36" s="127"/>
      <c r="AV36" s="127"/>
      <c r="AW36" s="127"/>
      <c r="AX36" s="127"/>
      <c r="AY36" s="127"/>
    </row>
    <row r="37" spans="1:52" x14ac:dyDescent="0.2">
      <c r="A37" s="127"/>
      <c r="B37" s="181" t="s">
        <v>345</v>
      </c>
      <c r="C37" s="127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127"/>
      <c r="Q37" s="127"/>
      <c r="R37" s="127"/>
      <c r="S37" s="127"/>
      <c r="T37" s="127"/>
      <c r="U37" s="127"/>
      <c r="V37" s="127"/>
      <c r="W37" s="127"/>
      <c r="X37" s="127"/>
      <c r="Y37" s="127"/>
      <c r="Z37" s="127"/>
      <c r="AA37" s="127"/>
      <c r="AB37" s="127"/>
      <c r="AC37" s="127"/>
      <c r="AD37" s="127"/>
      <c r="AE37" s="127"/>
      <c r="AF37" s="127"/>
      <c r="AG37" s="127"/>
      <c r="AH37" s="127"/>
      <c r="AI37" s="127"/>
      <c r="AJ37" s="127"/>
      <c r="AK37" s="127"/>
      <c r="AL37" s="127"/>
      <c r="AM37" s="127"/>
      <c r="AN37" s="127"/>
      <c r="AO37" s="127"/>
      <c r="AP37" s="127"/>
      <c r="AQ37" s="127"/>
      <c r="AR37" s="127"/>
      <c r="AS37" s="127"/>
      <c r="AT37" s="127"/>
      <c r="AU37" s="127"/>
      <c r="AV37" s="127"/>
      <c r="AW37" s="127"/>
      <c r="AX37" s="127"/>
      <c r="AY37" s="127"/>
    </row>
    <row r="38" spans="1:52" x14ac:dyDescent="0.2">
      <c r="A38" s="127"/>
      <c r="B38" s="181" t="s">
        <v>346</v>
      </c>
      <c r="C38" s="127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27"/>
      <c r="Q38" s="127"/>
      <c r="R38" s="127"/>
      <c r="S38" s="127"/>
      <c r="T38" s="127"/>
      <c r="U38" s="127"/>
      <c r="V38" s="127"/>
      <c r="W38" s="127"/>
      <c r="X38" s="127"/>
      <c r="Y38" s="127"/>
      <c r="Z38" s="127"/>
      <c r="AA38" s="127"/>
      <c r="AB38" s="127"/>
      <c r="AC38" s="127"/>
      <c r="AD38" s="127"/>
      <c r="AE38" s="127"/>
      <c r="AF38" s="127"/>
      <c r="AG38" s="127"/>
      <c r="AH38" s="127"/>
      <c r="AI38" s="127"/>
      <c r="AJ38" s="127"/>
      <c r="AK38" s="127"/>
      <c r="AL38" s="127"/>
      <c r="AM38" s="127"/>
      <c r="AN38" s="127"/>
      <c r="AO38" s="127"/>
      <c r="AP38" s="127"/>
      <c r="AQ38" s="127"/>
      <c r="AR38" s="127"/>
      <c r="AS38" s="127"/>
      <c r="AT38" s="127"/>
      <c r="AU38" s="127"/>
      <c r="AV38" s="127"/>
      <c r="AW38" s="127"/>
      <c r="AX38" s="127"/>
      <c r="AY38" s="127"/>
    </row>
    <row r="39" spans="1:52" x14ac:dyDescent="0.2">
      <c r="A39" s="127"/>
      <c r="B39" s="181" t="s">
        <v>347</v>
      </c>
      <c r="C39" s="127"/>
      <c r="D39" s="127">
        <f>D33-D36</f>
        <v>0</v>
      </c>
      <c r="E39" s="127">
        <f t="shared" ref="E39:AY39" si="12">E33-E36</f>
        <v>0</v>
      </c>
      <c r="F39" s="127">
        <f t="shared" si="12"/>
        <v>0</v>
      </c>
      <c r="G39" s="127">
        <f t="shared" si="12"/>
        <v>0</v>
      </c>
      <c r="H39" s="127">
        <f t="shared" si="12"/>
        <v>0</v>
      </c>
      <c r="I39" s="127">
        <f t="shared" si="12"/>
        <v>0</v>
      </c>
      <c r="J39" s="127">
        <f t="shared" si="12"/>
        <v>0</v>
      </c>
      <c r="K39" s="127">
        <f t="shared" si="12"/>
        <v>0</v>
      </c>
      <c r="L39" s="127">
        <f t="shared" si="12"/>
        <v>0</v>
      </c>
      <c r="M39" s="127">
        <f t="shared" si="12"/>
        <v>0</v>
      </c>
      <c r="N39" s="127">
        <f t="shared" si="12"/>
        <v>0</v>
      </c>
      <c r="O39" s="127">
        <f t="shared" si="12"/>
        <v>0</v>
      </c>
      <c r="P39" s="127">
        <f t="shared" si="12"/>
        <v>0</v>
      </c>
      <c r="Q39" s="127">
        <f t="shared" si="12"/>
        <v>0</v>
      </c>
      <c r="R39" s="127">
        <f t="shared" si="12"/>
        <v>0</v>
      </c>
      <c r="S39" s="127">
        <f t="shared" si="12"/>
        <v>0</v>
      </c>
      <c r="T39" s="127">
        <f t="shared" si="12"/>
        <v>0</v>
      </c>
      <c r="U39" s="127">
        <f t="shared" si="12"/>
        <v>0</v>
      </c>
      <c r="V39" s="127">
        <f t="shared" si="12"/>
        <v>0</v>
      </c>
      <c r="W39" s="127">
        <f t="shared" si="12"/>
        <v>0</v>
      </c>
      <c r="X39" s="127">
        <f t="shared" si="12"/>
        <v>0</v>
      </c>
      <c r="Y39" s="127">
        <f t="shared" si="12"/>
        <v>0</v>
      </c>
      <c r="Z39" s="127">
        <f t="shared" si="12"/>
        <v>0</v>
      </c>
      <c r="AA39" s="127">
        <f t="shared" si="12"/>
        <v>0</v>
      </c>
      <c r="AB39" s="127">
        <f t="shared" si="12"/>
        <v>0</v>
      </c>
      <c r="AC39" s="127">
        <f t="shared" si="12"/>
        <v>0</v>
      </c>
      <c r="AD39" s="127">
        <f t="shared" si="12"/>
        <v>0</v>
      </c>
      <c r="AE39" s="127">
        <f t="shared" si="12"/>
        <v>0</v>
      </c>
      <c r="AF39" s="127">
        <f t="shared" si="12"/>
        <v>0</v>
      </c>
      <c r="AG39" s="127">
        <f t="shared" si="12"/>
        <v>0</v>
      </c>
      <c r="AH39" s="127">
        <f t="shared" si="12"/>
        <v>0</v>
      </c>
      <c r="AI39" s="127">
        <f t="shared" si="12"/>
        <v>0</v>
      </c>
      <c r="AJ39" s="127">
        <f t="shared" si="12"/>
        <v>0</v>
      </c>
      <c r="AK39" s="127">
        <f t="shared" si="12"/>
        <v>0</v>
      </c>
      <c r="AL39" s="127">
        <f t="shared" si="12"/>
        <v>0</v>
      </c>
      <c r="AM39" s="127">
        <f t="shared" si="12"/>
        <v>0</v>
      </c>
      <c r="AN39" s="127">
        <f t="shared" si="12"/>
        <v>0</v>
      </c>
      <c r="AO39" s="127">
        <f t="shared" si="12"/>
        <v>0</v>
      </c>
      <c r="AP39" s="127">
        <f t="shared" si="12"/>
        <v>0</v>
      </c>
      <c r="AQ39" s="127">
        <f t="shared" si="12"/>
        <v>0</v>
      </c>
      <c r="AR39" s="127">
        <f t="shared" si="12"/>
        <v>0</v>
      </c>
      <c r="AS39" s="127">
        <f t="shared" si="12"/>
        <v>0</v>
      </c>
      <c r="AT39" s="127">
        <f t="shared" si="12"/>
        <v>0</v>
      </c>
      <c r="AU39" s="127">
        <f t="shared" si="12"/>
        <v>0</v>
      </c>
      <c r="AV39" s="127">
        <f t="shared" si="12"/>
        <v>0</v>
      </c>
      <c r="AW39" s="127">
        <f t="shared" si="12"/>
        <v>0</v>
      </c>
      <c r="AX39" s="127">
        <f t="shared" si="12"/>
        <v>0</v>
      </c>
      <c r="AY39" s="127">
        <f t="shared" si="12"/>
        <v>0</v>
      </c>
    </row>
    <row r="40" spans="1:52" x14ac:dyDescent="0.2">
      <c r="A40" s="127"/>
      <c r="B40" s="181" t="s">
        <v>348</v>
      </c>
      <c r="C40" s="127"/>
      <c r="D40" s="127">
        <f>D34-D37</f>
        <v>0</v>
      </c>
      <c r="E40" s="127">
        <f t="shared" ref="E40:AY40" si="13">E34-E37</f>
        <v>0</v>
      </c>
      <c r="F40" s="127">
        <f t="shared" si="13"/>
        <v>0</v>
      </c>
      <c r="G40" s="127">
        <f t="shared" si="13"/>
        <v>0</v>
      </c>
      <c r="H40" s="127">
        <f t="shared" si="13"/>
        <v>0</v>
      </c>
      <c r="I40" s="127">
        <f t="shared" si="13"/>
        <v>0</v>
      </c>
      <c r="J40" s="127">
        <f t="shared" si="13"/>
        <v>0</v>
      </c>
      <c r="K40" s="127">
        <f t="shared" si="13"/>
        <v>0</v>
      </c>
      <c r="L40" s="127">
        <f t="shared" si="13"/>
        <v>0</v>
      </c>
      <c r="M40" s="127">
        <f t="shared" si="13"/>
        <v>0</v>
      </c>
      <c r="N40" s="127">
        <f t="shared" si="13"/>
        <v>0</v>
      </c>
      <c r="O40" s="127">
        <f t="shared" si="13"/>
        <v>0</v>
      </c>
      <c r="P40" s="127">
        <f t="shared" si="13"/>
        <v>0</v>
      </c>
      <c r="Q40" s="127">
        <f t="shared" si="13"/>
        <v>0</v>
      </c>
      <c r="R40" s="127">
        <f t="shared" si="13"/>
        <v>0</v>
      </c>
      <c r="S40" s="127">
        <f t="shared" si="13"/>
        <v>0</v>
      </c>
      <c r="T40" s="127">
        <f t="shared" si="13"/>
        <v>0</v>
      </c>
      <c r="U40" s="127">
        <f t="shared" si="13"/>
        <v>0</v>
      </c>
      <c r="V40" s="127">
        <f t="shared" si="13"/>
        <v>0</v>
      </c>
      <c r="W40" s="127">
        <f t="shared" si="13"/>
        <v>0</v>
      </c>
      <c r="X40" s="127">
        <f t="shared" si="13"/>
        <v>0</v>
      </c>
      <c r="Y40" s="127">
        <f t="shared" si="13"/>
        <v>0</v>
      </c>
      <c r="Z40" s="127">
        <f t="shared" si="13"/>
        <v>0</v>
      </c>
      <c r="AA40" s="127">
        <f t="shared" si="13"/>
        <v>0</v>
      </c>
      <c r="AB40" s="127">
        <f t="shared" si="13"/>
        <v>0</v>
      </c>
      <c r="AC40" s="127">
        <f t="shared" si="13"/>
        <v>0</v>
      </c>
      <c r="AD40" s="127">
        <f t="shared" si="13"/>
        <v>0</v>
      </c>
      <c r="AE40" s="127">
        <f t="shared" si="13"/>
        <v>0</v>
      </c>
      <c r="AF40" s="127">
        <f t="shared" si="13"/>
        <v>0</v>
      </c>
      <c r="AG40" s="127">
        <f t="shared" si="13"/>
        <v>0</v>
      </c>
      <c r="AH40" s="127">
        <f t="shared" si="13"/>
        <v>0</v>
      </c>
      <c r="AI40" s="127">
        <f t="shared" si="13"/>
        <v>0</v>
      </c>
      <c r="AJ40" s="127">
        <f t="shared" si="13"/>
        <v>0</v>
      </c>
      <c r="AK40" s="127">
        <f t="shared" si="13"/>
        <v>0</v>
      </c>
      <c r="AL40" s="127">
        <f t="shared" si="13"/>
        <v>0</v>
      </c>
      <c r="AM40" s="127">
        <f t="shared" si="13"/>
        <v>0</v>
      </c>
      <c r="AN40" s="127">
        <f t="shared" si="13"/>
        <v>0</v>
      </c>
      <c r="AO40" s="127">
        <f t="shared" si="13"/>
        <v>0</v>
      </c>
      <c r="AP40" s="127">
        <f t="shared" si="13"/>
        <v>0</v>
      </c>
      <c r="AQ40" s="127">
        <f t="shared" si="13"/>
        <v>0</v>
      </c>
      <c r="AR40" s="127">
        <f t="shared" si="13"/>
        <v>0</v>
      </c>
      <c r="AS40" s="127">
        <f t="shared" si="13"/>
        <v>0</v>
      </c>
      <c r="AT40" s="127">
        <f t="shared" si="13"/>
        <v>0</v>
      </c>
      <c r="AU40" s="127">
        <f t="shared" si="13"/>
        <v>0</v>
      </c>
      <c r="AV40" s="127">
        <f t="shared" si="13"/>
        <v>0</v>
      </c>
      <c r="AW40" s="127">
        <f t="shared" si="13"/>
        <v>0</v>
      </c>
      <c r="AX40" s="127">
        <f t="shared" si="13"/>
        <v>0</v>
      </c>
      <c r="AY40" s="127">
        <f t="shared" si="13"/>
        <v>0</v>
      </c>
    </row>
    <row r="41" spans="1:52" x14ac:dyDescent="0.2">
      <c r="A41" s="127"/>
      <c r="B41" s="181" t="s">
        <v>349</v>
      </c>
      <c r="C41" s="127"/>
      <c r="D41" s="127">
        <v>1</v>
      </c>
      <c r="E41" s="127">
        <v>2</v>
      </c>
      <c r="F41" s="127">
        <v>2</v>
      </c>
      <c r="G41" s="127">
        <v>1</v>
      </c>
      <c r="H41" s="127">
        <v>1</v>
      </c>
      <c r="I41" s="127">
        <v>1</v>
      </c>
      <c r="J41" s="127">
        <v>2</v>
      </c>
      <c r="K41" s="127">
        <v>1</v>
      </c>
      <c r="L41" s="127">
        <v>2</v>
      </c>
      <c r="M41" s="127">
        <v>1</v>
      </c>
      <c r="N41" s="127">
        <v>1</v>
      </c>
      <c r="O41" s="127">
        <v>2</v>
      </c>
      <c r="P41" s="127">
        <v>2</v>
      </c>
      <c r="Q41" s="127">
        <v>1</v>
      </c>
      <c r="R41" s="127">
        <v>1</v>
      </c>
      <c r="S41" s="127">
        <v>1</v>
      </c>
      <c r="T41" s="127">
        <v>1</v>
      </c>
      <c r="U41" s="127">
        <v>2</v>
      </c>
      <c r="V41" s="127">
        <v>1</v>
      </c>
      <c r="W41" s="127">
        <v>3</v>
      </c>
      <c r="X41" s="127">
        <v>1</v>
      </c>
      <c r="Y41" s="127">
        <v>1</v>
      </c>
      <c r="Z41" s="127">
        <v>2</v>
      </c>
      <c r="AA41" s="127">
        <v>2</v>
      </c>
      <c r="AB41" s="127">
        <v>2</v>
      </c>
      <c r="AC41" s="127">
        <v>2</v>
      </c>
      <c r="AD41" s="127">
        <v>2</v>
      </c>
      <c r="AE41" s="127">
        <v>2</v>
      </c>
      <c r="AF41" s="127">
        <v>3</v>
      </c>
      <c r="AG41" s="127">
        <v>1</v>
      </c>
      <c r="AH41" s="127">
        <v>2</v>
      </c>
      <c r="AI41" s="127">
        <v>1</v>
      </c>
      <c r="AJ41" s="127">
        <v>1</v>
      </c>
      <c r="AK41" s="127">
        <v>2</v>
      </c>
      <c r="AL41" s="127">
        <v>2</v>
      </c>
      <c r="AM41" s="127">
        <v>1</v>
      </c>
      <c r="AN41" s="127">
        <v>1</v>
      </c>
      <c r="AO41" s="127">
        <v>2</v>
      </c>
      <c r="AP41" s="127">
        <v>2</v>
      </c>
      <c r="AQ41" s="127">
        <v>2</v>
      </c>
      <c r="AR41" s="127">
        <v>1</v>
      </c>
      <c r="AS41" s="127">
        <v>2</v>
      </c>
      <c r="AT41" s="127">
        <v>3</v>
      </c>
      <c r="AU41" s="127">
        <v>2</v>
      </c>
      <c r="AV41" s="127">
        <v>2</v>
      </c>
      <c r="AW41" s="127">
        <v>1</v>
      </c>
      <c r="AX41" s="127">
        <v>1</v>
      </c>
      <c r="AY41" s="127">
        <v>2</v>
      </c>
    </row>
    <row r="42" spans="1:52" x14ac:dyDescent="0.2">
      <c r="A42" s="127"/>
      <c r="B42" s="192" t="s">
        <v>350</v>
      </c>
      <c r="C42" s="127"/>
      <c r="D42" s="127">
        <v>0</v>
      </c>
      <c r="E42" s="127">
        <v>0</v>
      </c>
      <c r="F42" s="127">
        <v>0</v>
      </c>
      <c r="G42" s="127">
        <v>0</v>
      </c>
      <c r="H42" s="127">
        <v>0</v>
      </c>
      <c r="I42" s="127">
        <v>0</v>
      </c>
      <c r="J42" s="127">
        <v>0</v>
      </c>
      <c r="K42" s="127">
        <v>0</v>
      </c>
      <c r="L42" s="127">
        <v>0</v>
      </c>
      <c r="M42" s="127">
        <v>0</v>
      </c>
      <c r="N42" s="127">
        <v>0</v>
      </c>
      <c r="O42" s="127">
        <v>0</v>
      </c>
      <c r="P42" s="127">
        <v>0</v>
      </c>
      <c r="Q42" s="127">
        <v>0</v>
      </c>
      <c r="R42" s="127">
        <v>0</v>
      </c>
      <c r="S42" s="127">
        <v>0</v>
      </c>
      <c r="T42" s="127">
        <v>0</v>
      </c>
      <c r="U42" s="127">
        <v>0</v>
      </c>
      <c r="V42" s="127">
        <v>0</v>
      </c>
      <c r="W42" s="127">
        <v>0</v>
      </c>
      <c r="X42" s="127">
        <v>0</v>
      </c>
      <c r="Y42" s="127">
        <v>0</v>
      </c>
      <c r="Z42" s="127">
        <v>0</v>
      </c>
      <c r="AA42" s="127">
        <v>0</v>
      </c>
      <c r="AB42" s="127">
        <v>0</v>
      </c>
      <c r="AC42" s="127">
        <v>0</v>
      </c>
      <c r="AD42" s="127">
        <v>0</v>
      </c>
      <c r="AE42" s="127">
        <v>0</v>
      </c>
      <c r="AF42" s="127">
        <v>0</v>
      </c>
      <c r="AG42" s="127">
        <v>0</v>
      </c>
      <c r="AH42" s="127">
        <v>0</v>
      </c>
      <c r="AI42" s="127">
        <v>0</v>
      </c>
      <c r="AJ42" s="127">
        <v>0</v>
      </c>
      <c r="AK42" s="127">
        <v>0</v>
      </c>
      <c r="AL42" s="127">
        <v>0</v>
      </c>
      <c r="AM42" s="127">
        <v>0</v>
      </c>
      <c r="AN42" s="127">
        <v>0</v>
      </c>
      <c r="AO42" s="127">
        <v>0</v>
      </c>
      <c r="AP42" s="127">
        <v>0</v>
      </c>
      <c r="AQ42" s="127">
        <v>0</v>
      </c>
      <c r="AR42" s="127">
        <v>0</v>
      </c>
      <c r="AS42" s="127">
        <v>0</v>
      </c>
      <c r="AT42" s="127">
        <v>0</v>
      </c>
      <c r="AU42" s="127">
        <v>0</v>
      </c>
      <c r="AV42" s="127">
        <v>0</v>
      </c>
      <c r="AW42" s="127">
        <v>0</v>
      </c>
      <c r="AX42" s="127">
        <v>0</v>
      </c>
      <c r="AY42" s="127">
        <v>0</v>
      </c>
      <c r="AZ42">
        <f>SUM($D$42:$AY$42)</f>
        <v>0</v>
      </c>
    </row>
    <row r="43" spans="1:52" x14ac:dyDescent="0.2">
      <c r="A43" s="127"/>
      <c r="B43" s="192" t="s">
        <v>351</v>
      </c>
      <c r="C43" s="127"/>
      <c r="D43" s="127">
        <v>0</v>
      </c>
      <c r="E43" s="127">
        <v>0</v>
      </c>
      <c r="F43" s="127">
        <v>0</v>
      </c>
      <c r="G43" s="127">
        <v>0</v>
      </c>
      <c r="H43" s="127">
        <v>0</v>
      </c>
      <c r="I43" s="127">
        <v>0</v>
      </c>
      <c r="J43" s="127">
        <v>0</v>
      </c>
      <c r="K43" s="127">
        <v>0</v>
      </c>
      <c r="L43" s="127">
        <v>0</v>
      </c>
      <c r="M43" s="127">
        <v>0</v>
      </c>
      <c r="N43" s="127">
        <v>0</v>
      </c>
      <c r="O43" s="127">
        <v>0</v>
      </c>
      <c r="P43" s="127">
        <v>0</v>
      </c>
      <c r="Q43" s="127">
        <v>0</v>
      </c>
      <c r="R43" s="127">
        <v>0</v>
      </c>
      <c r="S43" s="127">
        <v>0</v>
      </c>
      <c r="T43" s="127">
        <v>0</v>
      </c>
      <c r="U43" s="127">
        <v>0</v>
      </c>
      <c r="V43" s="127">
        <v>0</v>
      </c>
      <c r="W43" s="127">
        <v>0</v>
      </c>
      <c r="X43" s="127">
        <v>0</v>
      </c>
      <c r="Y43" s="127">
        <v>0</v>
      </c>
      <c r="Z43" s="127">
        <v>0</v>
      </c>
      <c r="AA43" s="127">
        <v>0</v>
      </c>
      <c r="AB43" s="127">
        <v>0</v>
      </c>
      <c r="AC43" s="127">
        <v>0</v>
      </c>
      <c r="AD43" s="127">
        <v>0</v>
      </c>
      <c r="AE43" s="127">
        <v>0</v>
      </c>
      <c r="AF43" s="127">
        <v>0</v>
      </c>
      <c r="AG43" s="127">
        <v>0</v>
      </c>
      <c r="AH43" s="127">
        <v>0</v>
      </c>
      <c r="AI43" s="127">
        <v>0</v>
      </c>
      <c r="AJ43" s="127">
        <v>0</v>
      </c>
      <c r="AK43" s="127">
        <v>0</v>
      </c>
      <c r="AL43" s="127">
        <v>0</v>
      </c>
      <c r="AM43" s="127">
        <v>0</v>
      </c>
      <c r="AN43" s="127">
        <v>0</v>
      </c>
      <c r="AO43" s="127">
        <v>0</v>
      </c>
      <c r="AP43" s="127">
        <v>0</v>
      </c>
      <c r="AQ43" s="127">
        <v>0</v>
      </c>
      <c r="AR43" s="127">
        <v>0</v>
      </c>
      <c r="AS43" s="127">
        <v>0</v>
      </c>
      <c r="AT43" s="127">
        <v>0</v>
      </c>
      <c r="AU43" s="127">
        <v>0</v>
      </c>
      <c r="AV43" s="127">
        <v>0</v>
      </c>
      <c r="AW43" s="127">
        <v>0</v>
      </c>
      <c r="AX43" s="127">
        <v>0</v>
      </c>
      <c r="AY43" s="127">
        <v>0</v>
      </c>
      <c r="AZ43">
        <f>SUM($D$43:$AY$43)</f>
        <v>0</v>
      </c>
    </row>
    <row r="44" spans="1:52" x14ac:dyDescent="0.2">
      <c r="A44" s="151" t="s">
        <v>59</v>
      </c>
      <c r="B44" s="151" t="s">
        <v>341</v>
      </c>
      <c r="C44" s="140"/>
      <c r="D44" s="140">
        <f>D$21*shipping_manufacturing!$H$28/100</f>
        <v>927.8842332128047</v>
      </c>
      <c r="E44" s="140">
        <f>E$21*shipping_manufacturing!$H$28/100</f>
        <v>1354.7211105903114</v>
      </c>
      <c r="F44" s="140">
        <f>F$21*shipping_manufacturing!$H$28/100</f>
        <v>1354.7211105903114</v>
      </c>
      <c r="G44" s="140">
        <f>G$21*shipping_manufacturing!$H$28/100</f>
        <v>1354.7211105903114</v>
      </c>
      <c r="H44" s="140">
        <f>H$21*shipping_manufacturing!$H$28/100</f>
        <v>1354.7211105903114</v>
      </c>
      <c r="I44" s="140">
        <f>I$21*shipping_manufacturing!$H$28/100</f>
        <v>1354.7211105903114</v>
      </c>
      <c r="J44" s="140">
        <f>J$21*shipping_manufacturing!$H$28/100</f>
        <v>1354.7211105903114</v>
      </c>
      <c r="K44" s="140">
        <f>K$21*shipping_manufacturing!$H$28/100</f>
        <v>1354.7211105903114</v>
      </c>
      <c r="L44" s="140">
        <f>L$21*shipping_manufacturing!$H$28/100</f>
        <v>1354.7211105903114</v>
      </c>
      <c r="M44" s="140">
        <f>M$21*shipping_manufacturing!$H$28/100</f>
        <v>1354.7211105903114</v>
      </c>
      <c r="N44" s="140">
        <f>N$21*shipping_manufacturing!$H$28/100</f>
        <v>1354.7211105903114</v>
      </c>
      <c r="O44" s="140">
        <f>O$21*shipping_manufacturing!$H$28/100</f>
        <v>1354.7211105903114</v>
      </c>
      <c r="P44" s="140">
        <f>P$21*shipping_manufacturing!$H$28/100</f>
        <v>1354.7211105903114</v>
      </c>
      <c r="Q44" s="140">
        <f>Q$21*shipping_manufacturing!$H$28/100</f>
        <v>1354.7211105903114</v>
      </c>
      <c r="R44" s="140">
        <f>R$21*shipping_manufacturing!$H$28/100</f>
        <v>1354.7211105903114</v>
      </c>
      <c r="S44" s="140">
        <f>S$21*shipping_manufacturing!$H$28/100</f>
        <v>1354.7211105903114</v>
      </c>
      <c r="T44" s="140">
        <f>T$21*shipping_manufacturing!$H$28/100</f>
        <v>1354.7211105903114</v>
      </c>
      <c r="U44" s="140">
        <f>U$21*shipping_manufacturing!$H$28/100</f>
        <v>1354.7211105903114</v>
      </c>
      <c r="V44" s="140">
        <f>V$21*shipping_manufacturing!$H$28/100</f>
        <v>1354.7211105903114</v>
      </c>
      <c r="W44" s="140">
        <f>W$21*shipping_manufacturing!$H$28/100</f>
        <v>1354.7211105903114</v>
      </c>
      <c r="X44" s="140">
        <f>X$21*shipping_manufacturing!$H$28/100</f>
        <v>1354.7211105903114</v>
      </c>
      <c r="Y44" s="140">
        <f>Y$21*shipping_manufacturing!$H$28/100</f>
        <v>1354.7211105903114</v>
      </c>
      <c r="Z44" s="140">
        <f>Z$21*shipping_manufacturing!$H$28/100</f>
        <v>1354.7211105903114</v>
      </c>
      <c r="AA44" s="140">
        <f>AA$21*shipping_manufacturing!$H$28/100</f>
        <v>1354.7211105903114</v>
      </c>
      <c r="AB44" s="140">
        <f>AB$21*shipping_manufacturing!$H$28/100</f>
        <v>1354.7211105903114</v>
      </c>
      <c r="AC44" s="140">
        <f>AC$21*shipping_manufacturing!$H$28/100</f>
        <v>1354.7211105903114</v>
      </c>
      <c r="AD44" s="140">
        <f>AD$21*shipping_manufacturing!$H$28/100</f>
        <v>1354.7211105903114</v>
      </c>
      <c r="AE44" s="140">
        <f>AE$21*shipping_manufacturing!$H$28/100</f>
        <v>1354.7211105903114</v>
      </c>
      <c r="AF44" s="140">
        <f>AF$21*shipping_manufacturing!$H$28/100</f>
        <v>1354.7211105903114</v>
      </c>
      <c r="AG44" s="140">
        <f>AG$21*shipping_manufacturing!$H$28/100</f>
        <v>1354.7211105903114</v>
      </c>
      <c r="AH44" s="140">
        <f>AH$21*shipping_manufacturing!$H$28/100</f>
        <v>1354.7211105903114</v>
      </c>
      <c r="AI44" s="140">
        <f>AI$21*shipping_manufacturing!$H$28/100</f>
        <v>1354.7211105903114</v>
      </c>
      <c r="AJ44" s="140">
        <f>AJ$21*shipping_manufacturing!$H$28/100</f>
        <v>1354.7211105903114</v>
      </c>
      <c r="AK44" s="140">
        <f>AK$21*shipping_manufacturing!$H$28/100</f>
        <v>1354.7211105903114</v>
      </c>
      <c r="AL44" s="140">
        <f>AL$21*shipping_manufacturing!$H$28/100</f>
        <v>0</v>
      </c>
      <c r="AM44" s="140">
        <f>AM$21*shipping_manufacturing!$H$28/100</f>
        <v>2543.7999999999997</v>
      </c>
      <c r="AN44" s="140">
        <f>AN$21*shipping_manufacturing!$H$28/100</f>
        <v>1354.7211105903114</v>
      </c>
      <c r="AO44" s="140">
        <f>AO$21*shipping_manufacturing!$H$28/100</f>
        <v>1354.7211105903114</v>
      </c>
      <c r="AP44" s="140">
        <f>AP$21*shipping_manufacturing!$H$28/100</f>
        <v>1354.7211105903114</v>
      </c>
      <c r="AQ44" s="140">
        <f>AQ$21*shipping_manufacturing!$H$28/100</f>
        <v>1354.7211105903114</v>
      </c>
      <c r="AR44" s="140">
        <f>AR$21*shipping_manufacturing!$H$28/100</f>
        <v>0</v>
      </c>
      <c r="AS44" s="140">
        <f>AS$21*shipping_manufacturing!$H$28/100</f>
        <v>0</v>
      </c>
      <c r="AT44" s="140">
        <f>AT$21*shipping_manufacturing!$H$28/100</f>
        <v>0</v>
      </c>
      <c r="AU44" s="140">
        <f>AU$21*shipping_manufacturing!$H$28/100</f>
        <v>2543.7999999999997</v>
      </c>
      <c r="AV44" s="140">
        <f>AV$21*shipping_manufacturing!$H$28/100</f>
        <v>1354.7211105903114</v>
      </c>
      <c r="AW44" s="140">
        <f>AW$21*shipping_manufacturing!$H$28/100</f>
        <v>1354.7211105903114</v>
      </c>
      <c r="AX44" s="140">
        <f>AX$21*shipping_manufacturing!$H$28/100</f>
        <v>1354.7211105903114</v>
      </c>
      <c r="AY44" s="140">
        <f>AY$21*shipping_manufacturing!$H$28/100</f>
        <v>1354.7211105903114</v>
      </c>
    </row>
    <row r="45" spans="1:52" x14ac:dyDescent="0.2">
      <c r="A45" s="129" t="s">
        <v>340</v>
      </c>
      <c r="B45" s="181" t="s">
        <v>342</v>
      </c>
      <c r="C45" s="127"/>
      <c r="D45" s="127">
        <f>D$22*shipping_manufacturing!$I$28/100</f>
        <v>397.66467137691637</v>
      </c>
      <c r="E45" s="127">
        <f>E$22*shipping_manufacturing!$I$28/100</f>
        <v>580.59476168156209</v>
      </c>
      <c r="F45" s="127">
        <f>F$22*shipping_manufacturing!$I$28/100</f>
        <v>580.59476168156209</v>
      </c>
      <c r="G45" s="127">
        <f>G$22*shipping_manufacturing!$I$28/100</f>
        <v>580.59476168156209</v>
      </c>
      <c r="H45" s="127">
        <f>H$22*shipping_manufacturing!$I$28/100</f>
        <v>580.59476168156209</v>
      </c>
      <c r="I45" s="127">
        <f>I$22*shipping_manufacturing!$I$28/100</f>
        <v>580.59476168156209</v>
      </c>
      <c r="J45" s="127">
        <f>J$22*shipping_manufacturing!$I$28/100</f>
        <v>580.59476168156209</v>
      </c>
      <c r="K45" s="127">
        <f>K$22*shipping_manufacturing!$I$28/100</f>
        <v>580.59476168156209</v>
      </c>
      <c r="L45" s="127">
        <f>L$22*shipping_manufacturing!$I$28/100</f>
        <v>580.59476168156209</v>
      </c>
      <c r="M45" s="127">
        <f>M$22*shipping_manufacturing!$I$28/100</f>
        <v>580.59476168156209</v>
      </c>
      <c r="N45" s="127">
        <f>N$22*shipping_manufacturing!$I$28/100</f>
        <v>580.59476168156209</v>
      </c>
      <c r="O45" s="127">
        <f>O$22*shipping_manufacturing!$I$28/100</f>
        <v>580.59476168156209</v>
      </c>
      <c r="P45" s="127">
        <f>P$22*shipping_manufacturing!$I$28/100</f>
        <v>580.59476168156209</v>
      </c>
      <c r="Q45" s="127">
        <f>Q$22*shipping_manufacturing!$I$28/100</f>
        <v>580.59476168156209</v>
      </c>
      <c r="R45" s="127">
        <f>R$22*shipping_manufacturing!$I$28/100</f>
        <v>580.59476168156209</v>
      </c>
      <c r="S45" s="127">
        <f>S$22*shipping_manufacturing!$I$28/100</f>
        <v>580.59476168156209</v>
      </c>
      <c r="T45" s="127">
        <f>T$22*shipping_manufacturing!$I$28/100</f>
        <v>580.59476168156209</v>
      </c>
      <c r="U45" s="127">
        <f>U$22*shipping_manufacturing!$I$28/100</f>
        <v>580.59476168156209</v>
      </c>
      <c r="V45" s="127">
        <f>V$22*shipping_manufacturing!$I$28/100</f>
        <v>580.59476168156209</v>
      </c>
      <c r="W45" s="127">
        <f>W$22*shipping_manufacturing!$I$28/100</f>
        <v>580.59476168156209</v>
      </c>
      <c r="X45" s="127">
        <f>X$22*shipping_manufacturing!$I$28/100</f>
        <v>580.59476168156209</v>
      </c>
      <c r="Y45" s="127">
        <f>Y$22*shipping_manufacturing!$I$28/100</f>
        <v>580.59476168156209</v>
      </c>
      <c r="Z45" s="127">
        <f>Z$22*shipping_manufacturing!$I$28/100</f>
        <v>580.59476168156209</v>
      </c>
      <c r="AA45" s="127">
        <f>AA$22*shipping_manufacturing!$I$28/100</f>
        <v>580.59476168156209</v>
      </c>
      <c r="AB45" s="127">
        <f>AB$22*shipping_manufacturing!$I$28/100</f>
        <v>580.59476168156209</v>
      </c>
      <c r="AC45" s="127">
        <f>AC$22*shipping_manufacturing!$I$28/100</f>
        <v>580.59476168156209</v>
      </c>
      <c r="AD45" s="127">
        <f>AD$22*shipping_manufacturing!$I$28/100</f>
        <v>580.59476168156209</v>
      </c>
      <c r="AE45" s="127">
        <f>AE$22*shipping_manufacturing!$I$28/100</f>
        <v>580.59476168156209</v>
      </c>
      <c r="AF45" s="127">
        <f>AF$22*shipping_manufacturing!$I$28/100</f>
        <v>580.59476168156209</v>
      </c>
      <c r="AG45" s="127">
        <f>AG$22*shipping_manufacturing!$I$28/100</f>
        <v>580.59476168156209</v>
      </c>
      <c r="AH45" s="127">
        <f>AH$22*shipping_manufacturing!$I$28/100</f>
        <v>580.59476168156209</v>
      </c>
      <c r="AI45" s="127">
        <f>AI$22*shipping_manufacturing!$I$28/100</f>
        <v>580.59476168156209</v>
      </c>
      <c r="AJ45" s="127">
        <f>AJ$22*shipping_manufacturing!$I$28/100</f>
        <v>580.59476168156209</v>
      </c>
      <c r="AK45" s="127">
        <f>AK$22*shipping_manufacturing!$I$28/100</f>
        <v>580.59476168156209</v>
      </c>
      <c r="AL45" s="127">
        <f>AL$22*shipping_manufacturing!$I$28/100</f>
        <v>0</v>
      </c>
      <c r="AM45" s="127">
        <f>AM$22*shipping_manufacturing!$I$28/100</f>
        <v>1090.2000000000003</v>
      </c>
      <c r="AN45" s="127">
        <f>AN$22*shipping_manufacturing!$I$28/100</f>
        <v>580.59476168156209</v>
      </c>
      <c r="AO45" s="127">
        <f>AO$22*shipping_manufacturing!$I$28/100</f>
        <v>580.59476168156209</v>
      </c>
      <c r="AP45" s="127">
        <f>AP$22*shipping_manufacturing!$I$28/100</f>
        <v>580.59476168156209</v>
      </c>
      <c r="AQ45" s="127">
        <f>AQ$22*shipping_manufacturing!$I$28/100</f>
        <v>580.59476168156209</v>
      </c>
      <c r="AR45" s="127">
        <f>AR$22*shipping_manufacturing!$I$28/100</f>
        <v>0</v>
      </c>
      <c r="AS45" s="127">
        <f>AS$22*shipping_manufacturing!$I$28/100</f>
        <v>0</v>
      </c>
      <c r="AT45" s="127">
        <f>AT$22*shipping_manufacturing!$I$28/100</f>
        <v>0</v>
      </c>
      <c r="AU45" s="127">
        <f>AU$22*shipping_manufacturing!$I$28/100</f>
        <v>1090.2000000000003</v>
      </c>
      <c r="AV45" s="127">
        <f>AV$22*shipping_manufacturing!$I$28/100</f>
        <v>580.59476168156209</v>
      </c>
      <c r="AW45" s="127">
        <f>AW$22*shipping_manufacturing!$I$28/100</f>
        <v>580.59476168156209</v>
      </c>
      <c r="AX45" s="127">
        <f>AX$22*shipping_manufacturing!$I$28/100</f>
        <v>580.59476168156209</v>
      </c>
      <c r="AY45" s="127">
        <f>AY$22*shipping_manufacturing!$I$28/100</f>
        <v>580.59476168156209</v>
      </c>
    </row>
    <row r="46" spans="1:52" x14ac:dyDescent="0.2">
      <c r="A46" s="127">
        <v>495</v>
      </c>
      <c r="B46" s="181" t="s">
        <v>343</v>
      </c>
      <c r="C46" s="127"/>
      <c r="D46" s="127">
        <f>SUM(D44:D45)</f>
        <v>1325.5489045897211</v>
      </c>
      <c r="E46" s="127">
        <f t="shared" ref="E46:AY46" si="14">SUM(E44:E45)</f>
        <v>1935.3158722718736</v>
      </c>
      <c r="F46" s="127">
        <f t="shared" si="14"/>
        <v>1935.3158722718736</v>
      </c>
      <c r="G46" s="127">
        <f t="shared" si="14"/>
        <v>1935.3158722718736</v>
      </c>
      <c r="H46" s="127">
        <f t="shared" si="14"/>
        <v>1935.3158722718736</v>
      </c>
      <c r="I46" s="127">
        <f t="shared" si="14"/>
        <v>1935.3158722718736</v>
      </c>
      <c r="J46" s="127">
        <f t="shared" si="14"/>
        <v>1935.3158722718736</v>
      </c>
      <c r="K46" s="127">
        <f t="shared" si="14"/>
        <v>1935.3158722718736</v>
      </c>
      <c r="L46" s="127">
        <f t="shared" si="14"/>
        <v>1935.3158722718736</v>
      </c>
      <c r="M46" s="127">
        <f t="shared" si="14"/>
        <v>1935.3158722718736</v>
      </c>
      <c r="N46" s="127">
        <f t="shared" si="14"/>
        <v>1935.3158722718736</v>
      </c>
      <c r="O46" s="127">
        <f t="shared" si="14"/>
        <v>1935.3158722718736</v>
      </c>
      <c r="P46" s="127">
        <f t="shared" si="14"/>
        <v>1935.3158722718736</v>
      </c>
      <c r="Q46" s="127">
        <f t="shared" si="14"/>
        <v>1935.3158722718736</v>
      </c>
      <c r="R46" s="127">
        <f t="shared" si="14"/>
        <v>1935.3158722718736</v>
      </c>
      <c r="S46" s="127">
        <f t="shared" si="14"/>
        <v>1935.3158722718736</v>
      </c>
      <c r="T46" s="127">
        <f t="shared" si="14"/>
        <v>1935.3158722718736</v>
      </c>
      <c r="U46" s="127">
        <f t="shared" si="14"/>
        <v>1935.3158722718736</v>
      </c>
      <c r="V46" s="127">
        <f t="shared" si="14"/>
        <v>1935.3158722718736</v>
      </c>
      <c r="W46" s="127">
        <f t="shared" si="14"/>
        <v>1935.3158722718736</v>
      </c>
      <c r="X46" s="127">
        <f t="shared" si="14"/>
        <v>1935.3158722718736</v>
      </c>
      <c r="Y46" s="127">
        <f t="shared" si="14"/>
        <v>1935.3158722718736</v>
      </c>
      <c r="Z46" s="127">
        <f t="shared" si="14"/>
        <v>1935.3158722718736</v>
      </c>
      <c r="AA46" s="127">
        <f t="shared" si="14"/>
        <v>1935.3158722718736</v>
      </c>
      <c r="AB46" s="127">
        <f t="shared" si="14"/>
        <v>1935.3158722718736</v>
      </c>
      <c r="AC46" s="127">
        <f t="shared" si="14"/>
        <v>1935.3158722718736</v>
      </c>
      <c r="AD46" s="127">
        <f t="shared" si="14"/>
        <v>1935.3158722718736</v>
      </c>
      <c r="AE46" s="127">
        <f t="shared" si="14"/>
        <v>1935.3158722718736</v>
      </c>
      <c r="AF46" s="127">
        <f t="shared" si="14"/>
        <v>1935.3158722718736</v>
      </c>
      <c r="AG46" s="127">
        <f t="shared" si="14"/>
        <v>1935.3158722718736</v>
      </c>
      <c r="AH46" s="127">
        <f t="shared" si="14"/>
        <v>1935.3158722718736</v>
      </c>
      <c r="AI46" s="127">
        <f t="shared" si="14"/>
        <v>1935.3158722718736</v>
      </c>
      <c r="AJ46" s="127">
        <f t="shared" si="14"/>
        <v>1935.3158722718736</v>
      </c>
      <c r="AK46" s="127">
        <f t="shared" si="14"/>
        <v>1935.3158722718736</v>
      </c>
      <c r="AL46" s="127">
        <f t="shared" si="14"/>
        <v>0</v>
      </c>
      <c r="AM46" s="127">
        <f t="shared" si="14"/>
        <v>3634</v>
      </c>
      <c r="AN46" s="127">
        <f t="shared" si="14"/>
        <v>1935.3158722718736</v>
      </c>
      <c r="AO46" s="127">
        <f t="shared" si="14"/>
        <v>1935.3158722718736</v>
      </c>
      <c r="AP46" s="127">
        <f t="shared" si="14"/>
        <v>1935.3158722718736</v>
      </c>
      <c r="AQ46" s="127">
        <f t="shared" si="14"/>
        <v>1935.3158722718736</v>
      </c>
      <c r="AR46" s="127">
        <f t="shared" si="14"/>
        <v>0</v>
      </c>
      <c r="AS46" s="127">
        <f t="shared" si="14"/>
        <v>0</v>
      </c>
      <c r="AT46" s="127">
        <f t="shared" si="14"/>
        <v>0</v>
      </c>
      <c r="AU46" s="127">
        <f t="shared" si="14"/>
        <v>3634</v>
      </c>
      <c r="AV46" s="127">
        <f t="shared" si="14"/>
        <v>1935.3158722718736</v>
      </c>
      <c r="AW46" s="127">
        <f t="shared" si="14"/>
        <v>1935.3158722718736</v>
      </c>
      <c r="AX46" s="127">
        <f t="shared" si="14"/>
        <v>1935.3158722718736</v>
      </c>
      <c r="AY46" s="127">
        <f t="shared" si="14"/>
        <v>1935.3158722718736</v>
      </c>
    </row>
    <row r="47" spans="1:52" x14ac:dyDescent="0.2">
      <c r="A47" s="127"/>
      <c r="B47" s="181" t="s">
        <v>344</v>
      </c>
      <c r="C47" s="127"/>
      <c r="D47" s="127"/>
      <c r="E47" s="127">
        <v>1175.9999999999998</v>
      </c>
      <c r="F47" s="127"/>
      <c r="G47" s="127">
        <v>1175.9999999999998</v>
      </c>
      <c r="H47" s="127"/>
      <c r="I47" s="127">
        <v>1175.9999999999998</v>
      </c>
      <c r="J47" s="127"/>
      <c r="K47" s="127">
        <v>1175.9999999999998</v>
      </c>
      <c r="L47" s="127"/>
      <c r="M47" s="127">
        <v>1175.9999999999998</v>
      </c>
      <c r="N47" s="127"/>
      <c r="O47" s="127">
        <v>1175.9999999999998</v>
      </c>
      <c r="P47" s="127"/>
      <c r="Q47" s="127">
        <v>1175.9999999999998</v>
      </c>
      <c r="R47" s="127"/>
      <c r="S47" s="127">
        <v>1175.9999999999998</v>
      </c>
      <c r="T47" s="127"/>
      <c r="U47" s="127">
        <v>1175.9999999999998</v>
      </c>
      <c r="V47" s="127"/>
      <c r="W47" s="127">
        <v>1175.9999999999998</v>
      </c>
      <c r="X47" s="127"/>
      <c r="Y47" s="127">
        <v>1175.9999999999998</v>
      </c>
      <c r="Z47" s="127"/>
      <c r="AA47" s="127">
        <v>1175.9999999999998</v>
      </c>
      <c r="AB47" s="127"/>
      <c r="AC47" s="127">
        <v>1175.9999999999998</v>
      </c>
      <c r="AD47" s="127"/>
      <c r="AE47" s="127">
        <v>1175.9999999999998</v>
      </c>
      <c r="AF47" s="127"/>
      <c r="AG47" s="127">
        <v>1175.9999999999998</v>
      </c>
      <c r="AH47" s="127"/>
      <c r="AI47" s="127">
        <v>1175.9999999999998</v>
      </c>
      <c r="AJ47" s="127"/>
      <c r="AK47" s="127">
        <v>1175.9999999999998</v>
      </c>
      <c r="AL47" s="127"/>
      <c r="AM47" s="127">
        <v>1175.9999999999998</v>
      </c>
      <c r="AN47" s="127"/>
      <c r="AO47" s="127">
        <v>1175.9999999999998</v>
      </c>
      <c r="AP47" s="127"/>
      <c r="AQ47" s="127">
        <v>1175.9999999999998</v>
      </c>
      <c r="AR47" s="127"/>
      <c r="AS47" s="127"/>
      <c r="AT47" s="127"/>
      <c r="AU47" s="127">
        <v>1175.9999999999998</v>
      </c>
      <c r="AV47" s="127"/>
      <c r="AW47" s="127">
        <v>1175.9999999999998</v>
      </c>
      <c r="AX47" s="127"/>
      <c r="AY47" s="127">
        <v>1175.9999999999998</v>
      </c>
    </row>
    <row r="48" spans="1:52" x14ac:dyDescent="0.2">
      <c r="A48" s="127"/>
      <c r="B48" s="181" t="s">
        <v>345</v>
      </c>
      <c r="C48" s="127"/>
      <c r="D48" s="127"/>
      <c r="E48" s="127">
        <v>504</v>
      </c>
      <c r="F48" s="127"/>
      <c r="G48" s="127">
        <v>504</v>
      </c>
      <c r="H48" s="127"/>
      <c r="I48" s="127">
        <v>504</v>
      </c>
      <c r="J48" s="127"/>
      <c r="K48" s="127">
        <v>504</v>
      </c>
      <c r="L48" s="127"/>
      <c r="M48" s="127">
        <v>504</v>
      </c>
      <c r="N48" s="127"/>
      <c r="O48" s="127">
        <v>504</v>
      </c>
      <c r="P48" s="127"/>
      <c r="Q48" s="127">
        <v>504</v>
      </c>
      <c r="R48" s="127"/>
      <c r="S48" s="127">
        <v>504</v>
      </c>
      <c r="T48" s="127"/>
      <c r="U48" s="127">
        <v>504</v>
      </c>
      <c r="V48" s="127"/>
      <c r="W48" s="127">
        <v>504</v>
      </c>
      <c r="X48" s="127"/>
      <c r="Y48" s="127">
        <v>504</v>
      </c>
      <c r="Z48" s="127"/>
      <c r="AA48" s="127">
        <v>504</v>
      </c>
      <c r="AB48" s="127"/>
      <c r="AC48" s="127">
        <v>504</v>
      </c>
      <c r="AD48" s="127"/>
      <c r="AE48" s="127">
        <v>504</v>
      </c>
      <c r="AF48" s="127"/>
      <c r="AG48" s="127">
        <v>504</v>
      </c>
      <c r="AH48" s="127"/>
      <c r="AI48" s="127">
        <v>504</v>
      </c>
      <c r="AJ48" s="127"/>
      <c r="AK48" s="127">
        <v>504</v>
      </c>
      <c r="AL48" s="127"/>
      <c r="AM48" s="127">
        <v>504.00000000000006</v>
      </c>
      <c r="AN48" s="127"/>
      <c r="AO48" s="127">
        <v>504</v>
      </c>
      <c r="AP48" s="127"/>
      <c r="AQ48" s="127">
        <v>504</v>
      </c>
      <c r="AR48" s="127"/>
      <c r="AS48" s="127"/>
      <c r="AT48" s="127"/>
      <c r="AU48" s="127">
        <v>504.00000000000006</v>
      </c>
      <c r="AV48" s="127"/>
      <c r="AW48" s="127">
        <v>504</v>
      </c>
      <c r="AX48" s="127"/>
      <c r="AY48" s="127">
        <v>504</v>
      </c>
    </row>
    <row r="49" spans="1:52" x14ac:dyDescent="0.2">
      <c r="A49" s="127"/>
      <c r="B49" s="181" t="s">
        <v>346</v>
      </c>
      <c r="C49" s="127"/>
      <c r="D49" s="127"/>
      <c r="E49" s="127">
        <v>56</v>
      </c>
      <c r="F49" s="127"/>
      <c r="G49" s="127">
        <v>56</v>
      </c>
      <c r="H49" s="127"/>
      <c r="I49" s="127">
        <v>56</v>
      </c>
      <c r="J49" s="127"/>
      <c r="K49" s="127">
        <v>56</v>
      </c>
      <c r="L49" s="127"/>
      <c r="M49" s="127">
        <v>56</v>
      </c>
      <c r="N49" s="127"/>
      <c r="O49" s="127">
        <v>56</v>
      </c>
      <c r="P49" s="127"/>
      <c r="Q49" s="127">
        <v>56</v>
      </c>
      <c r="R49" s="127"/>
      <c r="S49" s="127">
        <v>56</v>
      </c>
      <c r="T49" s="127"/>
      <c r="U49" s="127">
        <v>56</v>
      </c>
      <c r="V49" s="127"/>
      <c r="W49" s="127">
        <v>56</v>
      </c>
      <c r="X49" s="127"/>
      <c r="Y49" s="127">
        <v>56</v>
      </c>
      <c r="Z49" s="127"/>
      <c r="AA49" s="127">
        <v>56</v>
      </c>
      <c r="AB49" s="127"/>
      <c r="AC49" s="127">
        <v>56</v>
      </c>
      <c r="AD49" s="127"/>
      <c r="AE49" s="127">
        <v>56</v>
      </c>
      <c r="AF49" s="127"/>
      <c r="AG49" s="127">
        <v>56</v>
      </c>
      <c r="AH49" s="127"/>
      <c r="AI49" s="127">
        <v>56</v>
      </c>
      <c r="AJ49" s="127"/>
      <c r="AK49" s="127">
        <v>56</v>
      </c>
      <c r="AL49" s="127"/>
      <c r="AM49" s="127">
        <v>56</v>
      </c>
      <c r="AN49" s="127"/>
      <c r="AO49" s="127">
        <v>56</v>
      </c>
      <c r="AP49" s="127"/>
      <c r="AQ49" s="127">
        <v>56</v>
      </c>
      <c r="AR49" s="127"/>
      <c r="AS49" s="127"/>
      <c r="AT49" s="127"/>
      <c r="AU49" s="127">
        <v>56</v>
      </c>
      <c r="AV49" s="127"/>
      <c r="AW49" s="127">
        <v>56</v>
      </c>
      <c r="AX49" s="127"/>
      <c r="AY49" s="127">
        <v>56</v>
      </c>
    </row>
    <row r="50" spans="1:52" x14ac:dyDescent="0.2">
      <c r="A50" s="127"/>
      <c r="B50" s="181" t="s">
        <v>347</v>
      </c>
      <c r="C50" s="127"/>
      <c r="D50" s="127">
        <f>D44-D47</f>
        <v>927.8842332128047</v>
      </c>
      <c r="E50" s="127">
        <f t="shared" ref="E50:AY50" si="15">E44-E47</f>
        <v>178.72111059031158</v>
      </c>
      <c r="F50" s="127">
        <f t="shared" si="15"/>
        <v>1354.7211105903114</v>
      </c>
      <c r="G50" s="127">
        <f t="shared" si="15"/>
        <v>178.72111059031158</v>
      </c>
      <c r="H50" s="127">
        <f t="shared" si="15"/>
        <v>1354.7211105903114</v>
      </c>
      <c r="I50" s="127">
        <f t="shared" si="15"/>
        <v>178.72111059031158</v>
      </c>
      <c r="J50" s="127">
        <f t="shared" si="15"/>
        <v>1354.7211105903114</v>
      </c>
      <c r="K50" s="127">
        <f t="shared" si="15"/>
        <v>178.72111059031158</v>
      </c>
      <c r="L50" s="127">
        <f t="shared" si="15"/>
        <v>1354.7211105903114</v>
      </c>
      <c r="M50" s="127">
        <f t="shared" si="15"/>
        <v>178.72111059031158</v>
      </c>
      <c r="N50" s="127">
        <f t="shared" si="15"/>
        <v>1354.7211105903114</v>
      </c>
      <c r="O50" s="127">
        <f t="shared" si="15"/>
        <v>178.72111059031158</v>
      </c>
      <c r="P50" s="127">
        <f t="shared" si="15"/>
        <v>1354.7211105903114</v>
      </c>
      <c r="Q50" s="127">
        <f t="shared" si="15"/>
        <v>178.72111059031158</v>
      </c>
      <c r="R50" s="127">
        <f t="shared" si="15"/>
        <v>1354.7211105903114</v>
      </c>
      <c r="S50" s="127">
        <f t="shared" si="15"/>
        <v>178.72111059031158</v>
      </c>
      <c r="T50" s="127">
        <f t="shared" si="15"/>
        <v>1354.7211105903114</v>
      </c>
      <c r="U50" s="127">
        <f t="shared" si="15"/>
        <v>178.72111059031158</v>
      </c>
      <c r="V50" s="127">
        <f t="shared" si="15"/>
        <v>1354.7211105903114</v>
      </c>
      <c r="W50" s="127">
        <f t="shared" si="15"/>
        <v>178.72111059031158</v>
      </c>
      <c r="X50" s="127">
        <f t="shared" si="15"/>
        <v>1354.7211105903114</v>
      </c>
      <c r="Y50" s="127">
        <f t="shared" si="15"/>
        <v>178.72111059031158</v>
      </c>
      <c r="Z50" s="127">
        <f t="shared" si="15"/>
        <v>1354.7211105903114</v>
      </c>
      <c r="AA50" s="127">
        <f t="shared" si="15"/>
        <v>178.72111059031158</v>
      </c>
      <c r="AB50" s="127">
        <f t="shared" si="15"/>
        <v>1354.7211105903114</v>
      </c>
      <c r="AC50" s="127">
        <f t="shared" si="15"/>
        <v>178.72111059031158</v>
      </c>
      <c r="AD50" s="127">
        <f t="shared" si="15"/>
        <v>1354.7211105903114</v>
      </c>
      <c r="AE50" s="127">
        <f t="shared" si="15"/>
        <v>178.72111059031158</v>
      </c>
      <c r="AF50" s="127">
        <f t="shared" si="15"/>
        <v>1354.7211105903114</v>
      </c>
      <c r="AG50" s="127">
        <f t="shared" si="15"/>
        <v>178.72111059031158</v>
      </c>
      <c r="AH50" s="127">
        <f t="shared" si="15"/>
        <v>1354.7211105903114</v>
      </c>
      <c r="AI50" s="127">
        <f t="shared" si="15"/>
        <v>178.72111059031158</v>
      </c>
      <c r="AJ50" s="127">
        <f t="shared" si="15"/>
        <v>1354.7211105903114</v>
      </c>
      <c r="AK50" s="127">
        <f t="shared" si="15"/>
        <v>178.72111059031158</v>
      </c>
      <c r="AL50" s="127">
        <f t="shared" si="15"/>
        <v>0</v>
      </c>
      <c r="AM50" s="127">
        <f t="shared" si="15"/>
        <v>1367.8</v>
      </c>
      <c r="AN50" s="127">
        <f t="shared" si="15"/>
        <v>1354.7211105903114</v>
      </c>
      <c r="AO50" s="127">
        <f t="shared" si="15"/>
        <v>178.72111059031158</v>
      </c>
      <c r="AP50" s="127">
        <f t="shared" si="15"/>
        <v>1354.7211105903114</v>
      </c>
      <c r="AQ50" s="127">
        <f t="shared" si="15"/>
        <v>178.72111059031158</v>
      </c>
      <c r="AR50" s="127">
        <f t="shared" si="15"/>
        <v>0</v>
      </c>
      <c r="AS50" s="127">
        <f t="shared" si="15"/>
        <v>0</v>
      </c>
      <c r="AT50" s="127">
        <f t="shared" si="15"/>
        <v>0</v>
      </c>
      <c r="AU50" s="127">
        <f t="shared" si="15"/>
        <v>1367.8</v>
      </c>
      <c r="AV50" s="127">
        <f t="shared" si="15"/>
        <v>1354.7211105903114</v>
      </c>
      <c r="AW50" s="127">
        <f t="shared" si="15"/>
        <v>178.72111059031158</v>
      </c>
      <c r="AX50" s="127">
        <f t="shared" si="15"/>
        <v>1354.7211105903114</v>
      </c>
      <c r="AY50" s="127">
        <f t="shared" si="15"/>
        <v>178.72111059031158</v>
      </c>
    </row>
    <row r="51" spans="1:52" x14ac:dyDescent="0.2">
      <c r="A51" s="127"/>
      <c r="B51" s="181" t="s">
        <v>348</v>
      </c>
      <c r="C51" s="127"/>
      <c r="D51" s="127">
        <f>D45-D48</f>
        <v>397.66467137691637</v>
      </c>
      <c r="E51" s="127">
        <f t="shared" ref="E51:AY51" si="16">E45-E48</f>
        <v>76.59476168156209</v>
      </c>
      <c r="F51" s="127">
        <f t="shared" si="16"/>
        <v>580.59476168156209</v>
      </c>
      <c r="G51" s="127">
        <f t="shared" si="16"/>
        <v>76.59476168156209</v>
      </c>
      <c r="H51" s="127">
        <f t="shared" si="16"/>
        <v>580.59476168156209</v>
      </c>
      <c r="I51" s="127">
        <f t="shared" si="16"/>
        <v>76.59476168156209</v>
      </c>
      <c r="J51" s="127">
        <f t="shared" si="16"/>
        <v>580.59476168156209</v>
      </c>
      <c r="K51" s="127">
        <f t="shared" si="16"/>
        <v>76.59476168156209</v>
      </c>
      <c r="L51" s="127">
        <f t="shared" si="16"/>
        <v>580.59476168156209</v>
      </c>
      <c r="M51" s="127">
        <f t="shared" si="16"/>
        <v>76.59476168156209</v>
      </c>
      <c r="N51" s="127">
        <f t="shared" si="16"/>
        <v>580.59476168156209</v>
      </c>
      <c r="O51" s="127">
        <f t="shared" si="16"/>
        <v>76.59476168156209</v>
      </c>
      <c r="P51" s="127">
        <f t="shared" si="16"/>
        <v>580.59476168156209</v>
      </c>
      <c r="Q51" s="127">
        <f t="shared" si="16"/>
        <v>76.59476168156209</v>
      </c>
      <c r="R51" s="127">
        <f t="shared" si="16"/>
        <v>580.59476168156209</v>
      </c>
      <c r="S51" s="127">
        <f t="shared" si="16"/>
        <v>76.59476168156209</v>
      </c>
      <c r="T51" s="127">
        <f t="shared" si="16"/>
        <v>580.59476168156209</v>
      </c>
      <c r="U51" s="127">
        <f t="shared" si="16"/>
        <v>76.59476168156209</v>
      </c>
      <c r="V51" s="127">
        <f t="shared" si="16"/>
        <v>580.59476168156209</v>
      </c>
      <c r="W51" s="127">
        <f t="shared" si="16"/>
        <v>76.59476168156209</v>
      </c>
      <c r="X51" s="127">
        <f t="shared" si="16"/>
        <v>580.59476168156209</v>
      </c>
      <c r="Y51" s="127">
        <f t="shared" si="16"/>
        <v>76.59476168156209</v>
      </c>
      <c r="Z51" s="127">
        <f t="shared" si="16"/>
        <v>580.59476168156209</v>
      </c>
      <c r="AA51" s="127">
        <f t="shared" si="16"/>
        <v>76.59476168156209</v>
      </c>
      <c r="AB51" s="127">
        <f t="shared" si="16"/>
        <v>580.59476168156209</v>
      </c>
      <c r="AC51" s="127">
        <f t="shared" si="16"/>
        <v>76.59476168156209</v>
      </c>
      <c r="AD51" s="127">
        <f t="shared" si="16"/>
        <v>580.59476168156209</v>
      </c>
      <c r="AE51" s="127">
        <f t="shared" si="16"/>
        <v>76.59476168156209</v>
      </c>
      <c r="AF51" s="127">
        <f t="shared" si="16"/>
        <v>580.59476168156209</v>
      </c>
      <c r="AG51" s="127">
        <f t="shared" si="16"/>
        <v>76.59476168156209</v>
      </c>
      <c r="AH51" s="127">
        <f t="shared" si="16"/>
        <v>580.59476168156209</v>
      </c>
      <c r="AI51" s="127">
        <f t="shared" si="16"/>
        <v>76.59476168156209</v>
      </c>
      <c r="AJ51" s="127">
        <f t="shared" si="16"/>
        <v>580.59476168156209</v>
      </c>
      <c r="AK51" s="127">
        <f t="shared" si="16"/>
        <v>76.59476168156209</v>
      </c>
      <c r="AL51" s="127">
        <f t="shared" si="16"/>
        <v>0</v>
      </c>
      <c r="AM51" s="127">
        <f t="shared" si="16"/>
        <v>586.20000000000027</v>
      </c>
      <c r="AN51" s="127">
        <f t="shared" si="16"/>
        <v>580.59476168156209</v>
      </c>
      <c r="AO51" s="127">
        <f t="shared" si="16"/>
        <v>76.59476168156209</v>
      </c>
      <c r="AP51" s="127">
        <f t="shared" si="16"/>
        <v>580.59476168156209</v>
      </c>
      <c r="AQ51" s="127">
        <f t="shared" si="16"/>
        <v>76.59476168156209</v>
      </c>
      <c r="AR51" s="127">
        <f t="shared" si="16"/>
        <v>0</v>
      </c>
      <c r="AS51" s="127">
        <f t="shared" si="16"/>
        <v>0</v>
      </c>
      <c r="AT51" s="127">
        <f t="shared" si="16"/>
        <v>0</v>
      </c>
      <c r="AU51" s="127">
        <f t="shared" si="16"/>
        <v>586.20000000000027</v>
      </c>
      <c r="AV51" s="127">
        <f t="shared" si="16"/>
        <v>580.59476168156209</v>
      </c>
      <c r="AW51" s="127">
        <f t="shared" si="16"/>
        <v>76.59476168156209</v>
      </c>
      <c r="AX51" s="127">
        <f t="shared" si="16"/>
        <v>580.59476168156209</v>
      </c>
      <c r="AY51" s="127">
        <f t="shared" si="16"/>
        <v>76.59476168156209</v>
      </c>
    </row>
    <row r="52" spans="1:52" x14ac:dyDescent="0.2">
      <c r="A52" s="127"/>
      <c r="B52" s="181" t="s">
        <v>349</v>
      </c>
      <c r="C52" s="127"/>
      <c r="D52" s="127">
        <v>1</v>
      </c>
      <c r="E52" s="127">
        <v>2</v>
      </c>
      <c r="F52" s="127">
        <v>2</v>
      </c>
      <c r="G52" s="127">
        <v>2</v>
      </c>
      <c r="H52" s="127">
        <v>1</v>
      </c>
      <c r="I52" s="127">
        <v>1</v>
      </c>
      <c r="J52" s="127">
        <v>2</v>
      </c>
      <c r="K52" s="127">
        <v>1</v>
      </c>
      <c r="L52" s="127">
        <v>1</v>
      </c>
      <c r="M52" s="127">
        <v>1</v>
      </c>
      <c r="N52" s="127">
        <v>1</v>
      </c>
      <c r="O52" s="127">
        <v>1</v>
      </c>
      <c r="P52" s="127">
        <v>1</v>
      </c>
      <c r="Q52" s="127">
        <v>1</v>
      </c>
      <c r="R52" s="127">
        <v>2</v>
      </c>
      <c r="S52" s="127">
        <v>2</v>
      </c>
      <c r="T52" s="127">
        <v>1</v>
      </c>
      <c r="U52" s="127">
        <v>1</v>
      </c>
      <c r="V52" s="127">
        <v>1</v>
      </c>
      <c r="W52" s="127">
        <v>2</v>
      </c>
      <c r="X52" s="127">
        <v>2</v>
      </c>
      <c r="Y52" s="127">
        <v>1</v>
      </c>
      <c r="Z52" s="127">
        <v>1</v>
      </c>
      <c r="AA52" s="127">
        <v>1</v>
      </c>
      <c r="AB52" s="127">
        <v>1</v>
      </c>
      <c r="AC52" s="127">
        <v>1</v>
      </c>
      <c r="AD52" s="127">
        <v>1</v>
      </c>
      <c r="AE52" s="127">
        <v>1</v>
      </c>
      <c r="AF52" s="127">
        <v>1</v>
      </c>
      <c r="AG52" s="127">
        <v>2</v>
      </c>
      <c r="AH52" s="127">
        <v>2</v>
      </c>
      <c r="AI52" s="127">
        <v>1</v>
      </c>
      <c r="AJ52" s="127">
        <v>2</v>
      </c>
      <c r="AK52" s="127">
        <v>2</v>
      </c>
      <c r="AL52" s="127">
        <v>1</v>
      </c>
      <c r="AM52" s="127">
        <v>3</v>
      </c>
      <c r="AN52" s="127">
        <v>2</v>
      </c>
      <c r="AO52" s="127">
        <v>2</v>
      </c>
      <c r="AP52" s="127">
        <v>1</v>
      </c>
      <c r="AQ52" s="127">
        <v>1</v>
      </c>
      <c r="AR52" s="127">
        <v>1</v>
      </c>
      <c r="AS52" s="127">
        <v>2</v>
      </c>
      <c r="AT52" s="127">
        <v>1</v>
      </c>
      <c r="AU52" s="127">
        <v>1</v>
      </c>
      <c r="AV52" s="127">
        <v>1</v>
      </c>
      <c r="AW52" s="127">
        <v>2</v>
      </c>
      <c r="AX52" s="127">
        <v>2</v>
      </c>
      <c r="AY52" s="127">
        <v>3</v>
      </c>
    </row>
    <row r="53" spans="1:52" x14ac:dyDescent="0.2">
      <c r="A53" s="127"/>
      <c r="B53" s="192" t="s">
        <v>350</v>
      </c>
      <c r="C53" s="127"/>
      <c r="D53" s="127">
        <v>0</v>
      </c>
      <c r="E53" s="127">
        <v>997920</v>
      </c>
      <c r="F53" s="127">
        <v>0</v>
      </c>
      <c r="G53" s="127">
        <v>997920</v>
      </c>
      <c r="H53" s="127">
        <v>0</v>
      </c>
      <c r="I53" s="127">
        <v>997920</v>
      </c>
      <c r="J53" s="127">
        <v>0</v>
      </c>
      <c r="K53" s="127">
        <v>997920</v>
      </c>
      <c r="L53" s="127">
        <v>0</v>
      </c>
      <c r="M53" s="127">
        <v>997920</v>
      </c>
      <c r="N53" s="127">
        <v>0</v>
      </c>
      <c r="O53" s="127">
        <v>997920</v>
      </c>
      <c r="P53" s="127">
        <v>0</v>
      </c>
      <c r="Q53" s="127">
        <v>997920</v>
      </c>
      <c r="R53" s="127">
        <v>0</v>
      </c>
      <c r="S53" s="127">
        <v>997920</v>
      </c>
      <c r="T53" s="127">
        <v>0</v>
      </c>
      <c r="U53" s="127">
        <v>997920</v>
      </c>
      <c r="V53" s="127">
        <v>0</v>
      </c>
      <c r="W53" s="127">
        <v>997920</v>
      </c>
      <c r="X53" s="127">
        <v>0</v>
      </c>
      <c r="Y53" s="127">
        <v>997920</v>
      </c>
      <c r="Z53" s="127">
        <v>0</v>
      </c>
      <c r="AA53" s="127">
        <v>997920</v>
      </c>
      <c r="AB53" s="127">
        <v>0</v>
      </c>
      <c r="AC53" s="127">
        <v>997920</v>
      </c>
      <c r="AD53" s="127">
        <v>0</v>
      </c>
      <c r="AE53" s="127">
        <v>997920</v>
      </c>
      <c r="AF53" s="127">
        <v>0</v>
      </c>
      <c r="AG53" s="127">
        <v>997920</v>
      </c>
      <c r="AH53" s="127">
        <v>0</v>
      </c>
      <c r="AI53" s="127">
        <v>997920</v>
      </c>
      <c r="AJ53" s="127">
        <v>0</v>
      </c>
      <c r="AK53" s="127">
        <v>997920</v>
      </c>
      <c r="AL53" s="127">
        <v>0</v>
      </c>
      <c r="AM53" s="127">
        <v>997920</v>
      </c>
      <c r="AN53" s="127">
        <v>0</v>
      </c>
      <c r="AO53" s="127">
        <v>997920</v>
      </c>
      <c r="AP53" s="127">
        <v>0</v>
      </c>
      <c r="AQ53" s="127">
        <v>997920</v>
      </c>
      <c r="AR53" s="127">
        <v>0</v>
      </c>
      <c r="AS53" s="127">
        <v>0</v>
      </c>
      <c r="AT53" s="127">
        <v>0</v>
      </c>
      <c r="AU53" s="127">
        <v>997920</v>
      </c>
      <c r="AV53" s="127">
        <v>0</v>
      </c>
      <c r="AW53" s="127">
        <v>997920</v>
      </c>
      <c r="AX53" s="127">
        <v>0</v>
      </c>
      <c r="AY53" s="127">
        <v>997920</v>
      </c>
      <c r="AZ53">
        <f>SUM($D$53:$AY$53)</f>
        <v>22952160</v>
      </c>
    </row>
    <row r="54" spans="1:52" x14ac:dyDescent="0.2">
      <c r="A54" s="141"/>
      <c r="B54" s="156" t="s">
        <v>351</v>
      </c>
      <c r="C54" s="141"/>
      <c r="D54" s="141">
        <v>426495.36005174281</v>
      </c>
      <c r="E54" s="141">
        <v>82147.881903475354</v>
      </c>
      <c r="F54" s="141">
        <v>622687.88190347538</v>
      </c>
      <c r="G54" s="141">
        <v>82147.881903475354</v>
      </c>
      <c r="H54" s="141">
        <v>622687.88190347538</v>
      </c>
      <c r="I54" s="141">
        <v>82147.881903475354</v>
      </c>
      <c r="J54" s="141">
        <v>622687.88190347538</v>
      </c>
      <c r="K54" s="141">
        <v>82147.881903475354</v>
      </c>
      <c r="L54" s="141">
        <v>622687.88190347538</v>
      </c>
      <c r="M54" s="141">
        <v>82147.881903475354</v>
      </c>
      <c r="N54" s="141">
        <v>622687.88190347538</v>
      </c>
      <c r="O54" s="141">
        <v>82147.881903475354</v>
      </c>
      <c r="P54" s="141">
        <v>622687.88190347538</v>
      </c>
      <c r="Q54" s="141">
        <v>82147.881903475354</v>
      </c>
      <c r="R54" s="141">
        <v>622687.88190347538</v>
      </c>
      <c r="S54" s="141">
        <v>82147.881903475354</v>
      </c>
      <c r="T54" s="141">
        <v>622687.88190347538</v>
      </c>
      <c r="U54" s="141">
        <v>82147.881903475354</v>
      </c>
      <c r="V54" s="141">
        <v>622687.88190347538</v>
      </c>
      <c r="W54" s="141">
        <v>82147.881903475354</v>
      </c>
      <c r="X54" s="141">
        <v>622687.88190347538</v>
      </c>
      <c r="Y54" s="141">
        <v>82147.881903475354</v>
      </c>
      <c r="Z54" s="141">
        <v>622687.88190347538</v>
      </c>
      <c r="AA54" s="141">
        <v>82147.881903475354</v>
      </c>
      <c r="AB54" s="141">
        <v>622687.88190347538</v>
      </c>
      <c r="AC54" s="141">
        <v>82147.881903475354</v>
      </c>
      <c r="AD54" s="141">
        <v>622687.88190347538</v>
      </c>
      <c r="AE54" s="141">
        <v>82147.881903475354</v>
      </c>
      <c r="AF54" s="141">
        <v>622687.88190347538</v>
      </c>
      <c r="AG54" s="141">
        <v>82147.881903475354</v>
      </c>
      <c r="AH54" s="141">
        <v>622687.88190347538</v>
      </c>
      <c r="AI54" s="141">
        <v>82147.881903475354</v>
      </c>
      <c r="AJ54" s="141">
        <v>622687.88190347538</v>
      </c>
      <c r="AK54" s="141">
        <v>82147.881903475354</v>
      </c>
      <c r="AL54" s="141">
        <v>0</v>
      </c>
      <c r="AM54" s="141">
        <v>628699.50000000012</v>
      </c>
      <c r="AN54" s="141">
        <v>622687.88190347538</v>
      </c>
      <c r="AO54" s="141">
        <v>82147.881903475354</v>
      </c>
      <c r="AP54" s="141">
        <v>622687.88190347538</v>
      </c>
      <c r="AQ54" s="141">
        <v>82147.881903475354</v>
      </c>
      <c r="AR54" s="141">
        <v>0</v>
      </c>
      <c r="AS54" s="141">
        <v>0</v>
      </c>
      <c r="AT54" s="141">
        <v>0</v>
      </c>
      <c r="AU54" s="141">
        <v>628699.50000000012</v>
      </c>
      <c r="AV54" s="141">
        <v>622687.88190347538</v>
      </c>
      <c r="AW54" s="141">
        <v>82147.881903475354</v>
      </c>
      <c r="AX54" s="141">
        <v>622687.88190347538</v>
      </c>
      <c r="AY54" s="141">
        <v>82147.881903475354</v>
      </c>
      <c r="AZ54">
        <f>SUM($D$54:$AY$54)</f>
        <v>15862757.518094227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75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customWidth="1"/>
    <col min="2" max="2" width="12.7109375" customWidth="1"/>
  </cols>
  <sheetData>
    <row r="1" spans="1:54" x14ac:dyDescent="0.2">
      <c r="A1" s="1" t="s">
        <v>284</v>
      </c>
    </row>
    <row r="2" spans="1:54" x14ac:dyDescent="0.2">
      <c r="A2" t="s">
        <v>285</v>
      </c>
      <c r="B2" s="124" t="s">
        <v>22</v>
      </c>
    </row>
    <row r="3" spans="1:54" x14ac:dyDescent="0.2">
      <c r="A3" t="s">
        <v>286</v>
      </c>
      <c r="B3" s="125">
        <v>40000</v>
      </c>
      <c r="C3" s="126"/>
    </row>
    <row r="4" spans="1:54" x14ac:dyDescent="0.2">
      <c r="B4" s="127"/>
      <c r="C4" s="127"/>
    </row>
    <row r="5" spans="1:54" x14ac:dyDescent="0.2">
      <c r="C5" s="9" t="s">
        <v>287</v>
      </c>
    </row>
    <row r="6" spans="1:54" x14ac:dyDescent="0.2">
      <c r="C6" s="128">
        <v>0</v>
      </c>
      <c r="D6" s="128">
        <v>1</v>
      </c>
      <c r="E6" s="128">
        <v>2</v>
      </c>
      <c r="F6" s="128">
        <v>3</v>
      </c>
      <c r="G6" s="128">
        <v>4</v>
      </c>
      <c r="H6" s="128">
        <v>5</v>
      </c>
      <c r="I6" s="128">
        <v>6</v>
      </c>
      <c r="J6" s="128">
        <v>7</v>
      </c>
      <c r="K6" s="128">
        <v>8</v>
      </c>
      <c r="L6" s="128">
        <v>9</v>
      </c>
      <c r="M6" s="128">
        <v>10</v>
      </c>
      <c r="N6" s="128">
        <v>11</v>
      </c>
      <c r="O6" s="128">
        <v>12</v>
      </c>
      <c r="P6" s="128">
        <v>13</v>
      </c>
      <c r="Q6" s="128">
        <v>14</v>
      </c>
      <c r="R6" s="128">
        <v>15</v>
      </c>
      <c r="S6" s="128">
        <v>16</v>
      </c>
      <c r="T6" s="128">
        <v>17</v>
      </c>
      <c r="U6" s="128">
        <v>18</v>
      </c>
      <c r="V6" s="128">
        <v>19</v>
      </c>
      <c r="W6" s="128">
        <v>20</v>
      </c>
      <c r="X6" s="128">
        <v>21</v>
      </c>
      <c r="Y6" s="128">
        <v>22</v>
      </c>
      <c r="Z6" s="128">
        <v>23</v>
      </c>
      <c r="AA6" s="128">
        <v>24</v>
      </c>
      <c r="AB6" s="128">
        <v>25</v>
      </c>
      <c r="AC6" s="128">
        <v>26</v>
      </c>
      <c r="AD6" s="128">
        <v>27</v>
      </c>
      <c r="AE6" s="128">
        <v>28</v>
      </c>
      <c r="AF6" s="128">
        <v>29</v>
      </c>
      <c r="AG6" s="128">
        <v>30</v>
      </c>
      <c r="AH6" s="128">
        <v>31</v>
      </c>
      <c r="AI6" s="128">
        <v>32</v>
      </c>
      <c r="AJ6" s="128">
        <v>33</v>
      </c>
      <c r="AK6" s="128">
        <v>34</v>
      </c>
      <c r="AL6" s="128">
        <v>35</v>
      </c>
      <c r="AM6" s="128">
        <v>36</v>
      </c>
      <c r="AN6" s="128">
        <v>37</v>
      </c>
      <c r="AO6" s="128">
        <v>38</v>
      </c>
      <c r="AP6" s="128">
        <v>39</v>
      </c>
      <c r="AQ6" s="128">
        <v>40</v>
      </c>
      <c r="AR6" s="128">
        <v>41</v>
      </c>
      <c r="AS6" s="128">
        <v>42</v>
      </c>
      <c r="AT6" s="128">
        <v>43</v>
      </c>
      <c r="AU6" s="128">
        <v>44</v>
      </c>
      <c r="AV6" s="128">
        <v>45</v>
      </c>
      <c r="AW6" s="128">
        <v>46</v>
      </c>
      <c r="AX6" s="128">
        <v>47</v>
      </c>
      <c r="AY6" s="128">
        <v>48</v>
      </c>
    </row>
    <row r="7" spans="1:54" x14ac:dyDescent="0.2">
      <c r="B7" s="127"/>
      <c r="C7" s="129" t="s">
        <v>288</v>
      </c>
      <c r="D7" s="128" t="s">
        <v>289</v>
      </c>
      <c r="E7" s="128" t="s">
        <v>289</v>
      </c>
      <c r="F7" s="128" t="s">
        <v>289</v>
      </c>
      <c r="G7" s="128" t="s">
        <v>289</v>
      </c>
      <c r="H7" s="128" t="s">
        <v>289</v>
      </c>
      <c r="I7" s="128" t="s">
        <v>289</v>
      </c>
      <c r="J7" s="128" t="s">
        <v>289</v>
      </c>
      <c r="K7" s="128" t="s">
        <v>289</v>
      </c>
      <c r="L7" s="128" t="s">
        <v>289</v>
      </c>
      <c r="M7" s="128" t="s">
        <v>289</v>
      </c>
      <c r="N7" s="128" t="s">
        <v>289</v>
      </c>
      <c r="O7" s="128" t="s">
        <v>289</v>
      </c>
      <c r="P7" s="128" t="s">
        <v>289</v>
      </c>
      <c r="Q7" s="128" t="s">
        <v>289</v>
      </c>
      <c r="R7" s="128" t="s">
        <v>289</v>
      </c>
      <c r="S7" s="128" t="s">
        <v>289</v>
      </c>
      <c r="T7" s="128" t="s">
        <v>289</v>
      </c>
      <c r="U7" s="128" t="s">
        <v>289</v>
      </c>
      <c r="V7" s="128" t="s">
        <v>289</v>
      </c>
      <c r="W7" s="128" t="s">
        <v>289</v>
      </c>
      <c r="X7" s="128" t="s">
        <v>289</v>
      </c>
      <c r="Y7" s="128" t="s">
        <v>289</v>
      </c>
      <c r="Z7" s="128" t="s">
        <v>289</v>
      </c>
      <c r="AA7" s="128" t="s">
        <v>289</v>
      </c>
      <c r="AB7" s="128" t="s">
        <v>289</v>
      </c>
      <c r="AC7" s="128" t="s">
        <v>289</v>
      </c>
      <c r="AD7" s="128" t="s">
        <v>289</v>
      </c>
      <c r="AE7" s="128" t="s">
        <v>289</v>
      </c>
      <c r="AF7" s="128" t="s">
        <v>289</v>
      </c>
      <c r="AG7" s="128" t="s">
        <v>289</v>
      </c>
      <c r="AH7" s="128" t="s">
        <v>289</v>
      </c>
      <c r="AI7" s="128" t="s">
        <v>289</v>
      </c>
      <c r="AJ7" s="128" t="s">
        <v>289</v>
      </c>
      <c r="AK7" s="128" t="s">
        <v>289</v>
      </c>
      <c r="AL7" s="128" t="s">
        <v>289</v>
      </c>
      <c r="AM7" s="128" t="s">
        <v>289</v>
      </c>
      <c r="AN7" s="128" t="s">
        <v>289</v>
      </c>
      <c r="AO7" s="128" t="s">
        <v>289</v>
      </c>
      <c r="AP7" s="128" t="s">
        <v>289</v>
      </c>
      <c r="AQ7" s="128" t="s">
        <v>289</v>
      </c>
      <c r="AR7" s="128" t="s">
        <v>289</v>
      </c>
      <c r="AS7" s="128" t="s">
        <v>289</v>
      </c>
      <c r="AT7" s="128" t="s">
        <v>289</v>
      </c>
      <c r="AU7" s="128" t="s">
        <v>289</v>
      </c>
      <c r="AV7" s="128" t="s">
        <v>289</v>
      </c>
      <c r="AW7" s="128" t="s">
        <v>289</v>
      </c>
      <c r="AX7" s="128" t="s">
        <v>289</v>
      </c>
      <c r="AY7" s="9" t="s">
        <v>290</v>
      </c>
      <c r="AZ7" s="9" t="s">
        <v>291</v>
      </c>
    </row>
    <row r="8" spans="1:54" x14ac:dyDescent="0.2">
      <c r="A8" s="1" t="s">
        <v>292</v>
      </c>
      <c r="B8" s="130"/>
      <c r="AY8" s="127"/>
    </row>
    <row r="9" spans="1:54" x14ac:dyDescent="0.2">
      <c r="A9" s="131" t="s">
        <v>125</v>
      </c>
      <c r="B9" s="132">
        <v>1</v>
      </c>
      <c r="C9" s="133" t="s">
        <v>293</v>
      </c>
      <c r="D9" s="133">
        <v>4578.989669510006</v>
      </c>
      <c r="E9" s="133">
        <v>4578.989669510006</v>
      </c>
      <c r="F9" s="133">
        <v>4578.989669510006</v>
      </c>
      <c r="G9" s="133">
        <v>4578.989669510006</v>
      </c>
      <c r="H9" s="133">
        <v>3778.8735562965867</v>
      </c>
      <c r="I9" s="133">
        <v>4578.989669510006</v>
      </c>
      <c r="J9" s="133">
        <v>2700.1850308949124</v>
      </c>
      <c r="K9" s="133">
        <v>4578.989669510006</v>
      </c>
      <c r="L9" s="133">
        <v>4578.989669510006</v>
      </c>
      <c r="M9" s="133">
        <v>4578.989669510006</v>
      </c>
      <c r="N9" s="133">
        <v>4578.989669510006</v>
      </c>
      <c r="O9" s="133">
        <v>4578.989669510006</v>
      </c>
      <c r="P9" s="133">
        <v>4578.989669510006</v>
      </c>
      <c r="Q9" s="133">
        <v>4578.989669510006</v>
      </c>
      <c r="R9" s="133">
        <v>4578.989669510006</v>
      </c>
      <c r="S9" s="133">
        <v>4578.989669510006</v>
      </c>
      <c r="T9" s="133">
        <v>4578.989669510006</v>
      </c>
      <c r="U9" s="133">
        <v>4578.989669510006</v>
      </c>
      <c r="V9" s="133">
        <v>4578.989669510006</v>
      </c>
      <c r="W9" s="133">
        <v>4578.989669510006</v>
      </c>
      <c r="X9" s="133">
        <v>4578.989669510006</v>
      </c>
      <c r="Y9" s="133">
        <v>4578.989669510006</v>
      </c>
      <c r="Z9" s="133">
        <v>4578.989669510006</v>
      </c>
      <c r="AA9" s="133">
        <v>4578.989669510006</v>
      </c>
      <c r="AB9" s="133">
        <v>4578.989669510006</v>
      </c>
      <c r="AC9" s="133">
        <v>4578.989669510006</v>
      </c>
      <c r="AD9" s="133">
        <v>4578.989669510006</v>
      </c>
      <c r="AE9" s="133">
        <v>4578.989669510006</v>
      </c>
      <c r="AF9" s="133">
        <v>4578.989669510006</v>
      </c>
      <c r="AG9" s="133">
        <v>4578.989669510006</v>
      </c>
      <c r="AH9" s="133">
        <v>4578.989669510006</v>
      </c>
      <c r="AI9" s="133">
        <v>4578.989669510006</v>
      </c>
      <c r="AJ9" s="133">
        <v>2719.9294049408518</v>
      </c>
      <c r="AK9" s="133">
        <v>4578.989669510006</v>
      </c>
      <c r="AL9" s="133">
        <v>4578.989669510006</v>
      </c>
      <c r="AM9" s="133">
        <v>4578.989669510006</v>
      </c>
      <c r="AN9" s="133">
        <v>4578.989669510006</v>
      </c>
      <c r="AO9" s="133">
        <v>4578.989669510006</v>
      </c>
      <c r="AP9" s="133">
        <v>4578.989669510006</v>
      </c>
      <c r="AQ9" s="133">
        <v>3883.9778186083204</v>
      </c>
      <c r="AR9" s="133">
        <v>3886.7475140551428</v>
      </c>
      <c r="AS9" s="133">
        <v>3889.498477784427</v>
      </c>
      <c r="AT9" s="133">
        <v>3892.2302658896087</v>
      </c>
      <c r="AU9" s="133">
        <v>3894.9424376364159</v>
      </c>
      <c r="AV9" s="133">
        <v>3897.6345555419725</v>
      </c>
      <c r="AW9" s="133">
        <v>2728.9801063768314</v>
      </c>
      <c r="AX9" s="133">
        <v>4578.989669510006</v>
      </c>
      <c r="AY9" s="133">
        <v>4578.989669510006</v>
      </c>
    </row>
    <row r="10" spans="1:54" x14ac:dyDescent="0.2">
      <c r="A10" s="134" t="s">
        <v>133</v>
      </c>
      <c r="B10" s="135">
        <v>1</v>
      </c>
      <c r="C10" s="123" t="s">
        <v>293</v>
      </c>
      <c r="D10">
        <v>2532</v>
      </c>
      <c r="E10">
        <v>120</v>
      </c>
      <c r="F10">
        <v>78.95146475989705</v>
      </c>
      <c r="G10">
        <v>120</v>
      </c>
      <c r="H10">
        <v>219.04469075989707</v>
      </c>
      <c r="I10">
        <v>198.95146475989705</v>
      </c>
      <c r="J10">
        <v>54.654594980340434</v>
      </c>
      <c r="K10">
        <v>140.09322600000002</v>
      </c>
      <c r="L10">
        <v>78.95146475989705</v>
      </c>
      <c r="M10">
        <v>219.04469075989707</v>
      </c>
      <c r="N10">
        <v>219.04469075989707</v>
      </c>
      <c r="O10">
        <v>219.04469075989707</v>
      </c>
      <c r="P10">
        <v>219.04469075989707</v>
      </c>
      <c r="Q10">
        <v>120</v>
      </c>
      <c r="R10">
        <v>219.04469075989707</v>
      </c>
      <c r="S10">
        <v>219.04469075989707</v>
      </c>
      <c r="T10">
        <v>0</v>
      </c>
      <c r="U10">
        <v>219.04469075989707</v>
      </c>
      <c r="V10">
        <v>219.04469075989707</v>
      </c>
      <c r="W10">
        <v>198.95146475989705</v>
      </c>
      <c r="X10">
        <v>78.95146475989705</v>
      </c>
      <c r="Y10">
        <v>198.95146475989705</v>
      </c>
      <c r="Z10">
        <v>219.04469075989707</v>
      </c>
      <c r="AA10">
        <v>198.95146475989705</v>
      </c>
      <c r="AB10">
        <v>78.95146475989705</v>
      </c>
      <c r="AC10">
        <v>219.04469075989707</v>
      </c>
      <c r="AD10">
        <v>0</v>
      </c>
      <c r="AE10">
        <v>219.04469075989707</v>
      </c>
      <c r="AF10">
        <v>219.04469075989707</v>
      </c>
      <c r="AG10">
        <v>140.09322600000002</v>
      </c>
      <c r="AH10">
        <v>219.04469075989707</v>
      </c>
      <c r="AI10">
        <v>219.04469075989707</v>
      </c>
      <c r="AJ10">
        <v>219.04469075989707</v>
      </c>
      <c r="AK10">
        <v>219.04469075989707</v>
      </c>
      <c r="AL10">
        <v>14.472175917329645</v>
      </c>
      <c r="AM10">
        <v>198.95146475989705</v>
      </c>
      <c r="AN10">
        <v>78.95146475989705</v>
      </c>
      <c r="AO10">
        <v>219.04469075989707</v>
      </c>
      <c r="AP10">
        <v>140.09322600000002</v>
      </c>
      <c r="AQ10">
        <v>219.04469075989707</v>
      </c>
      <c r="AR10">
        <v>219.04469075989707</v>
      </c>
      <c r="AS10">
        <v>178.64285395331052</v>
      </c>
      <c r="AT10">
        <v>140.09322600000002</v>
      </c>
      <c r="AU10">
        <v>178.85233944906057</v>
      </c>
      <c r="AV10">
        <v>199.04922516925757</v>
      </c>
      <c r="AW10">
        <v>179.05891453222691</v>
      </c>
      <c r="AX10">
        <v>59.161068937357356</v>
      </c>
      <c r="AY10">
        <v>154.90883747759892</v>
      </c>
      <c r="AZ10">
        <v>78.95146475989705</v>
      </c>
    </row>
    <row r="11" spans="1:54" x14ac:dyDescent="0.2">
      <c r="B11" s="135">
        <v>2</v>
      </c>
      <c r="C11" s="123" t="s">
        <v>293</v>
      </c>
      <c r="D11">
        <v>102</v>
      </c>
      <c r="E11">
        <v>671.09780917944227</v>
      </c>
      <c r="F11">
        <v>84.580584000000016</v>
      </c>
      <c r="G11">
        <v>0</v>
      </c>
      <c r="H11">
        <v>99.044690759897065</v>
      </c>
      <c r="I11">
        <v>0</v>
      </c>
      <c r="J11">
        <v>20.093226000000016</v>
      </c>
      <c r="K11">
        <v>140.09322600000002</v>
      </c>
      <c r="L11">
        <v>0</v>
      </c>
      <c r="M11">
        <v>140.09322600000002</v>
      </c>
      <c r="N11">
        <v>0</v>
      </c>
      <c r="Q11">
        <v>0</v>
      </c>
      <c r="R11">
        <v>99.044690759897065</v>
      </c>
      <c r="W11">
        <v>0</v>
      </c>
      <c r="Y11">
        <v>140.09322600000002</v>
      </c>
      <c r="AB11">
        <v>20.093226000000016</v>
      </c>
      <c r="AC11">
        <v>0</v>
      </c>
      <c r="AD11">
        <v>0</v>
      </c>
      <c r="AE11">
        <v>219.04469075989707</v>
      </c>
      <c r="AF11">
        <v>0</v>
      </c>
      <c r="AG11">
        <v>0</v>
      </c>
      <c r="AH11">
        <v>0</v>
      </c>
      <c r="AJ11">
        <v>0</v>
      </c>
      <c r="AM11">
        <v>140.09322600000002</v>
      </c>
      <c r="AN11">
        <v>0</v>
      </c>
      <c r="AO11">
        <v>140.09322600000002</v>
      </c>
      <c r="AQ11">
        <v>78.95146475989705</v>
      </c>
      <c r="AR11">
        <v>0</v>
      </c>
      <c r="AS11">
        <v>0</v>
      </c>
      <c r="AT11">
        <v>0</v>
      </c>
      <c r="AU11">
        <v>0</v>
      </c>
      <c r="AV11">
        <v>20.093226000000016</v>
      </c>
      <c r="AW11">
        <v>0</v>
      </c>
      <c r="AX11">
        <v>0</v>
      </c>
      <c r="AY11">
        <v>140.09322600000002</v>
      </c>
      <c r="BA11">
        <v>0</v>
      </c>
    </row>
    <row r="12" spans="1:54" x14ac:dyDescent="0.2">
      <c r="B12" s="136">
        <v>3</v>
      </c>
      <c r="C12" s="123" t="s">
        <v>293</v>
      </c>
      <c r="F12">
        <v>0</v>
      </c>
      <c r="V12">
        <v>140.09322600000002</v>
      </c>
      <c r="Y12">
        <v>20.093226000000016</v>
      </c>
      <c r="Z12">
        <v>0</v>
      </c>
      <c r="AA12">
        <v>20.093226000000016</v>
      </c>
      <c r="AD12">
        <v>140.09322600000002</v>
      </c>
      <c r="AG12">
        <v>0</v>
      </c>
      <c r="AI12">
        <v>0</v>
      </c>
      <c r="AJ12">
        <v>0</v>
      </c>
      <c r="AO12">
        <v>20.093226000000016</v>
      </c>
      <c r="AS12">
        <v>0</v>
      </c>
      <c r="AU12">
        <v>20.093226000000016</v>
      </c>
      <c r="AV12">
        <v>58.747952095623923</v>
      </c>
      <c r="AW12">
        <v>0</v>
      </c>
      <c r="AY12">
        <v>20.093226000000016</v>
      </c>
      <c r="BB12">
        <v>140.09322600000002</v>
      </c>
    </row>
    <row r="13" spans="1:54" x14ac:dyDescent="0.2">
      <c r="B13" s="136">
        <v>4</v>
      </c>
      <c r="C13" s="123" t="s">
        <v>293</v>
      </c>
    </row>
    <row r="14" spans="1:54" x14ac:dyDescent="0.2">
      <c r="A14" s="131" t="s">
        <v>134</v>
      </c>
      <c r="B14" s="137">
        <v>1</v>
      </c>
      <c r="C14" s="133" t="s">
        <v>293</v>
      </c>
      <c r="D14" s="133">
        <v>4518.4720438491331</v>
      </c>
      <c r="E14" s="133">
        <f t="shared" ref="E14:AZ14" si="0">D$172*SUM(D$122:D$169)</f>
        <v>3195.3402279893835</v>
      </c>
      <c r="F14" s="133">
        <f t="shared" si="0"/>
        <v>2387.0464219078922</v>
      </c>
      <c r="G14" s="133">
        <f t="shared" si="0"/>
        <v>1871.2187043607032</v>
      </c>
      <c r="H14" s="133">
        <f t="shared" si="0"/>
        <v>1512.4571911039291</v>
      </c>
      <c r="I14" s="133">
        <f t="shared" si="0"/>
        <v>1293.5027797742916</v>
      </c>
      <c r="J14" s="133">
        <f t="shared" si="0"/>
        <v>1111.6594402328146</v>
      </c>
      <c r="K14" s="133">
        <f t="shared" si="0"/>
        <v>981.93285652729503</v>
      </c>
      <c r="L14" s="133">
        <f t="shared" si="0"/>
        <v>888.22447970020187</v>
      </c>
      <c r="M14" s="133">
        <f t="shared" si="0"/>
        <v>838.10391954188265</v>
      </c>
      <c r="N14" s="133">
        <f t="shared" si="0"/>
        <v>826.36579736528358</v>
      </c>
      <c r="O14" s="133">
        <f t="shared" si="0"/>
        <v>793.9796614845493</v>
      </c>
      <c r="P14" s="133">
        <f t="shared" si="0"/>
        <v>755.67886178058018</v>
      </c>
      <c r="Q14" s="133">
        <f t="shared" si="0"/>
        <v>731.37482193879578</v>
      </c>
      <c r="R14" s="133">
        <f t="shared" si="0"/>
        <v>721.81334430257255</v>
      </c>
      <c r="S14" s="133">
        <f t="shared" si="0"/>
        <v>737.85204936826517</v>
      </c>
      <c r="T14" s="133">
        <f t="shared" si="0"/>
        <v>765.85538931424958</v>
      </c>
      <c r="U14" s="133">
        <f t="shared" si="0"/>
        <v>749.08105477940626</v>
      </c>
      <c r="V14" s="133">
        <f t="shared" si="0"/>
        <v>775.88080972516968</v>
      </c>
      <c r="W14" s="133">
        <f t="shared" si="0"/>
        <v>776.6836812737638</v>
      </c>
      <c r="X14" s="133">
        <f t="shared" si="0"/>
        <v>777.32943721352058</v>
      </c>
      <c r="Y14" s="133">
        <f t="shared" si="0"/>
        <v>754.7770888612414</v>
      </c>
      <c r="Z14" s="133">
        <f t="shared" si="0"/>
        <v>751.99328765810674</v>
      </c>
      <c r="AA14" s="133">
        <f t="shared" si="0"/>
        <v>756.83537710101075</v>
      </c>
      <c r="AB14" s="133">
        <f t="shared" si="0"/>
        <v>738.29843315133974</v>
      </c>
      <c r="AC14" s="133">
        <f t="shared" si="0"/>
        <v>757.98175079494706</v>
      </c>
      <c r="AD14" s="133">
        <f t="shared" si="0"/>
        <v>764.39108331208945</v>
      </c>
      <c r="AE14" s="133">
        <f t="shared" si="0"/>
        <v>726.10692005876831</v>
      </c>
      <c r="AF14" s="133">
        <f t="shared" si="0"/>
        <v>755.11618996881009</v>
      </c>
      <c r="AG14" s="133">
        <f t="shared" si="0"/>
        <v>733.13198560710123</v>
      </c>
      <c r="AH14" s="133">
        <f t="shared" si="0"/>
        <v>766.47080836932571</v>
      </c>
      <c r="AI14" s="133">
        <f t="shared" si="0"/>
        <v>742.29512016174306</v>
      </c>
      <c r="AJ14" s="133">
        <f t="shared" si="0"/>
        <v>740.29204395547094</v>
      </c>
      <c r="AK14" s="133">
        <f t="shared" si="0"/>
        <v>742.26140702190617</v>
      </c>
      <c r="AL14" s="133">
        <f t="shared" si="0"/>
        <v>718.58235346382048</v>
      </c>
      <c r="AM14" s="133">
        <f t="shared" si="0"/>
        <v>731.64863997763064</v>
      </c>
      <c r="AN14" s="133">
        <f t="shared" si="0"/>
        <v>750.68428970196555</v>
      </c>
      <c r="AO14" s="133">
        <f t="shared" si="0"/>
        <v>724.19335475497996</v>
      </c>
      <c r="AP14" s="133">
        <f t="shared" si="0"/>
        <v>728.26303996779848</v>
      </c>
      <c r="AQ14" s="133">
        <f t="shared" si="0"/>
        <v>729.41395771538021</v>
      </c>
      <c r="AR14" s="133">
        <f t="shared" si="0"/>
        <v>722.19606304951924</v>
      </c>
      <c r="AS14" s="133">
        <f t="shared" si="0"/>
        <v>702.5088741161901</v>
      </c>
      <c r="AT14" s="133">
        <f t="shared" si="0"/>
        <v>702.53984507808036</v>
      </c>
      <c r="AU14" s="133">
        <f t="shared" si="0"/>
        <v>689.94112323920945</v>
      </c>
      <c r="AV14" s="133">
        <f t="shared" si="0"/>
        <v>711.77627800812115</v>
      </c>
      <c r="AW14" s="133">
        <f t="shared" si="0"/>
        <v>713.02424584331277</v>
      </c>
      <c r="AX14" s="133">
        <f t="shared" si="0"/>
        <v>722.91145490082624</v>
      </c>
      <c r="AY14" s="133">
        <f t="shared" si="0"/>
        <v>726.61990071835044</v>
      </c>
      <c r="AZ14" s="127">
        <f t="shared" si="0"/>
        <v>725.06963139446816</v>
      </c>
      <c r="BA14" s="124">
        <f>SUM($E14:$AZ14)</f>
        <v>43020.705477636075</v>
      </c>
    </row>
    <row r="15" spans="1:54" x14ac:dyDescent="0.2">
      <c r="A15" s="138" t="s">
        <v>123</v>
      </c>
      <c r="B15" s="139">
        <v>1</v>
      </c>
      <c r="C15" s="140" t="s">
        <v>293</v>
      </c>
      <c r="D15" s="140">
        <v>1269.9289161901002</v>
      </c>
      <c r="E15" s="140">
        <v>1269.9289161901002</v>
      </c>
      <c r="F15" s="140">
        <v>1269.9289161901002</v>
      </c>
      <c r="G15" s="140">
        <v>1269.9289161901002</v>
      </c>
      <c r="H15" s="140">
        <v>1269.9289161901002</v>
      </c>
      <c r="I15" s="140">
        <v>1269.9289161901002</v>
      </c>
      <c r="J15" s="140">
        <v>1269.9289161901002</v>
      </c>
      <c r="K15" s="140">
        <v>1269.9289161901002</v>
      </c>
      <c r="L15" s="140">
        <v>1269.9289161901002</v>
      </c>
      <c r="M15" s="140">
        <v>1269.9289161901002</v>
      </c>
      <c r="N15" s="140">
        <v>1269.9289161901002</v>
      </c>
      <c r="O15" s="140">
        <v>1269.9289161901002</v>
      </c>
      <c r="P15" s="140">
        <v>1269.9289161901002</v>
      </c>
      <c r="Q15" s="140">
        <v>1269.9289161901002</v>
      </c>
      <c r="R15" s="140">
        <v>1269.9289161901002</v>
      </c>
      <c r="S15" s="140">
        <v>1269.9289161901002</v>
      </c>
      <c r="T15" s="140">
        <v>1269.9289161901002</v>
      </c>
      <c r="U15" s="140">
        <v>1269.9289161901002</v>
      </c>
      <c r="V15" s="140">
        <v>1269.9289161901002</v>
      </c>
      <c r="W15" s="140">
        <v>1269.9289161901002</v>
      </c>
      <c r="X15" s="140">
        <v>1269.9289161901002</v>
      </c>
      <c r="Y15" s="140">
        <v>1269.9289161901002</v>
      </c>
      <c r="Z15" s="140">
        <v>1269.9289161901002</v>
      </c>
      <c r="AA15" s="140">
        <v>1269.9289161901002</v>
      </c>
      <c r="AB15" s="140">
        <v>1269.9289161901002</v>
      </c>
      <c r="AC15" s="140">
        <v>1269.9289161901002</v>
      </c>
      <c r="AD15" s="140">
        <v>1269.9289161901002</v>
      </c>
      <c r="AE15" s="140">
        <v>1269.9289161901002</v>
      </c>
      <c r="AF15" s="140">
        <v>1269.9289161901002</v>
      </c>
      <c r="AG15" s="140">
        <v>1269.9289161901002</v>
      </c>
      <c r="AH15" s="140">
        <v>1269.9289161901002</v>
      </c>
      <c r="AI15" s="140">
        <v>1269.9289161901002</v>
      </c>
      <c r="AJ15" s="140">
        <v>1269.9289161901002</v>
      </c>
      <c r="AK15" s="140">
        <v>1269.9289161901002</v>
      </c>
      <c r="AL15" s="140">
        <v>1269.9289161901002</v>
      </c>
      <c r="AM15" s="140">
        <v>1269.9289161901002</v>
      </c>
      <c r="AN15" s="140">
        <v>1269.9289161901002</v>
      </c>
      <c r="AO15" s="140">
        <v>1269.9289161901002</v>
      </c>
      <c r="AP15" s="140">
        <v>1269.9289161901002</v>
      </c>
      <c r="AQ15" s="140">
        <v>1269.9289161901002</v>
      </c>
      <c r="AR15" s="140">
        <v>1269.9289161901002</v>
      </c>
      <c r="AS15" s="140">
        <v>1269.9289161901002</v>
      </c>
      <c r="AT15" s="140">
        <v>1269.9289161901002</v>
      </c>
      <c r="AU15" s="140">
        <v>1269.9289161901002</v>
      </c>
      <c r="AV15" s="140">
        <v>1269.9289161901002</v>
      </c>
      <c r="AW15" s="140">
        <v>1269.9289161901002</v>
      </c>
      <c r="AX15" s="140">
        <v>1269.9289161901002</v>
      </c>
      <c r="AY15" s="140">
        <v>1269.9289161901002</v>
      </c>
      <c r="AZ15">
        <v>0</v>
      </c>
    </row>
    <row r="16" spans="1:54" x14ac:dyDescent="0.2">
      <c r="A16" s="127"/>
      <c r="B16" s="135">
        <v>2</v>
      </c>
      <c r="C16" s="126" t="s">
        <v>293</v>
      </c>
      <c r="D16" s="123">
        <v>0</v>
      </c>
      <c r="E16" s="127">
        <v>0</v>
      </c>
      <c r="F16" s="127">
        <v>0</v>
      </c>
      <c r="G16" s="127">
        <v>0</v>
      </c>
      <c r="H16" s="127">
        <v>0</v>
      </c>
      <c r="I16" s="127">
        <v>0</v>
      </c>
      <c r="J16" s="127">
        <v>0</v>
      </c>
      <c r="K16" s="127">
        <v>0</v>
      </c>
      <c r="L16" s="127">
        <v>0</v>
      </c>
      <c r="M16" s="127">
        <v>0</v>
      </c>
      <c r="N16" s="127">
        <v>0</v>
      </c>
      <c r="O16" s="127"/>
      <c r="P16" s="127"/>
      <c r="Q16" s="127">
        <v>0</v>
      </c>
      <c r="R16" s="127">
        <v>0</v>
      </c>
      <c r="S16" s="127"/>
      <c r="T16" s="127"/>
      <c r="U16" s="127"/>
      <c r="V16" s="127"/>
      <c r="W16" s="127">
        <v>0</v>
      </c>
      <c r="X16" s="127"/>
      <c r="Y16" s="127">
        <v>0</v>
      </c>
      <c r="Z16" s="127"/>
      <c r="AA16" s="127"/>
      <c r="AB16" s="127">
        <v>0</v>
      </c>
      <c r="AC16" s="127">
        <v>0</v>
      </c>
      <c r="AD16" s="127">
        <v>0</v>
      </c>
      <c r="AE16" s="127">
        <v>0</v>
      </c>
      <c r="AF16" s="127">
        <v>0</v>
      </c>
      <c r="AG16" s="127">
        <v>0</v>
      </c>
      <c r="AH16" s="127">
        <v>0</v>
      </c>
      <c r="AI16" s="127"/>
      <c r="AJ16" s="127">
        <v>0</v>
      </c>
      <c r="AK16" s="127"/>
      <c r="AL16" s="127"/>
      <c r="AM16" s="127">
        <v>0</v>
      </c>
      <c r="AN16" s="127">
        <v>0</v>
      </c>
      <c r="AO16" s="127">
        <v>0</v>
      </c>
      <c r="AP16" s="127"/>
      <c r="AQ16" s="127">
        <v>0</v>
      </c>
      <c r="AR16" s="127">
        <v>0</v>
      </c>
      <c r="AS16" s="127">
        <v>0</v>
      </c>
      <c r="AT16" s="127">
        <v>0</v>
      </c>
      <c r="AU16" s="127">
        <v>0</v>
      </c>
      <c r="AV16" s="127">
        <v>0</v>
      </c>
      <c r="AW16" s="127">
        <v>0</v>
      </c>
      <c r="AX16" s="127">
        <v>0</v>
      </c>
      <c r="AY16" s="127">
        <v>0</v>
      </c>
      <c r="BA16">
        <v>0</v>
      </c>
    </row>
    <row r="17" spans="1:54" x14ac:dyDescent="0.2">
      <c r="A17" s="127"/>
      <c r="B17" s="135">
        <v>3</v>
      </c>
      <c r="C17" s="126" t="s">
        <v>293</v>
      </c>
      <c r="D17" s="123"/>
      <c r="E17" s="127"/>
      <c r="F17" s="127">
        <v>0</v>
      </c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7"/>
      <c r="R17" s="127"/>
      <c r="S17" s="127"/>
      <c r="T17" s="127"/>
      <c r="U17" s="127"/>
      <c r="V17" s="127">
        <v>0</v>
      </c>
      <c r="W17" s="127"/>
      <c r="X17" s="127"/>
      <c r="Y17" s="127">
        <v>0</v>
      </c>
      <c r="Z17" s="127">
        <v>0</v>
      </c>
      <c r="AA17" s="127">
        <v>0</v>
      </c>
      <c r="AB17" s="127"/>
      <c r="AC17" s="127"/>
      <c r="AD17" s="127">
        <v>0</v>
      </c>
      <c r="AE17" s="127"/>
      <c r="AF17" s="127"/>
      <c r="AG17" s="127">
        <v>0</v>
      </c>
      <c r="AH17" s="127"/>
      <c r="AI17" s="127">
        <v>0</v>
      </c>
      <c r="AJ17" s="127">
        <v>0</v>
      </c>
      <c r="AK17" s="127"/>
      <c r="AL17" s="127"/>
      <c r="AM17" s="127"/>
      <c r="AN17" s="127"/>
      <c r="AO17" s="127">
        <v>0</v>
      </c>
      <c r="AP17" s="127"/>
      <c r="AQ17" s="127"/>
      <c r="AR17" s="127"/>
      <c r="AS17" s="127">
        <v>0</v>
      </c>
      <c r="AT17" s="127"/>
      <c r="AU17" s="127">
        <v>0</v>
      </c>
      <c r="AV17" s="127">
        <v>0</v>
      </c>
      <c r="AW17" s="127">
        <v>0</v>
      </c>
      <c r="AX17" s="127"/>
      <c r="AY17" s="127">
        <v>0</v>
      </c>
      <c r="BB17">
        <v>0</v>
      </c>
    </row>
    <row r="18" spans="1:54" x14ac:dyDescent="0.2">
      <c r="A18" s="141"/>
      <c r="B18" s="132">
        <v>4</v>
      </c>
      <c r="C18" s="141" t="s">
        <v>293</v>
      </c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41"/>
      <c r="W18" s="141"/>
      <c r="X18" s="141"/>
      <c r="Y18" s="141"/>
      <c r="Z18" s="141"/>
      <c r="AA18" s="141"/>
      <c r="AB18" s="141"/>
      <c r="AC18" s="141"/>
      <c r="AD18" s="141"/>
      <c r="AE18" s="141"/>
      <c r="AF18" s="141"/>
      <c r="AG18" s="141"/>
      <c r="AH18" s="141"/>
      <c r="AI18" s="141"/>
      <c r="AJ18" s="141"/>
      <c r="AK18" s="141"/>
      <c r="AL18" s="141"/>
      <c r="AM18" s="141"/>
      <c r="AN18" s="141"/>
      <c r="AO18" s="141"/>
      <c r="AP18" s="141"/>
      <c r="AQ18" s="141"/>
      <c r="AR18" s="141"/>
      <c r="AS18" s="141"/>
      <c r="AT18" s="141"/>
      <c r="AU18" s="141"/>
      <c r="AV18" s="141"/>
      <c r="AW18" s="141"/>
      <c r="AX18" s="141"/>
      <c r="AY18" s="141"/>
    </row>
    <row r="20" spans="1:54" x14ac:dyDescent="0.2">
      <c r="A20" s="1" t="s">
        <v>294</v>
      </c>
    </row>
    <row r="21" spans="1:54" x14ac:dyDescent="0.2">
      <c r="A21" s="142" t="s">
        <v>125</v>
      </c>
      <c r="B21" s="139">
        <v>1</v>
      </c>
      <c r="C21" s="140" t="s">
        <v>293</v>
      </c>
      <c r="D21" s="140">
        <v>4578.989669510006</v>
      </c>
      <c r="E21" s="140">
        <v>4578.989669510006</v>
      </c>
      <c r="F21" s="140">
        <v>4327.4506344600086</v>
      </c>
      <c r="G21" s="140">
        <v>2301.4765594971395</v>
      </c>
      <c r="H21" s="140">
        <v>34.718240719360516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</row>
    <row r="22" spans="1:54" x14ac:dyDescent="0.2">
      <c r="A22" s="126"/>
      <c r="B22" s="136">
        <v>2</v>
      </c>
      <c r="C22" s="127" t="s">
        <v>293</v>
      </c>
      <c r="D22" s="127">
        <v>0</v>
      </c>
      <c r="E22" s="127">
        <v>0</v>
      </c>
      <c r="F22" s="127">
        <v>0</v>
      </c>
      <c r="G22" s="127">
        <v>0</v>
      </c>
      <c r="H22" s="127">
        <v>1837.5131100128665</v>
      </c>
      <c r="I22" s="127">
        <v>1716.4370086882682</v>
      </c>
      <c r="J22" s="127"/>
      <c r="K22" s="127"/>
      <c r="L22" s="127"/>
      <c r="M22" s="127"/>
      <c r="N22" s="127"/>
      <c r="O22" s="127"/>
      <c r="P22" s="127"/>
      <c r="Q22" s="127"/>
      <c r="R22" s="127"/>
      <c r="S22" s="127"/>
      <c r="T22" s="127"/>
      <c r="U22" s="127"/>
      <c r="V22" s="127"/>
      <c r="W22" s="127"/>
      <c r="X22" s="127"/>
      <c r="Y22" s="127"/>
      <c r="Z22" s="127"/>
      <c r="AA22" s="127"/>
      <c r="AB22" s="127"/>
      <c r="AC22" s="127"/>
      <c r="AD22" s="127"/>
      <c r="AE22" s="127"/>
      <c r="AF22" s="127"/>
      <c r="AG22" s="127"/>
      <c r="AH22" s="127"/>
      <c r="AI22" s="127"/>
      <c r="AJ22" s="127"/>
      <c r="AK22" s="127"/>
      <c r="AL22" s="127"/>
      <c r="AM22" s="127"/>
      <c r="AN22" s="127"/>
      <c r="AO22" s="127"/>
      <c r="AP22" s="127"/>
      <c r="AQ22" s="127"/>
      <c r="AR22" s="127"/>
      <c r="AS22" s="127"/>
      <c r="AT22" s="127"/>
      <c r="AU22" s="127"/>
      <c r="AV22" s="127"/>
      <c r="AW22" s="127"/>
      <c r="AX22" s="127"/>
      <c r="AY22" s="127"/>
    </row>
    <row r="23" spans="1:54" x14ac:dyDescent="0.2">
      <c r="A23" s="126"/>
      <c r="B23" s="143">
        <v>3</v>
      </c>
      <c r="C23" s="127" t="s">
        <v>293</v>
      </c>
      <c r="D23" s="127">
        <v>0</v>
      </c>
      <c r="E23" s="127">
        <v>0</v>
      </c>
      <c r="F23" s="127">
        <v>0</v>
      </c>
      <c r="G23" s="127">
        <v>0</v>
      </c>
      <c r="H23" s="127">
        <v>0</v>
      </c>
      <c r="I23" s="127">
        <v>0</v>
      </c>
      <c r="J23" s="127">
        <v>904.11688373124935</v>
      </c>
      <c r="K23" s="127">
        <v>2219.1615240928254</v>
      </c>
      <c r="L23" s="127">
        <v>468.7990588815104</v>
      </c>
      <c r="M23" s="127"/>
      <c r="N23" s="127"/>
      <c r="O23" s="127"/>
      <c r="P23" s="127"/>
      <c r="Q23" s="127"/>
      <c r="R23" s="127"/>
      <c r="S23" s="127"/>
      <c r="T23" s="127"/>
      <c r="U23" s="127"/>
      <c r="V23" s="127"/>
      <c r="W23" s="127"/>
      <c r="X23" s="127"/>
      <c r="Y23" s="127"/>
      <c r="Z23" s="127"/>
      <c r="AA23" s="127"/>
      <c r="AB23" s="127"/>
      <c r="AC23" s="127"/>
      <c r="AD23" s="127"/>
      <c r="AE23" s="127"/>
      <c r="AF23" s="127"/>
      <c r="AG23" s="127"/>
      <c r="AH23" s="127"/>
      <c r="AI23" s="127"/>
      <c r="AJ23" s="127"/>
      <c r="AK23" s="127"/>
      <c r="AL23" s="127"/>
      <c r="AM23" s="127"/>
      <c r="AN23" s="127"/>
      <c r="AO23" s="127"/>
      <c r="AP23" s="127"/>
      <c r="AQ23" s="127"/>
      <c r="AR23" s="127"/>
      <c r="AS23" s="127"/>
      <c r="AT23" s="127"/>
      <c r="AU23" s="127"/>
      <c r="AV23" s="127"/>
      <c r="AW23" s="127"/>
      <c r="AX23" s="127"/>
      <c r="AY23" s="127"/>
    </row>
    <row r="24" spans="1:54" x14ac:dyDescent="0.2">
      <c r="A24" s="144"/>
      <c r="B24" s="145">
        <v>4</v>
      </c>
      <c r="C24" s="144" t="s">
        <v>293</v>
      </c>
      <c r="D24" s="141">
        <v>0</v>
      </c>
      <c r="E24" s="141">
        <v>0</v>
      </c>
      <c r="F24" s="141">
        <v>0</v>
      </c>
      <c r="G24" s="141">
        <v>0</v>
      </c>
      <c r="H24" s="141">
        <v>0</v>
      </c>
      <c r="I24" s="141">
        <v>0</v>
      </c>
      <c r="J24" s="141">
        <v>0</v>
      </c>
      <c r="K24" s="141">
        <v>0</v>
      </c>
      <c r="L24" s="141">
        <v>1301.4295685748898</v>
      </c>
      <c r="M24" s="141">
        <v>1470.8832045761346</v>
      </c>
      <c r="N24" s="141">
        <v>2029.3314909781159</v>
      </c>
      <c r="O24" s="141">
        <v>519.93213740851343</v>
      </c>
      <c r="P24" s="141">
        <v>0</v>
      </c>
      <c r="Q24" s="141">
        <v>0</v>
      </c>
      <c r="R24" s="141">
        <v>0</v>
      </c>
      <c r="S24" s="141">
        <v>0</v>
      </c>
      <c r="T24" s="141">
        <v>0</v>
      </c>
      <c r="U24" s="141">
        <v>0</v>
      </c>
      <c r="V24" s="141">
        <v>0</v>
      </c>
      <c r="W24" s="141">
        <v>0</v>
      </c>
      <c r="X24" s="141">
        <v>0</v>
      </c>
      <c r="Y24" s="141">
        <v>0</v>
      </c>
      <c r="Z24" s="141">
        <v>0</v>
      </c>
      <c r="AA24" s="141">
        <v>0</v>
      </c>
      <c r="AB24" s="141">
        <v>0</v>
      </c>
      <c r="AC24" s="141">
        <v>0</v>
      </c>
      <c r="AD24" s="141">
        <v>0</v>
      </c>
      <c r="AE24" s="141">
        <v>0</v>
      </c>
      <c r="AF24" s="141">
        <v>0</v>
      </c>
      <c r="AG24" s="141">
        <v>0</v>
      </c>
      <c r="AH24" s="141">
        <v>0</v>
      </c>
      <c r="AI24" s="141">
        <v>0</v>
      </c>
      <c r="AJ24" s="141">
        <v>0</v>
      </c>
      <c r="AK24" s="141">
        <v>0</v>
      </c>
      <c r="AL24" s="141">
        <v>0</v>
      </c>
      <c r="AM24" s="141">
        <v>0</v>
      </c>
      <c r="AN24" s="141">
        <v>0</v>
      </c>
      <c r="AO24" s="141">
        <v>0</v>
      </c>
      <c r="AP24" s="141">
        <v>0</v>
      </c>
      <c r="AQ24" s="141">
        <v>0</v>
      </c>
      <c r="AR24" s="141">
        <v>0</v>
      </c>
      <c r="AS24" s="141">
        <v>0</v>
      </c>
      <c r="AT24" s="141">
        <v>0</v>
      </c>
      <c r="AU24" s="141">
        <v>0</v>
      </c>
      <c r="AV24" s="141">
        <v>0</v>
      </c>
      <c r="AW24" s="141">
        <v>0</v>
      </c>
      <c r="AX24" s="141">
        <v>0</v>
      </c>
      <c r="AY24" s="141">
        <v>0</v>
      </c>
    </row>
    <row r="25" spans="1:54" x14ac:dyDescent="0.2">
      <c r="A25" s="142" t="s">
        <v>133</v>
      </c>
      <c r="B25" s="139">
        <v>1</v>
      </c>
      <c r="C25" s="126" t="s">
        <v>293</v>
      </c>
      <c r="D25" s="127"/>
      <c r="E25" s="127"/>
      <c r="F25" s="127"/>
      <c r="G25" s="127"/>
      <c r="H25" s="127"/>
      <c r="I25" s="127"/>
      <c r="J25" s="127"/>
      <c r="K25" s="127"/>
      <c r="L25" s="127"/>
      <c r="M25" s="127"/>
      <c r="N25" s="127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7"/>
      <c r="Z25" s="127"/>
      <c r="AA25" s="127"/>
      <c r="AB25" s="127"/>
      <c r="AC25" s="127"/>
      <c r="AD25" s="127"/>
      <c r="AE25" s="127"/>
      <c r="AF25" s="127"/>
      <c r="AG25" s="127"/>
      <c r="AH25" s="127"/>
      <c r="AI25" s="127"/>
      <c r="AJ25" s="127"/>
      <c r="AK25" s="127"/>
      <c r="AL25" s="127"/>
      <c r="AM25" s="127"/>
      <c r="AN25" s="127"/>
      <c r="AO25" s="127"/>
      <c r="AP25" s="127"/>
      <c r="AQ25" s="127"/>
      <c r="AR25" s="127"/>
      <c r="AS25" s="127"/>
      <c r="AT25" s="127"/>
      <c r="AU25" s="127"/>
      <c r="AV25" s="127"/>
      <c r="AW25" s="127"/>
      <c r="AX25" s="127"/>
      <c r="AY25" s="127"/>
    </row>
    <row r="26" spans="1:54" x14ac:dyDescent="0.2">
      <c r="A26" s="126"/>
      <c r="B26" s="135">
        <v>2</v>
      </c>
      <c r="C26" s="126" t="s">
        <v>293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27"/>
      <c r="Q26" s="127"/>
      <c r="R26" s="127"/>
      <c r="S26" s="127"/>
      <c r="T26" s="127"/>
      <c r="U26" s="127"/>
      <c r="V26" s="127"/>
      <c r="W26" s="127"/>
      <c r="X26" s="127"/>
      <c r="Y26" s="127"/>
      <c r="Z26" s="127"/>
      <c r="AA26" s="127"/>
      <c r="AB26" s="127"/>
      <c r="AC26" s="127"/>
      <c r="AD26" s="127"/>
      <c r="AE26" s="127"/>
      <c r="AF26" s="127"/>
      <c r="AG26" s="127"/>
      <c r="AH26" s="127"/>
      <c r="AI26" s="127"/>
      <c r="AJ26" s="127"/>
      <c r="AK26" s="127"/>
      <c r="AL26" s="127"/>
      <c r="AM26" s="127"/>
      <c r="AN26" s="127"/>
      <c r="AO26" s="127"/>
      <c r="AP26" s="127"/>
      <c r="AQ26" s="127"/>
      <c r="AR26" s="127"/>
      <c r="AS26" s="127"/>
      <c r="AT26" s="127"/>
      <c r="AU26" s="127"/>
      <c r="AV26" s="127"/>
      <c r="AW26" s="127"/>
      <c r="AX26" s="127"/>
      <c r="AY26" s="127"/>
    </row>
    <row r="27" spans="1:54" x14ac:dyDescent="0.2">
      <c r="A27" s="126"/>
      <c r="B27" s="136">
        <v>3</v>
      </c>
      <c r="C27" s="126" t="s">
        <v>293</v>
      </c>
      <c r="D27" s="127">
        <v>85.41406663545456</v>
      </c>
      <c r="E27" s="127">
        <v>0</v>
      </c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  <c r="Z27" s="127"/>
      <c r="AA27" s="127"/>
      <c r="AB27" s="127"/>
      <c r="AC27" s="127"/>
      <c r="AD27" s="127"/>
      <c r="AE27" s="127"/>
      <c r="AF27" s="127"/>
      <c r="AG27" s="127"/>
      <c r="AH27" s="127"/>
      <c r="AI27" s="127"/>
      <c r="AJ27" s="127"/>
      <c r="AK27" s="127"/>
      <c r="AL27" s="127"/>
      <c r="AM27" s="127"/>
      <c r="AN27" s="127"/>
      <c r="AO27" s="127"/>
      <c r="AP27" s="127"/>
      <c r="AQ27" s="127"/>
      <c r="AR27" s="127"/>
      <c r="AS27" s="127"/>
      <c r="AT27" s="127"/>
      <c r="AU27" s="127"/>
      <c r="AV27" s="127"/>
      <c r="AW27" s="127"/>
      <c r="AX27" s="127"/>
      <c r="AY27" s="127"/>
    </row>
    <row r="28" spans="1:54" x14ac:dyDescent="0.2">
      <c r="A28" s="126"/>
      <c r="B28" s="136">
        <v>4</v>
      </c>
      <c r="C28" s="126" t="s">
        <v>293</v>
      </c>
      <c r="D28" s="127">
        <v>0</v>
      </c>
      <c r="E28" s="127">
        <v>0</v>
      </c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27"/>
      <c r="R28" s="127"/>
      <c r="S28" s="127"/>
      <c r="T28" s="127"/>
      <c r="U28" s="127"/>
      <c r="V28" s="127"/>
      <c r="W28" s="127"/>
      <c r="X28" s="127"/>
      <c r="Y28" s="127"/>
      <c r="Z28" s="127"/>
      <c r="AA28" s="127"/>
      <c r="AB28" s="127"/>
      <c r="AC28" s="127"/>
      <c r="AD28" s="127"/>
      <c r="AE28" s="127"/>
      <c r="AF28" s="127"/>
      <c r="AG28" s="127"/>
      <c r="AH28" s="127"/>
      <c r="AI28" s="127"/>
      <c r="AJ28" s="127"/>
      <c r="AK28" s="127"/>
      <c r="AL28" s="127"/>
      <c r="AM28" s="127"/>
      <c r="AN28" s="127"/>
      <c r="AO28" s="127"/>
      <c r="AP28" s="127"/>
      <c r="AQ28" s="127"/>
      <c r="AR28" s="127"/>
      <c r="AS28" s="127"/>
      <c r="AT28" s="127"/>
      <c r="AU28" s="127"/>
      <c r="AV28" s="127"/>
      <c r="AW28" s="127"/>
      <c r="AX28" s="127"/>
      <c r="AY28" s="127"/>
    </row>
    <row r="29" spans="1:54" x14ac:dyDescent="0.2">
      <c r="A29" s="126"/>
      <c r="B29" s="143">
        <v>5</v>
      </c>
      <c r="C29" s="126" t="s">
        <v>293</v>
      </c>
      <c r="D29" s="127">
        <v>0</v>
      </c>
      <c r="E29" s="127">
        <v>0</v>
      </c>
      <c r="F29" s="127">
        <v>0</v>
      </c>
      <c r="G29" s="127">
        <v>0</v>
      </c>
      <c r="H29" s="127">
        <v>0.84191255352185168</v>
      </c>
      <c r="I29" s="127"/>
      <c r="J29" s="127"/>
      <c r="K29" s="127"/>
      <c r="L29" s="127"/>
      <c r="M29" s="127"/>
      <c r="N29" s="127"/>
      <c r="O29" s="127"/>
      <c r="P29" s="127"/>
      <c r="Q29" s="127"/>
      <c r="R29" s="127"/>
      <c r="S29" s="127"/>
      <c r="T29" s="127"/>
      <c r="U29" s="127"/>
      <c r="V29" s="127"/>
      <c r="W29" s="127"/>
      <c r="X29" s="127"/>
      <c r="Y29" s="127"/>
      <c r="Z29" s="127"/>
      <c r="AA29" s="127"/>
      <c r="AB29" s="127"/>
      <c r="AC29" s="127"/>
      <c r="AD29" s="127"/>
      <c r="AE29" s="127"/>
      <c r="AF29" s="127"/>
      <c r="AG29" s="127"/>
      <c r="AH29" s="127"/>
      <c r="AI29" s="127"/>
      <c r="AJ29" s="127"/>
      <c r="AK29" s="127"/>
      <c r="AL29" s="127"/>
      <c r="AM29" s="127"/>
      <c r="AN29" s="127"/>
      <c r="AO29" s="127"/>
      <c r="AP29" s="127"/>
      <c r="AQ29" s="127"/>
      <c r="AR29" s="127"/>
      <c r="AS29" s="127"/>
      <c r="AT29" s="127"/>
      <c r="AU29" s="127"/>
      <c r="AV29" s="127"/>
      <c r="AW29" s="127"/>
      <c r="AX29" s="127"/>
      <c r="AY29" s="127"/>
    </row>
    <row r="30" spans="1:54" x14ac:dyDescent="0.2">
      <c r="A30" s="126"/>
      <c r="B30" s="143">
        <v>6</v>
      </c>
      <c r="C30" s="126" t="s">
        <v>293</v>
      </c>
      <c r="D30" s="127">
        <v>0</v>
      </c>
      <c r="E30" s="127">
        <v>0</v>
      </c>
      <c r="F30" s="127">
        <v>0</v>
      </c>
      <c r="G30" s="127">
        <v>0</v>
      </c>
      <c r="H30" s="127">
        <v>0</v>
      </c>
      <c r="I30" s="127">
        <v>0</v>
      </c>
      <c r="J30" s="127"/>
      <c r="K30" s="127"/>
      <c r="L30" s="127"/>
      <c r="M30" s="127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7"/>
      <c r="AB30" s="127"/>
      <c r="AC30" s="127"/>
      <c r="AD30" s="127"/>
      <c r="AE30" s="127"/>
      <c r="AF30" s="127"/>
      <c r="AG30" s="127"/>
      <c r="AH30" s="127"/>
      <c r="AI30" s="127"/>
      <c r="AJ30" s="127"/>
      <c r="AK30" s="127"/>
      <c r="AL30" s="127"/>
      <c r="AM30" s="127"/>
      <c r="AN30" s="127"/>
      <c r="AO30" s="127"/>
      <c r="AP30" s="127"/>
      <c r="AQ30" s="127"/>
      <c r="AR30" s="127"/>
      <c r="AS30" s="127"/>
      <c r="AT30" s="127"/>
      <c r="AU30" s="127"/>
      <c r="AV30" s="127"/>
      <c r="AW30" s="127"/>
      <c r="AX30" s="127"/>
      <c r="AY30" s="127"/>
    </row>
    <row r="31" spans="1:54" x14ac:dyDescent="0.2">
      <c r="A31" s="126"/>
      <c r="B31" s="146">
        <v>7</v>
      </c>
      <c r="C31" s="126" t="s">
        <v>293</v>
      </c>
      <c r="D31" s="127">
        <v>0</v>
      </c>
      <c r="E31" s="127">
        <v>0</v>
      </c>
      <c r="F31" s="127">
        <v>0</v>
      </c>
      <c r="G31" s="127">
        <v>0</v>
      </c>
      <c r="H31" s="127">
        <v>0</v>
      </c>
      <c r="I31" s="127">
        <v>0</v>
      </c>
      <c r="J31" s="127">
        <v>0</v>
      </c>
      <c r="K31" s="127">
        <v>0</v>
      </c>
      <c r="L31" s="127">
        <v>0</v>
      </c>
      <c r="M31" s="127"/>
      <c r="N31" s="127"/>
      <c r="O31" s="127"/>
      <c r="P31" s="127"/>
      <c r="Q31" s="127"/>
      <c r="R31" s="127"/>
      <c r="S31" s="127"/>
      <c r="T31" s="127"/>
      <c r="U31" s="127"/>
      <c r="V31" s="127"/>
      <c r="W31" s="127"/>
      <c r="X31" s="127"/>
      <c r="Y31" s="127"/>
      <c r="Z31" s="127"/>
      <c r="AA31" s="127"/>
      <c r="AB31" s="127"/>
      <c r="AC31" s="127"/>
      <c r="AD31" s="127"/>
      <c r="AE31" s="127"/>
      <c r="AF31" s="127"/>
      <c r="AG31" s="127"/>
      <c r="AH31" s="127"/>
      <c r="AI31" s="127"/>
      <c r="AJ31" s="127"/>
      <c r="AK31" s="127"/>
      <c r="AL31" s="127"/>
      <c r="AM31" s="127"/>
      <c r="AN31" s="127"/>
      <c r="AO31" s="127"/>
      <c r="AP31" s="127"/>
      <c r="AQ31" s="127"/>
      <c r="AR31" s="127"/>
      <c r="AS31" s="127"/>
      <c r="AT31" s="127"/>
      <c r="AU31" s="127"/>
      <c r="AV31" s="127"/>
      <c r="AW31" s="127"/>
      <c r="AX31" s="127"/>
      <c r="AY31" s="127"/>
    </row>
    <row r="32" spans="1:54" x14ac:dyDescent="0.2">
      <c r="A32" s="144"/>
      <c r="B32" s="145">
        <v>8</v>
      </c>
      <c r="C32" s="144" t="s">
        <v>293</v>
      </c>
      <c r="D32" s="141">
        <v>0</v>
      </c>
      <c r="E32" s="141">
        <v>0</v>
      </c>
      <c r="F32" s="141">
        <v>0</v>
      </c>
      <c r="G32" s="141">
        <v>0</v>
      </c>
      <c r="H32" s="141">
        <v>0</v>
      </c>
      <c r="I32" s="141">
        <v>0</v>
      </c>
      <c r="J32" s="141">
        <v>0</v>
      </c>
      <c r="K32" s="141">
        <v>0</v>
      </c>
      <c r="L32" s="141">
        <v>0</v>
      </c>
      <c r="M32" s="141">
        <v>0</v>
      </c>
      <c r="N32" s="141">
        <v>0</v>
      </c>
      <c r="O32" s="141">
        <v>0</v>
      </c>
      <c r="P32" s="141">
        <v>0</v>
      </c>
      <c r="Q32" s="141">
        <v>0</v>
      </c>
      <c r="R32" s="141">
        <v>0</v>
      </c>
      <c r="S32" s="141">
        <v>0</v>
      </c>
      <c r="T32" s="141">
        <v>0</v>
      </c>
      <c r="U32" s="141">
        <v>0</v>
      </c>
      <c r="V32" s="141">
        <v>0</v>
      </c>
      <c r="W32" s="141">
        <v>0</v>
      </c>
      <c r="X32" s="141">
        <v>0</v>
      </c>
      <c r="Y32" s="141">
        <v>0</v>
      </c>
      <c r="Z32" s="141">
        <v>0</v>
      </c>
      <c r="AA32" s="141">
        <v>0</v>
      </c>
      <c r="AB32" s="141">
        <v>0</v>
      </c>
      <c r="AC32" s="141">
        <v>0</v>
      </c>
      <c r="AD32" s="141">
        <v>0</v>
      </c>
      <c r="AE32" s="141">
        <v>0</v>
      </c>
      <c r="AF32" s="141">
        <v>0</v>
      </c>
      <c r="AG32" s="141">
        <v>0</v>
      </c>
      <c r="AH32" s="141">
        <v>0</v>
      </c>
      <c r="AI32" s="141">
        <v>0</v>
      </c>
      <c r="AJ32" s="141">
        <v>0</v>
      </c>
      <c r="AK32" s="141">
        <v>0</v>
      </c>
      <c r="AL32" s="141">
        <v>0</v>
      </c>
      <c r="AM32" s="141">
        <v>0</v>
      </c>
      <c r="AN32" s="141">
        <v>0</v>
      </c>
      <c r="AO32" s="141">
        <v>0</v>
      </c>
      <c r="AP32" s="141">
        <v>0</v>
      </c>
      <c r="AQ32" s="141">
        <v>0</v>
      </c>
      <c r="AR32" s="141">
        <v>0</v>
      </c>
      <c r="AS32" s="141">
        <v>0</v>
      </c>
      <c r="AT32" s="141">
        <v>0</v>
      </c>
      <c r="AU32" s="141">
        <v>0</v>
      </c>
      <c r="AV32" s="141">
        <v>0</v>
      </c>
      <c r="AW32" s="141">
        <v>0</v>
      </c>
      <c r="AX32" s="141">
        <v>0</v>
      </c>
      <c r="AY32" s="141">
        <v>0</v>
      </c>
    </row>
    <row r="33" spans="1:51" x14ac:dyDescent="0.2">
      <c r="A33" s="147" t="s">
        <v>134</v>
      </c>
      <c r="B33" s="135">
        <v>1</v>
      </c>
      <c r="C33" s="126" t="s">
        <v>293</v>
      </c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  <c r="AS33" s="123"/>
      <c r="AT33" s="123"/>
      <c r="AU33" s="123"/>
      <c r="AV33" s="123"/>
      <c r="AW33" s="123"/>
      <c r="AX33" s="123"/>
      <c r="AY33" s="123"/>
    </row>
    <row r="34" spans="1:51" x14ac:dyDescent="0.2">
      <c r="A34" s="126"/>
      <c r="B34" s="135">
        <v>2</v>
      </c>
      <c r="C34" s="126" t="s">
        <v>293</v>
      </c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</row>
    <row r="35" spans="1:51" x14ac:dyDescent="0.2">
      <c r="A35" s="126"/>
      <c r="B35" s="135">
        <v>3</v>
      </c>
      <c r="C35" s="126" t="s">
        <v>293</v>
      </c>
      <c r="D35" s="123"/>
      <c r="E35" s="123"/>
      <c r="F35" s="123"/>
      <c r="G35" s="123"/>
      <c r="H35" s="123"/>
      <c r="I35" s="123"/>
      <c r="J35" s="123"/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123"/>
      <c r="AG35" s="123"/>
      <c r="AH35" s="123"/>
      <c r="AI35" s="123"/>
      <c r="AJ35" s="123"/>
      <c r="AK35" s="123"/>
      <c r="AL35" s="123"/>
      <c r="AM35" s="123"/>
      <c r="AN35" s="123"/>
      <c r="AO35" s="123"/>
      <c r="AP35" s="123"/>
      <c r="AQ35" s="123"/>
      <c r="AR35" s="123"/>
      <c r="AS35" s="123"/>
      <c r="AT35" s="123"/>
      <c r="AU35" s="123"/>
      <c r="AV35" s="123"/>
      <c r="AW35" s="123"/>
      <c r="AX35" s="123"/>
      <c r="AY35" s="123"/>
    </row>
    <row r="36" spans="1:51" x14ac:dyDescent="0.2">
      <c r="A36" s="126"/>
      <c r="B36" s="136">
        <v>4</v>
      </c>
      <c r="C36" s="126" t="s">
        <v>293</v>
      </c>
      <c r="D36" s="123"/>
      <c r="E36" s="123"/>
      <c r="F36" s="123"/>
      <c r="G36" s="123"/>
      <c r="H36" s="123"/>
      <c r="I36" s="123"/>
      <c r="J36" s="123"/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  <c r="AS36" s="123"/>
      <c r="AT36" s="123"/>
      <c r="AU36" s="123"/>
      <c r="AV36" s="123"/>
      <c r="AW36" s="123"/>
      <c r="AX36" s="123"/>
      <c r="AY36" s="123"/>
    </row>
    <row r="37" spans="1:51" x14ac:dyDescent="0.2">
      <c r="A37" s="126"/>
      <c r="B37" s="136">
        <v>5</v>
      </c>
      <c r="C37" s="126" t="s">
        <v>293</v>
      </c>
      <c r="D37" s="123"/>
      <c r="E37" s="123"/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  <c r="AS37" s="123"/>
      <c r="AT37" s="123"/>
      <c r="AU37" s="123"/>
      <c r="AV37" s="123"/>
      <c r="AW37" s="123"/>
      <c r="AX37" s="123"/>
      <c r="AY37" s="123"/>
    </row>
    <row r="38" spans="1:51" x14ac:dyDescent="0.2">
      <c r="A38" s="126"/>
      <c r="B38" s="136">
        <v>6</v>
      </c>
      <c r="C38" s="126" t="s">
        <v>293</v>
      </c>
      <c r="D38" s="123"/>
      <c r="E38" s="123"/>
      <c r="F38" s="123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  <c r="AS38" s="123"/>
      <c r="AT38" s="123"/>
      <c r="AU38" s="123"/>
      <c r="AV38" s="123"/>
      <c r="AW38" s="123"/>
      <c r="AX38" s="123"/>
      <c r="AY38" s="123"/>
    </row>
    <row r="39" spans="1:51" x14ac:dyDescent="0.2">
      <c r="A39" s="126"/>
      <c r="B39" s="143">
        <v>7</v>
      </c>
      <c r="C39" s="126" t="s">
        <v>293</v>
      </c>
      <c r="D39" s="123">
        <v>1804.5148495546389</v>
      </c>
      <c r="E39" s="123">
        <v>44.026725369546512</v>
      </c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123"/>
      <c r="AG39" s="123"/>
      <c r="AH39" s="123"/>
      <c r="AI39" s="123"/>
      <c r="AJ39" s="123"/>
      <c r="AK39" s="123"/>
      <c r="AL39" s="123"/>
      <c r="AM39" s="123"/>
      <c r="AN39" s="123"/>
      <c r="AO39" s="123"/>
      <c r="AP39" s="123"/>
      <c r="AQ39" s="123"/>
      <c r="AR39" s="123"/>
      <c r="AS39" s="123"/>
      <c r="AT39" s="123"/>
      <c r="AU39" s="123"/>
      <c r="AV39" s="123"/>
      <c r="AW39" s="123"/>
      <c r="AX39" s="123"/>
      <c r="AY39" s="123"/>
    </row>
    <row r="40" spans="1:51" x14ac:dyDescent="0.2">
      <c r="A40" s="126"/>
      <c r="B40" s="143">
        <v>8</v>
      </c>
      <c r="C40" s="126" t="s">
        <v>293</v>
      </c>
      <c r="D40" s="123">
        <v>0</v>
      </c>
      <c r="E40" s="123">
        <v>0</v>
      </c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  <c r="AS40" s="123"/>
      <c r="AT40" s="123"/>
      <c r="AU40" s="123"/>
      <c r="AV40" s="123"/>
      <c r="AW40" s="123"/>
      <c r="AX40" s="123"/>
      <c r="AY40" s="123"/>
    </row>
    <row r="41" spans="1:51" x14ac:dyDescent="0.2">
      <c r="A41" s="126"/>
      <c r="B41" s="143">
        <v>9</v>
      </c>
      <c r="C41" s="126" t="s">
        <v>293</v>
      </c>
      <c r="D41" s="123">
        <v>0</v>
      </c>
      <c r="E41" s="123">
        <v>0</v>
      </c>
      <c r="F41" s="123">
        <v>0</v>
      </c>
      <c r="G41" s="123">
        <v>1591.9029911529724</v>
      </c>
      <c r="H41" s="123">
        <v>41.490822441490359</v>
      </c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  <c r="AS41" s="123"/>
      <c r="AT41" s="123"/>
      <c r="AU41" s="123"/>
      <c r="AV41" s="123"/>
      <c r="AW41" s="123"/>
      <c r="AX41" s="123"/>
      <c r="AY41" s="123"/>
    </row>
    <row r="42" spans="1:51" x14ac:dyDescent="0.2">
      <c r="A42" s="126"/>
      <c r="B42" s="146">
        <v>10</v>
      </c>
      <c r="C42" s="126" t="s">
        <v>293</v>
      </c>
      <c r="D42" s="123">
        <v>0</v>
      </c>
      <c r="E42" s="123">
        <v>0</v>
      </c>
      <c r="F42" s="123">
        <v>0</v>
      </c>
      <c r="G42" s="123">
        <v>0</v>
      </c>
      <c r="H42" s="123">
        <v>1089.3277682792304</v>
      </c>
      <c r="I42" s="123">
        <v>2093.016361006843</v>
      </c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3"/>
      <c r="AI42" s="123"/>
      <c r="AJ42" s="123"/>
      <c r="AK42" s="123"/>
      <c r="AL42" s="123"/>
      <c r="AM42" s="123"/>
      <c r="AN42" s="123"/>
      <c r="AO42" s="123"/>
      <c r="AP42" s="123"/>
      <c r="AQ42" s="123"/>
      <c r="AR42" s="123"/>
      <c r="AS42" s="123"/>
      <c r="AT42" s="123"/>
      <c r="AU42" s="123"/>
      <c r="AV42" s="123"/>
      <c r="AW42" s="123"/>
      <c r="AX42" s="123"/>
      <c r="AY42" s="123"/>
    </row>
    <row r="43" spans="1:51" x14ac:dyDescent="0.2">
      <c r="A43" s="126"/>
      <c r="B43" s="146">
        <v>11</v>
      </c>
      <c r="C43" s="126" t="s">
        <v>293</v>
      </c>
      <c r="D43" s="123">
        <v>0</v>
      </c>
      <c r="E43" s="123">
        <v>0</v>
      </c>
      <c r="F43" s="123">
        <v>0</v>
      </c>
      <c r="G43" s="123">
        <v>0</v>
      </c>
      <c r="H43" s="123">
        <v>0</v>
      </c>
      <c r="I43" s="123">
        <v>0</v>
      </c>
      <c r="J43" s="123">
        <v>1234.5520226610038</v>
      </c>
      <c r="K43" s="123">
        <v>2207.8161749411415</v>
      </c>
      <c r="L43" s="123">
        <v>785.01510999183404</v>
      </c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23"/>
      <c r="AP43" s="123"/>
      <c r="AQ43" s="123"/>
      <c r="AR43" s="123"/>
      <c r="AS43" s="123"/>
      <c r="AT43" s="123"/>
      <c r="AU43" s="123"/>
      <c r="AV43" s="123"/>
      <c r="AW43" s="123"/>
      <c r="AX43" s="123"/>
      <c r="AY43" s="123"/>
    </row>
    <row r="44" spans="1:51" x14ac:dyDescent="0.2">
      <c r="A44" s="126"/>
      <c r="B44" s="146">
        <v>12</v>
      </c>
      <c r="C44" s="144" t="s">
        <v>293</v>
      </c>
      <c r="D44" s="123">
        <v>0</v>
      </c>
      <c r="E44" s="123">
        <v>0</v>
      </c>
      <c r="F44" s="123">
        <v>0</v>
      </c>
      <c r="G44" s="123">
        <v>0</v>
      </c>
      <c r="H44" s="123">
        <v>0</v>
      </c>
      <c r="I44" s="123">
        <v>0</v>
      </c>
      <c r="J44" s="123">
        <v>0</v>
      </c>
      <c r="K44" s="123">
        <v>0</v>
      </c>
      <c r="L44" s="123">
        <v>1430.6297078929038</v>
      </c>
      <c r="M44" s="123">
        <v>2963.7501418772399</v>
      </c>
      <c r="N44" s="123">
        <v>2083.966603666503</v>
      </c>
      <c r="O44" s="123">
        <v>513.06052145570584</v>
      </c>
      <c r="P44" s="123">
        <v>0</v>
      </c>
      <c r="Q44" s="123">
        <v>0</v>
      </c>
      <c r="R44" s="123">
        <v>0</v>
      </c>
      <c r="S44" s="123">
        <v>0</v>
      </c>
      <c r="T44" s="123">
        <v>0</v>
      </c>
      <c r="U44" s="123">
        <v>0</v>
      </c>
      <c r="V44" s="123">
        <v>0</v>
      </c>
      <c r="W44" s="123">
        <v>0</v>
      </c>
      <c r="X44" s="123">
        <v>0</v>
      </c>
      <c r="Y44" s="123">
        <v>0</v>
      </c>
      <c r="Z44" s="123">
        <v>0</v>
      </c>
      <c r="AA44" s="123">
        <v>0</v>
      </c>
      <c r="AB44" s="123">
        <v>0</v>
      </c>
      <c r="AC44" s="123">
        <v>0</v>
      </c>
      <c r="AD44" s="123">
        <v>0</v>
      </c>
      <c r="AE44" s="123">
        <v>0</v>
      </c>
      <c r="AF44" s="123">
        <v>0</v>
      </c>
      <c r="AG44" s="123">
        <v>0</v>
      </c>
      <c r="AH44" s="123">
        <v>0</v>
      </c>
      <c r="AI44" s="123">
        <v>0</v>
      </c>
      <c r="AJ44" s="123">
        <v>0</v>
      </c>
      <c r="AK44" s="123">
        <v>0</v>
      </c>
      <c r="AL44" s="123">
        <v>0</v>
      </c>
      <c r="AM44" s="123">
        <v>0</v>
      </c>
      <c r="AN44" s="123">
        <v>0</v>
      </c>
      <c r="AO44" s="123">
        <v>0</v>
      </c>
      <c r="AP44" s="123">
        <v>0</v>
      </c>
      <c r="AQ44" s="123">
        <v>0</v>
      </c>
      <c r="AR44" s="123">
        <v>0</v>
      </c>
      <c r="AS44" s="123">
        <v>0</v>
      </c>
      <c r="AT44" s="123">
        <v>0</v>
      </c>
      <c r="AU44" s="123">
        <v>0</v>
      </c>
      <c r="AV44" s="123">
        <v>0</v>
      </c>
      <c r="AW44" s="123">
        <v>0</v>
      </c>
      <c r="AX44" s="123">
        <v>0</v>
      </c>
      <c r="AY44" s="123">
        <v>0</v>
      </c>
    </row>
    <row r="45" spans="1:51" x14ac:dyDescent="0.2">
      <c r="A45" s="142" t="s">
        <v>123</v>
      </c>
      <c r="B45" s="139">
        <v>1</v>
      </c>
      <c r="C45" s="126" t="s">
        <v>293</v>
      </c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</row>
    <row r="46" spans="1:51" x14ac:dyDescent="0.2">
      <c r="A46" s="126"/>
      <c r="B46" s="135">
        <v>2</v>
      </c>
      <c r="C46" s="126" t="s">
        <v>293</v>
      </c>
      <c r="D46" s="127"/>
      <c r="E46" s="127"/>
      <c r="F46" s="127"/>
      <c r="G46" s="127"/>
      <c r="H46" s="127"/>
      <c r="I46" s="127"/>
      <c r="J46" s="127"/>
      <c r="K46" s="127"/>
      <c r="L46" s="127"/>
      <c r="M46" s="127"/>
      <c r="N46" s="127"/>
      <c r="O46" s="127"/>
      <c r="P46" s="127"/>
      <c r="Q46" s="127"/>
      <c r="R46" s="127"/>
      <c r="S46" s="127"/>
      <c r="T46" s="127"/>
      <c r="U46" s="127"/>
      <c r="V46" s="127"/>
      <c r="W46" s="127"/>
      <c r="X46" s="127"/>
      <c r="Y46" s="127"/>
      <c r="Z46" s="127"/>
      <c r="AA46" s="127"/>
      <c r="AB46" s="127"/>
      <c r="AC46" s="127"/>
      <c r="AD46" s="127"/>
      <c r="AE46" s="127"/>
      <c r="AF46" s="127"/>
      <c r="AG46" s="127"/>
      <c r="AH46" s="127"/>
      <c r="AI46" s="127"/>
      <c r="AJ46" s="127"/>
      <c r="AK46" s="127"/>
      <c r="AL46" s="127"/>
      <c r="AM46" s="127"/>
      <c r="AN46" s="127"/>
      <c r="AO46" s="127"/>
      <c r="AP46" s="127"/>
      <c r="AQ46" s="127"/>
      <c r="AR46" s="127"/>
      <c r="AS46" s="127"/>
      <c r="AT46" s="127"/>
      <c r="AU46" s="127"/>
      <c r="AV46" s="127"/>
      <c r="AW46" s="127"/>
      <c r="AX46" s="127"/>
      <c r="AY46" s="127"/>
    </row>
    <row r="47" spans="1:51" x14ac:dyDescent="0.2">
      <c r="A47" s="126"/>
      <c r="B47" s="135">
        <v>3</v>
      </c>
      <c r="C47" s="126" t="s">
        <v>293</v>
      </c>
      <c r="D47" s="127"/>
      <c r="E47" s="127"/>
      <c r="F47" s="127"/>
      <c r="G47" s="127"/>
      <c r="H47" s="127"/>
      <c r="I47" s="127"/>
      <c r="J47" s="127"/>
      <c r="K47" s="127"/>
      <c r="L47" s="127"/>
      <c r="M47" s="127"/>
      <c r="N47" s="127"/>
      <c r="O47" s="127"/>
      <c r="P47" s="127"/>
      <c r="Q47" s="127"/>
      <c r="R47" s="127"/>
      <c r="S47" s="127"/>
      <c r="T47" s="127"/>
      <c r="U47" s="127"/>
      <c r="V47" s="127"/>
      <c r="W47" s="127"/>
      <c r="X47" s="127"/>
      <c r="Y47" s="127"/>
      <c r="Z47" s="127"/>
      <c r="AA47" s="127"/>
      <c r="AB47" s="127"/>
      <c r="AC47" s="127"/>
      <c r="AD47" s="127"/>
      <c r="AE47" s="127"/>
      <c r="AF47" s="127"/>
      <c r="AG47" s="127"/>
      <c r="AH47" s="127"/>
      <c r="AI47" s="127"/>
      <c r="AJ47" s="127"/>
      <c r="AK47" s="127"/>
      <c r="AL47" s="127"/>
      <c r="AM47" s="127"/>
      <c r="AN47" s="127"/>
      <c r="AO47" s="127"/>
      <c r="AP47" s="127"/>
      <c r="AQ47" s="127"/>
      <c r="AR47" s="127"/>
      <c r="AS47" s="127"/>
      <c r="AT47" s="127"/>
      <c r="AU47" s="127"/>
      <c r="AV47" s="127"/>
      <c r="AW47" s="127"/>
      <c r="AX47" s="127"/>
      <c r="AY47" s="127"/>
    </row>
    <row r="48" spans="1:51" x14ac:dyDescent="0.2">
      <c r="A48" s="126"/>
      <c r="B48" s="135">
        <v>4</v>
      </c>
      <c r="C48" s="126" t="s">
        <v>293</v>
      </c>
      <c r="D48" s="127"/>
      <c r="E48" s="127"/>
      <c r="F48" s="127"/>
      <c r="G48" s="127"/>
      <c r="H48" s="127"/>
      <c r="I48" s="127"/>
      <c r="J48" s="127"/>
      <c r="K48" s="127"/>
      <c r="L48" s="127"/>
      <c r="M48" s="127"/>
      <c r="N48" s="127"/>
      <c r="O48" s="127"/>
      <c r="P48" s="127"/>
      <c r="Q48" s="127"/>
      <c r="R48" s="127"/>
      <c r="S48" s="127"/>
      <c r="T48" s="127"/>
      <c r="U48" s="127"/>
      <c r="V48" s="127"/>
      <c r="W48" s="127"/>
      <c r="X48" s="127"/>
      <c r="Y48" s="127"/>
      <c r="Z48" s="127"/>
      <c r="AA48" s="127"/>
      <c r="AB48" s="127"/>
      <c r="AC48" s="127"/>
      <c r="AD48" s="127"/>
      <c r="AE48" s="127"/>
      <c r="AF48" s="127"/>
      <c r="AG48" s="127"/>
      <c r="AH48" s="127"/>
      <c r="AI48" s="127"/>
      <c r="AJ48" s="127"/>
      <c r="AK48" s="127"/>
      <c r="AL48" s="127"/>
      <c r="AM48" s="127"/>
      <c r="AN48" s="127"/>
      <c r="AO48" s="127"/>
      <c r="AP48" s="127"/>
      <c r="AQ48" s="127"/>
      <c r="AR48" s="127"/>
      <c r="AS48" s="127"/>
      <c r="AT48" s="127"/>
      <c r="AU48" s="127"/>
      <c r="AV48" s="127"/>
      <c r="AW48" s="127"/>
      <c r="AX48" s="127"/>
      <c r="AY48" s="127"/>
    </row>
    <row r="49" spans="1:51" x14ac:dyDescent="0.2">
      <c r="A49" s="126"/>
      <c r="B49" s="135">
        <v>5</v>
      </c>
      <c r="C49" s="126" t="s">
        <v>293</v>
      </c>
      <c r="D49" s="127"/>
      <c r="E49" s="127"/>
      <c r="F49" s="127"/>
      <c r="G49" s="127"/>
      <c r="H49" s="127"/>
      <c r="I49" s="127"/>
      <c r="J49" s="127"/>
      <c r="K49" s="127"/>
      <c r="L49" s="127"/>
      <c r="M49" s="127"/>
      <c r="N49" s="127"/>
      <c r="O49" s="127"/>
      <c r="P49" s="127"/>
      <c r="Q49" s="127"/>
      <c r="R49" s="127"/>
      <c r="S49" s="127"/>
      <c r="T49" s="127"/>
      <c r="U49" s="127"/>
      <c r="V49" s="127"/>
      <c r="W49" s="127"/>
      <c r="X49" s="127"/>
      <c r="Y49" s="127"/>
      <c r="Z49" s="127"/>
      <c r="AA49" s="127"/>
      <c r="AB49" s="127"/>
      <c r="AC49" s="127"/>
      <c r="AD49" s="127"/>
      <c r="AE49" s="127"/>
      <c r="AF49" s="127"/>
      <c r="AG49" s="127"/>
      <c r="AH49" s="127"/>
      <c r="AI49" s="127"/>
      <c r="AJ49" s="127"/>
      <c r="AK49" s="127"/>
      <c r="AL49" s="127"/>
      <c r="AM49" s="127"/>
      <c r="AN49" s="127"/>
      <c r="AO49" s="127"/>
      <c r="AP49" s="127"/>
      <c r="AQ49" s="127"/>
      <c r="AR49" s="127"/>
      <c r="AS49" s="127"/>
      <c r="AT49" s="127"/>
      <c r="AU49" s="127"/>
      <c r="AV49" s="127"/>
      <c r="AW49" s="127"/>
      <c r="AX49" s="127"/>
      <c r="AY49" s="127"/>
    </row>
    <row r="50" spans="1:51" x14ac:dyDescent="0.2">
      <c r="A50" s="126"/>
      <c r="B50" s="135">
        <v>6</v>
      </c>
      <c r="C50" s="126" t="s">
        <v>293</v>
      </c>
      <c r="D50" s="127"/>
      <c r="E50" s="127"/>
      <c r="F50" s="127"/>
      <c r="G50" s="127"/>
      <c r="H50" s="127"/>
      <c r="I50" s="127"/>
      <c r="J50" s="127"/>
      <c r="K50" s="127"/>
      <c r="L50" s="127"/>
      <c r="M50" s="127"/>
      <c r="N50" s="127"/>
      <c r="O50" s="127"/>
      <c r="P50" s="127"/>
      <c r="Q50" s="127"/>
      <c r="R50" s="127"/>
      <c r="S50" s="127"/>
      <c r="T50" s="127"/>
      <c r="U50" s="127"/>
      <c r="V50" s="127"/>
      <c r="W50" s="127"/>
      <c r="X50" s="127"/>
      <c r="Y50" s="127"/>
      <c r="Z50" s="127"/>
      <c r="AA50" s="127"/>
      <c r="AB50" s="127"/>
      <c r="AC50" s="127"/>
      <c r="AD50" s="127"/>
      <c r="AE50" s="127"/>
      <c r="AF50" s="127"/>
      <c r="AG50" s="127"/>
      <c r="AH50" s="127"/>
      <c r="AI50" s="127"/>
      <c r="AJ50" s="127"/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7"/>
      <c r="AW50" s="127"/>
      <c r="AX50" s="127"/>
      <c r="AY50" s="127"/>
    </row>
    <row r="51" spans="1:51" x14ac:dyDescent="0.2">
      <c r="A51" s="126"/>
      <c r="B51" s="135">
        <v>7</v>
      </c>
      <c r="C51" s="126" t="s">
        <v>293</v>
      </c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  <c r="Q51" s="127"/>
      <c r="R51" s="127"/>
      <c r="S51" s="127"/>
      <c r="T51" s="127"/>
      <c r="U51" s="127"/>
      <c r="V51" s="127"/>
      <c r="W51" s="127"/>
      <c r="X51" s="127"/>
      <c r="Y51" s="127"/>
      <c r="Z51" s="127"/>
      <c r="AA51" s="127"/>
      <c r="AB51" s="127"/>
      <c r="AC51" s="127"/>
      <c r="AD51" s="127"/>
      <c r="AE51" s="127"/>
      <c r="AF51" s="127"/>
      <c r="AG51" s="127"/>
      <c r="AH51" s="127"/>
      <c r="AI51" s="127"/>
      <c r="AJ51" s="127"/>
      <c r="AK51" s="127"/>
      <c r="AL51" s="127"/>
      <c r="AM51" s="127"/>
      <c r="AN51" s="127"/>
      <c r="AO51" s="127"/>
      <c r="AP51" s="127"/>
      <c r="AQ51" s="127"/>
      <c r="AR51" s="127"/>
      <c r="AS51" s="127"/>
      <c r="AT51" s="127"/>
      <c r="AU51" s="127"/>
      <c r="AV51" s="127"/>
      <c r="AW51" s="127"/>
      <c r="AX51" s="127"/>
      <c r="AY51" s="127"/>
    </row>
    <row r="52" spans="1:51" x14ac:dyDescent="0.2">
      <c r="A52" s="126"/>
      <c r="B52" s="135">
        <v>8</v>
      </c>
      <c r="C52" s="126" t="s">
        <v>293</v>
      </c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</row>
    <row r="53" spans="1:51" x14ac:dyDescent="0.2">
      <c r="A53" s="126"/>
      <c r="B53" s="135">
        <v>9</v>
      </c>
      <c r="C53" s="126" t="s">
        <v>293</v>
      </c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  <c r="Q53" s="127"/>
      <c r="R53" s="127"/>
      <c r="S53" s="127"/>
      <c r="T53" s="127"/>
      <c r="U53" s="127"/>
      <c r="V53" s="127"/>
      <c r="W53" s="127"/>
      <c r="X53" s="127"/>
      <c r="Y53" s="127"/>
      <c r="Z53" s="127"/>
      <c r="AA53" s="127"/>
      <c r="AB53" s="127"/>
      <c r="AC53" s="127"/>
      <c r="AD53" s="127"/>
      <c r="AE53" s="127"/>
      <c r="AF53" s="127"/>
      <c r="AG53" s="127"/>
      <c r="AH53" s="127"/>
      <c r="AI53" s="127"/>
      <c r="AJ53" s="127"/>
      <c r="AK53" s="127"/>
      <c r="AL53" s="127"/>
      <c r="AM53" s="127"/>
      <c r="AN53" s="127"/>
      <c r="AO53" s="127"/>
      <c r="AP53" s="127"/>
      <c r="AQ53" s="127"/>
      <c r="AR53" s="127"/>
      <c r="AS53" s="127"/>
      <c r="AT53" s="127"/>
      <c r="AU53" s="127"/>
      <c r="AV53" s="127"/>
      <c r="AW53" s="127"/>
      <c r="AX53" s="127"/>
      <c r="AY53" s="127"/>
    </row>
    <row r="54" spans="1:51" x14ac:dyDescent="0.2">
      <c r="A54" s="126"/>
      <c r="B54" s="135">
        <v>10</v>
      </c>
      <c r="C54" s="126" t="s">
        <v>293</v>
      </c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  <c r="Q54" s="127"/>
      <c r="R54" s="127"/>
      <c r="S54" s="127"/>
      <c r="T54" s="127"/>
      <c r="U54" s="127"/>
      <c r="V54" s="127"/>
      <c r="W54" s="127"/>
      <c r="X54" s="127"/>
      <c r="Y54" s="127"/>
      <c r="Z54" s="127"/>
      <c r="AA54" s="127"/>
      <c r="AB54" s="127"/>
      <c r="AC54" s="127"/>
      <c r="AD54" s="127"/>
      <c r="AE54" s="127"/>
      <c r="AF54" s="127"/>
      <c r="AG54" s="127"/>
      <c r="AH54" s="127"/>
      <c r="AI54" s="127"/>
      <c r="AJ54" s="127"/>
      <c r="AK54" s="127"/>
      <c r="AL54" s="127"/>
      <c r="AM54" s="127"/>
      <c r="AN54" s="127"/>
      <c r="AO54" s="127"/>
      <c r="AP54" s="127"/>
      <c r="AQ54" s="127"/>
      <c r="AR54" s="127"/>
      <c r="AS54" s="127"/>
      <c r="AT54" s="127"/>
      <c r="AU54" s="127"/>
      <c r="AV54" s="127"/>
      <c r="AW54" s="127"/>
      <c r="AX54" s="127"/>
      <c r="AY54" s="127"/>
    </row>
    <row r="55" spans="1:51" x14ac:dyDescent="0.2">
      <c r="A55" s="126"/>
      <c r="B55" s="135">
        <v>11</v>
      </c>
      <c r="C55" s="126" t="s">
        <v>293</v>
      </c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  <c r="Q55" s="127"/>
      <c r="R55" s="127"/>
      <c r="S55" s="127"/>
      <c r="T55" s="127"/>
      <c r="U55" s="127"/>
      <c r="V55" s="127"/>
      <c r="W55" s="127"/>
      <c r="X55" s="127"/>
      <c r="Y55" s="127"/>
      <c r="Z55" s="127"/>
      <c r="AA55" s="127"/>
      <c r="AB55" s="127"/>
      <c r="AC55" s="127"/>
      <c r="AD55" s="127"/>
      <c r="AE55" s="127"/>
      <c r="AF55" s="127"/>
      <c r="AG55" s="127"/>
      <c r="AH55" s="127"/>
      <c r="AI55" s="127"/>
      <c r="AJ55" s="127"/>
      <c r="AK55" s="127"/>
      <c r="AL55" s="127"/>
      <c r="AM55" s="127"/>
      <c r="AN55" s="127"/>
      <c r="AO55" s="127"/>
      <c r="AP55" s="127"/>
      <c r="AQ55" s="127"/>
      <c r="AR55" s="127"/>
      <c r="AS55" s="127"/>
      <c r="AT55" s="127"/>
      <c r="AU55" s="127"/>
      <c r="AV55" s="127"/>
      <c r="AW55" s="127"/>
      <c r="AX55" s="127"/>
      <c r="AY55" s="127"/>
    </row>
    <row r="56" spans="1:51" x14ac:dyDescent="0.2">
      <c r="A56" s="126"/>
      <c r="B56" s="135">
        <v>12</v>
      </c>
      <c r="C56" s="126" t="s">
        <v>293</v>
      </c>
      <c r="D56" s="127"/>
      <c r="E56" s="127"/>
      <c r="F56" s="127"/>
      <c r="G56" s="127"/>
      <c r="H56" s="127"/>
      <c r="I56" s="127"/>
      <c r="J56" s="127"/>
      <c r="K56" s="127"/>
      <c r="L56" s="127"/>
      <c r="M56" s="127"/>
      <c r="N56" s="127"/>
      <c r="O56" s="127"/>
      <c r="P56" s="127"/>
      <c r="Q56" s="127"/>
      <c r="R56" s="127"/>
      <c r="S56" s="127"/>
      <c r="T56" s="127"/>
      <c r="U56" s="127"/>
      <c r="V56" s="127"/>
      <c r="W56" s="127"/>
      <c r="X56" s="127"/>
      <c r="Y56" s="127"/>
      <c r="Z56" s="127"/>
      <c r="AA56" s="127"/>
      <c r="AB56" s="127"/>
      <c r="AC56" s="127"/>
      <c r="AD56" s="127"/>
      <c r="AE56" s="127"/>
      <c r="AF56" s="127"/>
      <c r="AG56" s="127"/>
      <c r="AH56" s="127"/>
      <c r="AI56" s="127"/>
      <c r="AJ56" s="127"/>
      <c r="AK56" s="127"/>
      <c r="AL56" s="127"/>
      <c r="AM56" s="127"/>
      <c r="AN56" s="127"/>
      <c r="AO56" s="127"/>
      <c r="AP56" s="127"/>
      <c r="AQ56" s="127"/>
      <c r="AR56" s="127"/>
      <c r="AS56" s="127"/>
      <c r="AT56" s="127"/>
      <c r="AU56" s="127"/>
      <c r="AV56" s="127"/>
      <c r="AW56" s="127"/>
      <c r="AX56" s="127"/>
      <c r="AY56" s="127"/>
    </row>
    <row r="57" spans="1:51" x14ac:dyDescent="0.2">
      <c r="A57" s="126"/>
      <c r="B57" s="136">
        <v>13</v>
      </c>
      <c r="C57" s="126" t="s">
        <v>293</v>
      </c>
      <c r="D57" s="127"/>
      <c r="E57" s="127"/>
      <c r="F57" s="127"/>
      <c r="G57" s="127"/>
      <c r="H57" s="127"/>
      <c r="I57" s="127"/>
      <c r="J57" s="127"/>
      <c r="K57" s="127"/>
      <c r="L57" s="127"/>
      <c r="M57" s="127"/>
      <c r="N57" s="127"/>
      <c r="O57" s="127"/>
      <c r="P57" s="127"/>
      <c r="Q57" s="127"/>
      <c r="R57" s="127"/>
      <c r="S57" s="127"/>
      <c r="T57" s="127"/>
      <c r="U57" s="127"/>
      <c r="V57" s="127"/>
      <c r="W57" s="127"/>
      <c r="X57" s="127"/>
      <c r="Y57" s="127"/>
      <c r="Z57" s="127"/>
      <c r="AA57" s="127"/>
      <c r="AB57" s="127"/>
      <c r="AC57" s="127"/>
      <c r="AD57" s="127"/>
      <c r="AE57" s="127"/>
      <c r="AF57" s="127"/>
      <c r="AG57" s="127"/>
      <c r="AH57" s="127"/>
      <c r="AI57" s="127"/>
      <c r="AJ57" s="127"/>
      <c r="AK57" s="127"/>
      <c r="AL57" s="127"/>
      <c r="AM57" s="127"/>
      <c r="AN57" s="127"/>
      <c r="AO57" s="127"/>
      <c r="AP57" s="127"/>
      <c r="AQ57" s="127"/>
      <c r="AR57" s="127"/>
      <c r="AS57" s="127"/>
      <c r="AT57" s="127"/>
      <c r="AU57" s="127"/>
      <c r="AV57" s="127"/>
      <c r="AW57" s="127"/>
      <c r="AX57" s="127"/>
      <c r="AY57" s="127"/>
    </row>
    <row r="58" spans="1:51" x14ac:dyDescent="0.2">
      <c r="A58" s="126"/>
      <c r="B58" s="136">
        <v>14</v>
      </c>
      <c r="C58" s="126" t="s">
        <v>293</v>
      </c>
      <c r="D58" s="127"/>
      <c r="E58" s="127"/>
      <c r="F58" s="127"/>
      <c r="G58" s="127"/>
      <c r="H58" s="127"/>
      <c r="I58" s="127"/>
      <c r="J58" s="127"/>
      <c r="K58" s="127"/>
      <c r="L58" s="127"/>
      <c r="M58" s="127"/>
      <c r="N58" s="127"/>
      <c r="O58" s="127"/>
      <c r="P58" s="127"/>
      <c r="Q58" s="127"/>
      <c r="R58" s="127"/>
      <c r="S58" s="127"/>
      <c r="T58" s="127"/>
      <c r="U58" s="127"/>
      <c r="V58" s="127"/>
      <c r="W58" s="127"/>
      <c r="X58" s="127"/>
      <c r="Y58" s="127"/>
      <c r="Z58" s="127"/>
      <c r="AA58" s="127"/>
      <c r="AB58" s="127"/>
      <c r="AC58" s="127"/>
      <c r="AD58" s="127"/>
      <c r="AE58" s="127"/>
      <c r="AF58" s="127"/>
      <c r="AG58" s="127"/>
      <c r="AH58" s="127"/>
      <c r="AI58" s="127"/>
      <c r="AJ58" s="127"/>
      <c r="AK58" s="127"/>
      <c r="AL58" s="127"/>
      <c r="AM58" s="127"/>
      <c r="AN58" s="127"/>
      <c r="AO58" s="127"/>
      <c r="AP58" s="127"/>
      <c r="AQ58" s="127"/>
      <c r="AR58" s="127"/>
      <c r="AS58" s="127"/>
      <c r="AT58" s="127"/>
      <c r="AU58" s="127"/>
      <c r="AV58" s="127"/>
      <c r="AW58" s="127"/>
      <c r="AX58" s="127"/>
      <c r="AY58" s="127"/>
    </row>
    <row r="59" spans="1:51" x14ac:dyDescent="0.2">
      <c r="A59" s="126"/>
      <c r="B59" s="136">
        <v>15</v>
      </c>
      <c r="C59" s="126" t="s">
        <v>293</v>
      </c>
      <c r="D59" s="127"/>
      <c r="E59" s="127"/>
      <c r="F59" s="127"/>
      <c r="G59" s="127"/>
      <c r="H59" s="127"/>
      <c r="I59" s="127"/>
      <c r="J59" s="127"/>
      <c r="K59" s="127"/>
      <c r="L59" s="127"/>
      <c r="M59" s="127"/>
      <c r="N59" s="127"/>
      <c r="O59" s="127"/>
      <c r="P59" s="127"/>
      <c r="Q59" s="127"/>
      <c r="R59" s="127"/>
      <c r="S59" s="127"/>
      <c r="T59" s="127"/>
      <c r="U59" s="127"/>
      <c r="V59" s="127"/>
      <c r="W59" s="127"/>
      <c r="X59" s="127"/>
      <c r="Y59" s="127"/>
      <c r="Z59" s="127"/>
      <c r="AA59" s="127"/>
      <c r="AB59" s="127"/>
      <c r="AC59" s="127"/>
      <c r="AD59" s="127"/>
      <c r="AE59" s="127"/>
      <c r="AF59" s="127"/>
      <c r="AG59" s="127"/>
      <c r="AH59" s="127"/>
      <c r="AI59" s="127"/>
      <c r="AJ59" s="127"/>
      <c r="AK59" s="127"/>
      <c r="AL59" s="127"/>
      <c r="AM59" s="127"/>
      <c r="AN59" s="127"/>
      <c r="AO59" s="127"/>
      <c r="AP59" s="127"/>
      <c r="AQ59" s="127"/>
      <c r="AR59" s="127"/>
      <c r="AS59" s="127"/>
      <c r="AT59" s="127"/>
      <c r="AU59" s="127"/>
      <c r="AV59" s="127"/>
      <c r="AW59" s="127"/>
      <c r="AX59" s="127"/>
      <c r="AY59" s="127"/>
    </row>
    <row r="60" spans="1:51" x14ac:dyDescent="0.2">
      <c r="A60" s="126"/>
      <c r="B60" s="136">
        <v>16</v>
      </c>
      <c r="C60" s="126" t="s">
        <v>293</v>
      </c>
      <c r="D60" s="127"/>
      <c r="E60" s="127"/>
      <c r="F60" s="127"/>
      <c r="G60" s="127"/>
      <c r="H60" s="127"/>
      <c r="I60" s="127"/>
      <c r="J60" s="127"/>
      <c r="K60" s="127"/>
      <c r="L60" s="127"/>
      <c r="M60" s="127"/>
      <c r="N60" s="127"/>
      <c r="O60" s="127"/>
      <c r="P60" s="127"/>
      <c r="Q60" s="127"/>
      <c r="R60" s="127"/>
      <c r="S60" s="127"/>
      <c r="T60" s="127"/>
      <c r="U60" s="127"/>
      <c r="V60" s="127"/>
      <c r="W60" s="127"/>
      <c r="X60" s="127"/>
      <c r="Y60" s="127"/>
      <c r="Z60" s="127"/>
      <c r="AA60" s="127"/>
      <c r="AB60" s="127"/>
      <c r="AC60" s="127"/>
      <c r="AD60" s="127"/>
      <c r="AE60" s="127"/>
      <c r="AF60" s="127"/>
      <c r="AG60" s="127"/>
      <c r="AH60" s="127"/>
      <c r="AI60" s="127"/>
      <c r="AJ60" s="127"/>
      <c r="AK60" s="127"/>
      <c r="AL60" s="127"/>
      <c r="AM60" s="127"/>
      <c r="AN60" s="127"/>
      <c r="AO60" s="127"/>
      <c r="AP60" s="127"/>
      <c r="AQ60" s="127"/>
      <c r="AR60" s="127"/>
      <c r="AS60" s="127"/>
      <c r="AT60" s="127"/>
      <c r="AU60" s="127"/>
      <c r="AV60" s="127"/>
      <c r="AW60" s="127"/>
      <c r="AX60" s="127"/>
      <c r="AY60" s="127"/>
    </row>
    <row r="61" spans="1:51" x14ac:dyDescent="0.2">
      <c r="A61" s="126"/>
      <c r="B61" s="136">
        <v>17</v>
      </c>
      <c r="C61" s="126" t="s">
        <v>293</v>
      </c>
      <c r="D61" s="127"/>
      <c r="E61" s="127"/>
      <c r="F61" s="127"/>
      <c r="G61" s="127"/>
      <c r="H61" s="127"/>
      <c r="I61" s="127"/>
      <c r="J61" s="127"/>
      <c r="K61" s="127"/>
      <c r="L61" s="127"/>
      <c r="M61" s="127"/>
      <c r="N61" s="127"/>
      <c r="O61" s="127"/>
      <c r="P61" s="127"/>
      <c r="Q61" s="127"/>
      <c r="R61" s="127"/>
      <c r="S61" s="127"/>
      <c r="T61" s="127"/>
      <c r="U61" s="127"/>
      <c r="V61" s="127"/>
      <c r="W61" s="127"/>
      <c r="X61" s="127"/>
      <c r="Y61" s="127"/>
      <c r="Z61" s="127"/>
      <c r="AA61" s="127"/>
      <c r="AB61" s="127"/>
      <c r="AC61" s="127"/>
      <c r="AD61" s="127"/>
      <c r="AE61" s="127"/>
      <c r="AF61" s="127"/>
      <c r="AG61" s="127"/>
      <c r="AH61" s="127"/>
      <c r="AI61" s="127"/>
      <c r="AJ61" s="127"/>
      <c r="AK61" s="127"/>
      <c r="AL61" s="127"/>
      <c r="AM61" s="127"/>
      <c r="AN61" s="127"/>
      <c r="AO61" s="127"/>
      <c r="AP61" s="127"/>
      <c r="AQ61" s="127"/>
      <c r="AR61" s="127"/>
      <c r="AS61" s="127"/>
      <c r="AT61" s="127"/>
      <c r="AU61" s="127"/>
      <c r="AV61" s="127"/>
      <c r="AW61" s="127"/>
      <c r="AX61" s="127"/>
      <c r="AY61" s="127"/>
    </row>
    <row r="62" spans="1:51" x14ac:dyDescent="0.2">
      <c r="A62" s="126"/>
      <c r="B62" s="136">
        <v>18</v>
      </c>
      <c r="C62" s="126" t="s">
        <v>293</v>
      </c>
      <c r="D62" s="127"/>
      <c r="E62" s="127"/>
      <c r="F62" s="127"/>
      <c r="G62" s="127"/>
      <c r="H62" s="127"/>
      <c r="I62" s="127"/>
      <c r="J62" s="127"/>
      <c r="K62" s="127"/>
      <c r="L62" s="127"/>
      <c r="M62" s="127"/>
      <c r="N62" s="127"/>
      <c r="O62" s="127"/>
      <c r="P62" s="127"/>
      <c r="Q62" s="127"/>
      <c r="R62" s="127"/>
      <c r="S62" s="127"/>
      <c r="T62" s="127"/>
      <c r="U62" s="127"/>
      <c r="V62" s="127"/>
      <c r="W62" s="127"/>
      <c r="X62" s="127"/>
      <c r="Y62" s="127"/>
      <c r="Z62" s="127"/>
      <c r="AA62" s="127"/>
      <c r="AB62" s="127"/>
      <c r="AC62" s="127"/>
      <c r="AD62" s="127"/>
      <c r="AE62" s="127"/>
      <c r="AF62" s="127"/>
      <c r="AG62" s="127"/>
      <c r="AH62" s="127"/>
      <c r="AI62" s="127"/>
      <c r="AJ62" s="127"/>
      <c r="AK62" s="127"/>
      <c r="AL62" s="127"/>
      <c r="AM62" s="127"/>
      <c r="AN62" s="127"/>
      <c r="AO62" s="127"/>
      <c r="AP62" s="127"/>
      <c r="AQ62" s="127"/>
      <c r="AR62" s="127"/>
      <c r="AS62" s="127"/>
      <c r="AT62" s="127"/>
      <c r="AU62" s="127"/>
      <c r="AV62" s="127"/>
      <c r="AW62" s="127"/>
      <c r="AX62" s="127"/>
      <c r="AY62" s="127"/>
    </row>
    <row r="63" spans="1:51" x14ac:dyDescent="0.2">
      <c r="A63" s="126"/>
      <c r="B63" s="136">
        <v>19</v>
      </c>
      <c r="C63" s="126" t="s">
        <v>293</v>
      </c>
      <c r="D63" s="127"/>
      <c r="E63" s="127"/>
      <c r="F63" s="127"/>
      <c r="G63" s="127"/>
      <c r="H63" s="127"/>
      <c r="I63" s="127"/>
      <c r="J63" s="127"/>
      <c r="K63" s="127"/>
      <c r="L63" s="127"/>
      <c r="M63" s="127"/>
      <c r="N63" s="127"/>
      <c r="O63" s="127"/>
      <c r="P63" s="127"/>
      <c r="Q63" s="127"/>
      <c r="R63" s="127"/>
      <c r="S63" s="127"/>
      <c r="T63" s="127"/>
      <c r="U63" s="127"/>
      <c r="V63" s="127"/>
      <c r="W63" s="127"/>
      <c r="X63" s="127"/>
      <c r="Y63" s="127"/>
      <c r="Z63" s="127"/>
      <c r="AA63" s="127"/>
      <c r="AB63" s="127"/>
      <c r="AC63" s="127"/>
      <c r="AD63" s="127"/>
      <c r="AE63" s="127"/>
      <c r="AF63" s="127"/>
      <c r="AG63" s="127"/>
      <c r="AH63" s="127"/>
      <c r="AI63" s="127"/>
      <c r="AJ63" s="127"/>
      <c r="AK63" s="127"/>
      <c r="AL63" s="127"/>
      <c r="AM63" s="127"/>
      <c r="AN63" s="127"/>
      <c r="AO63" s="127"/>
      <c r="AP63" s="127"/>
      <c r="AQ63" s="127"/>
      <c r="AR63" s="127"/>
      <c r="AS63" s="127"/>
      <c r="AT63" s="127"/>
      <c r="AU63" s="127"/>
      <c r="AV63" s="127"/>
      <c r="AW63" s="127"/>
      <c r="AX63" s="127"/>
      <c r="AY63" s="127"/>
    </row>
    <row r="64" spans="1:51" x14ac:dyDescent="0.2">
      <c r="A64" s="126"/>
      <c r="B64" s="136">
        <v>20</v>
      </c>
      <c r="C64" s="126" t="s">
        <v>293</v>
      </c>
      <c r="D64" s="127"/>
      <c r="E64" s="127"/>
      <c r="F64" s="127"/>
      <c r="G64" s="127"/>
      <c r="H64" s="127"/>
      <c r="I64" s="127"/>
      <c r="J64" s="127"/>
      <c r="K64" s="127"/>
      <c r="L64" s="127"/>
      <c r="M64" s="127"/>
      <c r="N64" s="127"/>
      <c r="O64" s="127"/>
      <c r="P64" s="127"/>
      <c r="Q64" s="127"/>
      <c r="R64" s="127"/>
      <c r="S64" s="127"/>
      <c r="T64" s="127"/>
      <c r="U64" s="127"/>
      <c r="V64" s="127"/>
      <c r="W64" s="127"/>
      <c r="X64" s="127"/>
      <c r="Y64" s="127"/>
      <c r="Z64" s="127"/>
      <c r="AA64" s="127"/>
      <c r="AB64" s="127"/>
      <c r="AC64" s="127"/>
      <c r="AD64" s="127"/>
      <c r="AE64" s="127"/>
      <c r="AF64" s="127"/>
      <c r="AG64" s="127"/>
      <c r="AH64" s="127"/>
      <c r="AI64" s="127"/>
      <c r="AJ64" s="127"/>
      <c r="AK64" s="127"/>
      <c r="AL64" s="127"/>
      <c r="AM64" s="127"/>
      <c r="AN64" s="127"/>
      <c r="AO64" s="127"/>
      <c r="AP64" s="127"/>
      <c r="AQ64" s="127"/>
      <c r="AR64" s="127"/>
      <c r="AS64" s="127"/>
      <c r="AT64" s="127"/>
      <c r="AU64" s="127"/>
      <c r="AV64" s="127"/>
      <c r="AW64" s="127"/>
      <c r="AX64" s="127"/>
      <c r="AY64" s="127"/>
    </row>
    <row r="65" spans="1:51" x14ac:dyDescent="0.2">
      <c r="A65" s="126"/>
      <c r="B65" s="136">
        <v>21</v>
      </c>
      <c r="C65" s="126" t="s">
        <v>293</v>
      </c>
      <c r="D65" s="127"/>
      <c r="E65" s="127"/>
      <c r="F65" s="127"/>
      <c r="G65" s="127"/>
      <c r="H65" s="127"/>
      <c r="I65" s="127"/>
      <c r="J65" s="127"/>
      <c r="K65" s="127"/>
      <c r="L65" s="127"/>
      <c r="M65" s="127"/>
      <c r="N65" s="127"/>
      <c r="O65" s="127"/>
      <c r="P65" s="127"/>
      <c r="Q65" s="127"/>
      <c r="R65" s="127"/>
      <c r="S65" s="127"/>
      <c r="T65" s="127"/>
      <c r="U65" s="127"/>
      <c r="V65" s="127"/>
      <c r="W65" s="127"/>
      <c r="X65" s="127"/>
      <c r="Y65" s="127"/>
      <c r="Z65" s="127"/>
      <c r="AA65" s="127"/>
      <c r="AB65" s="127"/>
      <c r="AC65" s="127"/>
      <c r="AD65" s="127"/>
      <c r="AE65" s="127"/>
      <c r="AF65" s="127"/>
      <c r="AG65" s="127"/>
      <c r="AH65" s="127"/>
      <c r="AI65" s="127"/>
      <c r="AJ65" s="127"/>
      <c r="AK65" s="127"/>
      <c r="AL65" s="127"/>
      <c r="AM65" s="127"/>
      <c r="AN65" s="127"/>
      <c r="AO65" s="127"/>
      <c r="AP65" s="127"/>
      <c r="AQ65" s="127"/>
      <c r="AR65" s="127"/>
      <c r="AS65" s="127"/>
      <c r="AT65" s="127"/>
      <c r="AU65" s="127"/>
      <c r="AV65" s="127"/>
      <c r="AW65" s="127"/>
      <c r="AX65" s="127"/>
      <c r="AY65" s="127"/>
    </row>
    <row r="66" spans="1:51" x14ac:dyDescent="0.2">
      <c r="A66" s="126"/>
      <c r="B66" s="136">
        <v>22</v>
      </c>
      <c r="C66" s="126" t="s">
        <v>293</v>
      </c>
      <c r="D66" s="127"/>
      <c r="E66" s="127"/>
      <c r="F66" s="127"/>
      <c r="G66" s="127"/>
      <c r="H66" s="127"/>
      <c r="I66" s="127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</row>
    <row r="67" spans="1:51" x14ac:dyDescent="0.2">
      <c r="A67" s="126"/>
      <c r="B67" s="136">
        <v>23</v>
      </c>
      <c r="C67" s="126" t="s">
        <v>293</v>
      </c>
      <c r="D67" s="127"/>
      <c r="E67" s="127"/>
      <c r="F67" s="127"/>
      <c r="G67" s="127"/>
      <c r="H67" s="127"/>
      <c r="I67" s="127"/>
      <c r="J67" s="127"/>
      <c r="K67" s="127"/>
      <c r="L67" s="127"/>
      <c r="M67" s="127"/>
      <c r="N67" s="127"/>
      <c r="O67" s="127"/>
      <c r="P67" s="127"/>
      <c r="Q67" s="127"/>
      <c r="R67" s="127"/>
      <c r="S67" s="127"/>
      <c r="T67" s="127"/>
      <c r="U67" s="127"/>
      <c r="V67" s="127"/>
      <c r="W67" s="127"/>
      <c r="X67" s="127"/>
      <c r="Y67" s="127"/>
      <c r="Z67" s="127"/>
      <c r="AA67" s="127"/>
      <c r="AB67" s="127"/>
      <c r="AC67" s="127"/>
      <c r="AD67" s="127"/>
      <c r="AE67" s="127"/>
      <c r="AF67" s="127"/>
      <c r="AG67" s="127"/>
      <c r="AH67" s="127"/>
      <c r="AI67" s="127"/>
      <c r="AJ67" s="127"/>
      <c r="AK67" s="127"/>
      <c r="AL67" s="127"/>
      <c r="AM67" s="127"/>
      <c r="AN67" s="127"/>
      <c r="AO67" s="127"/>
      <c r="AP67" s="127"/>
      <c r="AQ67" s="127"/>
      <c r="AR67" s="127"/>
      <c r="AS67" s="127"/>
      <c r="AT67" s="127"/>
      <c r="AU67" s="127"/>
      <c r="AV67" s="127"/>
      <c r="AW67" s="127"/>
      <c r="AX67" s="127"/>
      <c r="AY67" s="127"/>
    </row>
    <row r="68" spans="1:51" x14ac:dyDescent="0.2">
      <c r="A68" s="126"/>
      <c r="B68" s="136">
        <v>24</v>
      </c>
      <c r="C68" s="126" t="s">
        <v>293</v>
      </c>
      <c r="D68" s="127"/>
      <c r="E68" s="127"/>
      <c r="F68" s="127"/>
      <c r="G68" s="127"/>
      <c r="H68" s="127"/>
      <c r="I68" s="127"/>
      <c r="J68" s="127"/>
      <c r="K68" s="127"/>
      <c r="L68" s="127"/>
      <c r="M68" s="127"/>
      <c r="N68" s="127"/>
      <c r="O68" s="127"/>
      <c r="P68" s="127"/>
      <c r="Q68" s="127"/>
      <c r="R68" s="127"/>
      <c r="S68" s="127"/>
      <c r="T68" s="127"/>
      <c r="U68" s="127"/>
      <c r="V68" s="127"/>
      <c r="W68" s="127"/>
      <c r="X68" s="127"/>
      <c r="Y68" s="127"/>
      <c r="Z68" s="127"/>
      <c r="AA68" s="127"/>
      <c r="AB68" s="127"/>
      <c r="AC68" s="127"/>
      <c r="AD68" s="127"/>
      <c r="AE68" s="127"/>
      <c r="AF68" s="127"/>
      <c r="AG68" s="127"/>
      <c r="AH68" s="127"/>
      <c r="AI68" s="127"/>
      <c r="AJ68" s="127"/>
      <c r="AK68" s="127"/>
      <c r="AL68" s="127"/>
      <c r="AM68" s="127"/>
      <c r="AN68" s="127"/>
      <c r="AO68" s="127"/>
      <c r="AP68" s="127"/>
      <c r="AQ68" s="127"/>
      <c r="AR68" s="127"/>
      <c r="AS68" s="127"/>
      <c r="AT68" s="127"/>
      <c r="AU68" s="127"/>
      <c r="AV68" s="127"/>
      <c r="AW68" s="127"/>
      <c r="AX68" s="127"/>
      <c r="AY68" s="127"/>
    </row>
    <row r="69" spans="1:51" x14ac:dyDescent="0.2">
      <c r="A69" s="126"/>
      <c r="B69" s="143">
        <v>25</v>
      </c>
      <c r="C69" s="126" t="s">
        <v>293</v>
      </c>
      <c r="D69" s="127"/>
      <c r="E69" s="127"/>
      <c r="F69" s="127"/>
      <c r="G69" s="127"/>
      <c r="H69" s="127"/>
      <c r="I69" s="127"/>
      <c r="J69" s="127"/>
      <c r="K69" s="127"/>
      <c r="L69" s="127"/>
      <c r="M69" s="127"/>
      <c r="N69" s="127"/>
      <c r="O69" s="127"/>
      <c r="P69" s="127"/>
      <c r="Q69" s="127"/>
      <c r="R69" s="127"/>
      <c r="S69" s="127"/>
      <c r="T69" s="127"/>
      <c r="U69" s="127"/>
      <c r="V69" s="127"/>
      <c r="W69" s="127"/>
      <c r="X69" s="127"/>
      <c r="Y69" s="127"/>
      <c r="Z69" s="127"/>
      <c r="AA69" s="127"/>
      <c r="AB69" s="127"/>
      <c r="AC69" s="127"/>
      <c r="AD69" s="127"/>
      <c r="AE69" s="127"/>
      <c r="AF69" s="127"/>
      <c r="AG69" s="127"/>
      <c r="AH69" s="127"/>
      <c r="AI69" s="127"/>
      <c r="AJ69" s="127"/>
      <c r="AK69" s="127"/>
      <c r="AL69" s="127"/>
      <c r="AM69" s="127"/>
      <c r="AN69" s="127"/>
      <c r="AO69" s="127"/>
      <c r="AP69" s="127"/>
      <c r="AQ69" s="127"/>
      <c r="AR69" s="127"/>
      <c r="AS69" s="127"/>
      <c r="AT69" s="127"/>
      <c r="AU69" s="127"/>
      <c r="AV69" s="127"/>
      <c r="AW69" s="127"/>
      <c r="AX69" s="127"/>
      <c r="AY69" s="127"/>
    </row>
    <row r="70" spans="1:51" x14ac:dyDescent="0.2">
      <c r="A70" s="126"/>
      <c r="B70" s="143">
        <v>26</v>
      </c>
      <c r="C70" s="126" t="s">
        <v>293</v>
      </c>
      <c r="D70" s="127"/>
      <c r="E70" s="127"/>
      <c r="F70" s="127"/>
      <c r="G70" s="127"/>
      <c r="H70" s="127"/>
      <c r="I70" s="127"/>
      <c r="J70" s="127"/>
      <c r="K70" s="127"/>
      <c r="L70" s="127"/>
      <c r="M70" s="127"/>
      <c r="N70" s="127"/>
      <c r="O70" s="127"/>
      <c r="P70" s="127"/>
      <c r="Q70" s="127"/>
      <c r="R70" s="127"/>
      <c r="S70" s="127"/>
      <c r="T70" s="127"/>
      <c r="U70" s="127"/>
      <c r="V70" s="127"/>
      <c r="W70" s="127"/>
      <c r="X70" s="127"/>
      <c r="Y70" s="127"/>
      <c r="Z70" s="127"/>
      <c r="AA70" s="127"/>
      <c r="AB70" s="127"/>
      <c r="AC70" s="127"/>
      <c r="AD70" s="127"/>
      <c r="AE70" s="127"/>
      <c r="AF70" s="127"/>
      <c r="AG70" s="127"/>
      <c r="AH70" s="127"/>
      <c r="AI70" s="127"/>
      <c r="AJ70" s="127"/>
      <c r="AK70" s="127"/>
      <c r="AL70" s="127"/>
      <c r="AM70" s="127"/>
      <c r="AN70" s="127"/>
      <c r="AO70" s="127"/>
      <c r="AP70" s="127"/>
      <c r="AQ70" s="127"/>
      <c r="AR70" s="127"/>
      <c r="AS70" s="127"/>
      <c r="AT70" s="127"/>
      <c r="AU70" s="127"/>
      <c r="AV70" s="127"/>
      <c r="AW70" s="127"/>
      <c r="AX70" s="127"/>
      <c r="AY70" s="127"/>
    </row>
    <row r="71" spans="1:51" x14ac:dyDescent="0.2">
      <c r="A71" s="126"/>
      <c r="B71" s="143">
        <v>27</v>
      </c>
      <c r="C71" s="126" t="s">
        <v>293</v>
      </c>
      <c r="D71" s="127"/>
      <c r="E71" s="127"/>
      <c r="F71" s="127"/>
      <c r="G71" s="127"/>
      <c r="H71" s="127"/>
      <c r="I71" s="127"/>
      <c r="J71" s="127"/>
      <c r="K71" s="127"/>
      <c r="L71" s="127"/>
      <c r="M71" s="127"/>
      <c r="N71" s="127"/>
      <c r="O71" s="127"/>
      <c r="P71" s="127"/>
      <c r="Q71" s="127"/>
      <c r="R71" s="127"/>
      <c r="S71" s="127"/>
      <c r="T71" s="127"/>
      <c r="U71" s="127"/>
      <c r="V71" s="127"/>
      <c r="W71" s="127"/>
      <c r="X71" s="127"/>
      <c r="Y71" s="127"/>
      <c r="Z71" s="127"/>
      <c r="AA71" s="127"/>
      <c r="AB71" s="127"/>
      <c r="AC71" s="127"/>
      <c r="AD71" s="127"/>
      <c r="AE71" s="127"/>
      <c r="AF71" s="127"/>
      <c r="AG71" s="127"/>
      <c r="AH71" s="127"/>
      <c r="AI71" s="127"/>
      <c r="AJ71" s="127"/>
      <c r="AK71" s="127"/>
      <c r="AL71" s="127"/>
      <c r="AM71" s="127"/>
      <c r="AN71" s="127"/>
      <c r="AO71" s="127"/>
      <c r="AP71" s="127"/>
      <c r="AQ71" s="127"/>
      <c r="AR71" s="127"/>
      <c r="AS71" s="127"/>
      <c r="AT71" s="127"/>
      <c r="AU71" s="127"/>
      <c r="AV71" s="127"/>
      <c r="AW71" s="127"/>
      <c r="AX71" s="127"/>
      <c r="AY71" s="127"/>
    </row>
    <row r="72" spans="1:51" x14ac:dyDescent="0.2">
      <c r="A72" s="126"/>
      <c r="B72" s="143">
        <v>28</v>
      </c>
      <c r="C72" s="126" t="s">
        <v>293</v>
      </c>
      <c r="D72" s="127"/>
      <c r="E72" s="127"/>
      <c r="F72" s="127"/>
      <c r="G72" s="127"/>
      <c r="H72" s="127"/>
      <c r="I72" s="127"/>
      <c r="J72" s="127"/>
      <c r="K72" s="127"/>
      <c r="L72" s="127"/>
      <c r="M72" s="127"/>
      <c r="N72" s="127"/>
      <c r="O72" s="127"/>
      <c r="P72" s="127"/>
      <c r="Q72" s="127"/>
      <c r="R72" s="127"/>
      <c r="S72" s="127"/>
      <c r="T72" s="127"/>
      <c r="U72" s="127"/>
      <c r="V72" s="127"/>
      <c r="W72" s="127"/>
      <c r="X72" s="127"/>
      <c r="Y72" s="127"/>
      <c r="Z72" s="127"/>
      <c r="AA72" s="127"/>
      <c r="AB72" s="127"/>
      <c r="AC72" s="127"/>
      <c r="AD72" s="127"/>
      <c r="AE72" s="127"/>
      <c r="AF72" s="127"/>
      <c r="AG72" s="127"/>
      <c r="AH72" s="127"/>
      <c r="AI72" s="127"/>
      <c r="AJ72" s="127"/>
      <c r="AK72" s="127"/>
      <c r="AL72" s="127"/>
      <c r="AM72" s="127"/>
      <c r="AN72" s="127"/>
      <c r="AO72" s="127"/>
      <c r="AP72" s="127"/>
      <c r="AQ72" s="127"/>
      <c r="AR72" s="127"/>
      <c r="AS72" s="127"/>
      <c r="AT72" s="127"/>
      <c r="AU72" s="127"/>
      <c r="AV72" s="127"/>
      <c r="AW72" s="127"/>
      <c r="AX72" s="127"/>
      <c r="AY72" s="127"/>
    </row>
    <row r="73" spans="1:51" x14ac:dyDescent="0.2">
      <c r="A73" s="126"/>
      <c r="B73" s="143">
        <v>29</v>
      </c>
      <c r="C73" s="126" t="s">
        <v>293</v>
      </c>
      <c r="D73" s="127"/>
      <c r="E73" s="127"/>
      <c r="F73" s="127"/>
      <c r="G73" s="127"/>
      <c r="H73" s="127"/>
      <c r="I73" s="127"/>
      <c r="J73" s="127"/>
      <c r="K73" s="127"/>
      <c r="L73" s="127"/>
      <c r="M73" s="127"/>
      <c r="N73" s="127"/>
      <c r="O73" s="127"/>
      <c r="P73" s="127"/>
      <c r="Q73" s="127"/>
      <c r="R73" s="127"/>
      <c r="S73" s="127"/>
      <c r="T73" s="127"/>
      <c r="U73" s="127"/>
      <c r="V73" s="127"/>
      <c r="W73" s="127"/>
      <c r="X73" s="127"/>
      <c r="Y73" s="127"/>
      <c r="Z73" s="127"/>
      <c r="AA73" s="127"/>
      <c r="AB73" s="127"/>
      <c r="AC73" s="127"/>
      <c r="AD73" s="127"/>
      <c r="AE73" s="127"/>
      <c r="AF73" s="127"/>
      <c r="AG73" s="127"/>
      <c r="AH73" s="127"/>
      <c r="AI73" s="127"/>
      <c r="AJ73" s="127"/>
      <c r="AK73" s="127"/>
      <c r="AL73" s="127"/>
      <c r="AM73" s="127"/>
      <c r="AN73" s="127"/>
      <c r="AO73" s="127"/>
      <c r="AP73" s="127"/>
      <c r="AQ73" s="127"/>
      <c r="AR73" s="127"/>
      <c r="AS73" s="127"/>
      <c r="AT73" s="127"/>
      <c r="AU73" s="127"/>
      <c r="AV73" s="127"/>
      <c r="AW73" s="127"/>
      <c r="AX73" s="127"/>
      <c r="AY73" s="127"/>
    </row>
    <row r="74" spans="1:51" x14ac:dyDescent="0.2">
      <c r="A74" s="126"/>
      <c r="B74" s="143">
        <v>30</v>
      </c>
      <c r="C74" s="126" t="s">
        <v>293</v>
      </c>
      <c r="D74" s="127"/>
      <c r="E74" s="127"/>
      <c r="F74" s="127"/>
      <c r="G74" s="127"/>
      <c r="H74" s="127"/>
      <c r="I74" s="127"/>
      <c r="J74" s="127"/>
      <c r="K74" s="127"/>
      <c r="L74" s="127"/>
      <c r="M74" s="127"/>
      <c r="N74" s="127"/>
      <c r="O74" s="127"/>
      <c r="P74" s="127"/>
      <c r="Q74" s="127"/>
      <c r="R74" s="127"/>
      <c r="S74" s="127"/>
      <c r="T74" s="127"/>
      <c r="U74" s="127"/>
      <c r="V74" s="127"/>
      <c r="W74" s="127"/>
      <c r="X74" s="127"/>
      <c r="Y74" s="127"/>
      <c r="Z74" s="127"/>
      <c r="AA74" s="127"/>
      <c r="AB74" s="127"/>
      <c r="AC74" s="127"/>
      <c r="AD74" s="127"/>
      <c r="AE74" s="127"/>
      <c r="AF74" s="127"/>
      <c r="AG74" s="127"/>
      <c r="AH74" s="127"/>
      <c r="AI74" s="127"/>
      <c r="AJ74" s="127"/>
      <c r="AK74" s="127"/>
      <c r="AL74" s="127"/>
      <c r="AM74" s="127"/>
      <c r="AN74" s="127"/>
      <c r="AO74" s="127"/>
      <c r="AP74" s="127"/>
      <c r="AQ74" s="127"/>
      <c r="AR74" s="127"/>
      <c r="AS74" s="127"/>
      <c r="AT74" s="127"/>
      <c r="AU74" s="127"/>
      <c r="AV74" s="127"/>
      <c r="AW74" s="127"/>
      <c r="AX74" s="127"/>
      <c r="AY74" s="127"/>
    </row>
    <row r="75" spans="1:51" x14ac:dyDescent="0.2">
      <c r="A75" s="126"/>
      <c r="B75" s="143">
        <v>31</v>
      </c>
      <c r="C75" s="126" t="s">
        <v>293</v>
      </c>
      <c r="D75" s="127"/>
      <c r="E75" s="127"/>
      <c r="F75" s="127"/>
      <c r="G75" s="127"/>
      <c r="H75" s="127"/>
      <c r="I75" s="127"/>
      <c r="J75" s="127"/>
      <c r="K75" s="127"/>
      <c r="L75" s="127"/>
      <c r="M75" s="127"/>
      <c r="N75" s="127"/>
      <c r="O75" s="127"/>
      <c r="P75" s="127"/>
      <c r="Q75" s="127"/>
      <c r="R75" s="127"/>
      <c r="S75" s="127"/>
      <c r="T75" s="127"/>
      <c r="U75" s="127"/>
      <c r="V75" s="127"/>
      <c r="W75" s="127"/>
      <c r="X75" s="127"/>
      <c r="Y75" s="127"/>
      <c r="Z75" s="127"/>
      <c r="AA75" s="127"/>
      <c r="AB75" s="127"/>
      <c r="AC75" s="127"/>
      <c r="AD75" s="127"/>
      <c r="AE75" s="127"/>
      <c r="AF75" s="127"/>
      <c r="AG75" s="127"/>
      <c r="AH75" s="127"/>
      <c r="AI75" s="127"/>
      <c r="AJ75" s="127"/>
      <c r="AK75" s="127"/>
      <c r="AL75" s="127"/>
      <c r="AM75" s="127"/>
      <c r="AN75" s="127"/>
      <c r="AO75" s="127"/>
      <c r="AP75" s="127"/>
      <c r="AQ75" s="127"/>
      <c r="AR75" s="127"/>
      <c r="AS75" s="127"/>
      <c r="AT75" s="127"/>
      <c r="AU75" s="127"/>
      <c r="AV75" s="127"/>
      <c r="AW75" s="127"/>
      <c r="AX75" s="127"/>
      <c r="AY75" s="127"/>
    </row>
    <row r="76" spans="1:51" x14ac:dyDescent="0.2">
      <c r="A76" s="126"/>
      <c r="B76" s="143">
        <v>32</v>
      </c>
      <c r="C76" s="126" t="s">
        <v>293</v>
      </c>
      <c r="D76" s="127"/>
      <c r="E76" s="127"/>
      <c r="F76" s="127"/>
      <c r="G76" s="127"/>
      <c r="H76" s="127"/>
      <c r="I76" s="127"/>
      <c r="J76" s="127"/>
      <c r="K76" s="127"/>
      <c r="L76" s="127"/>
      <c r="M76" s="127"/>
      <c r="N76" s="127"/>
      <c r="O76" s="127"/>
      <c r="P76" s="127"/>
      <c r="Q76" s="127"/>
      <c r="R76" s="127"/>
      <c r="S76" s="127"/>
      <c r="T76" s="127"/>
      <c r="U76" s="127"/>
      <c r="V76" s="127"/>
      <c r="W76" s="127"/>
      <c r="X76" s="127"/>
      <c r="Y76" s="127"/>
      <c r="Z76" s="127"/>
      <c r="AA76" s="127"/>
      <c r="AB76" s="127"/>
      <c r="AC76" s="127"/>
      <c r="AD76" s="127"/>
      <c r="AE76" s="127"/>
      <c r="AF76" s="127"/>
      <c r="AG76" s="127"/>
      <c r="AH76" s="127"/>
      <c r="AI76" s="127"/>
      <c r="AJ76" s="127"/>
      <c r="AK76" s="127"/>
      <c r="AL76" s="127"/>
      <c r="AM76" s="127"/>
      <c r="AN76" s="127"/>
      <c r="AO76" s="127"/>
      <c r="AP76" s="127"/>
      <c r="AQ76" s="127"/>
      <c r="AR76" s="127"/>
      <c r="AS76" s="127"/>
      <c r="AT76" s="127"/>
      <c r="AU76" s="127"/>
      <c r="AV76" s="127"/>
      <c r="AW76" s="127"/>
      <c r="AX76" s="127"/>
      <c r="AY76" s="127"/>
    </row>
    <row r="77" spans="1:51" x14ac:dyDescent="0.2">
      <c r="A77" s="126"/>
      <c r="B77" s="143">
        <v>33</v>
      </c>
      <c r="C77" s="126" t="s">
        <v>293</v>
      </c>
      <c r="D77" s="127"/>
      <c r="E77" s="127"/>
      <c r="F77" s="127"/>
      <c r="G77" s="127"/>
      <c r="H77" s="127"/>
      <c r="I77" s="127"/>
      <c r="J77" s="127"/>
      <c r="K77" s="127"/>
      <c r="L77" s="127"/>
      <c r="M77" s="127"/>
      <c r="N77" s="127"/>
      <c r="O77" s="127"/>
      <c r="P77" s="127"/>
      <c r="Q77" s="127"/>
      <c r="R77" s="127"/>
      <c r="S77" s="127"/>
      <c r="T77" s="127"/>
      <c r="U77" s="127"/>
      <c r="V77" s="127"/>
      <c r="W77" s="127"/>
      <c r="X77" s="127"/>
      <c r="Y77" s="127"/>
      <c r="Z77" s="127"/>
      <c r="AA77" s="127"/>
      <c r="AB77" s="127"/>
      <c r="AC77" s="127"/>
      <c r="AD77" s="127"/>
      <c r="AE77" s="127"/>
      <c r="AF77" s="127"/>
      <c r="AG77" s="127"/>
      <c r="AH77" s="127"/>
      <c r="AI77" s="127"/>
      <c r="AJ77" s="127"/>
      <c r="AK77" s="127"/>
      <c r="AL77" s="127"/>
      <c r="AM77" s="127"/>
      <c r="AN77" s="127"/>
      <c r="AO77" s="127"/>
      <c r="AP77" s="127"/>
      <c r="AQ77" s="127"/>
      <c r="AR77" s="127"/>
      <c r="AS77" s="127"/>
      <c r="AT77" s="127"/>
      <c r="AU77" s="127"/>
      <c r="AV77" s="127"/>
      <c r="AW77" s="127"/>
      <c r="AX77" s="127"/>
      <c r="AY77" s="127"/>
    </row>
    <row r="78" spans="1:51" x14ac:dyDescent="0.2">
      <c r="A78" s="126"/>
      <c r="B78" s="143">
        <v>34</v>
      </c>
      <c r="C78" s="126" t="s">
        <v>293</v>
      </c>
      <c r="D78" s="127"/>
      <c r="E78" s="127"/>
      <c r="F78" s="127"/>
      <c r="G78" s="127"/>
      <c r="H78" s="127"/>
      <c r="I78" s="127"/>
      <c r="J78" s="127"/>
      <c r="K78" s="127"/>
      <c r="L78" s="127"/>
      <c r="M78" s="127"/>
      <c r="N78" s="127"/>
      <c r="O78" s="127"/>
      <c r="P78" s="127"/>
      <c r="Q78" s="127"/>
      <c r="R78" s="127"/>
      <c r="S78" s="127"/>
      <c r="T78" s="127"/>
      <c r="U78" s="127"/>
      <c r="V78" s="127"/>
      <c r="W78" s="127"/>
      <c r="X78" s="127"/>
      <c r="Y78" s="127"/>
      <c r="Z78" s="127"/>
      <c r="AA78" s="127"/>
      <c r="AB78" s="127"/>
      <c r="AC78" s="127"/>
      <c r="AD78" s="127"/>
      <c r="AE78" s="127"/>
      <c r="AF78" s="127"/>
      <c r="AG78" s="127"/>
      <c r="AH78" s="127"/>
      <c r="AI78" s="127"/>
      <c r="AJ78" s="127"/>
      <c r="AK78" s="127"/>
      <c r="AL78" s="127"/>
      <c r="AM78" s="127"/>
      <c r="AN78" s="127"/>
      <c r="AO78" s="127"/>
      <c r="AP78" s="127"/>
      <c r="AQ78" s="127"/>
      <c r="AR78" s="127"/>
      <c r="AS78" s="127"/>
      <c r="AT78" s="127"/>
      <c r="AU78" s="127"/>
      <c r="AV78" s="127"/>
      <c r="AW78" s="127"/>
      <c r="AX78" s="127"/>
      <c r="AY78" s="127"/>
    </row>
    <row r="79" spans="1:51" x14ac:dyDescent="0.2">
      <c r="A79" s="126"/>
      <c r="B79" s="143">
        <v>35</v>
      </c>
      <c r="C79" s="126" t="s">
        <v>293</v>
      </c>
      <c r="D79" s="127"/>
      <c r="E79" s="127"/>
      <c r="F79" s="127"/>
      <c r="G79" s="127"/>
      <c r="H79" s="127"/>
      <c r="I79" s="127"/>
      <c r="J79" s="127"/>
      <c r="K79" s="127"/>
      <c r="L79" s="127"/>
      <c r="M79" s="127"/>
      <c r="N79" s="127"/>
      <c r="O79" s="127"/>
      <c r="P79" s="127"/>
      <c r="Q79" s="127"/>
      <c r="R79" s="127"/>
      <c r="S79" s="127"/>
      <c r="T79" s="127"/>
      <c r="U79" s="127"/>
      <c r="V79" s="127"/>
      <c r="W79" s="127"/>
      <c r="X79" s="127"/>
      <c r="Y79" s="127"/>
      <c r="Z79" s="127"/>
      <c r="AA79" s="127"/>
      <c r="AB79" s="127"/>
      <c r="AC79" s="127"/>
      <c r="AD79" s="127"/>
      <c r="AE79" s="127"/>
      <c r="AF79" s="127"/>
      <c r="AG79" s="127"/>
      <c r="AH79" s="127"/>
      <c r="AI79" s="127"/>
      <c r="AJ79" s="127"/>
      <c r="AK79" s="127"/>
      <c r="AL79" s="127"/>
      <c r="AM79" s="127"/>
      <c r="AN79" s="127"/>
      <c r="AO79" s="127"/>
      <c r="AP79" s="127"/>
      <c r="AQ79" s="127"/>
      <c r="AR79" s="127"/>
      <c r="AS79" s="127"/>
      <c r="AT79" s="127"/>
      <c r="AU79" s="127"/>
      <c r="AV79" s="127"/>
      <c r="AW79" s="127"/>
      <c r="AX79" s="127"/>
      <c r="AY79" s="127"/>
    </row>
    <row r="80" spans="1:51" x14ac:dyDescent="0.2">
      <c r="A80" s="126"/>
      <c r="B80" s="143">
        <v>36</v>
      </c>
      <c r="C80" s="126" t="s">
        <v>293</v>
      </c>
      <c r="D80" s="127"/>
      <c r="E80" s="127"/>
      <c r="F80" s="127"/>
      <c r="G80" s="127"/>
      <c r="H80" s="127"/>
      <c r="I80" s="127"/>
      <c r="J80" s="127"/>
      <c r="K80" s="127"/>
      <c r="L80" s="127"/>
      <c r="M80" s="127"/>
      <c r="N80" s="127"/>
      <c r="O80" s="127"/>
      <c r="P80" s="127"/>
      <c r="Q80" s="127"/>
      <c r="R80" s="127"/>
      <c r="S80" s="127"/>
      <c r="T80" s="127"/>
      <c r="U80" s="127"/>
      <c r="V80" s="127"/>
      <c r="W80" s="127"/>
      <c r="X80" s="127"/>
      <c r="Y80" s="127"/>
      <c r="Z80" s="127"/>
      <c r="AA80" s="127"/>
      <c r="AB80" s="127"/>
      <c r="AC80" s="127"/>
      <c r="AD80" s="127"/>
      <c r="AE80" s="127"/>
      <c r="AF80" s="127"/>
      <c r="AG80" s="127"/>
      <c r="AH80" s="127"/>
      <c r="AI80" s="127"/>
      <c r="AJ80" s="127"/>
      <c r="AK80" s="127"/>
      <c r="AL80" s="127"/>
      <c r="AM80" s="127"/>
      <c r="AN80" s="127"/>
      <c r="AO80" s="127"/>
      <c r="AP80" s="127"/>
      <c r="AQ80" s="127"/>
      <c r="AR80" s="127"/>
      <c r="AS80" s="127"/>
      <c r="AT80" s="127"/>
      <c r="AU80" s="127"/>
      <c r="AV80" s="127"/>
      <c r="AW80" s="127"/>
      <c r="AX80" s="127"/>
      <c r="AY80" s="127"/>
    </row>
    <row r="81" spans="1:52" x14ac:dyDescent="0.2">
      <c r="A81" s="126"/>
      <c r="B81" s="146">
        <v>37</v>
      </c>
      <c r="C81" s="126" t="s">
        <v>293</v>
      </c>
      <c r="D81" s="127"/>
      <c r="E81" s="127"/>
      <c r="F81" s="127"/>
      <c r="G81" s="127"/>
      <c r="H81" s="127"/>
      <c r="I81" s="127"/>
      <c r="J81" s="127"/>
      <c r="K81" s="127"/>
      <c r="L81" s="127"/>
      <c r="M81" s="127"/>
      <c r="N81" s="127"/>
      <c r="O81" s="127"/>
      <c r="P81" s="127"/>
      <c r="Q81" s="127"/>
      <c r="R81" s="127"/>
      <c r="S81" s="127"/>
      <c r="T81" s="127"/>
      <c r="U81" s="127"/>
      <c r="V81" s="127"/>
      <c r="W81" s="127"/>
      <c r="X81" s="127"/>
      <c r="Y81" s="127"/>
      <c r="Z81" s="127"/>
      <c r="AA81" s="127"/>
      <c r="AB81" s="127"/>
      <c r="AC81" s="127"/>
      <c r="AD81" s="127"/>
      <c r="AE81" s="127"/>
      <c r="AF81" s="127"/>
      <c r="AG81" s="127"/>
      <c r="AH81" s="127"/>
      <c r="AI81" s="127"/>
      <c r="AJ81" s="127"/>
      <c r="AK81" s="127"/>
      <c r="AL81" s="127"/>
      <c r="AM81" s="127"/>
      <c r="AN81" s="127"/>
      <c r="AO81" s="127"/>
      <c r="AP81" s="127"/>
      <c r="AQ81" s="127"/>
      <c r="AR81" s="127"/>
      <c r="AS81" s="127"/>
      <c r="AT81" s="127"/>
      <c r="AU81" s="127"/>
      <c r="AV81" s="127"/>
      <c r="AW81" s="127"/>
      <c r="AX81" s="127"/>
      <c r="AY81" s="127"/>
    </row>
    <row r="82" spans="1:52" x14ac:dyDescent="0.2">
      <c r="A82" s="126"/>
      <c r="B82" s="146">
        <v>38</v>
      </c>
      <c r="C82" s="126" t="s">
        <v>293</v>
      </c>
      <c r="D82" s="127"/>
      <c r="E82" s="127"/>
      <c r="F82" s="127"/>
      <c r="G82" s="127"/>
      <c r="H82" s="127"/>
      <c r="I82" s="127"/>
      <c r="J82" s="127"/>
      <c r="K82" s="127"/>
      <c r="L82" s="127"/>
      <c r="M82" s="127"/>
      <c r="N82" s="127"/>
      <c r="O82" s="127"/>
      <c r="P82" s="127"/>
      <c r="Q82" s="127"/>
      <c r="R82" s="127"/>
      <c r="S82" s="127"/>
      <c r="T82" s="127"/>
      <c r="U82" s="127"/>
      <c r="V82" s="127"/>
      <c r="W82" s="127"/>
      <c r="X82" s="127"/>
      <c r="Y82" s="127"/>
      <c r="Z82" s="127"/>
      <c r="AA82" s="127"/>
      <c r="AB82" s="127"/>
      <c r="AC82" s="127"/>
      <c r="AD82" s="127"/>
      <c r="AE82" s="127"/>
      <c r="AF82" s="127"/>
      <c r="AG82" s="127"/>
      <c r="AH82" s="127"/>
      <c r="AI82" s="127"/>
      <c r="AJ82" s="127"/>
      <c r="AK82" s="127"/>
      <c r="AL82" s="127"/>
      <c r="AM82" s="127"/>
      <c r="AN82" s="127"/>
      <c r="AO82" s="127"/>
      <c r="AP82" s="127"/>
      <c r="AQ82" s="127"/>
      <c r="AR82" s="127"/>
      <c r="AS82" s="127"/>
      <c r="AT82" s="127"/>
      <c r="AU82" s="127"/>
      <c r="AV82" s="127"/>
      <c r="AW82" s="127"/>
      <c r="AX82" s="127"/>
      <c r="AY82" s="127"/>
    </row>
    <row r="83" spans="1:52" x14ac:dyDescent="0.2">
      <c r="A83" s="126"/>
      <c r="B83" s="146">
        <v>39</v>
      </c>
      <c r="C83" s="126" t="s">
        <v>293</v>
      </c>
      <c r="D83" s="127"/>
      <c r="E83" s="127"/>
      <c r="F83" s="127"/>
      <c r="G83" s="127"/>
      <c r="H83" s="127"/>
      <c r="I83" s="127"/>
      <c r="J83" s="127"/>
      <c r="K83" s="127"/>
      <c r="L83" s="127"/>
      <c r="M83" s="127"/>
      <c r="N83" s="127"/>
      <c r="O83" s="127"/>
      <c r="P83" s="127"/>
      <c r="Q83" s="127"/>
      <c r="R83" s="127"/>
      <c r="S83" s="127"/>
      <c r="T83" s="127"/>
      <c r="U83" s="127"/>
      <c r="V83" s="127"/>
      <c r="W83" s="127"/>
      <c r="X83" s="127"/>
      <c r="Y83" s="127"/>
      <c r="Z83" s="127"/>
      <c r="AA83" s="127"/>
      <c r="AB83" s="127"/>
      <c r="AC83" s="127"/>
      <c r="AD83" s="127"/>
      <c r="AE83" s="127"/>
      <c r="AF83" s="127"/>
      <c r="AG83" s="127"/>
      <c r="AH83" s="127"/>
      <c r="AI83" s="127"/>
      <c r="AJ83" s="127"/>
      <c r="AK83" s="127"/>
      <c r="AL83" s="127"/>
      <c r="AM83" s="127"/>
      <c r="AN83" s="127"/>
      <c r="AO83" s="127"/>
      <c r="AP83" s="127"/>
      <c r="AQ83" s="127"/>
      <c r="AR83" s="127"/>
      <c r="AS83" s="127"/>
      <c r="AT83" s="127"/>
      <c r="AU83" s="127"/>
      <c r="AV83" s="127"/>
      <c r="AW83" s="127"/>
      <c r="AX83" s="127"/>
      <c r="AY83" s="127"/>
    </row>
    <row r="84" spans="1:52" x14ac:dyDescent="0.2">
      <c r="A84" s="126"/>
      <c r="B84" s="146">
        <v>40</v>
      </c>
      <c r="C84" s="126" t="s">
        <v>293</v>
      </c>
      <c r="D84" s="127"/>
      <c r="E84" s="127"/>
      <c r="F84" s="127"/>
      <c r="G84" s="127"/>
      <c r="H84" s="127"/>
      <c r="I84" s="127"/>
      <c r="J84" s="127"/>
      <c r="K84" s="127"/>
      <c r="L84" s="127"/>
      <c r="M84" s="127"/>
      <c r="N84" s="127"/>
      <c r="O84" s="127"/>
      <c r="P84" s="127"/>
      <c r="Q84" s="127"/>
      <c r="R84" s="127"/>
      <c r="S84" s="127"/>
      <c r="T84" s="127"/>
      <c r="U84" s="127"/>
      <c r="V84" s="127"/>
      <c r="W84" s="127"/>
      <c r="X84" s="127"/>
      <c r="Y84" s="127"/>
      <c r="Z84" s="127"/>
      <c r="AA84" s="127"/>
      <c r="AB84" s="127"/>
      <c r="AC84" s="127"/>
      <c r="AD84" s="127"/>
      <c r="AE84" s="127"/>
      <c r="AF84" s="127"/>
      <c r="AG84" s="127"/>
      <c r="AH84" s="127"/>
      <c r="AI84" s="127"/>
      <c r="AJ84" s="127"/>
      <c r="AK84" s="127"/>
      <c r="AL84" s="127"/>
      <c r="AM84" s="127"/>
      <c r="AN84" s="127"/>
      <c r="AO84" s="127"/>
      <c r="AP84" s="127"/>
      <c r="AQ84" s="127"/>
      <c r="AR84" s="127"/>
      <c r="AS84" s="127"/>
      <c r="AT84" s="127"/>
      <c r="AU84" s="127"/>
      <c r="AV84" s="127"/>
      <c r="AW84" s="127"/>
      <c r="AX84" s="127"/>
      <c r="AY84" s="127"/>
    </row>
    <row r="85" spans="1:52" x14ac:dyDescent="0.2">
      <c r="A85" s="126"/>
      <c r="B85" s="146">
        <v>41</v>
      </c>
      <c r="C85" s="126" t="s">
        <v>293</v>
      </c>
      <c r="D85" s="127"/>
      <c r="E85" s="127"/>
      <c r="F85" s="127"/>
      <c r="G85" s="127"/>
      <c r="H85" s="127"/>
      <c r="I85" s="127"/>
      <c r="J85" s="127"/>
      <c r="K85" s="127"/>
      <c r="L85" s="127"/>
      <c r="M85" s="127"/>
      <c r="N85" s="127"/>
      <c r="O85" s="127"/>
      <c r="P85" s="127"/>
      <c r="Q85" s="127"/>
      <c r="R85" s="127"/>
      <c r="S85" s="127"/>
      <c r="T85" s="127"/>
      <c r="U85" s="127"/>
      <c r="V85" s="127"/>
      <c r="W85" s="127"/>
      <c r="X85" s="127"/>
      <c r="Y85" s="127"/>
      <c r="Z85" s="127"/>
      <c r="AA85" s="127"/>
      <c r="AB85" s="127"/>
      <c r="AC85" s="127"/>
      <c r="AD85" s="127"/>
      <c r="AE85" s="127"/>
      <c r="AF85" s="127"/>
      <c r="AG85" s="127"/>
      <c r="AH85" s="127"/>
      <c r="AI85" s="127"/>
      <c r="AJ85" s="127"/>
      <c r="AK85" s="127"/>
      <c r="AL85" s="127"/>
      <c r="AM85" s="127"/>
      <c r="AN85" s="127"/>
      <c r="AO85" s="127"/>
      <c r="AP85" s="127"/>
      <c r="AQ85" s="127"/>
      <c r="AR85" s="127"/>
      <c r="AS85" s="127"/>
      <c r="AT85" s="127"/>
      <c r="AU85" s="127"/>
      <c r="AV85" s="127"/>
      <c r="AW85" s="127"/>
      <c r="AX85" s="127"/>
      <c r="AY85" s="127"/>
    </row>
    <row r="86" spans="1:52" x14ac:dyDescent="0.2">
      <c r="A86" s="126"/>
      <c r="B86" s="146">
        <v>42</v>
      </c>
      <c r="C86" s="126" t="s">
        <v>293</v>
      </c>
      <c r="D86" s="127"/>
      <c r="E86" s="127"/>
      <c r="F86" s="127"/>
      <c r="G86" s="127"/>
      <c r="H86" s="127"/>
      <c r="I86" s="127"/>
      <c r="J86" s="127"/>
      <c r="K86" s="127"/>
      <c r="L86" s="127"/>
      <c r="M86" s="127"/>
      <c r="N86" s="127"/>
      <c r="O86" s="127"/>
      <c r="P86" s="127"/>
      <c r="Q86" s="127"/>
      <c r="R86" s="127"/>
      <c r="S86" s="127"/>
      <c r="T86" s="127"/>
      <c r="U86" s="127"/>
      <c r="V86" s="127"/>
      <c r="W86" s="127"/>
      <c r="X86" s="127"/>
      <c r="Y86" s="127"/>
      <c r="Z86" s="127"/>
      <c r="AA86" s="127"/>
      <c r="AB86" s="127"/>
      <c r="AC86" s="127"/>
      <c r="AD86" s="127"/>
      <c r="AE86" s="127"/>
      <c r="AF86" s="127"/>
      <c r="AG86" s="127"/>
      <c r="AH86" s="127"/>
      <c r="AI86" s="127"/>
      <c r="AJ86" s="127"/>
      <c r="AK86" s="127"/>
      <c r="AL86" s="127"/>
      <c r="AM86" s="127"/>
      <c r="AN86" s="127"/>
      <c r="AO86" s="127"/>
      <c r="AP86" s="127"/>
      <c r="AQ86" s="127"/>
      <c r="AR86" s="127"/>
      <c r="AS86" s="127"/>
      <c r="AT86" s="127"/>
      <c r="AU86" s="127"/>
      <c r="AV86" s="127"/>
      <c r="AW86" s="127"/>
      <c r="AX86" s="127"/>
      <c r="AY86" s="127"/>
    </row>
    <row r="87" spans="1:52" x14ac:dyDescent="0.2">
      <c r="A87" s="126"/>
      <c r="B87" s="146">
        <v>43</v>
      </c>
      <c r="C87" s="126" t="s">
        <v>293</v>
      </c>
      <c r="D87" s="127">
        <v>0</v>
      </c>
      <c r="E87" s="127">
        <v>0</v>
      </c>
      <c r="F87" s="127"/>
      <c r="G87" s="127"/>
      <c r="H87" s="127"/>
      <c r="I87" s="127"/>
      <c r="J87" s="127"/>
      <c r="K87" s="127"/>
      <c r="L87" s="127"/>
      <c r="M87" s="127"/>
      <c r="N87" s="127"/>
      <c r="O87" s="127"/>
      <c r="P87" s="127"/>
      <c r="Q87" s="127"/>
      <c r="R87" s="127"/>
      <c r="S87" s="127"/>
      <c r="T87" s="127"/>
      <c r="U87" s="127"/>
      <c r="V87" s="127"/>
      <c r="W87" s="127"/>
      <c r="X87" s="127"/>
      <c r="Y87" s="127"/>
      <c r="Z87" s="127"/>
      <c r="AA87" s="127"/>
      <c r="AB87" s="127"/>
      <c r="AC87" s="127"/>
      <c r="AD87" s="127"/>
      <c r="AE87" s="127"/>
      <c r="AF87" s="127"/>
      <c r="AG87" s="127"/>
      <c r="AH87" s="127"/>
      <c r="AI87" s="127"/>
      <c r="AJ87" s="127"/>
      <c r="AK87" s="127"/>
      <c r="AL87" s="127"/>
      <c r="AM87" s="127"/>
      <c r="AN87" s="127"/>
      <c r="AO87" s="127"/>
      <c r="AP87" s="127"/>
      <c r="AQ87" s="127"/>
      <c r="AR87" s="127"/>
      <c r="AS87" s="127"/>
      <c r="AT87" s="127"/>
      <c r="AU87" s="127"/>
      <c r="AV87" s="127"/>
      <c r="AW87" s="127"/>
      <c r="AX87" s="127"/>
      <c r="AY87" s="127"/>
    </row>
    <row r="88" spans="1:52" x14ac:dyDescent="0.2">
      <c r="A88" s="126"/>
      <c r="B88" s="146">
        <v>44</v>
      </c>
      <c r="C88" s="126" t="s">
        <v>293</v>
      </c>
      <c r="D88" s="127">
        <v>0</v>
      </c>
      <c r="E88" s="127">
        <v>0</v>
      </c>
      <c r="F88" s="127"/>
      <c r="G88" s="127"/>
      <c r="H88" s="127"/>
      <c r="I88" s="127"/>
      <c r="J88" s="127"/>
      <c r="K88" s="127"/>
      <c r="L88" s="127"/>
      <c r="M88" s="127"/>
      <c r="N88" s="127"/>
      <c r="O88" s="127"/>
      <c r="P88" s="127"/>
      <c r="Q88" s="127"/>
      <c r="R88" s="127"/>
      <c r="S88" s="127"/>
      <c r="T88" s="127"/>
      <c r="U88" s="127"/>
      <c r="V88" s="127"/>
      <c r="W88" s="127"/>
      <c r="X88" s="127"/>
      <c r="Y88" s="127"/>
      <c r="Z88" s="127"/>
      <c r="AA88" s="127"/>
      <c r="AB88" s="127"/>
      <c r="AC88" s="127"/>
      <c r="AD88" s="127"/>
      <c r="AE88" s="127"/>
      <c r="AF88" s="127"/>
      <c r="AG88" s="127"/>
      <c r="AH88" s="127"/>
      <c r="AI88" s="127"/>
      <c r="AJ88" s="127"/>
      <c r="AK88" s="127"/>
      <c r="AL88" s="127"/>
      <c r="AM88" s="127"/>
      <c r="AN88" s="127"/>
      <c r="AO88" s="127"/>
      <c r="AP88" s="127"/>
      <c r="AQ88" s="127"/>
      <c r="AR88" s="127"/>
      <c r="AS88" s="127"/>
      <c r="AT88" s="127"/>
      <c r="AU88" s="127"/>
      <c r="AV88" s="127"/>
      <c r="AW88" s="127"/>
      <c r="AX88" s="127"/>
      <c r="AY88" s="127"/>
    </row>
    <row r="89" spans="1:52" x14ac:dyDescent="0.2">
      <c r="A89" s="126"/>
      <c r="B89" s="146">
        <v>45</v>
      </c>
      <c r="C89" s="126" t="s">
        <v>293</v>
      </c>
      <c r="D89" s="127">
        <v>0</v>
      </c>
      <c r="E89" s="127">
        <v>0</v>
      </c>
      <c r="F89" s="127">
        <v>0</v>
      </c>
      <c r="G89" s="127">
        <v>0</v>
      </c>
      <c r="H89" s="127">
        <v>0</v>
      </c>
      <c r="I89" s="127"/>
      <c r="J89" s="127"/>
      <c r="K89" s="127"/>
      <c r="L89" s="127"/>
      <c r="M89" s="127"/>
      <c r="N89" s="127"/>
      <c r="O89" s="127"/>
      <c r="P89" s="127"/>
      <c r="Q89" s="127"/>
      <c r="R89" s="127"/>
      <c r="S89" s="127"/>
      <c r="T89" s="127"/>
      <c r="U89" s="127"/>
      <c r="V89" s="127"/>
      <c r="W89" s="127"/>
      <c r="X89" s="127"/>
      <c r="Y89" s="127"/>
      <c r="Z89" s="127"/>
      <c r="AA89" s="127"/>
      <c r="AB89" s="127"/>
      <c r="AC89" s="127"/>
      <c r="AD89" s="127"/>
      <c r="AE89" s="127"/>
      <c r="AF89" s="127"/>
      <c r="AG89" s="127"/>
      <c r="AH89" s="127"/>
      <c r="AI89" s="127"/>
      <c r="AJ89" s="127"/>
      <c r="AK89" s="127"/>
      <c r="AL89" s="127"/>
      <c r="AM89" s="127"/>
      <c r="AN89" s="127"/>
      <c r="AO89" s="127"/>
      <c r="AP89" s="127"/>
      <c r="AQ89" s="127"/>
      <c r="AR89" s="127"/>
      <c r="AS89" s="127"/>
      <c r="AT89" s="127"/>
      <c r="AU89" s="127"/>
      <c r="AV89" s="127"/>
      <c r="AW89" s="127"/>
      <c r="AX89" s="127"/>
      <c r="AY89" s="127"/>
    </row>
    <row r="90" spans="1:52" x14ac:dyDescent="0.2">
      <c r="A90" s="126"/>
      <c r="B90" s="146">
        <v>46</v>
      </c>
      <c r="C90" s="126" t="s">
        <v>293</v>
      </c>
      <c r="D90" s="127">
        <v>0</v>
      </c>
      <c r="E90" s="127">
        <v>0</v>
      </c>
      <c r="F90" s="127">
        <v>0</v>
      </c>
      <c r="G90" s="127">
        <v>0</v>
      </c>
      <c r="H90" s="127">
        <v>0</v>
      </c>
      <c r="I90" s="127">
        <v>0</v>
      </c>
      <c r="J90" s="127"/>
      <c r="K90" s="127"/>
      <c r="L90" s="127"/>
      <c r="M90" s="127"/>
      <c r="N90" s="127"/>
      <c r="O90" s="127"/>
      <c r="P90" s="127"/>
      <c r="Q90" s="127"/>
      <c r="R90" s="127"/>
      <c r="S90" s="127"/>
      <c r="T90" s="127"/>
      <c r="U90" s="127"/>
      <c r="V90" s="127"/>
      <c r="W90" s="127"/>
      <c r="X90" s="127"/>
      <c r="Y90" s="127"/>
      <c r="Z90" s="127"/>
      <c r="AA90" s="127"/>
      <c r="AB90" s="127"/>
      <c r="AC90" s="127"/>
      <c r="AD90" s="127"/>
      <c r="AE90" s="127"/>
      <c r="AF90" s="127"/>
      <c r="AG90" s="127"/>
      <c r="AH90" s="127"/>
      <c r="AI90" s="127"/>
      <c r="AJ90" s="127"/>
      <c r="AK90" s="127"/>
      <c r="AL90" s="127"/>
      <c r="AM90" s="127"/>
      <c r="AN90" s="127"/>
      <c r="AO90" s="127"/>
      <c r="AP90" s="127"/>
      <c r="AQ90" s="127"/>
      <c r="AR90" s="127"/>
      <c r="AS90" s="127"/>
      <c r="AT90" s="127"/>
      <c r="AU90" s="127"/>
      <c r="AV90" s="127"/>
      <c r="AW90" s="127"/>
      <c r="AX90" s="127"/>
      <c r="AY90" s="127"/>
    </row>
    <row r="91" spans="1:52" x14ac:dyDescent="0.2">
      <c r="A91" s="126"/>
      <c r="B91" s="146">
        <v>47</v>
      </c>
      <c r="C91" s="126" t="s">
        <v>293</v>
      </c>
      <c r="D91" s="127">
        <v>0</v>
      </c>
      <c r="E91" s="127">
        <v>0</v>
      </c>
      <c r="F91" s="127">
        <v>0</v>
      </c>
      <c r="G91" s="127">
        <v>0</v>
      </c>
      <c r="H91" s="127">
        <v>0</v>
      </c>
      <c r="I91" s="127">
        <v>0</v>
      </c>
      <c r="J91" s="127">
        <v>0</v>
      </c>
      <c r="K91" s="127">
        <v>0</v>
      </c>
      <c r="L91" s="127">
        <v>0</v>
      </c>
      <c r="M91" s="127"/>
      <c r="N91" s="127"/>
      <c r="O91" s="127"/>
      <c r="P91" s="127"/>
      <c r="Q91" s="127"/>
      <c r="R91" s="127"/>
      <c r="S91" s="127"/>
      <c r="T91" s="127"/>
      <c r="U91" s="127"/>
      <c r="V91" s="127"/>
      <c r="W91" s="127"/>
      <c r="X91" s="127"/>
      <c r="Y91" s="127"/>
      <c r="Z91" s="127"/>
      <c r="AA91" s="127"/>
      <c r="AB91" s="127"/>
      <c r="AC91" s="127"/>
      <c r="AD91" s="127"/>
      <c r="AE91" s="127"/>
      <c r="AF91" s="127"/>
      <c r="AG91" s="127"/>
      <c r="AH91" s="127"/>
      <c r="AI91" s="127"/>
      <c r="AJ91" s="127"/>
      <c r="AK91" s="127"/>
      <c r="AL91" s="127"/>
      <c r="AM91" s="127"/>
      <c r="AN91" s="127"/>
      <c r="AO91" s="127"/>
      <c r="AP91" s="127"/>
      <c r="AQ91" s="127"/>
      <c r="AR91" s="127"/>
      <c r="AS91" s="127"/>
      <c r="AT91" s="127"/>
      <c r="AU91" s="127"/>
      <c r="AV91" s="127"/>
      <c r="AW91" s="127"/>
      <c r="AX91" s="127"/>
      <c r="AY91" s="127"/>
    </row>
    <row r="92" spans="1:52" x14ac:dyDescent="0.2">
      <c r="A92" s="144"/>
      <c r="B92" s="145">
        <v>48</v>
      </c>
      <c r="C92" s="144" t="s">
        <v>293</v>
      </c>
      <c r="D92" s="141">
        <v>0</v>
      </c>
      <c r="E92" s="141">
        <v>0</v>
      </c>
      <c r="F92" s="141">
        <v>0</v>
      </c>
      <c r="G92" s="141">
        <v>0</v>
      </c>
      <c r="H92" s="141">
        <v>0</v>
      </c>
      <c r="I92" s="141">
        <v>0</v>
      </c>
      <c r="J92" s="141">
        <v>0</v>
      </c>
      <c r="K92" s="141">
        <v>0</v>
      </c>
      <c r="L92" s="141">
        <v>0</v>
      </c>
      <c r="M92" s="141">
        <v>0</v>
      </c>
      <c r="N92" s="141">
        <v>0</v>
      </c>
      <c r="O92" s="141">
        <v>0</v>
      </c>
      <c r="P92" s="141">
        <v>0</v>
      </c>
      <c r="Q92" s="141">
        <v>0</v>
      </c>
      <c r="R92" s="141">
        <v>0</v>
      </c>
      <c r="S92" s="141">
        <v>0</v>
      </c>
      <c r="T92" s="141">
        <v>0</v>
      </c>
      <c r="U92" s="141">
        <v>0</v>
      </c>
      <c r="V92" s="141">
        <v>0</v>
      </c>
      <c r="W92" s="141">
        <v>0</v>
      </c>
      <c r="X92" s="141">
        <v>0</v>
      </c>
      <c r="Y92" s="141">
        <v>0</v>
      </c>
      <c r="Z92" s="141">
        <v>0</v>
      </c>
      <c r="AA92" s="141">
        <v>0</v>
      </c>
      <c r="AB92" s="141">
        <v>0</v>
      </c>
      <c r="AC92" s="141">
        <v>0</v>
      </c>
      <c r="AD92" s="141">
        <v>0</v>
      </c>
      <c r="AE92" s="141">
        <v>0</v>
      </c>
      <c r="AF92" s="141">
        <v>0</v>
      </c>
      <c r="AG92" s="141">
        <v>0</v>
      </c>
      <c r="AH92" s="141">
        <v>0</v>
      </c>
      <c r="AI92" s="141">
        <v>0</v>
      </c>
      <c r="AJ92" s="141">
        <v>0</v>
      </c>
      <c r="AK92" s="141">
        <v>0</v>
      </c>
      <c r="AL92" s="141">
        <v>0</v>
      </c>
      <c r="AM92" s="141">
        <v>0</v>
      </c>
      <c r="AN92" s="141">
        <v>0</v>
      </c>
      <c r="AO92" s="141">
        <v>0</v>
      </c>
      <c r="AP92" s="141">
        <v>0</v>
      </c>
      <c r="AQ92" s="141">
        <v>0</v>
      </c>
      <c r="AR92" s="141">
        <v>0</v>
      </c>
      <c r="AS92" s="141">
        <v>0</v>
      </c>
      <c r="AT92" s="141">
        <v>0</v>
      </c>
      <c r="AU92" s="141">
        <v>0</v>
      </c>
      <c r="AV92" s="141">
        <v>0</v>
      </c>
      <c r="AW92" s="141">
        <v>0</v>
      </c>
      <c r="AX92" s="141">
        <v>0</v>
      </c>
      <c r="AY92" s="141">
        <v>0</v>
      </c>
      <c r="AZ92" s="124">
        <f>SUM(D21:AY92)</f>
        <v>46258.554540120924</v>
      </c>
    </row>
    <row r="94" spans="1:52" x14ac:dyDescent="0.2">
      <c r="A94" s="1" t="s">
        <v>295</v>
      </c>
      <c r="B94" s="123"/>
      <c r="C94" s="123"/>
      <c r="D94" s="130"/>
      <c r="E94" s="130"/>
      <c r="F94" s="130"/>
      <c r="G94" s="130"/>
      <c r="H94" s="130"/>
      <c r="I94" s="130"/>
      <c r="J94" s="130"/>
      <c r="K94" s="130"/>
      <c r="L94" s="130"/>
      <c r="M94" s="130"/>
      <c r="N94" s="130"/>
      <c r="O94" s="130"/>
      <c r="P94" s="130"/>
      <c r="Q94" s="130"/>
      <c r="R94" s="130"/>
      <c r="S94" s="130"/>
      <c r="T94" s="130"/>
      <c r="U94" s="130"/>
      <c r="V94" s="130"/>
      <c r="W94" s="130"/>
      <c r="X94" s="130"/>
      <c r="Y94" s="130"/>
      <c r="Z94" s="130"/>
      <c r="AA94" s="130"/>
      <c r="AB94" s="130"/>
      <c r="AC94" s="130"/>
      <c r="AD94" s="130"/>
      <c r="AE94" s="130"/>
      <c r="AF94" s="130"/>
      <c r="AG94" s="130"/>
      <c r="AH94" s="130"/>
      <c r="AI94" s="130"/>
      <c r="AJ94" s="130"/>
      <c r="AK94" s="130"/>
      <c r="AL94" s="130"/>
      <c r="AM94" s="130"/>
      <c r="AN94" s="130"/>
      <c r="AO94" s="130"/>
      <c r="AP94" s="130"/>
      <c r="AQ94" s="130"/>
      <c r="AR94" s="130"/>
      <c r="AS94" s="130"/>
      <c r="AT94" s="130"/>
      <c r="AU94" s="130"/>
      <c r="AV94" s="130"/>
      <c r="AW94" s="130"/>
      <c r="AX94" s="130"/>
      <c r="AY94" s="130"/>
    </row>
    <row r="95" spans="1:52" x14ac:dyDescent="0.2">
      <c r="A95" s="142" t="s">
        <v>125</v>
      </c>
      <c r="B95" s="139">
        <v>1</v>
      </c>
      <c r="C95" s="140">
        <v>0</v>
      </c>
      <c r="D95" s="127">
        <v>0</v>
      </c>
      <c r="E95" s="127">
        <v>0</v>
      </c>
      <c r="F95" s="127">
        <v>251.53903504999744</v>
      </c>
      <c r="G95" s="127">
        <v>2277.5131100128665</v>
      </c>
      <c r="H95" s="127">
        <v>3744.1553155772262</v>
      </c>
      <c r="I95" s="127">
        <v>4578.989669510006</v>
      </c>
      <c r="J95" s="127">
        <v>2700.1850308949124</v>
      </c>
      <c r="K95" s="127">
        <v>4578.989669510006</v>
      </c>
      <c r="L95" s="127">
        <v>4578.989669510006</v>
      </c>
      <c r="M95" s="127">
        <v>4578.989669510006</v>
      </c>
      <c r="N95" s="127">
        <v>4578.989669510006</v>
      </c>
      <c r="O95" s="127">
        <v>4578.989669510006</v>
      </c>
      <c r="P95" s="127">
        <v>4578.989669510006</v>
      </c>
      <c r="Q95" s="127">
        <v>4578.989669510006</v>
      </c>
      <c r="R95" s="127">
        <v>4578.989669510006</v>
      </c>
      <c r="S95" s="127">
        <v>4578.989669510006</v>
      </c>
      <c r="T95" s="127">
        <v>4578.989669510006</v>
      </c>
      <c r="U95" s="127">
        <v>4578.989669510006</v>
      </c>
      <c r="V95" s="127">
        <v>4578.989669510006</v>
      </c>
      <c r="W95" s="127">
        <v>4578.989669510006</v>
      </c>
      <c r="X95" s="127">
        <v>4578.989669510006</v>
      </c>
      <c r="Y95" s="127">
        <v>4578.989669510006</v>
      </c>
      <c r="Z95" s="127">
        <v>4578.989669510006</v>
      </c>
      <c r="AA95" s="127">
        <v>4578.989669510006</v>
      </c>
      <c r="AB95" s="127">
        <v>4578.989669510006</v>
      </c>
      <c r="AC95" s="127">
        <v>4578.989669510006</v>
      </c>
      <c r="AD95" s="127">
        <v>4578.989669510006</v>
      </c>
      <c r="AE95" s="127">
        <v>4578.989669510006</v>
      </c>
      <c r="AF95" s="127">
        <v>4578.989669510006</v>
      </c>
      <c r="AG95" s="127">
        <v>4578.989669510006</v>
      </c>
      <c r="AH95" s="127">
        <v>4578.989669510006</v>
      </c>
      <c r="AI95" s="127">
        <v>4578.989669510006</v>
      </c>
      <c r="AJ95" s="127">
        <v>2719.9294049408518</v>
      </c>
      <c r="AK95" s="127">
        <v>4578.989669510006</v>
      </c>
      <c r="AL95" s="127">
        <v>4578.989669510006</v>
      </c>
      <c r="AM95" s="127">
        <v>4578.989669510006</v>
      </c>
      <c r="AN95" s="127">
        <v>4578.989669510006</v>
      </c>
      <c r="AO95" s="127">
        <v>4578.989669510006</v>
      </c>
      <c r="AP95" s="127">
        <v>4578.989669510006</v>
      </c>
      <c r="AQ95" s="127">
        <v>3883.9778186083204</v>
      </c>
      <c r="AR95" s="127">
        <v>3886.7475140551428</v>
      </c>
      <c r="AS95" s="127">
        <v>3889.498477784427</v>
      </c>
      <c r="AT95" s="127">
        <v>3892.2302658896087</v>
      </c>
      <c r="AU95" s="127">
        <v>3894.9424376364159</v>
      </c>
      <c r="AV95" s="127">
        <v>3897.6345555419725</v>
      </c>
      <c r="AW95" s="127">
        <v>2728.9801063768314</v>
      </c>
      <c r="AX95" s="127">
        <v>4578.989669510006</v>
      </c>
      <c r="AY95" s="127">
        <v>4578.989669510006</v>
      </c>
    </row>
    <row r="96" spans="1:52" x14ac:dyDescent="0.2">
      <c r="A96" s="126"/>
      <c r="B96" s="136">
        <v>2</v>
      </c>
      <c r="C96" s="127">
        <v>0</v>
      </c>
      <c r="D96" s="127">
        <v>0</v>
      </c>
      <c r="E96" s="127">
        <v>0</v>
      </c>
      <c r="F96" s="127">
        <v>0</v>
      </c>
      <c r="G96" s="127">
        <v>0</v>
      </c>
      <c r="H96" s="127">
        <v>0</v>
      </c>
      <c r="I96" s="127">
        <v>1580.7183068889581</v>
      </c>
      <c r="J96" s="127">
        <v>4578.989669510006</v>
      </c>
      <c r="K96" s="127">
        <v>2700.1850308949124</v>
      </c>
      <c r="L96" s="127">
        <v>4578.989669510006</v>
      </c>
      <c r="M96" s="127">
        <v>4578.989669510006</v>
      </c>
      <c r="N96" s="127">
        <v>4578.989669510006</v>
      </c>
      <c r="O96" s="127">
        <v>4578.989669510006</v>
      </c>
      <c r="P96" s="127">
        <v>4578.989669510006</v>
      </c>
      <c r="Q96" s="127">
        <v>4578.989669510006</v>
      </c>
      <c r="R96" s="127">
        <v>4578.989669510006</v>
      </c>
      <c r="S96" s="127">
        <v>4578.989669510006</v>
      </c>
      <c r="T96" s="127">
        <v>4578.989669510006</v>
      </c>
      <c r="U96" s="127">
        <v>4578.989669510006</v>
      </c>
      <c r="V96" s="127">
        <v>4578.989669510006</v>
      </c>
      <c r="W96" s="127">
        <v>4578.989669510006</v>
      </c>
      <c r="X96" s="127">
        <v>4578.989669510006</v>
      </c>
      <c r="Y96" s="127">
        <v>4578.989669510006</v>
      </c>
      <c r="Z96" s="127">
        <v>4578.989669510006</v>
      </c>
      <c r="AA96" s="127">
        <v>4578.989669510006</v>
      </c>
      <c r="AB96" s="127">
        <v>4578.989669510006</v>
      </c>
      <c r="AC96" s="127">
        <v>4578.989669510006</v>
      </c>
      <c r="AD96" s="127">
        <v>4578.989669510006</v>
      </c>
      <c r="AE96" s="127">
        <v>4578.989669510006</v>
      </c>
      <c r="AF96" s="127">
        <v>4578.989669510006</v>
      </c>
      <c r="AG96" s="127">
        <v>4578.989669510006</v>
      </c>
      <c r="AH96" s="127">
        <v>4578.989669510006</v>
      </c>
      <c r="AI96" s="127">
        <v>4578.989669510006</v>
      </c>
      <c r="AJ96" s="127">
        <v>4578.989669510006</v>
      </c>
      <c r="AK96" s="127">
        <v>2719.9294049408518</v>
      </c>
      <c r="AL96" s="127">
        <v>4578.989669510006</v>
      </c>
      <c r="AM96" s="127">
        <v>4578.989669510006</v>
      </c>
      <c r="AN96" s="127">
        <v>4578.989669510006</v>
      </c>
      <c r="AO96" s="127">
        <v>4578.989669510006</v>
      </c>
      <c r="AP96" s="127">
        <v>4578.989669510006</v>
      </c>
      <c r="AQ96" s="127">
        <v>4578.989669510006</v>
      </c>
      <c r="AR96" s="127">
        <v>3883.9778186083204</v>
      </c>
      <c r="AS96" s="127">
        <v>3886.7475140551428</v>
      </c>
      <c r="AT96" s="127">
        <v>3889.498477784427</v>
      </c>
      <c r="AU96" s="127">
        <v>3892.2302658896087</v>
      </c>
      <c r="AV96" s="127">
        <v>3894.9424376364159</v>
      </c>
      <c r="AW96" s="127">
        <v>3897.6345555419725</v>
      </c>
      <c r="AX96" s="127">
        <v>2728.9801063768314</v>
      </c>
      <c r="AY96" s="127">
        <v>4578.989669510006</v>
      </c>
    </row>
    <row r="97" spans="1:52" x14ac:dyDescent="0.2">
      <c r="A97" s="126"/>
      <c r="B97" s="143">
        <v>3</v>
      </c>
      <c r="C97" s="127">
        <v>0</v>
      </c>
      <c r="D97" s="127">
        <v>0</v>
      </c>
      <c r="E97" s="127">
        <v>0</v>
      </c>
      <c r="F97" s="127">
        <v>0</v>
      </c>
      <c r="G97" s="127">
        <v>0</v>
      </c>
      <c r="H97" s="127">
        <v>0</v>
      </c>
      <c r="I97" s="127">
        <v>0</v>
      </c>
      <c r="J97" s="127">
        <v>89.601423157708723</v>
      </c>
      <c r="K97" s="127">
        <v>1935.4295685748898</v>
      </c>
      <c r="L97" s="127">
        <v>2231.3859720134019</v>
      </c>
      <c r="M97" s="127">
        <v>4578.989669510006</v>
      </c>
      <c r="N97" s="127">
        <v>4578.989669510006</v>
      </c>
      <c r="O97" s="127">
        <v>4578.989669510006</v>
      </c>
      <c r="P97" s="127">
        <v>4578.989669510006</v>
      </c>
      <c r="Q97" s="127">
        <v>4578.989669510006</v>
      </c>
      <c r="R97" s="127">
        <v>4578.989669510006</v>
      </c>
      <c r="S97" s="127">
        <v>4578.989669510006</v>
      </c>
      <c r="T97" s="127">
        <v>4578.989669510006</v>
      </c>
      <c r="U97" s="127">
        <v>4578.989669510006</v>
      </c>
      <c r="V97" s="127">
        <v>4578.989669510006</v>
      </c>
      <c r="W97" s="127">
        <v>4578.989669510006</v>
      </c>
      <c r="X97" s="127">
        <v>4578.989669510006</v>
      </c>
      <c r="Y97" s="127">
        <v>4578.989669510006</v>
      </c>
      <c r="Z97" s="127">
        <v>4578.989669510006</v>
      </c>
      <c r="AA97" s="127">
        <v>4578.989669510006</v>
      </c>
      <c r="AB97" s="127">
        <v>4578.989669510006</v>
      </c>
      <c r="AC97" s="127">
        <v>4578.989669510006</v>
      </c>
      <c r="AD97" s="127">
        <v>4578.989669510006</v>
      </c>
      <c r="AE97" s="127">
        <v>4578.989669510006</v>
      </c>
      <c r="AF97" s="127">
        <v>4578.989669510006</v>
      </c>
      <c r="AG97" s="127">
        <v>4578.989669510006</v>
      </c>
      <c r="AH97" s="127">
        <v>4578.989669510006</v>
      </c>
      <c r="AI97" s="127">
        <v>4578.989669510006</v>
      </c>
      <c r="AJ97" s="127">
        <v>4578.989669510006</v>
      </c>
      <c r="AK97" s="127">
        <v>4578.989669510006</v>
      </c>
      <c r="AL97" s="127">
        <v>2719.9294049408518</v>
      </c>
      <c r="AM97" s="127">
        <v>4578.989669510006</v>
      </c>
      <c r="AN97" s="127">
        <v>4578.989669510006</v>
      </c>
      <c r="AO97" s="127">
        <v>4578.989669510006</v>
      </c>
      <c r="AP97" s="127">
        <v>4578.989669510006</v>
      </c>
      <c r="AQ97" s="127">
        <v>4578.989669510006</v>
      </c>
      <c r="AR97" s="127">
        <v>4578.989669510006</v>
      </c>
      <c r="AS97" s="127">
        <v>3883.9778186083204</v>
      </c>
      <c r="AT97" s="127">
        <v>3886.7475140551428</v>
      </c>
      <c r="AU97" s="127">
        <v>3889.498477784427</v>
      </c>
      <c r="AV97" s="127">
        <v>3892.2302658896087</v>
      </c>
      <c r="AW97" s="127">
        <v>3894.9424376364159</v>
      </c>
      <c r="AX97" s="127">
        <v>3897.6345555419725</v>
      </c>
      <c r="AY97" s="127">
        <v>2728.9801063768314</v>
      </c>
    </row>
    <row r="98" spans="1:52" x14ac:dyDescent="0.2">
      <c r="A98" s="126"/>
      <c r="B98" s="146">
        <v>4</v>
      </c>
      <c r="C98" s="123">
        <v>0</v>
      </c>
      <c r="D98" s="127">
        <v>0</v>
      </c>
      <c r="E98" s="127">
        <v>0</v>
      </c>
      <c r="F98" s="127">
        <v>0</v>
      </c>
      <c r="G98" s="127">
        <v>0</v>
      </c>
      <c r="H98" s="127">
        <v>0</v>
      </c>
      <c r="I98" s="127">
        <v>0</v>
      </c>
      <c r="J98" s="127">
        <v>0</v>
      </c>
      <c r="K98" s="127">
        <v>0</v>
      </c>
      <c r="L98" s="127">
        <v>0</v>
      </c>
      <c r="M98" s="127">
        <v>101.50276743726727</v>
      </c>
      <c r="N98" s="127">
        <v>2084.1609459691581</v>
      </c>
      <c r="O98" s="127">
        <v>4059.0575321014926</v>
      </c>
      <c r="P98" s="127">
        <v>4578.989669510006</v>
      </c>
      <c r="Q98" s="127">
        <v>4578.989669510006</v>
      </c>
      <c r="R98" s="127">
        <v>4578.989669510006</v>
      </c>
      <c r="S98" s="127">
        <v>4578.989669510006</v>
      </c>
      <c r="T98" s="127">
        <v>4578.989669510006</v>
      </c>
      <c r="U98" s="127">
        <v>4578.989669510006</v>
      </c>
      <c r="V98" s="127">
        <v>4578.989669510006</v>
      </c>
      <c r="W98" s="127">
        <v>4578.989669510006</v>
      </c>
      <c r="X98" s="127">
        <v>4578.989669510006</v>
      </c>
      <c r="Y98" s="127">
        <v>4578.989669510006</v>
      </c>
      <c r="Z98" s="127">
        <v>4578.989669510006</v>
      </c>
      <c r="AA98" s="127">
        <v>4578.989669510006</v>
      </c>
      <c r="AB98" s="127">
        <v>4578.989669510006</v>
      </c>
      <c r="AC98" s="127">
        <v>4578.989669510006</v>
      </c>
      <c r="AD98" s="127">
        <v>4578.989669510006</v>
      </c>
      <c r="AE98" s="127">
        <v>4578.989669510006</v>
      </c>
      <c r="AF98" s="127">
        <v>4578.989669510006</v>
      </c>
      <c r="AG98" s="127">
        <v>4578.989669510006</v>
      </c>
      <c r="AH98" s="127">
        <v>4578.989669510006</v>
      </c>
      <c r="AI98" s="127">
        <v>4578.989669510006</v>
      </c>
      <c r="AJ98" s="127">
        <v>4578.989669510006</v>
      </c>
      <c r="AK98" s="127">
        <v>4578.989669510006</v>
      </c>
      <c r="AL98" s="127">
        <v>4578.989669510006</v>
      </c>
      <c r="AM98" s="127">
        <v>2719.9294049408518</v>
      </c>
      <c r="AN98" s="127">
        <v>4578.989669510006</v>
      </c>
      <c r="AO98" s="127">
        <v>4578.989669510006</v>
      </c>
      <c r="AP98" s="127">
        <v>4578.989669510006</v>
      </c>
      <c r="AQ98" s="127">
        <v>4578.989669510006</v>
      </c>
      <c r="AR98" s="127">
        <v>4578.989669510006</v>
      </c>
      <c r="AS98" s="127">
        <v>4578.989669510006</v>
      </c>
      <c r="AT98" s="127">
        <v>3883.9778186083204</v>
      </c>
      <c r="AU98" s="127">
        <v>3886.7475140551428</v>
      </c>
      <c r="AV98" s="127">
        <v>3889.498477784427</v>
      </c>
      <c r="AW98" s="127">
        <v>3892.2302658896087</v>
      </c>
      <c r="AX98" s="127">
        <v>3894.9424376364159</v>
      </c>
      <c r="AY98" s="127">
        <v>3897.6345555419725</v>
      </c>
    </row>
    <row r="99" spans="1:52" x14ac:dyDescent="0.2">
      <c r="A99" s="144"/>
      <c r="B99" s="148" t="s">
        <v>296</v>
      </c>
      <c r="C99" s="141">
        <v>0</v>
      </c>
      <c r="D99" s="141">
        <v>0</v>
      </c>
      <c r="E99" s="141">
        <v>0</v>
      </c>
      <c r="F99" s="141">
        <v>0</v>
      </c>
      <c r="G99" s="141">
        <v>0</v>
      </c>
      <c r="H99" s="141">
        <v>0</v>
      </c>
      <c r="I99" s="141">
        <v>0</v>
      </c>
      <c r="J99" s="141">
        <v>0</v>
      </c>
      <c r="K99" s="141">
        <v>0</v>
      </c>
      <c r="L99" s="141">
        <v>0</v>
      </c>
      <c r="M99" s="141">
        <v>0</v>
      </c>
      <c r="N99" s="141">
        <v>0</v>
      </c>
      <c r="O99" s="141">
        <v>1539.1609459691581</v>
      </c>
      <c r="P99" s="141">
        <v>3456.0575321014926</v>
      </c>
      <c r="Q99" s="141">
        <v>3957.989669510006</v>
      </c>
      <c r="R99" s="141">
        <v>4030.989669510006</v>
      </c>
      <c r="S99" s="141">
        <v>4005.989669510006</v>
      </c>
      <c r="T99" s="141">
        <v>3972.989669510006</v>
      </c>
      <c r="U99" s="141">
        <v>4019.989669510006</v>
      </c>
      <c r="V99" s="141">
        <v>4110.989669510006</v>
      </c>
      <c r="W99" s="141">
        <v>3912.989669510006</v>
      </c>
      <c r="X99" s="141">
        <v>4093.989669510006</v>
      </c>
      <c r="Y99" s="141">
        <v>3879.989669510006</v>
      </c>
      <c r="Z99" s="141">
        <v>3970.989669510006</v>
      </c>
      <c r="AA99" s="141">
        <v>3953.989669510006</v>
      </c>
      <c r="AB99" s="141">
        <v>4123.989669510006</v>
      </c>
      <c r="AC99" s="141">
        <v>3985.989669510006</v>
      </c>
      <c r="AD99" s="141">
        <v>4064.989669510006</v>
      </c>
      <c r="AE99" s="141">
        <v>4054.989669510006</v>
      </c>
      <c r="AF99" s="141">
        <v>3873.989669510006</v>
      </c>
      <c r="AG99" s="141">
        <v>4064.989669510006</v>
      </c>
      <c r="AH99" s="141">
        <v>4078.989669510006</v>
      </c>
      <c r="AI99" s="141">
        <v>3986.989669510006</v>
      </c>
      <c r="AJ99" s="141">
        <v>4066.989669510006</v>
      </c>
      <c r="AK99" s="141">
        <v>3955.989669510006</v>
      </c>
      <c r="AL99" s="141">
        <v>4028.989669510006</v>
      </c>
      <c r="AM99" s="141">
        <v>3978.989669510006</v>
      </c>
      <c r="AN99" s="141">
        <v>1999.9294049408518</v>
      </c>
      <c r="AO99" s="141">
        <v>4002.989669510006</v>
      </c>
      <c r="AP99" s="141">
        <v>3932.989669510006</v>
      </c>
      <c r="AQ99" s="141">
        <v>3987.989669510006</v>
      </c>
      <c r="AR99" s="141">
        <v>4006.989669510006</v>
      </c>
      <c r="AS99" s="141">
        <v>3892.989669510006</v>
      </c>
      <c r="AT99" s="141">
        <v>3985.989669510006</v>
      </c>
      <c r="AU99" s="141">
        <v>3406.9778186083204</v>
      </c>
      <c r="AV99" s="141">
        <v>3180.7475140551428</v>
      </c>
      <c r="AW99" s="141">
        <v>3266.498477784427</v>
      </c>
      <c r="AX99" s="141">
        <v>3275.2302658896087</v>
      </c>
      <c r="AY99" s="141">
        <v>3286.9424376364159</v>
      </c>
      <c r="AZ99" s="124">
        <f>SUM($D99:$AY99)</f>
        <v>139398.24481277552</v>
      </c>
    </row>
    <row r="100" spans="1:52" x14ac:dyDescent="0.2">
      <c r="A100" s="147" t="s">
        <v>133</v>
      </c>
      <c r="B100" s="135">
        <v>1</v>
      </c>
      <c r="C100" s="123">
        <v>450</v>
      </c>
      <c r="D100" s="123">
        <v>2532</v>
      </c>
      <c r="E100" s="123">
        <v>120</v>
      </c>
      <c r="F100" s="123">
        <v>78.95146475989705</v>
      </c>
      <c r="G100" s="123">
        <v>120</v>
      </c>
      <c r="H100" s="123">
        <v>219.04469075989707</v>
      </c>
      <c r="I100" s="123">
        <v>198.95146475989705</v>
      </c>
      <c r="J100" s="123">
        <v>54.654594980340434</v>
      </c>
      <c r="K100" s="123">
        <v>140.09322600000002</v>
      </c>
      <c r="L100" s="123">
        <v>78.95146475989705</v>
      </c>
      <c r="M100" s="123">
        <v>219.04469075989707</v>
      </c>
      <c r="N100" s="123">
        <v>219.04469075989707</v>
      </c>
      <c r="O100" s="123">
        <v>219.04469075989707</v>
      </c>
      <c r="P100" s="123">
        <v>219.04469075989707</v>
      </c>
      <c r="Q100" s="123">
        <v>120</v>
      </c>
      <c r="R100" s="123">
        <v>219.04469075989707</v>
      </c>
      <c r="S100" s="123">
        <v>219.04469075989707</v>
      </c>
      <c r="T100" s="123">
        <v>0</v>
      </c>
      <c r="U100" s="123">
        <v>219.04469075989707</v>
      </c>
      <c r="V100" s="123">
        <v>219.04469075989707</v>
      </c>
      <c r="W100" s="123">
        <v>198.95146475989705</v>
      </c>
      <c r="X100" s="123">
        <v>78.95146475989705</v>
      </c>
      <c r="Y100" s="123">
        <v>198.95146475989705</v>
      </c>
      <c r="Z100" s="123">
        <v>219.04469075989707</v>
      </c>
      <c r="AA100" s="123">
        <v>198.95146475989705</v>
      </c>
      <c r="AB100" s="123">
        <v>78.95146475989705</v>
      </c>
      <c r="AC100" s="123">
        <v>219.04469075989707</v>
      </c>
      <c r="AD100" s="123">
        <v>0</v>
      </c>
      <c r="AE100" s="123">
        <v>219.04469075989707</v>
      </c>
      <c r="AF100" s="123">
        <v>219.04469075989707</v>
      </c>
      <c r="AG100" s="123">
        <v>140.09322600000002</v>
      </c>
      <c r="AH100" s="123">
        <v>219.04469075989707</v>
      </c>
      <c r="AI100" s="123">
        <v>219.04469075989707</v>
      </c>
      <c r="AJ100" s="123">
        <v>219.04469075989707</v>
      </c>
      <c r="AK100" s="123">
        <v>219.04469075989707</v>
      </c>
      <c r="AL100" s="123">
        <v>14.472175917329645</v>
      </c>
      <c r="AM100" s="123">
        <v>198.95146475989705</v>
      </c>
      <c r="AN100" s="123">
        <v>78.95146475989705</v>
      </c>
      <c r="AO100" s="123">
        <v>219.04469075989707</v>
      </c>
      <c r="AP100" s="123">
        <v>140.09322600000002</v>
      </c>
      <c r="AQ100" s="123">
        <v>219.04469075989707</v>
      </c>
      <c r="AR100" s="123">
        <v>219.04469075989707</v>
      </c>
      <c r="AS100" s="123">
        <v>178.64285395331052</v>
      </c>
      <c r="AT100" s="123">
        <v>140.09322600000002</v>
      </c>
      <c r="AU100" s="123">
        <v>178.85233944906057</v>
      </c>
      <c r="AV100" s="123">
        <v>199.04922516925757</v>
      </c>
      <c r="AW100" s="123">
        <v>179.05891453222691</v>
      </c>
      <c r="AX100" s="123">
        <v>59.161068937357356</v>
      </c>
      <c r="AY100" s="123">
        <v>154.90883747759892</v>
      </c>
    </row>
    <row r="101" spans="1:52" x14ac:dyDescent="0.2">
      <c r="A101" s="126"/>
      <c r="B101" s="135">
        <v>2</v>
      </c>
      <c r="C101" s="123">
        <v>780.95342049474073</v>
      </c>
      <c r="D101" s="123">
        <v>552</v>
      </c>
      <c r="E101" s="123">
        <v>2683.6371630387284</v>
      </c>
      <c r="F101" s="123">
        <v>204.58058400000002</v>
      </c>
      <c r="G101" s="123">
        <v>78.95146475989705</v>
      </c>
      <c r="H101" s="123">
        <v>219.04469075989707</v>
      </c>
      <c r="I101" s="123">
        <v>0</v>
      </c>
      <c r="J101" s="123">
        <v>20.093226000000016</v>
      </c>
      <c r="K101" s="123">
        <v>140.09322600000002</v>
      </c>
      <c r="L101" s="123">
        <v>0</v>
      </c>
      <c r="M101" s="123">
        <v>140.09322600000002</v>
      </c>
      <c r="N101" s="123">
        <v>2.8421709430404007E-14</v>
      </c>
      <c r="O101" s="123">
        <v>0</v>
      </c>
      <c r="P101" s="123">
        <v>0</v>
      </c>
      <c r="Q101" s="123">
        <v>0</v>
      </c>
      <c r="R101" s="123">
        <v>99.044690759897065</v>
      </c>
      <c r="S101" s="123">
        <v>0</v>
      </c>
      <c r="T101" s="123">
        <v>0</v>
      </c>
      <c r="U101" s="123">
        <v>0</v>
      </c>
      <c r="V101" s="123">
        <v>0</v>
      </c>
      <c r="W101" s="123">
        <v>2.8421709430404007E-14</v>
      </c>
      <c r="X101" s="123">
        <v>0</v>
      </c>
      <c r="Y101" s="123">
        <v>140.09322600000002</v>
      </c>
      <c r="Z101" s="123">
        <v>0</v>
      </c>
      <c r="AA101" s="123">
        <v>0</v>
      </c>
      <c r="AB101" s="123">
        <v>20.093226000000016</v>
      </c>
      <c r="AC101" s="123">
        <v>0</v>
      </c>
      <c r="AD101" s="123">
        <v>0</v>
      </c>
      <c r="AE101" s="123">
        <v>219.04469075989707</v>
      </c>
      <c r="AF101" s="123">
        <v>0</v>
      </c>
      <c r="AG101" s="123">
        <v>0</v>
      </c>
      <c r="AH101" s="123">
        <v>0</v>
      </c>
      <c r="AI101" s="123">
        <v>0</v>
      </c>
      <c r="AJ101" s="123">
        <v>0</v>
      </c>
      <c r="AK101" s="123">
        <v>0</v>
      </c>
      <c r="AL101" s="123">
        <v>0</v>
      </c>
      <c r="AM101" s="123">
        <v>140.09322600000002</v>
      </c>
      <c r="AN101" s="123">
        <v>0</v>
      </c>
      <c r="AO101" s="123">
        <v>140.09322600000002</v>
      </c>
      <c r="AP101" s="123">
        <v>2.8421709430404007E-14</v>
      </c>
      <c r="AQ101" s="123">
        <v>78.95146475989705</v>
      </c>
      <c r="AR101" s="123">
        <v>0</v>
      </c>
      <c r="AS101" s="123">
        <v>0</v>
      </c>
      <c r="AT101" s="123">
        <v>0</v>
      </c>
      <c r="AU101" s="123">
        <v>0</v>
      </c>
      <c r="AV101" s="123">
        <v>20.093226000000016</v>
      </c>
      <c r="AW101" s="123">
        <v>0</v>
      </c>
      <c r="AX101" s="123">
        <v>0</v>
      </c>
      <c r="AY101" s="123">
        <v>140.09322600000002</v>
      </c>
    </row>
    <row r="102" spans="1:52" x14ac:dyDescent="0.2">
      <c r="A102" s="126"/>
      <c r="B102" s="136">
        <v>3</v>
      </c>
      <c r="C102" s="123">
        <v>0</v>
      </c>
      <c r="D102" s="123">
        <v>4.539353859286166</v>
      </c>
      <c r="E102" s="123">
        <v>0</v>
      </c>
      <c r="F102" s="123">
        <v>2006.6371630387284</v>
      </c>
      <c r="G102" s="123">
        <v>204.58058400000002</v>
      </c>
      <c r="H102" s="123">
        <v>78.95146475989705</v>
      </c>
      <c r="I102" s="123">
        <v>0</v>
      </c>
      <c r="J102" s="123">
        <v>0</v>
      </c>
      <c r="K102" s="123">
        <v>0</v>
      </c>
      <c r="L102" s="123">
        <v>0</v>
      </c>
      <c r="M102" s="123">
        <v>0</v>
      </c>
      <c r="N102" s="123">
        <v>0</v>
      </c>
      <c r="O102" s="123">
        <v>0</v>
      </c>
      <c r="P102" s="123">
        <v>0</v>
      </c>
      <c r="Q102" s="123">
        <v>0</v>
      </c>
      <c r="R102" s="123">
        <v>0</v>
      </c>
      <c r="S102" s="123">
        <v>0</v>
      </c>
      <c r="T102" s="123">
        <v>0</v>
      </c>
      <c r="U102" s="123">
        <v>0</v>
      </c>
      <c r="V102" s="123">
        <v>140.09322600000002</v>
      </c>
      <c r="W102" s="123">
        <v>0</v>
      </c>
      <c r="X102" s="123">
        <v>0</v>
      </c>
      <c r="Y102" s="123">
        <v>20.093226000000016</v>
      </c>
      <c r="Z102" s="123">
        <v>0</v>
      </c>
      <c r="AA102" s="123">
        <v>20.093226000000016</v>
      </c>
      <c r="AB102" s="123">
        <v>0</v>
      </c>
      <c r="AC102" s="123">
        <v>0</v>
      </c>
      <c r="AD102" s="123">
        <v>140.09322600000002</v>
      </c>
      <c r="AE102" s="123">
        <v>0</v>
      </c>
      <c r="AF102" s="123">
        <v>0</v>
      </c>
      <c r="AG102" s="123">
        <v>0</v>
      </c>
      <c r="AH102" s="123">
        <v>0</v>
      </c>
      <c r="AI102" s="123">
        <v>0</v>
      </c>
      <c r="AJ102" s="123">
        <v>0</v>
      </c>
      <c r="AK102" s="123">
        <v>0</v>
      </c>
      <c r="AL102" s="123">
        <v>0</v>
      </c>
      <c r="AM102" s="123">
        <v>0</v>
      </c>
      <c r="AN102" s="123">
        <v>0</v>
      </c>
      <c r="AO102" s="123">
        <v>20.093226000000016</v>
      </c>
      <c r="AP102" s="123">
        <v>0</v>
      </c>
      <c r="AQ102" s="123">
        <v>0</v>
      </c>
      <c r="AR102" s="123">
        <v>0</v>
      </c>
      <c r="AS102" s="123">
        <v>0</v>
      </c>
      <c r="AT102" s="123">
        <v>0</v>
      </c>
      <c r="AU102" s="123">
        <v>20.093226000000016</v>
      </c>
      <c r="AV102" s="123">
        <v>58.747952095623923</v>
      </c>
      <c r="AW102" s="123">
        <v>0</v>
      </c>
      <c r="AX102" s="123">
        <v>0</v>
      </c>
      <c r="AY102" s="123">
        <v>20.093226000000016</v>
      </c>
    </row>
    <row r="103" spans="1:52" x14ac:dyDescent="0.2">
      <c r="A103" s="126"/>
      <c r="B103" s="136">
        <v>4</v>
      </c>
      <c r="C103" s="123">
        <v>0</v>
      </c>
      <c r="D103" s="123">
        <v>0</v>
      </c>
      <c r="E103" s="123">
        <v>0</v>
      </c>
      <c r="F103" s="123">
        <v>0</v>
      </c>
      <c r="G103" s="123">
        <v>1110.6371630387284</v>
      </c>
      <c r="H103" s="123">
        <v>204.58058400000002</v>
      </c>
      <c r="I103" s="123">
        <v>0</v>
      </c>
      <c r="J103" s="123">
        <v>0</v>
      </c>
      <c r="K103" s="123">
        <v>0</v>
      </c>
      <c r="L103" s="123">
        <v>0</v>
      </c>
      <c r="M103" s="123">
        <v>0</v>
      </c>
      <c r="N103" s="123">
        <v>0</v>
      </c>
      <c r="O103" s="123">
        <v>0</v>
      </c>
      <c r="P103" s="123">
        <v>0</v>
      </c>
      <c r="Q103" s="123">
        <v>0</v>
      </c>
      <c r="R103" s="123">
        <v>0</v>
      </c>
      <c r="S103" s="123">
        <v>0</v>
      </c>
      <c r="T103" s="123">
        <v>0</v>
      </c>
      <c r="U103" s="123">
        <v>0</v>
      </c>
      <c r="V103" s="123">
        <v>0</v>
      </c>
      <c r="W103" s="123">
        <v>0</v>
      </c>
      <c r="X103" s="123">
        <v>0</v>
      </c>
      <c r="Y103" s="123">
        <v>0</v>
      </c>
      <c r="Z103" s="123">
        <v>0</v>
      </c>
      <c r="AA103" s="123">
        <v>0</v>
      </c>
      <c r="AB103" s="123">
        <v>0</v>
      </c>
      <c r="AC103" s="123">
        <v>0</v>
      </c>
      <c r="AD103" s="123">
        <v>0</v>
      </c>
      <c r="AE103" s="123">
        <v>0</v>
      </c>
      <c r="AF103" s="123">
        <v>0</v>
      </c>
      <c r="AG103" s="123">
        <v>0</v>
      </c>
      <c r="AH103" s="123">
        <v>0</v>
      </c>
      <c r="AI103" s="123">
        <v>0</v>
      </c>
      <c r="AJ103" s="123">
        <v>0</v>
      </c>
      <c r="AK103" s="123">
        <v>0</v>
      </c>
      <c r="AL103" s="123">
        <v>0</v>
      </c>
      <c r="AM103" s="123">
        <v>0</v>
      </c>
      <c r="AN103" s="123">
        <v>0</v>
      </c>
      <c r="AO103" s="123">
        <v>0</v>
      </c>
      <c r="AP103" s="123">
        <v>0</v>
      </c>
      <c r="AQ103" s="123">
        <v>0</v>
      </c>
      <c r="AR103" s="123">
        <v>0</v>
      </c>
      <c r="AS103" s="123">
        <v>0</v>
      </c>
      <c r="AT103" s="123">
        <v>0</v>
      </c>
      <c r="AU103" s="123">
        <v>0</v>
      </c>
      <c r="AV103" s="123">
        <v>0</v>
      </c>
      <c r="AW103" s="123">
        <v>0</v>
      </c>
      <c r="AX103" s="123">
        <v>0</v>
      </c>
      <c r="AY103" s="123">
        <v>0</v>
      </c>
    </row>
    <row r="104" spans="1:52" x14ac:dyDescent="0.2">
      <c r="A104" s="126"/>
      <c r="B104" s="143">
        <v>5</v>
      </c>
      <c r="C104" s="123">
        <v>0</v>
      </c>
      <c r="D104" s="123">
        <v>0</v>
      </c>
      <c r="E104" s="123">
        <v>0</v>
      </c>
      <c r="F104" s="123">
        <v>0</v>
      </c>
      <c r="G104" s="123">
        <v>0</v>
      </c>
      <c r="H104" s="123">
        <v>90.79525048520658</v>
      </c>
      <c r="I104" s="123">
        <v>0</v>
      </c>
      <c r="J104" s="123">
        <v>0</v>
      </c>
      <c r="K104" s="123">
        <v>0</v>
      </c>
      <c r="L104" s="123">
        <v>0</v>
      </c>
      <c r="M104" s="123">
        <v>0</v>
      </c>
      <c r="N104" s="123">
        <v>0</v>
      </c>
      <c r="O104" s="123">
        <v>0</v>
      </c>
      <c r="P104" s="123">
        <v>0</v>
      </c>
      <c r="Q104" s="123">
        <v>0</v>
      </c>
      <c r="R104" s="123">
        <v>0</v>
      </c>
      <c r="S104" s="123">
        <v>0</v>
      </c>
      <c r="T104" s="123">
        <v>0</v>
      </c>
      <c r="U104" s="123">
        <v>0</v>
      </c>
      <c r="V104" s="123">
        <v>0</v>
      </c>
      <c r="W104" s="123">
        <v>0</v>
      </c>
      <c r="X104" s="123">
        <v>0</v>
      </c>
      <c r="Y104" s="123">
        <v>0</v>
      </c>
      <c r="Z104" s="123">
        <v>0</v>
      </c>
      <c r="AA104" s="123">
        <v>0</v>
      </c>
      <c r="AB104" s="123">
        <v>0</v>
      </c>
      <c r="AC104" s="123">
        <v>0</v>
      </c>
      <c r="AD104" s="123">
        <v>0</v>
      </c>
      <c r="AE104" s="123">
        <v>0</v>
      </c>
      <c r="AF104" s="123">
        <v>0</v>
      </c>
      <c r="AG104" s="123">
        <v>0</v>
      </c>
      <c r="AH104" s="123">
        <v>0</v>
      </c>
      <c r="AI104" s="123">
        <v>0</v>
      </c>
      <c r="AJ104" s="123">
        <v>0</v>
      </c>
      <c r="AK104" s="123">
        <v>0</v>
      </c>
      <c r="AL104" s="123">
        <v>0</v>
      </c>
      <c r="AM104" s="123">
        <v>0</v>
      </c>
      <c r="AN104" s="123">
        <v>0</v>
      </c>
      <c r="AO104" s="123">
        <v>0</v>
      </c>
      <c r="AP104" s="123">
        <v>0</v>
      </c>
      <c r="AQ104" s="123">
        <v>0</v>
      </c>
      <c r="AR104" s="123">
        <v>0</v>
      </c>
      <c r="AS104" s="123">
        <v>0</v>
      </c>
      <c r="AT104" s="123">
        <v>0</v>
      </c>
      <c r="AU104" s="123">
        <v>0</v>
      </c>
      <c r="AV104" s="123">
        <v>0</v>
      </c>
      <c r="AW104" s="123">
        <v>0</v>
      </c>
      <c r="AX104" s="123">
        <v>0</v>
      </c>
      <c r="AY104" s="123">
        <v>0</v>
      </c>
    </row>
    <row r="105" spans="1:52" x14ac:dyDescent="0.2">
      <c r="A105" s="126"/>
      <c r="B105" s="143">
        <v>6</v>
      </c>
      <c r="C105" s="123">
        <v>0</v>
      </c>
      <c r="D105" s="123">
        <v>0</v>
      </c>
      <c r="E105" s="123">
        <v>0</v>
      </c>
      <c r="F105" s="123">
        <v>0</v>
      </c>
      <c r="G105" s="123">
        <v>0</v>
      </c>
      <c r="H105" s="123">
        <v>0</v>
      </c>
      <c r="I105" s="123">
        <v>0</v>
      </c>
      <c r="J105" s="123">
        <v>0</v>
      </c>
      <c r="K105" s="123">
        <v>0</v>
      </c>
      <c r="L105" s="123">
        <v>0</v>
      </c>
      <c r="M105" s="123">
        <v>0</v>
      </c>
      <c r="N105" s="123">
        <v>0</v>
      </c>
      <c r="O105" s="123">
        <v>0</v>
      </c>
      <c r="P105" s="123">
        <v>0</v>
      </c>
      <c r="Q105" s="123">
        <v>0</v>
      </c>
      <c r="R105" s="123">
        <v>0</v>
      </c>
      <c r="S105" s="123">
        <v>0</v>
      </c>
      <c r="T105" s="123">
        <v>0</v>
      </c>
      <c r="U105" s="123">
        <v>0</v>
      </c>
      <c r="V105" s="123">
        <v>0</v>
      </c>
      <c r="W105" s="123">
        <v>0</v>
      </c>
      <c r="X105" s="123">
        <v>0</v>
      </c>
      <c r="Y105" s="123">
        <v>0</v>
      </c>
      <c r="Z105" s="123">
        <v>0</v>
      </c>
      <c r="AA105" s="123">
        <v>0</v>
      </c>
      <c r="AB105" s="123">
        <v>0</v>
      </c>
      <c r="AC105" s="123">
        <v>0</v>
      </c>
      <c r="AD105" s="123">
        <v>0</v>
      </c>
      <c r="AE105" s="123">
        <v>0</v>
      </c>
      <c r="AF105" s="123">
        <v>0</v>
      </c>
      <c r="AG105" s="123">
        <v>0</v>
      </c>
      <c r="AH105" s="123">
        <v>0</v>
      </c>
      <c r="AI105" s="123">
        <v>0</v>
      </c>
      <c r="AJ105" s="123">
        <v>0</v>
      </c>
      <c r="AK105" s="123">
        <v>0</v>
      </c>
      <c r="AL105" s="123">
        <v>0</v>
      </c>
      <c r="AM105" s="123">
        <v>0</v>
      </c>
      <c r="AN105" s="123">
        <v>0</v>
      </c>
      <c r="AO105" s="123">
        <v>0</v>
      </c>
      <c r="AP105" s="123">
        <v>0</v>
      </c>
      <c r="AQ105" s="123">
        <v>0</v>
      </c>
      <c r="AR105" s="123">
        <v>0</v>
      </c>
      <c r="AS105" s="123">
        <v>0</v>
      </c>
      <c r="AT105" s="123">
        <v>0</v>
      </c>
      <c r="AU105" s="123">
        <v>0</v>
      </c>
      <c r="AV105" s="123">
        <v>0</v>
      </c>
      <c r="AW105" s="123">
        <v>0</v>
      </c>
      <c r="AX105" s="123">
        <v>0</v>
      </c>
      <c r="AY105" s="123">
        <v>0</v>
      </c>
    </row>
    <row r="106" spans="1:52" x14ac:dyDescent="0.2">
      <c r="A106" s="126"/>
      <c r="B106" s="146">
        <v>7</v>
      </c>
      <c r="C106" s="123">
        <v>0</v>
      </c>
      <c r="D106" s="123">
        <v>0</v>
      </c>
      <c r="E106" s="123">
        <v>0</v>
      </c>
      <c r="F106" s="123">
        <v>0</v>
      </c>
      <c r="G106" s="123">
        <v>0</v>
      </c>
      <c r="H106" s="123">
        <v>0</v>
      </c>
      <c r="I106" s="123">
        <v>0</v>
      </c>
      <c r="J106" s="123">
        <v>0</v>
      </c>
      <c r="K106" s="123">
        <v>0</v>
      </c>
      <c r="L106" s="123">
        <v>0</v>
      </c>
      <c r="M106" s="123">
        <v>0</v>
      </c>
      <c r="N106" s="123">
        <v>0</v>
      </c>
      <c r="O106" s="123">
        <v>0</v>
      </c>
      <c r="P106" s="123">
        <v>0</v>
      </c>
      <c r="Q106" s="123">
        <v>0</v>
      </c>
      <c r="R106" s="123">
        <v>0</v>
      </c>
      <c r="S106" s="123">
        <v>0</v>
      </c>
      <c r="T106" s="123">
        <v>0</v>
      </c>
      <c r="U106" s="123">
        <v>0</v>
      </c>
      <c r="V106" s="123">
        <v>0</v>
      </c>
      <c r="W106" s="123">
        <v>0</v>
      </c>
      <c r="X106" s="123">
        <v>0</v>
      </c>
      <c r="Y106" s="123">
        <v>0</v>
      </c>
      <c r="Z106" s="123">
        <v>0</v>
      </c>
      <c r="AA106" s="123">
        <v>0</v>
      </c>
      <c r="AB106" s="123">
        <v>0</v>
      </c>
      <c r="AC106" s="123">
        <v>0</v>
      </c>
      <c r="AD106" s="123">
        <v>0</v>
      </c>
      <c r="AE106" s="123">
        <v>0</v>
      </c>
      <c r="AF106" s="123">
        <v>0</v>
      </c>
      <c r="AG106" s="123">
        <v>0</v>
      </c>
      <c r="AH106" s="123">
        <v>0</v>
      </c>
      <c r="AI106" s="123">
        <v>0</v>
      </c>
      <c r="AJ106" s="123">
        <v>0</v>
      </c>
      <c r="AK106" s="123">
        <v>0</v>
      </c>
      <c r="AL106" s="123">
        <v>0</v>
      </c>
      <c r="AM106" s="123">
        <v>0</v>
      </c>
      <c r="AN106" s="123">
        <v>0</v>
      </c>
      <c r="AO106" s="123">
        <v>0</v>
      </c>
      <c r="AP106" s="123">
        <v>0</v>
      </c>
      <c r="AQ106" s="123">
        <v>0</v>
      </c>
      <c r="AR106" s="123">
        <v>0</v>
      </c>
      <c r="AS106" s="123">
        <v>0</v>
      </c>
      <c r="AT106" s="123">
        <v>0</v>
      </c>
      <c r="AU106" s="123">
        <v>0</v>
      </c>
      <c r="AV106" s="123">
        <v>0</v>
      </c>
      <c r="AW106" s="123">
        <v>0</v>
      </c>
      <c r="AX106" s="123">
        <v>0</v>
      </c>
      <c r="AY106" s="123">
        <v>0</v>
      </c>
    </row>
    <row r="107" spans="1:52" x14ac:dyDescent="0.2">
      <c r="A107" s="126"/>
      <c r="B107" s="146">
        <v>8</v>
      </c>
      <c r="C107" s="123">
        <v>0</v>
      </c>
      <c r="D107" s="123">
        <v>0</v>
      </c>
      <c r="E107" s="123">
        <v>0</v>
      </c>
      <c r="F107" s="123">
        <v>0</v>
      </c>
      <c r="G107" s="123">
        <v>0</v>
      </c>
      <c r="H107" s="123">
        <v>0</v>
      </c>
      <c r="I107" s="123">
        <v>0</v>
      </c>
      <c r="J107" s="123">
        <v>0</v>
      </c>
      <c r="K107" s="123">
        <v>0</v>
      </c>
      <c r="L107" s="123">
        <v>0</v>
      </c>
      <c r="M107" s="123">
        <v>0</v>
      </c>
      <c r="N107" s="123">
        <v>0</v>
      </c>
      <c r="O107" s="123">
        <v>0</v>
      </c>
      <c r="P107" s="123">
        <v>0</v>
      </c>
      <c r="Q107" s="123">
        <v>0</v>
      </c>
      <c r="R107" s="123">
        <v>0</v>
      </c>
      <c r="S107" s="123">
        <v>0</v>
      </c>
      <c r="T107" s="123">
        <v>0</v>
      </c>
      <c r="U107" s="123">
        <v>0</v>
      </c>
      <c r="V107" s="123">
        <v>0</v>
      </c>
      <c r="W107" s="123">
        <v>0</v>
      </c>
      <c r="X107" s="123">
        <v>0</v>
      </c>
      <c r="Y107" s="123">
        <v>0</v>
      </c>
      <c r="Z107" s="123">
        <v>0</v>
      </c>
      <c r="AA107" s="123">
        <v>0</v>
      </c>
      <c r="AB107" s="123">
        <v>0</v>
      </c>
      <c r="AC107" s="123">
        <v>0</v>
      </c>
      <c r="AD107" s="123">
        <v>0</v>
      </c>
      <c r="AE107" s="123">
        <v>0</v>
      </c>
      <c r="AF107" s="123">
        <v>0</v>
      </c>
      <c r="AG107" s="123">
        <v>0</v>
      </c>
      <c r="AH107" s="123">
        <v>0</v>
      </c>
      <c r="AI107" s="123">
        <v>0</v>
      </c>
      <c r="AJ107" s="123">
        <v>0</v>
      </c>
      <c r="AK107" s="123">
        <v>0</v>
      </c>
      <c r="AL107" s="123">
        <v>0</v>
      </c>
      <c r="AM107" s="123">
        <v>0</v>
      </c>
      <c r="AN107" s="123">
        <v>0</v>
      </c>
      <c r="AO107" s="123">
        <v>0</v>
      </c>
      <c r="AP107" s="123">
        <v>0</v>
      </c>
      <c r="AQ107" s="123">
        <v>0</v>
      </c>
      <c r="AR107" s="123">
        <v>0</v>
      </c>
      <c r="AS107" s="123">
        <v>0</v>
      </c>
      <c r="AT107" s="123">
        <v>0</v>
      </c>
      <c r="AU107" s="123">
        <v>0</v>
      </c>
      <c r="AV107" s="123">
        <v>0</v>
      </c>
      <c r="AW107" s="123">
        <v>0</v>
      </c>
      <c r="AX107" s="123">
        <v>0</v>
      </c>
      <c r="AY107" s="123">
        <v>0</v>
      </c>
    </row>
    <row r="108" spans="1:52" x14ac:dyDescent="0.2">
      <c r="A108" s="144"/>
      <c r="B108" s="148" t="s">
        <v>296</v>
      </c>
      <c r="C108" s="130">
        <v>0</v>
      </c>
      <c r="D108" s="141">
        <v>0</v>
      </c>
      <c r="E108" s="141">
        <v>0</v>
      </c>
      <c r="F108" s="141">
        <v>0</v>
      </c>
      <c r="G108" s="141">
        <v>0</v>
      </c>
      <c r="H108" s="141">
        <v>0</v>
      </c>
      <c r="I108" s="141">
        <v>0</v>
      </c>
      <c r="J108" s="141">
        <v>0</v>
      </c>
      <c r="K108" s="141">
        <v>0</v>
      </c>
      <c r="L108" s="141">
        <v>0</v>
      </c>
      <c r="M108" s="141">
        <v>0</v>
      </c>
      <c r="N108" s="141">
        <v>0</v>
      </c>
      <c r="O108" s="141">
        <v>0</v>
      </c>
      <c r="P108" s="141">
        <v>0</v>
      </c>
      <c r="Q108" s="141">
        <v>0</v>
      </c>
      <c r="R108" s="141">
        <v>0</v>
      </c>
      <c r="S108" s="141">
        <v>0</v>
      </c>
      <c r="T108" s="141">
        <v>0</v>
      </c>
      <c r="U108" s="141">
        <v>0</v>
      </c>
      <c r="V108" s="141">
        <v>0</v>
      </c>
      <c r="W108" s="141">
        <v>0</v>
      </c>
      <c r="X108" s="141">
        <v>0</v>
      </c>
      <c r="Y108" s="141">
        <v>0</v>
      </c>
      <c r="Z108" s="141">
        <v>0</v>
      </c>
      <c r="AA108" s="141">
        <v>0</v>
      </c>
      <c r="AB108" s="141">
        <v>0</v>
      </c>
      <c r="AC108" s="141">
        <v>0</v>
      </c>
      <c r="AD108" s="141">
        <v>0</v>
      </c>
      <c r="AE108" s="141">
        <v>0</v>
      </c>
      <c r="AF108" s="141">
        <v>0</v>
      </c>
      <c r="AG108" s="141">
        <v>0</v>
      </c>
      <c r="AH108" s="141">
        <v>0</v>
      </c>
      <c r="AI108" s="141">
        <v>0</v>
      </c>
      <c r="AJ108" s="141">
        <v>0</v>
      </c>
      <c r="AK108" s="141">
        <v>0</v>
      </c>
      <c r="AL108" s="141">
        <v>0</v>
      </c>
      <c r="AM108" s="141">
        <v>0</v>
      </c>
      <c r="AN108" s="141">
        <v>0</v>
      </c>
      <c r="AO108" s="141">
        <v>0</v>
      </c>
      <c r="AP108" s="141">
        <v>0</v>
      </c>
      <c r="AQ108" s="141">
        <v>0</v>
      </c>
      <c r="AR108" s="141">
        <v>0</v>
      </c>
      <c r="AS108" s="141">
        <v>0</v>
      </c>
      <c r="AT108" s="141">
        <v>0</v>
      </c>
      <c r="AU108" s="141">
        <v>0</v>
      </c>
      <c r="AV108" s="141">
        <v>0</v>
      </c>
      <c r="AW108" s="141">
        <v>0</v>
      </c>
      <c r="AX108" s="141">
        <v>0</v>
      </c>
      <c r="AY108" s="141">
        <v>0</v>
      </c>
      <c r="AZ108" s="124">
        <f>SUM($D108:$AY108)</f>
        <v>0</v>
      </c>
    </row>
    <row r="109" spans="1:52" x14ac:dyDescent="0.2">
      <c r="A109" s="147" t="s">
        <v>134</v>
      </c>
      <c r="B109" s="135">
        <v>1</v>
      </c>
      <c r="C109" s="123">
        <v>4506.9798634355875</v>
      </c>
      <c r="D109" s="123">
        <v>4518.4720438491331</v>
      </c>
      <c r="E109" s="123">
        <v>3195.3402279893835</v>
      </c>
      <c r="F109" s="123">
        <v>2387.0464219078922</v>
      </c>
      <c r="G109" s="123">
        <v>1871.2187043607032</v>
      </c>
      <c r="H109" s="123">
        <v>1512.4571911039291</v>
      </c>
      <c r="I109" s="123">
        <v>1293.5027797742916</v>
      </c>
      <c r="J109" s="123">
        <v>1111.6594402328146</v>
      </c>
      <c r="K109" s="123">
        <v>981.93285652729503</v>
      </c>
      <c r="L109" s="123">
        <v>888.22447970020187</v>
      </c>
      <c r="M109" s="123">
        <v>838.10391954188265</v>
      </c>
      <c r="N109" s="123">
        <v>826.36579736528358</v>
      </c>
      <c r="O109" s="123">
        <v>793.9796614845493</v>
      </c>
      <c r="P109" s="123">
        <v>755.67886178058018</v>
      </c>
      <c r="Q109" s="123">
        <v>731.37482193879578</v>
      </c>
      <c r="R109" s="123">
        <v>721.81334430257255</v>
      </c>
      <c r="S109" s="123">
        <v>737.85204936826517</v>
      </c>
      <c r="T109" s="123">
        <v>765.85538931424958</v>
      </c>
      <c r="U109" s="123">
        <v>749.08105477940626</v>
      </c>
      <c r="V109" s="123">
        <v>775.88080972516968</v>
      </c>
      <c r="W109" s="123">
        <v>776.6836812737638</v>
      </c>
      <c r="X109" s="123">
        <v>777.32943721352058</v>
      </c>
      <c r="Y109" s="123">
        <v>754.7770888612414</v>
      </c>
      <c r="Z109" s="123">
        <v>751.99328765810674</v>
      </c>
      <c r="AA109" s="123">
        <v>756.83537710101075</v>
      </c>
      <c r="AB109" s="123">
        <v>738.29843315133974</v>
      </c>
      <c r="AC109" s="123">
        <v>757.98175079494706</v>
      </c>
      <c r="AD109" s="123">
        <v>764.39108331208945</v>
      </c>
      <c r="AE109" s="123">
        <v>726.10692005876831</v>
      </c>
      <c r="AF109" s="123">
        <v>755.11618996881009</v>
      </c>
      <c r="AG109" s="123">
        <v>733.13198560710123</v>
      </c>
      <c r="AH109" s="123">
        <v>766.47080836932571</v>
      </c>
      <c r="AI109" s="123">
        <v>742.29512016174306</v>
      </c>
      <c r="AJ109" s="123">
        <v>740.29204395547094</v>
      </c>
      <c r="AK109" s="123">
        <v>742.26140702190617</v>
      </c>
      <c r="AL109" s="123">
        <v>718.58235346382048</v>
      </c>
      <c r="AM109" s="123">
        <v>731.64863997763064</v>
      </c>
      <c r="AN109" s="123">
        <v>750.68428970196555</v>
      </c>
      <c r="AO109" s="123">
        <v>724.19335475497996</v>
      </c>
      <c r="AP109" s="123">
        <v>728.26303996779848</v>
      </c>
      <c r="AQ109" s="123">
        <v>729.41395771538021</v>
      </c>
      <c r="AR109" s="123">
        <v>722.19606304951924</v>
      </c>
      <c r="AS109" s="123">
        <v>702.5088741161901</v>
      </c>
      <c r="AT109" s="123">
        <v>702.53984507808036</v>
      </c>
      <c r="AU109" s="123">
        <v>689.94112323920945</v>
      </c>
      <c r="AV109" s="123">
        <v>711.77627800812115</v>
      </c>
      <c r="AW109" s="123">
        <v>713.02424584331277</v>
      </c>
      <c r="AX109" s="123">
        <v>722.91145490082624</v>
      </c>
      <c r="AY109" s="123">
        <v>726.61990071835044</v>
      </c>
    </row>
    <row r="110" spans="1:52" x14ac:dyDescent="0.2">
      <c r="A110" s="126"/>
      <c r="B110" s="135">
        <v>2</v>
      </c>
      <c r="C110" s="123">
        <v>4521.5236866804953</v>
      </c>
      <c r="D110" s="123">
        <v>4506.9798634355875</v>
      </c>
      <c r="E110" s="123">
        <v>4518.4720438491331</v>
      </c>
      <c r="F110" s="123">
        <v>3195.3402279893835</v>
      </c>
      <c r="G110" s="123">
        <v>2387.0464219078922</v>
      </c>
      <c r="H110" s="123">
        <v>1871.2187043607032</v>
      </c>
      <c r="I110" s="123">
        <v>1512.4571911039291</v>
      </c>
      <c r="J110" s="123">
        <v>1293.5027797742916</v>
      </c>
      <c r="K110" s="123">
        <v>1111.6594402328146</v>
      </c>
      <c r="L110" s="123">
        <v>981.93285652729503</v>
      </c>
      <c r="M110" s="123">
        <v>888.22447970020187</v>
      </c>
      <c r="N110" s="123">
        <v>838.10391954188265</v>
      </c>
      <c r="O110" s="123">
        <v>826.36579736528358</v>
      </c>
      <c r="P110" s="123">
        <v>793.9796614845493</v>
      </c>
      <c r="Q110" s="123">
        <v>755.67886178058018</v>
      </c>
      <c r="R110" s="123">
        <v>731.37482193879578</v>
      </c>
      <c r="S110" s="123">
        <v>721.81334430257255</v>
      </c>
      <c r="T110" s="123">
        <v>737.85204936826517</v>
      </c>
      <c r="U110" s="123">
        <v>765.85538931424958</v>
      </c>
      <c r="V110" s="123">
        <v>749.08105477940626</v>
      </c>
      <c r="W110" s="123">
        <v>775.88080972516968</v>
      </c>
      <c r="X110" s="123">
        <v>776.6836812737638</v>
      </c>
      <c r="Y110" s="123">
        <v>777.32943721352058</v>
      </c>
      <c r="Z110" s="123">
        <v>754.7770888612414</v>
      </c>
      <c r="AA110" s="123">
        <v>751.99328765810674</v>
      </c>
      <c r="AB110" s="123">
        <v>756.83537710101075</v>
      </c>
      <c r="AC110" s="123">
        <v>738.29843315133974</v>
      </c>
      <c r="AD110" s="123">
        <v>757.98175079494706</v>
      </c>
      <c r="AE110" s="123">
        <v>764.39108331208945</v>
      </c>
      <c r="AF110" s="123">
        <v>726.10692005876831</v>
      </c>
      <c r="AG110" s="123">
        <v>755.11618996881009</v>
      </c>
      <c r="AH110" s="123">
        <v>733.13198560710123</v>
      </c>
      <c r="AI110" s="123">
        <v>766.47080836932571</v>
      </c>
      <c r="AJ110" s="123">
        <v>742.29512016174306</v>
      </c>
      <c r="AK110" s="123">
        <v>740.29204395547094</v>
      </c>
      <c r="AL110" s="123">
        <v>742.26140702190617</v>
      </c>
      <c r="AM110" s="123">
        <v>718.58235346382048</v>
      </c>
      <c r="AN110" s="123">
        <v>731.64863997763064</v>
      </c>
      <c r="AO110" s="123">
        <v>750.68428970196555</v>
      </c>
      <c r="AP110" s="123">
        <v>724.19335475497996</v>
      </c>
      <c r="AQ110" s="123">
        <v>728.26303996779848</v>
      </c>
      <c r="AR110" s="123">
        <v>729.41395771538021</v>
      </c>
      <c r="AS110" s="123">
        <v>722.19606304951924</v>
      </c>
      <c r="AT110" s="123">
        <v>702.5088741161901</v>
      </c>
      <c r="AU110" s="123">
        <v>702.53984507808036</v>
      </c>
      <c r="AV110" s="123">
        <v>689.94112323920945</v>
      </c>
      <c r="AW110" s="123">
        <v>711.77627800812115</v>
      </c>
      <c r="AX110" s="123">
        <v>713.02424584331277</v>
      </c>
      <c r="AY110" s="123">
        <v>722.91145490082624</v>
      </c>
    </row>
    <row r="111" spans="1:52" x14ac:dyDescent="0.2">
      <c r="A111" s="126"/>
      <c r="B111" s="135">
        <v>3</v>
      </c>
      <c r="C111" s="123">
        <v>4553.6919155725664</v>
      </c>
      <c r="D111" s="123">
        <v>4521.5236866804953</v>
      </c>
      <c r="E111" s="123">
        <v>4506.9798634355875</v>
      </c>
      <c r="F111" s="123">
        <v>4518.4720438491331</v>
      </c>
      <c r="G111" s="123">
        <v>3195.3402279893835</v>
      </c>
      <c r="H111" s="123">
        <v>2387.0464219078922</v>
      </c>
      <c r="I111" s="123">
        <v>1871.2187043607032</v>
      </c>
      <c r="J111" s="123">
        <v>1512.4571911039291</v>
      </c>
      <c r="K111" s="123">
        <v>1293.5027797742916</v>
      </c>
      <c r="L111" s="123">
        <v>1111.6594402328146</v>
      </c>
      <c r="M111" s="123">
        <v>981.93285652729503</v>
      </c>
      <c r="N111" s="123">
        <v>888.22447970020187</v>
      </c>
      <c r="O111" s="123">
        <v>838.10391954188265</v>
      </c>
      <c r="P111" s="123">
        <v>826.36579736528358</v>
      </c>
      <c r="Q111" s="123">
        <v>793.9796614845493</v>
      </c>
      <c r="R111" s="123">
        <v>755.67886178058018</v>
      </c>
      <c r="S111" s="123">
        <v>731.37482193879578</v>
      </c>
      <c r="T111" s="123">
        <v>721.81334430257255</v>
      </c>
      <c r="U111" s="123">
        <v>737.85204936826517</v>
      </c>
      <c r="V111" s="123">
        <v>765.85538931424958</v>
      </c>
      <c r="W111" s="123">
        <v>749.08105477940626</v>
      </c>
      <c r="X111" s="123">
        <v>775.88080972516968</v>
      </c>
      <c r="Y111" s="123">
        <v>776.6836812737638</v>
      </c>
      <c r="Z111" s="123">
        <v>777.32943721352058</v>
      </c>
      <c r="AA111" s="123">
        <v>754.7770888612414</v>
      </c>
      <c r="AB111" s="123">
        <v>751.99328765810674</v>
      </c>
      <c r="AC111" s="123">
        <v>756.83537710101075</v>
      </c>
      <c r="AD111" s="123">
        <v>738.29843315133974</v>
      </c>
      <c r="AE111" s="123">
        <v>757.98175079494706</v>
      </c>
      <c r="AF111" s="123">
        <v>764.39108331208945</v>
      </c>
      <c r="AG111" s="123">
        <v>726.10692005876831</v>
      </c>
      <c r="AH111" s="123">
        <v>755.11618996881009</v>
      </c>
      <c r="AI111" s="123">
        <v>733.13198560710123</v>
      </c>
      <c r="AJ111" s="123">
        <v>766.47080836932571</v>
      </c>
      <c r="AK111" s="123">
        <v>742.29512016174306</v>
      </c>
      <c r="AL111" s="123">
        <v>740.29204395547094</v>
      </c>
      <c r="AM111" s="123">
        <v>742.26140702190617</v>
      </c>
      <c r="AN111" s="123">
        <v>718.58235346382048</v>
      </c>
      <c r="AO111" s="123">
        <v>731.64863997763064</v>
      </c>
      <c r="AP111" s="123">
        <v>750.68428970196555</v>
      </c>
      <c r="AQ111" s="123">
        <v>724.19335475497996</v>
      </c>
      <c r="AR111" s="123">
        <v>728.26303996779848</v>
      </c>
      <c r="AS111" s="123">
        <v>729.41395771538021</v>
      </c>
      <c r="AT111" s="123">
        <v>722.19606304951924</v>
      </c>
      <c r="AU111" s="123">
        <v>702.5088741161901</v>
      </c>
      <c r="AV111" s="123">
        <v>702.53984507808036</v>
      </c>
      <c r="AW111" s="123">
        <v>689.94112323920945</v>
      </c>
      <c r="AX111" s="123">
        <v>711.77627800812115</v>
      </c>
      <c r="AY111" s="123">
        <v>713.02424584331277</v>
      </c>
    </row>
    <row r="112" spans="1:52" x14ac:dyDescent="0.2">
      <c r="A112" s="126"/>
      <c r="B112" s="136">
        <v>4</v>
      </c>
      <c r="C112" s="123">
        <v>4516.0287072297488</v>
      </c>
      <c r="D112" s="123">
        <v>4553.6919155725664</v>
      </c>
      <c r="E112" s="123">
        <v>4521.5236866804953</v>
      </c>
      <c r="F112" s="123">
        <v>4506.9798634355875</v>
      </c>
      <c r="G112" s="123">
        <v>4518.4720438491331</v>
      </c>
      <c r="H112" s="123">
        <v>3195.3402279893835</v>
      </c>
      <c r="I112" s="123">
        <v>2387.0464219078922</v>
      </c>
      <c r="J112" s="123">
        <v>1871.2187043607032</v>
      </c>
      <c r="K112" s="123">
        <v>1512.4571911039291</v>
      </c>
      <c r="L112" s="123">
        <v>1293.5027797742916</v>
      </c>
      <c r="M112" s="123">
        <v>1111.6594402328146</v>
      </c>
      <c r="N112" s="123">
        <v>981.93285652729503</v>
      </c>
      <c r="O112" s="123">
        <v>888.22447970020187</v>
      </c>
      <c r="P112" s="123">
        <v>838.10391954188265</v>
      </c>
      <c r="Q112" s="123">
        <v>826.36579736528358</v>
      </c>
      <c r="R112" s="123">
        <v>793.9796614845493</v>
      </c>
      <c r="S112" s="123">
        <v>755.67886178058018</v>
      </c>
      <c r="T112" s="123">
        <v>731.37482193879578</v>
      </c>
      <c r="U112" s="123">
        <v>721.81334430257255</v>
      </c>
      <c r="V112" s="123">
        <v>737.85204936826517</v>
      </c>
      <c r="W112" s="123">
        <v>765.85538931424958</v>
      </c>
      <c r="X112" s="123">
        <v>749.08105477940626</v>
      </c>
      <c r="Y112" s="123">
        <v>775.88080972516968</v>
      </c>
      <c r="Z112" s="123">
        <v>776.6836812737638</v>
      </c>
      <c r="AA112" s="123">
        <v>777.32943721352058</v>
      </c>
      <c r="AB112" s="123">
        <v>754.7770888612414</v>
      </c>
      <c r="AC112" s="123">
        <v>751.99328765810674</v>
      </c>
      <c r="AD112" s="123">
        <v>756.83537710101075</v>
      </c>
      <c r="AE112" s="123">
        <v>738.29843315133974</v>
      </c>
      <c r="AF112" s="123">
        <v>757.98175079494706</v>
      </c>
      <c r="AG112" s="123">
        <v>764.39108331208945</v>
      </c>
      <c r="AH112" s="123">
        <v>726.10692005876831</v>
      </c>
      <c r="AI112" s="123">
        <v>755.11618996881009</v>
      </c>
      <c r="AJ112" s="123">
        <v>733.13198560710123</v>
      </c>
      <c r="AK112" s="123">
        <v>766.47080836932571</v>
      </c>
      <c r="AL112" s="123">
        <v>742.29512016174306</v>
      </c>
      <c r="AM112" s="123">
        <v>740.29204395547094</v>
      </c>
      <c r="AN112" s="123">
        <v>742.26140702190617</v>
      </c>
      <c r="AO112" s="123">
        <v>718.58235346382048</v>
      </c>
      <c r="AP112" s="123">
        <v>731.64863997763064</v>
      </c>
      <c r="AQ112" s="123">
        <v>750.68428970196555</v>
      </c>
      <c r="AR112" s="123">
        <v>724.19335475497996</v>
      </c>
      <c r="AS112" s="123">
        <v>728.26303996779848</v>
      </c>
      <c r="AT112" s="123">
        <v>729.41395771538021</v>
      </c>
      <c r="AU112" s="123">
        <v>722.19606304951924</v>
      </c>
      <c r="AV112" s="123">
        <v>702.5088741161901</v>
      </c>
      <c r="AW112" s="123">
        <v>702.53984507808036</v>
      </c>
      <c r="AX112" s="123">
        <v>689.94112323920945</v>
      </c>
      <c r="AY112" s="123">
        <v>711.77627800812115</v>
      </c>
    </row>
    <row r="113" spans="1:52" x14ac:dyDescent="0.2">
      <c r="A113" s="126"/>
      <c r="B113" s="136">
        <v>5</v>
      </c>
      <c r="C113" s="123">
        <v>4559.3560511254273</v>
      </c>
      <c r="D113" s="123">
        <v>4516.0287072297488</v>
      </c>
      <c r="E113" s="123">
        <v>4553.6919155725664</v>
      </c>
      <c r="F113" s="123">
        <v>4521.5236866804953</v>
      </c>
      <c r="G113" s="123">
        <v>4506.9798634355875</v>
      </c>
      <c r="H113" s="123">
        <v>4518.4720438491331</v>
      </c>
      <c r="I113" s="123">
        <v>3195.3402279893835</v>
      </c>
      <c r="J113" s="123">
        <v>2387.0464219078922</v>
      </c>
      <c r="K113" s="123">
        <v>1871.2187043607032</v>
      </c>
      <c r="L113" s="123">
        <v>1512.4571911039291</v>
      </c>
      <c r="M113" s="123">
        <v>1293.5027797742916</v>
      </c>
      <c r="N113" s="123">
        <v>1111.6594402328146</v>
      </c>
      <c r="O113" s="123">
        <v>981.93285652729503</v>
      </c>
      <c r="P113" s="123">
        <v>888.22447970020187</v>
      </c>
      <c r="Q113" s="123">
        <v>838.10391954188265</v>
      </c>
      <c r="R113" s="123">
        <v>826.36579736528358</v>
      </c>
      <c r="S113" s="123">
        <v>793.9796614845493</v>
      </c>
      <c r="T113" s="123">
        <v>755.67886178058018</v>
      </c>
      <c r="U113" s="123">
        <v>731.37482193879578</v>
      </c>
      <c r="V113" s="123">
        <v>721.81334430257255</v>
      </c>
      <c r="W113" s="123">
        <v>737.85204936826517</v>
      </c>
      <c r="X113" s="123">
        <v>765.85538931424958</v>
      </c>
      <c r="Y113" s="123">
        <v>749.08105477940626</v>
      </c>
      <c r="Z113" s="123">
        <v>775.88080972516968</v>
      </c>
      <c r="AA113" s="123">
        <v>776.6836812737638</v>
      </c>
      <c r="AB113" s="123">
        <v>777.32943721352058</v>
      </c>
      <c r="AC113" s="123">
        <v>754.7770888612414</v>
      </c>
      <c r="AD113" s="123">
        <v>751.99328765810674</v>
      </c>
      <c r="AE113" s="123">
        <v>756.83537710101075</v>
      </c>
      <c r="AF113" s="123">
        <v>738.29843315133974</v>
      </c>
      <c r="AG113" s="123">
        <v>757.98175079494706</v>
      </c>
      <c r="AH113" s="123">
        <v>764.39108331208945</v>
      </c>
      <c r="AI113" s="123">
        <v>726.10692005876831</v>
      </c>
      <c r="AJ113" s="123">
        <v>755.11618996881009</v>
      </c>
      <c r="AK113" s="123">
        <v>733.13198560710123</v>
      </c>
      <c r="AL113" s="123">
        <v>766.47080836932571</v>
      </c>
      <c r="AM113" s="123">
        <v>742.29512016174306</v>
      </c>
      <c r="AN113" s="123">
        <v>740.29204395547094</v>
      </c>
      <c r="AO113" s="123">
        <v>742.26140702190617</v>
      </c>
      <c r="AP113" s="123">
        <v>718.58235346382048</v>
      </c>
      <c r="AQ113" s="123">
        <v>731.64863997763064</v>
      </c>
      <c r="AR113" s="123">
        <v>750.68428970196555</v>
      </c>
      <c r="AS113" s="123">
        <v>724.19335475497996</v>
      </c>
      <c r="AT113" s="123">
        <v>728.26303996779848</v>
      </c>
      <c r="AU113" s="123">
        <v>729.41395771538021</v>
      </c>
      <c r="AV113" s="123">
        <v>722.19606304951924</v>
      </c>
      <c r="AW113" s="123">
        <v>702.5088741161901</v>
      </c>
      <c r="AX113" s="123">
        <v>702.53984507808036</v>
      </c>
      <c r="AY113" s="123">
        <v>689.94112323920945</v>
      </c>
    </row>
    <row r="114" spans="1:52" x14ac:dyDescent="0.2">
      <c r="A114" s="126"/>
      <c r="B114" s="136">
        <v>6</v>
      </c>
      <c r="C114" s="123">
        <v>2480.4162832309612</v>
      </c>
      <c r="D114" s="123">
        <v>4559.3560511254273</v>
      </c>
      <c r="E114" s="123">
        <v>4516.0287072297488</v>
      </c>
      <c r="F114" s="123">
        <v>4553.6919155725664</v>
      </c>
      <c r="G114" s="123">
        <v>4521.5236866804953</v>
      </c>
      <c r="H114" s="123">
        <v>4506.9798634355875</v>
      </c>
      <c r="I114" s="123">
        <v>4518.4720438491331</v>
      </c>
      <c r="J114" s="123">
        <v>3195.3402279893835</v>
      </c>
      <c r="K114" s="123">
        <v>2387.0464219078922</v>
      </c>
      <c r="L114" s="123">
        <v>1871.2187043607032</v>
      </c>
      <c r="M114" s="123">
        <v>1512.4571911039291</v>
      </c>
      <c r="N114" s="123">
        <v>1293.5027797742916</v>
      </c>
      <c r="O114" s="123">
        <v>1111.6594402328146</v>
      </c>
      <c r="P114" s="123">
        <v>981.93285652729503</v>
      </c>
      <c r="Q114" s="123">
        <v>888.22447970020187</v>
      </c>
      <c r="R114" s="123">
        <v>838.10391954188265</v>
      </c>
      <c r="S114" s="123">
        <v>826.36579736528358</v>
      </c>
      <c r="T114" s="123">
        <v>793.9796614845493</v>
      </c>
      <c r="U114" s="123">
        <v>755.67886178058018</v>
      </c>
      <c r="V114" s="123">
        <v>731.37482193879578</v>
      </c>
      <c r="W114" s="123">
        <v>721.81334430257255</v>
      </c>
      <c r="X114" s="123">
        <v>737.85204936826517</v>
      </c>
      <c r="Y114" s="123">
        <v>765.85538931424958</v>
      </c>
      <c r="Z114" s="123">
        <v>749.08105477940626</v>
      </c>
      <c r="AA114" s="123">
        <v>775.88080972516968</v>
      </c>
      <c r="AB114" s="123">
        <v>776.6836812737638</v>
      </c>
      <c r="AC114" s="123">
        <v>777.32943721352058</v>
      </c>
      <c r="AD114" s="123">
        <v>754.7770888612414</v>
      </c>
      <c r="AE114" s="123">
        <v>751.99328765810674</v>
      </c>
      <c r="AF114" s="123">
        <v>756.83537710101075</v>
      </c>
      <c r="AG114" s="123">
        <v>738.29843315133974</v>
      </c>
      <c r="AH114" s="123">
        <v>757.98175079494706</v>
      </c>
      <c r="AI114" s="123">
        <v>764.39108331208945</v>
      </c>
      <c r="AJ114" s="123">
        <v>726.10692005876831</v>
      </c>
      <c r="AK114" s="123">
        <v>755.11618996881009</v>
      </c>
      <c r="AL114" s="123">
        <v>733.13198560710123</v>
      </c>
      <c r="AM114" s="123">
        <v>766.47080836932571</v>
      </c>
      <c r="AN114" s="123">
        <v>742.29512016174306</v>
      </c>
      <c r="AO114" s="123">
        <v>740.29204395547094</v>
      </c>
      <c r="AP114" s="123">
        <v>742.26140702190617</v>
      </c>
      <c r="AQ114" s="123">
        <v>718.58235346382048</v>
      </c>
      <c r="AR114" s="123">
        <v>731.64863997763064</v>
      </c>
      <c r="AS114" s="123">
        <v>750.68428970196555</v>
      </c>
      <c r="AT114" s="123">
        <v>724.19335475497996</v>
      </c>
      <c r="AU114" s="123">
        <v>728.26303996779848</v>
      </c>
      <c r="AV114" s="123">
        <v>729.41395771538021</v>
      </c>
      <c r="AW114" s="123">
        <v>722.19606304951924</v>
      </c>
      <c r="AX114" s="123">
        <v>702.5088741161901</v>
      </c>
      <c r="AY114" s="123">
        <v>702.53984507808036</v>
      </c>
    </row>
    <row r="115" spans="1:52" x14ac:dyDescent="0.2">
      <c r="A115" s="126"/>
      <c r="B115" s="143">
        <v>7</v>
      </c>
      <c r="C115" s="123">
        <v>0</v>
      </c>
      <c r="D115" s="123">
        <v>95.901433676322313</v>
      </c>
      <c r="E115" s="123">
        <v>4183.2307594322028</v>
      </c>
      <c r="F115" s="123">
        <v>4516.0287072297488</v>
      </c>
      <c r="G115" s="123">
        <v>4553.6919155725664</v>
      </c>
      <c r="H115" s="123">
        <v>4521.5236866804953</v>
      </c>
      <c r="I115" s="123">
        <v>4506.9798634355875</v>
      </c>
      <c r="J115" s="123">
        <v>4518.4720438491331</v>
      </c>
      <c r="K115" s="123">
        <v>3195.3402279893835</v>
      </c>
      <c r="L115" s="123">
        <v>2387.0464219078922</v>
      </c>
      <c r="M115" s="123">
        <v>1871.2187043607032</v>
      </c>
      <c r="N115" s="123">
        <v>1512.4571911039291</v>
      </c>
      <c r="O115" s="123">
        <v>1293.5027797742916</v>
      </c>
      <c r="P115" s="123">
        <v>1111.6594402328146</v>
      </c>
      <c r="Q115" s="123">
        <v>981.93285652729503</v>
      </c>
      <c r="R115" s="123">
        <v>888.22447970020187</v>
      </c>
      <c r="S115" s="123">
        <v>838.10391954188265</v>
      </c>
      <c r="T115" s="123">
        <v>826.36579736528358</v>
      </c>
      <c r="U115" s="123">
        <v>793.9796614845493</v>
      </c>
      <c r="V115" s="123">
        <v>755.67886178058018</v>
      </c>
      <c r="W115" s="123">
        <v>731.37482193879578</v>
      </c>
      <c r="X115" s="123">
        <v>721.81334430257255</v>
      </c>
      <c r="Y115" s="123">
        <v>737.85204936826517</v>
      </c>
      <c r="Z115" s="123">
        <v>765.85538931424958</v>
      </c>
      <c r="AA115" s="123">
        <v>749.08105477940626</v>
      </c>
      <c r="AB115" s="123">
        <v>775.88080972516968</v>
      </c>
      <c r="AC115" s="123">
        <v>776.6836812737638</v>
      </c>
      <c r="AD115" s="123">
        <v>777.32943721352058</v>
      </c>
      <c r="AE115" s="123">
        <v>754.7770888612414</v>
      </c>
      <c r="AF115" s="123">
        <v>751.99328765810674</v>
      </c>
      <c r="AG115" s="123">
        <v>756.83537710101075</v>
      </c>
      <c r="AH115" s="123">
        <v>738.29843315133974</v>
      </c>
      <c r="AI115" s="123">
        <v>757.98175079494706</v>
      </c>
      <c r="AJ115" s="123">
        <v>764.39108331208945</v>
      </c>
      <c r="AK115" s="123">
        <v>726.10692005876831</v>
      </c>
      <c r="AL115" s="123">
        <v>755.11618996881009</v>
      </c>
      <c r="AM115" s="123">
        <v>733.13198560710123</v>
      </c>
      <c r="AN115" s="123">
        <v>766.47080836932571</v>
      </c>
      <c r="AO115" s="123">
        <v>742.29512016174306</v>
      </c>
      <c r="AP115" s="123">
        <v>740.29204395547094</v>
      </c>
      <c r="AQ115" s="123">
        <v>742.26140702190617</v>
      </c>
      <c r="AR115" s="123">
        <v>718.58235346382048</v>
      </c>
      <c r="AS115" s="123">
        <v>731.64863997763064</v>
      </c>
      <c r="AT115" s="123">
        <v>750.68428970196555</v>
      </c>
      <c r="AU115" s="123">
        <v>724.19335475497996</v>
      </c>
      <c r="AV115" s="123">
        <v>728.26303996779848</v>
      </c>
      <c r="AW115" s="123">
        <v>729.41395771538021</v>
      </c>
      <c r="AX115" s="123">
        <v>722.19606304951924</v>
      </c>
      <c r="AY115" s="123">
        <v>702.5088741161901</v>
      </c>
    </row>
    <row r="116" spans="1:52" x14ac:dyDescent="0.2">
      <c r="A116" s="126"/>
      <c r="B116" s="143">
        <v>8</v>
      </c>
      <c r="C116" s="123">
        <v>0</v>
      </c>
      <c r="D116" s="123">
        <v>0</v>
      </c>
      <c r="E116" s="123">
        <v>0</v>
      </c>
      <c r="F116" s="123">
        <v>3614.2307594322028</v>
      </c>
      <c r="G116" s="123">
        <v>4516.0287072297488</v>
      </c>
      <c r="H116" s="123">
        <v>4553.6919155725664</v>
      </c>
      <c r="I116" s="123">
        <v>4521.5236866804953</v>
      </c>
      <c r="J116" s="123">
        <v>4506.9798634355875</v>
      </c>
      <c r="K116" s="123">
        <v>4518.4720438491331</v>
      </c>
      <c r="L116" s="123">
        <v>3195.3402279893835</v>
      </c>
      <c r="M116" s="123">
        <v>2387.0464219078922</v>
      </c>
      <c r="N116" s="123">
        <v>1871.2187043607032</v>
      </c>
      <c r="O116" s="123">
        <v>1512.4571911039291</v>
      </c>
      <c r="P116" s="123">
        <v>1293.5027797742916</v>
      </c>
      <c r="Q116" s="123">
        <v>1111.6594402328146</v>
      </c>
      <c r="R116" s="123">
        <v>981.93285652729503</v>
      </c>
      <c r="S116" s="123">
        <v>888.22447970020187</v>
      </c>
      <c r="T116" s="123">
        <v>838.10391954188265</v>
      </c>
      <c r="U116" s="123">
        <v>826.36579736528358</v>
      </c>
      <c r="V116" s="123">
        <v>793.9796614845493</v>
      </c>
      <c r="W116" s="123">
        <v>755.67886178058018</v>
      </c>
      <c r="X116" s="123">
        <v>731.37482193879578</v>
      </c>
      <c r="Y116" s="123">
        <v>721.81334430257255</v>
      </c>
      <c r="Z116" s="123">
        <v>737.85204936826517</v>
      </c>
      <c r="AA116" s="123">
        <v>765.85538931424958</v>
      </c>
      <c r="AB116" s="123">
        <v>749.08105477940626</v>
      </c>
      <c r="AC116" s="123">
        <v>775.88080972516968</v>
      </c>
      <c r="AD116" s="123">
        <v>776.6836812737638</v>
      </c>
      <c r="AE116" s="123">
        <v>777.32943721352058</v>
      </c>
      <c r="AF116" s="123">
        <v>754.7770888612414</v>
      </c>
      <c r="AG116" s="123">
        <v>751.99328765810674</v>
      </c>
      <c r="AH116" s="123">
        <v>756.83537710101075</v>
      </c>
      <c r="AI116" s="123">
        <v>738.29843315133974</v>
      </c>
      <c r="AJ116" s="123">
        <v>757.98175079494706</v>
      </c>
      <c r="AK116" s="123">
        <v>764.39108331208945</v>
      </c>
      <c r="AL116" s="123">
        <v>726.10692005876831</v>
      </c>
      <c r="AM116" s="123">
        <v>755.11618996881009</v>
      </c>
      <c r="AN116" s="123">
        <v>733.13198560710123</v>
      </c>
      <c r="AO116" s="123">
        <v>766.47080836932571</v>
      </c>
      <c r="AP116" s="123">
        <v>742.29512016174306</v>
      </c>
      <c r="AQ116" s="123">
        <v>740.29204395547094</v>
      </c>
      <c r="AR116" s="123">
        <v>742.26140702190617</v>
      </c>
      <c r="AS116" s="123">
        <v>718.58235346382048</v>
      </c>
      <c r="AT116" s="123">
        <v>731.64863997763064</v>
      </c>
      <c r="AU116" s="123">
        <v>750.68428970196555</v>
      </c>
      <c r="AV116" s="123">
        <v>724.19335475497996</v>
      </c>
      <c r="AW116" s="123">
        <v>728.26303996779848</v>
      </c>
      <c r="AX116" s="123">
        <v>729.41395771538021</v>
      </c>
      <c r="AY116" s="123">
        <v>722.19606304951924</v>
      </c>
    </row>
    <row r="117" spans="1:52" x14ac:dyDescent="0.2">
      <c r="A117" s="126"/>
      <c r="B117" s="143">
        <v>9</v>
      </c>
      <c r="C117" s="123">
        <v>0</v>
      </c>
      <c r="D117" s="123">
        <v>0</v>
      </c>
      <c r="E117" s="123">
        <v>0</v>
      </c>
      <c r="F117" s="123">
        <v>0</v>
      </c>
      <c r="G117" s="123">
        <v>1575.3277682792304</v>
      </c>
      <c r="H117" s="123">
        <v>4474.5378847882585</v>
      </c>
      <c r="I117" s="123">
        <v>4553.6919155725664</v>
      </c>
      <c r="J117" s="123">
        <v>4521.5236866804953</v>
      </c>
      <c r="K117" s="123">
        <v>4506.9798634355875</v>
      </c>
      <c r="L117" s="123">
        <v>4518.4720438491331</v>
      </c>
      <c r="M117" s="123">
        <v>3195.3402279893835</v>
      </c>
      <c r="N117" s="123">
        <v>2387.0464219078922</v>
      </c>
      <c r="O117" s="123">
        <v>1871.2187043607032</v>
      </c>
      <c r="P117" s="123">
        <v>1512.4571911039291</v>
      </c>
      <c r="Q117" s="123">
        <v>1293.5027797742916</v>
      </c>
      <c r="R117" s="123">
        <v>1111.6594402328146</v>
      </c>
      <c r="S117" s="123">
        <v>981.93285652729503</v>
      </c>
      <c r="T117" s="123">
        <v>888.22447970020187</v>
      </c>
      <c r="U117" s="123">
        <v>838.10391954188265</v>
      </c>
      <c r="V117" s="123">
        <v>826.36579736528358</v>
      </c>
      <c r="W117" s="123">
        <v>793.9796614845493</v>
      </c>
      <c r="X117" s="123">
        <v>755.67886178058018</v>
      </c>
      <c r="Y117" s="123">
        <v>731.37482193879578</v>
      </c>
      <c r="Z117" s="123">
        <v>721.81334430257255</v>
      </c>
      <c r="AA117" s="123">
        <v>737.85204936826517</v>
      </c>
      <c r="AB117" s="123">
        <v>765.85538931424958</v>
      </c>
      <c r="AC117" s="123">
        <v>749.08105477940626</v>
      </c>
      <c r="AD117" s="123">
        <v>775.88080972516968</v>
      </c>
      <c r="AE117" s="123">
        <v>776.6836812737638</v>
      </c>
      <c r="AF117" s="123">
        <v>777.32943721352058</v>
      </c>
      <c r="AG117" s="123">
        <v>754.7770888612414</v>
      </c>
      <c r="AH117" s="123">
        <v>751.99328765810674</v>
      </c>
      <c r="AI117" s="123">
        <v>756.83537710101075</v>
      </c>
      <c r="AJ117" s="123">
        <v>738.29843315133974</v>
      </c>
      <c r="AK117" s="123">
        <v>757.98175079494706</v>
      </c>
      <c r="AL117" s="123">
        <v>764.39108331208945</v>
      </c>
      <c r="AM117" s="123">
        <v>726.10692005876831</v>
      </c>
      <c r="AN117" s="123">
        <v>755.11618996881009</v>
      </c>
      <c r="AO117" s="123">
        <v>733.13198560710123</v>
      </c>
      <c r="AP117" s="123">
        <v>766.47080836932571</v>
      </c>
      <c r="AQ117" s="123">
        <v>742.29512016174306</v>
      </c>
      <c r="AR117" s="123">
        <v>740.29204395547094</v>
      </c>
      <c r="AS117" s="123">
        <v>742.26140702190617</v>
      </c>
      <c r="AT117" s="123">
        <v>718.58235346382048</v>
      </c>
      <c r="AU117" s="123">
        <v>731.64863997763064</v>
      </c>
      <c r="AV117" s="123">
        <v>750.68428970196555</v>
      </c>
      <c r="AW117" s="123">
        <v>724.19335475497996</v>
      </c>
      <c r="AX117" s="123">
        <v>728.26303996779848</v>
      </c>
      <c r="AY117" s="123">
        <v>729.41395771538021</v>
      </c>
    </row>
    <row r="118" spans="1:52" x14ac:dyDescent="0.2">
      <c r="A118" s="126"/>
      <c r="B118" s="146">
        <v>10</v>
      </c>
      <c r="C118" s="123">
        <v>0</v>
      </c>
      <c r="D118" s="123">
        <v>0</v>
      </c>
      <c r="E118" s="123">
        <v>0</v>
      </c>
      <c r="F118" s="123">
        <v>0</v>
      </c>
      <c r="G118" s="123">
        <v>0</v>
      </c>
      <c r="H118" s="123">
        <v>0</v>
      </c>
      <c r="I118" s="123">
        <v>1927.5215237814155</v>
      </c>
      <c r="J118" s="123">
        <v>4553.6919155725664</v>
      </c>
      <c r="K118" s="123">
        <v>4521.5236866804953</v>
      </c>
      <c r="L118" s="123">
        <v>4506.9798634355875</v>
      </c>
      <c r="M118" s="123">
        <v>4518.4720438491331</v>
      </c>
      <c r="N118" s="123">
        <v>3195.3402279893835</v>
      </c>
      <c r="O118" s="123">
        <v>2387.0464219078922</v>
      </c>
      <c r="P118" s="123">
        <v>1871.2187043607032</v>
      </c>
      <c r="Q118" s="123">
        <v>1512.4571911039291</v>
      </c>
      <c r="R118" s="123">
        <v>1293.5027797742916</v>
      </c>
      <c r="S118" s="123">
        <v>1111.6594402328146</v>
      </c>
      <c r="T118" s="123">
        <v>981.93285652729503</v>
      </c>
      <c r="U118" s="123">
        <v>888.22447970020187</v>
      </c>
      <c r="V118" s="123">
        <v>838.10391954188265</v>
      </c>
      <c r="W118" s="123">
        <v>826.36579736528358</v>
      </c>
      <c r="X118" s="123">
        <v>793.9796614845493</v>
      </c>
      <c r="Y118" s="123">
        <v>755.67886178058018</v>
      </c>
      <c r="Z118" s="123">
        <v>731.37482193879578</v>
      </c>
      <c r="AA118" s="123">
        <v>721.81334430257255</v>
      </c>
      <c r="AB118" s="123">
        <v>737.85204936826517</v>
      </c>
      <c r="AC118" s="123">
        <v>765.85538931424958</v>
      </c>
      <c r="AD118" s="123">
        <v>749.08105477940626</v>
      </c>
      <c r="AE118" s="123">
        <v>775.88080972516968</v>
      </c>
      <c r="AF118" s="123">
        <v>776.6836812737638</v>
      </c>
      <c r="AG118" s="123">
        <v>777.32943721352058</v>
      </c>
      <c r="AH118" s="123">
        <v>754.7770888612414</v>
      </c>
      <c r="AI118" s="123">
        <v>751.99328765810674</v>
      </c>
      <c r="AJ118" s="123">
        <v>756.83537710101075</v>
      </c>
      <c r="AK118" s="123">
        <v>738.29843315133974</v>
      </c>
      <c r="AL118" s="123">
        <v>757.98175079494706</v>
      </c>
      <c r="AM118" s="123">
        <v>764.39108331208945</v>
      </c>
      <c r="AN118" s="123">
        <v>726.10692005876831</v>
      </c>
      <c r="AO118" s="123">
        <v>755.11618996881009</v>
      </c>
      <c r="AP118" s="123">
        <v>733.13198560710123</v>
      </c>
      <c r="AQ118" s="123">
        <v>766.47080836932571</v>
      </c>
      <c r="AR118" s="123">
        <v>742.29512016174306</v>
      </c>
      <c r="AS118" s="123">
        <v>740.29204395547094</v>
      </c>
      <c r="AT118" s="123">
        <v>742.26140702190617</v>
      </c>
      <c r="AU118" s="123">
        <v>718.58235346382048</v>
      </c>
      <c r="AV118" s="123">
        <v>731.64863997763064</v>
      </c>
      <c r="AW118" s="123">
        <v>750.68428970196555</v>
      </c>
      <c r="AX118" s="123">
        <v>724.19335475497996</v>
      </c>
      <c r="AY118" s="123">
        <v>728.26303996779848</v>
      </c>
    </row>
    <row r="119" spans="1:52" x14ac:dyDescent="0.2">
      <c r="A119" s="126"/>
      <c r="B119" s="146">
        <v>11</v>
      </c>
      <c r="C119" s="123">
        <v>0</v>
      </c>
      <c r="D119" s="123">
        <v>0</v>
      </c>
      <c r="E119" s="123">
        <v>0</v>
      </c>
      <c r="F119" s="123">
        <v>0</v>
      </c>
      <c r="G119" s="123">
        <v>0</v>
      </c>
      <c r="H119" s="123">
        <v>0</v>
      </c>
      <c r="I119" s="123">
        <v>0</v>
      </c>
      <c r="J119" s="123">
        <v>122.3488026638106</v>
      </c>
      <c r="K119" s="123">
        <v>1925.5347844523371</v>
      </c>
      <c r="L119" s="123">
        <v>3736.5085766886614</v>
      </c>
      <c r="M119" s="123">
        <v>4506.9798634355875</v>
      </c>
      <c r="N119" s="123">
        <v>4518.4720438491331</v>
      </c>
      <c r="O119" s="123">
        <v>3195.3402279893835</v>
      </c>
      <c r="P119" s="123">
        <v>2387.0464219078922</v>
      </c>
      <c r="Q119" s="123">
        <v>1871.2187043607032</v>
      </c>
      <c r="R119" s="123">
        <v>1512.4571911039291</v>
      </c>
      <c r="S119" s="123">
        <v>1293.5027797742916</v>
      </c>
      <c r="T119" s="123">
        <v>1111.6594402328146</v>
      </c>
      <c r="U119" s="123">
        <v>981.93285652729503</v>
      </c>
      <c r="V119" s="123">
        <v>888.22447970020187</v>
      </c>
      <c r="W119" s="123">
        <v>838.10391954188265</v>
      </c>
      <c r="X119" s="123">
        <v>826.36579736528358</v>
      </c>
      <c r="Y119" s="123">
        <v>793.9796614845493</v>
      </c>
      <c r="Z119" s="123">
        <v>755.67886178058018</v>
      </c>
      <c r="AA119" s="123">
        <v>731.37482193879578</v>
      </c>
      <c r="AB119" s="123">
        <v>721.81334430257255</v>
      </c>
      <c r="AC119" s="123">
        <v>737.85204936826517</v>
      </c>
      <c r="AD119" s="123">
        <v>765.85538931424958</v>
      </c>
      <c r="AE119" s="123">
        <v>749.08105477940626</v>
      </c>
      <c r="AF119" s="123">
        <v>775.88080972516968</v>
      </c>
      <c r="AG119" s="123">
        <v>776.6836812737638</v>
      </c>
      <c r="AH119" s="123">
        <v>777.32943721352058</v>
      </c>
      <c r="AI119" s="123">
        <v>754.7770888612414</v>
      </c>
      <c r="AJ119" s="123">
        <v>751.99328765810674</v>
      </c>
      <c r="AK119" s="123">
        <v>756.83537710101075</v>
      </c>
      <c r="AL119" s="123">
        <v>738.29843315133974</v>
      </c>
      <c r="AM119" s="123">
        <v>757.98175079494706</v>
      </c>
      <c r="AN119" s="123">
        <v>764.39108331208945</v>
      </c>
      <c r="AO119" s="123">
        <v>726.10692005876831</v>
      </c>
      <c r="AP119" s="123">
        <v>755.11618996881009</v>
      </c>
      <c r="AQ119" s="123">
        <v>733.13198560710123</v>
      </c>
      <c r="AR119" s="123">
        <v>766.47080836932571</v>
      </c>
      <c r="AS119" s="123">
        <v>742.29512016174306</v>
      </c>
      <c r="AT119" s="123">
        <v>740.29204395547094</v>
      </c>
      <c r="AU119" s="123">
        <v>742.26140702190617</v>
      </c>
      <c r="AV119" s="123">
        <v>718.58235346382048</v>
      </c>
      <c r="AW119" s="123">
        <v>731.64863997763064</v>
      </c>
      <c r="AX119" s="123">
        <v>750.68428970196555</v>
      </c>
      <c r="AY119" s="123">
        <v>724.19335475497996</v>
      </c>
    </row>
    <row r="120" spans="1:52" x14ac:dyDescent="0.2">
      <c r="A120" s="126"/>
      <c r="B120" s="146">
        <v>12</v>
      </c>
      <c r="C120" s="123">
        <v>0</v>
      </c>
      <c r="D120" s="123">
        <v>0</v>
      </c>
      <c r="E120" s="123">
        <v>0</v>
      </c>
      <c r="F120" s="123">
        <v>0</v>
      </c>
      <c r="G120" s="123">
        <v>0</v>
      </c>
      <c r="H120" s="123">
        <v>0</v>
      </c>
      <c r="I120" s="123">
        <v>0</v>
      </c>
      <c r="J120" s="123">
        <v>0</v>
      </c>
      <c r="K120" s="123">
        <v>0</v>
      </c>
      <c r="L120" s="123">
        <v>0</v>
      </c>
      <c r="M120" s="123">
        <v>204.52258918805364</v>
      </c>
      <c r="N120" s="123">
        <v>2140.2722164294</v>
      </c>
      <c r="O120" s="123">
        <v>4005.4115223934273</v>
      </c>
      <c r="P120" s="123">
        <v>3195.3402279893835</v>
      </c>
      <c r="Q120" s="123">
        <v>2387.0464219078922</v>
      </c>
      <c r="R120" s="123">
        <v>1871.2187043607032</v>
      </c>
      <c r="S120" s="123">
        <v>1512.4571911039291</v>
      </c>
      <c r="T120" s="123">
        <v>1293.5027797742916</v>
      </c>
      <c r="U120" s="123">
        <v>1111.6594402328146</v>
      </c>
      <c r="V120" s="123">
        <v>981.93285652729503</v>
      </c>
      <c r="W120" s="123">
        <v>888.22447970020187</v>
      </c>
      <c r="X120" s="123">
        <v>838.10391954188265</v>
      </c>
      <c r="Y120" s="123">
        <v>826.36579736528358</v>
      </c>
      <c r="Z120" s="123">
        <v>793.9796614845493</v>
      </c>
      <c r="AA120" s="123">
        <v>755.67886178058018</v>
      </c>
      <c r="AB120" s="123">
        <v>731.37482193879578</v>
      </c>
      <c r="AC120" s="123">
        <v>721.81334430257255</v>
      </c>
      <c r="AD120" s="123">
        <v>737.85204936826517</v>
      </c>
      <c r="AE120" s="123">
        <v>765.85538931424958</v>
      </c>
      <c r="AF120" s="123">
        <v>749.08105477940626</v>
      </c>
      <c r="AG120" s="123">
        <v>775.88080972516968</v>
      </c>
      <c r="AH120" s="123">
        <v>776.6836812737638</v>
      </c>
      <c r="AI120" s="123">
        <v>777.32943721352058</v>
      </c>
      <c r="AJ120" s="123">
        <v>754.7770888612414</v>
      </c>
      <c r="AK120" s="123">
        <v>751.99328765810674</v>
      </c>
      <c r="AL120" s="123">
        <v>756.83537710101075</v>
      </c>
      <c r="AM120" s="123">
        <v>738.29843315133974</v>
      </c>
      <c r="AN120" s="123">
        <v>757.98175079494706</v>
      </c>
      <c r="AO120" s="123">
        <v>764.39108331208945</v>
      </c>
      <c r="AP120" s="123">
        <v>726.10692005876831</v>
      </c>
      <c r="AQ120" s="123">
        <v>755.11618996881009</v>
      </c>
      <c r="AR120" s="123">
        <v>733.13198560710123</v>
      </c>
      <c r="AS120" s="123">
        <v>766.47080836932571</v>
      </c>
      <c r="AT120" s="123">
        <v>742.29512016174306</v>
      </c>
      <c r="AU120" s="123">
        <v>740.29204395547094</v>
      </c>
      <c r="AV120" s="123">
        <v>742.26140702190617</v>
      </c>
      <c r="AW120" s="123">
        <v>718.58235346382048</v>
      </c>
      <c r="AX120" s="123">
        <v>731.64863997763064</v>
      </c>
      <c r="AY120" s="123">
        <v>750.68428970196555</v>
      </c>
    </row>
    <row r="121" spans="1:52" x14ac:dyDescent="0.2">
      <c r="A121" s="144"/>
      <c r="B121" s="148" t="s">
        <v>296</v>
      </c>
      <c r="C121" s="130">
        <v>0</v>
      </c>
      <c r="D121" s="141">
        <v>0</v>
      </c>
      <c r="E121" s="141">
        <v>0</v>
      </c>
      <c r="F121" s="141">
        <v>0</v>
      </c>
      <c r="G121" s="141">
        <v>0</v>
      </c>
      <c r="H121" s="141">
        <v>0</v>
      </c>
      <c r="I121" s="141">
        <v>0</v>
      </c>
      <c r="J121" s="141">
        <v>0</v>
      </c>
      <c r="K121" s="141">
        <v>0</v>
      </c>
      <c r="L121" s="141">
        <v>0</v>
      </c>
      <c r="M121" s="141">
        <v>0</v>
      </c>
      <c r="N121" s="141">
        <v>0</v>
      </c>
      <c r="O121" s="141">
        <v>1665.7794519920667</v>
      </c>
      <c r="P121" s="141">
        <v>3450.8425272389222</v>
      </c>
      <c r="Q121" s="141">
        <v>2757.9416528695324</v>
      </c>
      <c r="R121" s="141">
        <v>1844.3154343937038</v>
      </c>
      <c r="S121" s="141">
        <v>1305.6206005563408</v>
      </c>
      <c r="T121" s="141">
        <v>1026.7798778698002</v>
      </c>
      <c r="U121" s="141">
        <v>815.50277977429164</v>
      </c>
      <c r="V121" s="141">
        <v>643.03338754496895</v>
      </c>
      <c r="W121" s="141">
        <v>508.63569862988101</v>
      </c>
      <c r="X121" s="141">
        <v>318.59045571525553</v>
      </c>
      <c r="Y121" s="141">
        <v>360.55409102527307</v>
      </c>
      <c r="Z121" s="141">
        <v>316.03748807969163</v>
      </c>
      <c r="AA121" s="141">
        <v>251.96500377128734</v>
      </c>
      <c r="AB121" s="141">
        <v>176.42780740352089</v>
      </c>
      <c r="AC121" s="141">
        <v>308.76293882997959</v>
      </c>
      <c r="AD121" s="141">
        <v>216.78218951946104</v>
      </c>
      <c r="AE121" s="141">
        <v>236.543444238414</v>
      </c>
      <c r="AF121" s="141">
        <v>228.72206012264132</v>
      </c>
      <c r="AG121" s="141">
        <v>156.85864540866544</v>
      </c>
      <c r="AH121" s="141">
        <v>202.49096451835055</v>
      </c>
      <c r="AI121" s="141">
        <v>306.00712747215539</v>
      </c>
      <c r="AJ121" s="141">
        <v>283.6336190140766</v>
      </c>
      <c r="AK121" s="141">
        <v>274.676059339044</v>
      </c>
      <c r="AL121" s="141">
        <v>175.06429883721557</v>
      </c>
      <c r="AM121" s="141">
        <v>232.98068458847126</v>
      </c>
      <c r="AN121" s="141">
        <v>286.13757453466621</v>
      </c>
      <c r="AO121" s="141">
        <v>213.52336677197047</v>
      </c>
      <c r="AP121" s="141">
        <v>201.19722535039909</v>
      </c>
      <c r="AQ121" s="141">
        <v>148.81745846625915</v>
      </c>
      <c r="AR121" s="141">
        <v>216.99222949649823</v>
      </c>
      <c r="AS121" s="141">
        <v>144.80537483656428</v>
      </c>
      <c r="AT121" s="141">
        <v>304.07468386288917</v>
      </c>
      <c r="AU121" s="141">
        <v>295.17828648681007</v>
      </c>
      <c r="AV121" s="141">
        <v>241.90419880196441</v>
      </c>
      <c r="AW121" s="141">
        <v>63.183864170803758</v>
      </c>
      <c r="AX121" s="141">
        <v>239.75230467555781</v>
      </c>
      <c r="AY121" s="141">
        <v>288.66286683775547</v>
      </c>
      <c r="AZ121" s="124">
        <f>SUM($D121:$AY121)</f>
        <v>20708.77772304515</v>
      </c>
    </row>
    <row r="122" spans="1:52" x14ac:dyDescent="0.2">
      <c r="A122" s="147" t="s">
        <v>123</v>
      </c>
      <c r="B122" s="135">
        <v>1</v>
      </c>
      <c r="C122" s="123">
        <v>5242.6487703439288</v>
      </c>
      <c r="D122" s="123">
        <v>1269.9289161901002</v>
      </c>
      <c r="E122" s="123">
        <v>1269.9289161901002</v>
      </c>
      <c r="F122" s="123">
        <v>1269.9289161901002</v>
      </c>
      <c r="G122" s="123">
        <v>1269.9289161901002</v>
      </c>
      <c r="H122" s="123">
        <v>1269.9289161901002</v>
      </c>
      <c r="I122" s="123">
        <v>1269.9289161901002</v>
      </c>
      <c r="J122" s="123">
        <v>1269.9289161901002</v>
      </c>
      <c r="K122" s="123">
        <v>1269.9289161901002</v>
      </c>
      <c r="L122" s="123">
        <v>1269.9289161901002</v>
      </c>
      <c r="M122" s="123">
        <v>1269.9289161901002</v>
      </c>
      <c r="N122" s="123">
        <v>1269.9289161901002</v>
      </c>
      <c r="O122" s="123">
        <v>1269.9289161901002</v>
      </c>
      <c r="P122" s="123">
        <v>1269.9289161901002</v>
      </c>
      <c r="Q122" s="123">
        <v>1269.9289161901002</v>
      </c>
      <c r="R122" s="123">
        <v>1269.9289161901002</v>
      </c>
      <c r="S122" s="123">
        <v>1269.9289161901002</v>
      </c>
      <c r="T122" s="123">
        <v>1269.9289161901002</v>
      </c>
      <c r="U122" s="123">
        <v>1269.9289161901002</v>
      </c>
      <c r="V122" s="123">
        <v>1269.9289161901002</v>
      </c>
      <c r="W122" s="123">
        <v>1269.9289161901002</v>
      </c>
      <c r="X122" s="123">
        <v>1269.9289161901002</v>
      </c>
      <c r="Y122" s="123">
        <v>1269.9289161901002</v>
      </c>
      <c r="Z122" s="123">
        <v>1269.9289161901002</v>
      </c>
      <c r="AA122" s="123">
        <v>1269.9289161901002</v>
      </c>
      <c r="AB122" s="123">
        <v>1269.9289161901002</v>
      </c>
      <c r="AC122" s="123">
        <v>1269.9289161901002</v>
      </c>
      <c r="AD122" s="123">
        <v>1269.9289161901002</v>
      </c>
      <c r="AE122" s="123">
        <v>1269.9289161901002</v>
      </c>
      <c r="AF122" s="123">
        <v>1269.9289161901002</v>
      </c>
      <c r="AG122" s="123">
        <v>1269.9289161901002</v>
      </c>
      <c r="AH122" s="123">
        <v>1269.9289161901002</v>
      </c>
      <c r="AI122" s="123">
        <v>1269.9289161901002</v>
      </c>
      <c r="AJ122" s="123">
        <v>1269.9289161901002</v>
      </c>
      <c r="AK122" s="123">
        <v>1269.9289161901002</v>
      </c>
      <c r="AL122" s="123">
        <v>1269.9289161901002</v>
      </c>
      <c r="AM122" s="123">
        <v>1269.9289161901002</v>
      </c>
      <c r="AN122" s="123">
        <v>1269.9289161901002</v>
      </c>
      <c r="AO122" s="123">
        <v>1269.9289161901002</v>
      </c>
      <c r="AP122" s="123">
        <v>1269.9289161901002</v>
      </c>
      <c r="AQ122" s="123">
        <v>1269.9289161901002</v>
      </c>
      <c r="AR122" s="123">
        <v>1269.9289161901002</v>
      </c>
      <c r="AS122" s="123">
        <v>1269.9289161901002</v>
      </c>
      <c r="AT122" s="123">
        <v>1269.9289161901002</v>
      </c>
      <c r="AU122" s="123">
        <v>1269.9289161901002</v>
      </c>
      <c r="AV122" s="123">
        <v>1269.9289161901002</v>
      </c>
      <c r="AW122" s="123">
        <v>1269.9289161901002</v>
      </c>
      <c r="AX122" s="123">
        <v>1269.9289161901002</v>
      </c>
      <c r="AY122" s="123">
        <v>1269.9289161901002</v>
      </c>
    </row>
    <row r="123" spans="1:52" x14ac:dyDescent="0.2">
      <c r="A123" s="126"/>
      <c r="B123" s="135">
        <v>2</v>
      </c>
      <c r="C123" s="123">
        <v>3504.7957231470414</v>
      </c>
      <c r="D123" s="123">
        <v>3504.7957231470414</v>
      </c>
      <c r="E123" s="123">
        <v>848.96807494350537</v>
      </c>
      <c r="F123" s="123">
        <v>848.96807494350537</v>
      </c>
      <c r="G123" s="123">
        <v>848.96807494350537</v>
      </c>
      <c r="H123" s="123">
        <v>848.96807494350537</v>
      </c>
      <c r="I123" s="123">
        <v>848.96807494350537</v>
      </c>
      <c r="J123" s="123">
        <v>848.96807494350537</v>
      </c>
      <c r="K123" s="123">
        <v>848.96807494350537</v>
      </c>
      <c r="L123" s="123">
        <v>848.96807494350537</v>
      </c>
      <c r="M123" s="123">
        <v>848.96807494350537</v>
      </c>
      <c r="N123" s="123">
        <v>848.96807494350537</v>
      </c>
      <c r="O123" s="123">
        <v>848.96807494350537</v>
      </c>
      <c r="P123" s="123">
        <v>848.96807494350537</v>
      </c>
      <c r="Q123" s="123">
        <v>848.96807494350537</v>
      </c>
      <c r="R123" s="123">
        <v>848.96807494350537</v>
      </c>
      <c r="S123" s="123">
        <v>848.96807494350537</v>
      </c>
      <c r="T123" s="123">
        <v>848.96807494350537</v>
      </c>
      <c r="U123" s="123">
        <v>848.96807494350537</v>
      </c>
      <c r="V123" s="123">
        <v>848.96807494350537</v>
      </c>
      <c r="W123" s="123">
        <v>848.96807494350537</v>
      </c>
      <c r="X123" s="123">
        <v>848.96807494350537</v>
      </c>
      <c r="Y123" s="123">
        <v>848.96807494350537</v>
      </c>
      <c r="Z123" s="123">
        <v>848.96807494350537</v>
      </c>
      <c r="AA123" s="123">
        <v>848.96807494350537</v>
      </c>
      <c r="AB123" s="123">
        <v>848.96807494350537</v>
      </c>
      <c r="AC123" s="123">
        <v>848.96807494350537</v>
      </c>
      <c r="AD123" s="123">
        <v>848.96807494350537</v>
      </c>
      <c r="AE123" s="123">
        <v>848.96807494350537</v>
      </c>
      <c r="AF123" s="123">
        <v>848.96807494350537</v>
      </c>
      <c r="AG123" s="123">
        <v>848.96807494350537</v>
      </c>
      <c r="AH123" s="123">
        <v>848.96807494350537</v>
      </c>
      <c r="AI123" s="123">
        <v>848.96807494350537</v>
      </c>
      <c r="AJ123" s="123">
        <v>848.96807494350537</v>
      </c>
      <c r="AK123" s="123">
        <v>848.96807494350537</v>
      </c>
      <c r="AL123" s="123">
        <v>848.96807494350537</v>
      </c>
      <c r="AM123" s="123">
        <v>848.96807494350537</v>
      </c>
      <c r="AN123" s="123">
        <v>848.96807494350537</v>
      </c>
      <c r="AO123" s="123">
        <v>848.96807494350537</v>
      </c>
      <c r="AP123" s="123">
        <v>848.96807494350537</v>
      </c>
      <c r="AQ123" s="123">
        <v>848.96807494350537</v>
      </c>
      <c r="AR123" s="123">
        <v>848.96807494350537</v>
      </c>
      <c r="AS123" s="123">
        <v>848.96807494350537</v>
      </c>
      <c r="AT123" s="123">
        <v>811.44326150586312</v>
      </c>
      <c r="AU123" s="123">
        <v>848.96807494350537</v>
      </c>
      <c r="AV123" s="123">
        <v>848.96807494350537</v>
      </c>
      <c r="AW123" s="123">
        <v>848.96807494350537</v>
      </c>
      <c r="AX123" s="123">
        <v>848.96807494350537</v>
      </c>
      <c r="AY123" s="123">
        <v>848.96807494350537</v>
      </c>
    </row>
    <row r="124" spans="1:52" x14ac:dyDescent="0.2">
      <c r="A124" s="126"/>
      <c r="B124" s="135">
        <v>3</v>
      </c>
      <c r="C124" s="123">
        <v>2343.012778287637</v>
      </c>
      <c r="D124" s="123">
        <v>2343.012778287637</v>
      </c>
      <c r="E124" s="123">
        <v>2343.012778287637</v>
      </c>
      <c r="F124" s="123">
        <v>567.54892583719243</v>
      </c>
      <c r="G124" s="123">
        <v>567.54892583719243</v>
      </c>
      <c r="H124" s="123">
        <v>567.54892583719243</v>
      </c>
      <c r="I124" s="123">
        <v>567.54892583719243</v>
      </c>
      <c r="J124" s="123">
        <v>567.54892583719243</v>
      </c>
      <c r="K124" s="123">
        <v>560.64428757272481</v>
      </c>
      <c r="L124" s="123">
        <v>409.44364750318965</v>
      </c>
      <c r="M124" s="123">
        <v>374.03279852803945</v>
      </c>
      <c r="N124" s="123">
        <v>276.33228482511799</v>
      </c>
      <c r="O124" s="123">
        <v>160.78877509333529</v>
      </c>
      <c r="P124" s="123">
        <v>87.469834348349821</v>
      </c>
      <c r="Q124" s="123">
        <v>58.625353479802698</v>
      </c>
      <c r="R124" s="123">
        <v>107.00993785314165</v>
      </c>
      <c r="S124" s="123">
        <v>191.48870087061403</v>
      </c>
      <c r="T124" s="123">
        <v>140.88491451233563</v>
      </c>
      <c r="U124" s="123">
        <v>221.73277592302946</v>
      </c>
      <c r="V124" s="123">
        <v>224.15482970011408</v>
      </c>
      <c r="W124" s="123">
        <v>226.10290671903618</v>
      </c>
      <c r="X124" s="123">
        <v>158.06836171066925</v>
      </c>
      <c r="Y124" s="123">
        <v>149.67036052291814</v>
      </c>
      <c r="Z124" s="123">
        <v>164.27767976931949</v>
      </c>
      <c r="AA124" s="123">
        <v>108.35656114514677</v>
      </c>
      <c r="AB124" s="123">
        <v>167.73598980684773</v>
      </c>
      <c r="AC124" s="123">
        <v>187.0712720931844</v>
      </c>
      <c r="AD124" s="123">
        <v>71.577950188083264</v>
      </c>
      <c r="AE124" s="123">
        <v>159.09134118956382</v>
      </c>
      <c r="AF124" s="123">
        <v>92.770738219245516</v>
      </c>
      <c r="AG124" s="123">
        <v>193.34525943150345</v>
      </c>
      <c r="AH124" s="123">
        <v>120.41352204545865</v>
      </c>
      <c r="AI124" s="123">
        <v>114.37076427220711</v>
      </c>
      <c r="AJ124" s="123">
        <v>120.31181830739212</v>
      </c>
      <c r="AK124" s="123">
        <v>48.878297953388483</v>
      </c>
      <c r="AL124" s="123">
        <v>88.295871858776763</v>
      </c>
      <c r="AM124" s="123">
        <v>145.72145555870668</v>
      </c>
      <c r="AN124" s="123">
        <v>65.80522343016753</v>
      </c>
      <c r="AO124" s="123">
        <v>78.082400842311017</v>
      </c>
      <c r="AP124" s="123">
        <v>81.554419102922111</v>
      </c>
      <c r="AQ124" s="123">
        <v>59.779915985132732</v>
      </c>
      <c r="AR124" s="123">
        <v>0.38880865340161108</v>
      </c>
      <c r="AS124" s="123">
        <v>0.48223995677460607</v>
      </c>
      <c r="AT124" s="123">
        <v>0</v>
      </c>
      <c r="AU124" s="123">
        <v>28.346145838315351</v>
      </c>
      <c r="AV124" s="123">
        <v>32.110938866787592</v>
      </c>
      <c r="AW124" s="123">
        <v>61.938066362472341</v>
      </c>
      <c r="AX124" s="123">
        <v>73.125478863483522</v>
      </c>
      <c r="AY124" s="123">
        <v>68.448721195357848</v>
      </c>
    </row>
    <row r="125" spans="1:52" x14ac:dyDescent="0.2">
      <c r="A125" s="126"/>
      <c r="B125" s="135">
        <v>4</v>
      </c>
      <c r="C125" s="123">
        <v>1566.3420389847454</v>
      </c>
      <c r="D125" s="123">
        <v>1566.3420389847454</v>
      </c>
      <c r="E125" s="123">
        <v>1566.3420389847454</v>
      </c>
      <c r="F125" s="123">
        <v>1566.3420389847454</v>
      </c>
      <c r="G125" s="123">
        <v>379.41566087792631</v>
      </c>
      <c r="H125" s="123">
        <v>379.41566087792631</v>
      </c>
      <c r="I125" s="123">
        <v>379.41566087792631</v>
      </c>
      <c r="J125" s="123">
        <v>275.78906091562544</v>
      </c>
      <c r="K125" s="123">
        <v>0</v>
      </c>
      <c r="L125" s="123">
        <v>0</v>
      </c>
      <c r="M125" s="123">
        <v>0</v>
      </c>
      <c r="N125" s="123">
        <v>0</v>
      </c>
      <c r="O125" s="123">
        <v>0</v>
      </c>
      <c r="P125" s="123">
        <v>0</v>
      </c>
      <c r="Q125" s="123">
        <v>0</v>
      </c>
      <c r="R125" s="123">
        <v>0</v>
      </c>
      <c r="S125" s="123">
        <v>0</v>
      </c>
      <c r="T125" s="123">
        <v>0</v>
      </c>
      <c r="U125" s="123">
        <v>0</v>
      </c>
      <c r="V125" s="123">
        <v>0</v>
      </c>
      <c r="W125" s="123">
        <v>0</v>
      </c>
      <c r="X125" s="123">
        <v>0</v>
      </c>
      <c r="Y125" s="123">
        <v>0</v>
      </c>
      <c r="Z125" s="123">
        <v>0</v>
      </c>
      <c r="AA125" s="123">
        <v>0</v>
      </c>
      <c r="AB125" s="123">
        <v>0</v>
      </c>
      <c r="AC125" s="123">
        <v>0</v>
      </c>
      <c r="AD125" s="123">
        <v>0</v>
      </c>
      <c r="AE125" s="123">
        <v>0</v>
      </c>
      <c r="AF125" s="123">
        <v>0</v>
      </c>
      <c r="AG125" s="123">
        <v>0</v>
      </c>
      <c r="AH125" s="123">
        <v>0</v>
      </c>
      <c r="AI125" s="123">
        <v>0</v>
      </c>
      <c r="AJ125" s="123">
        <v>0</v>
      </c>
      <c r="AK125" s="123">
        <v>0</v>
      </c>
      <c r="AL125" s="123">
        <v>0</v>
      </c>
      <c r="AM125" s="123">
        <v>0</v>
      </c>
      <c r="AN125" s="123">
        <v>0</v>
      </c>
      <c r="AO125" s="123">
        <v>0</v>
      </c>
      <c r="AP125" s="123">
        <v>0</v>
      </c>
      <c r="AQ125" s="123">
        <v>0</v>
      </c>
      <c r="AR125" s="123">
        <v>0</v>
      </c>
      <c r="AS125" s="123">
        <v>0</v>
      </c>
      <c r="AT125" s="123">
        <v>0</v>
      </c>
      <c r="AU125" s="123">
        <v>0</v>
      </c>
      <c r="AV125" s="123">
        <v>0</v>
      </c>
      <c r="AW125" s="123">
        <v>0</v>
      </c>
      <c r="AX125" s="123">
        <v>0</v>
      </c>
      <c r="AY125" s="123">
        <v>0</v>
      </c>
    </row>
    <row r="126" spans="1:52" x14ac:dyDescent="0.2">
      <c r="A126" s="126"/>
      <c r="B126" s="135">
        <v>5</v>
      </c>
      <c r="C126" s="123">
        <v>974.25076146712138</v>
      </c>
      <c r="D126" s="123">
        <v>955.42748796191609</v>
      </c>
      <c r="E126" s="123">
        <v>1047.1250544710847</v>
      </c>
      <c r="F126" s="123">
        <v>1047.1250544710847</v>
      </c>
      <c r="G126" s="123">
        <v>1047.1250544710847</v>
      </c>
      <c r="H126" s="123">
        <v>253.64552229058222</v>
      </c>
      <c r="I126" s="123">
        <v>253.64552229058222</v>
      </c>
      <c r="J126" s="123">
        <v>0</v>
      </c>
      <c r="K126" s="123">
        <v>0</v>
      </c>
      <c r="L126" s="123">
        <v>0</v>
      </c>
      <c r="M126" s="123">
        <v>0</v>
      </c>
      <c r="N126" s="123">
        <v>0</v>
      </c>
      <c r="O126" s="123">
        <v>0</v>
      </c>
      <c r="P126" s="123">
        <v>0</v>
      </c>
      <c r="Q126" s="123">
        <v>0</v>
      </c>
      <c r="R126" s="123">
        <v>0</v>
      </c>
      <c r="S126" s="123">
        <v>0</v>
      </c>
      <c r="T126" s="123">
        <v>0</v>
      </c>
      <c r="U126" s="123">
        <v>0</v>
      </c>
      <c r="V126" s="123">
        <v>0</v>
      </c>
      <c r="W126" s="123">
        <v>0</v>
      </c>
      <c r="X126" s="123">
        <v>0</v>
      </c>
      <c r="Y126" s="123">
        <v>0</v>
      </c>
      <c r="Z126" s="123">
        <v>0</v>
      </c>
      <c r="AA126" s="123">
        <v>0</v>
      </c>
      <c r="AB126" s="123">
        <v>0</v>
      </c>
      <c r="AC126" s="123">
        <v>0</v>
      </c>
      <c r="AD126" s="123">
        <v>0</v>
      </c>
      <c r="AE126" s="123">
        <v>0</v>
      </c>
      <c r="AF126" s="123">
        <v>0</v>
      </c>
      <c r="AG126" s="123">
        <v>0</v>
      </c>
      <c r="AH126" s="123">
        <v>0</v>
      </c>
      <c r="AI126" s="123">
        <v>0</v>
      </c>
      <c r="AJ126" s="123">
        <v>0</v>
      </c>
      <c r="AK126" s="123">
        <v>0</v>
      </c>
      <c r="AL126" s="123">
        <v>0</v>
      </c>
      <c r="AM126" s="123">
        <v>0</v>
      </c>
      <c r="AN126" s="123">
        <v>0</v>
      </c>
      <c r="AO126" s="123">
        <v>0</v>
      </c>
      <c r="AP126" s="123">
        <v>0</v>
      </c>
      <c r="AQ126" s="123">
        <v>0</v>
      </c>
      <c r="AR126" s="123">
        <v>0</v>
      </c>
      <c r="AS126" s="123">
        <v>0</v>
      </c>
      <c r="AT126" s="123">
        <v>0</v>
      </c>
      <c r="AU126" s="123">
        <v>0</v>
      </c>
      <c r="AV126" s="123">
        <v>0</v>
      </c>
      <c r="AW126" s="123">
        <v>0</v>
      </c>
      <c r="AX126" s="123">
        <v>0</v>
      </c>
      <c r="AY126" s="123">
        <v>0</v>
      </c>
    </row>
    <row r="127" spans="1:52" x14ac:dyDescent="0.2">
      <c r="A127" s="126"/>
      <c r="B127" s="135">
        <v>6</v>
      </c>
      <c r="C127" s="123">
        <v>0</v>
      </c>
      <c r="D127" s="123">
        <v>0</v>
      </c>
      <c r="E127" s="123">
        <v>125.71876989508326</v>
      </c>
      <c r="F127" s="123">
        <v>345.06511662773528</v>
      </c>
      <c r="G127" s="123">
        <v>449.70170656395072</v>
      </c>
      <c r="H127" s="123">
        <v>582.65296383062446</v>
      </c>
      <c r="I127" s="123">
        <v>34.079100246432688</v>
      </c>
      <c r="J127" s="123">
        <v>0</v>
      </c>
      <c r="K127" s="123">
        <v>0</v>
      </c>
      <c r="L127" s="123">
        <v>0</v>
      </c>
      <c r="M127" s="123">
        <v>0</v>
      </c>
      <c r="N127" s="123">
        <v>0</v>
      </c>
      <c r="O127" s="123">
        <v>0</v>
      </c>
      <c r="P127" s="123">
        <v>0</v>
      </c>
      <c r="Q127" s="123">
        <v>0</v>
      </c>
      <c r="R127" s="123">
        <v>0</v>
      </c>
      <c r="S127" s="123">
        <v>0</v>
      </c>
      <c r="T127" s="123">
        <v>0</v>
      </c>
      <c r="U127" s="123">
        <v>0</v>
      </c>
      <c r="V127" s="123">
        <v>0</v>
      </c>
      <c r="W127" s="123">
        <v>0</v>
      </c>
      <c r="X127" s="123">
        <v>0</v>
      </c>
      <c r="Y127" s="123">
        <v>0</v>
      </c>
      <c r="Z127" s="123">
        <v>0</v>
      </c>
      <c r="AA127" s="123">
        <v>0</v>
      </c>
      <c r="AB127" s="123">
        <v>0</v>
      </c>
      <c r="AC127" s="123">
        <v>0</v>
      </c>
      <c r="AD127" s="123">
        <v>0</v>
      </c>
      <c r="AE127" s="123">
        <v>0</v>
      </c>
      <c r="AF127" s="123">
        <v>0</v>
      </c>
      <c r="AG127" s="123">
        <v>0</v>
      </c>
      <c r="AH127" s="123">
        <v>0</v>
      </c>
      <c r="AI127" s="123">
        <v>0</v>
      </c>
      <c r="AJ127" s="123">
        <v>0</v>
      </c>
      <c r="AK127" s="123">
        <v>0</v>
      </c>
      <c r="AL127" s="123">
        <v>0</v>
      </c>
      <c r="AM127" s="123">
        <v>0</v>
      </c>
      <c r="AN127" s="123">
        <v>0</v>
      </c>
      <c r="AO127" s="123">
        <v>0</v>
      </c>
      <c r="AP127" s="123">
        <v>0</v>
      </c>
      <c r="AQ127" s="123">
        <v>0</v>
      </c>
      <c r="AR127" s="123">
        <v>0</v>
      </c>
      <c r="AS127" s="123">
        <v>0</v>
      </c>
      <c r="AT127" s="123">
        <v>0</v>
      </c>
      <c r="AU127" s="123">
        <v>0</v>
      </c>
      <c r="AV127" s="123">
        <v>0</v>
      </c>
      <c r="AW127" s="123">
        <v>0</v>
      </c>
      <c r="AX127" s="123">
        <v>0</v>
      </c>
      <c r="AY127" s="123">
        <v>0</v>
      </c>
    </row>
    <row r="128" spans="1:52" x14ac:dyDescent="0.2">
      <c r="A128" s="126"/>
      <c r="B128" s="135">
        <v>7</v>
      </c>
      <c r="C128" s="123">
        <v>0</v>
      </c>
      <c r="D128" s="123">
        <v>0</v>
      </c>
      <c r="E128" s="123">
        <v>0</v>
      </c>
      <c r="F128" s="123">
        <v>0</v>
      </c>
      <c r="G128" s="123">
        <v>0</v>
      </c>
      <c r="H128" s="123">
        <v>0</v>
      </c>
      <c r="I128" s="123">
        <v>0</v>
      </c>
      <c r="J128" s="123">
        <v>0</v>
      </c>
      <c r="K128" s="123">
        <v>0</v>
      </c>
      <c r="L128" s="123">
        <v>0</v>
      </c>
      <c r="M128" s="123">
        <v>0</v>
      </c>
      <c r="N128" s="123">
        <v>0</v>
      </c>
      <c r="O128" s="123">
        <v>0</v>
      </c>
      <c r="P128" s="123">
        <v>0</v>
      </c>
      <c r="Q128" s="123">
        <v>0</v>
      </c>
      <c r="R128" s="123">
        <v>0</v>
      </c>
      <c r="S128" s="123">
        <v>0</v>
      </c>
      <c r="T128" s="123">
        <v>0</v>
      </c>
      <c r="U128" s="123">
        <v>0</v>
      </c>
      <c r="V128" s="123">
        <v>0</v>
      </c>
      <c r="W128" s="123">
        <v>0</v>
      </c>
      <c r="X128" s="123">
        <v>0</v>
      </c>
      <c r="Y128" s="123">
        <v>0</v>
      </c>
      <c r="Z128" s="123">
        <v>0</v>
      </c>
      <c r="AA128" s="123">
        <v>0</v>
      </c>
      <c r="AB128" s="123">
        <v>0</v>
      </c>
      <c r="AC128" s="123">
        <v>0</v>
      </c>
      <c r="AD128" s="123">
        <v>0</v>
      </c>
      <c r="AE128" s="123">
        <v>0</v>
      </c>
      <c r="AF128" s="123">
        <v>0</v>
      </c>
      <c r="AG128" s="123">
        <v>0</v>
      </c>
      <c r="AH128" s="123">
        <v>0</v>
      </c>
      <c r="AI128" s="123">
        <v>0</v>
      </c>
      <c r="AJ128" s="123">
        <v>0</v>
      </c>
      <c r="AK128" s="123">
        <v>0</v>
      </c>
      <c r="AL128" s="123">
        <v>0</v>
      </c>
      <c r="AM128" s="123">
        <v>0</v>
      </c>
      <c r="AN128" s="123">
        <v>0</v>
      </c>
      <c r="AO128" s="123">
        <v>0</v>
      </c>
      <c r="AP128" s="123">
        <v>0</v>
      </c>
      <c r="AQ128" s="123">
        <v>0</v>
      </c>
      <c r="AR128" s="123">
        <v>0</v>
      </c>
      <c r="AS128" s="123">
        <v>0</v>
      </c>
      <c r="AT128" s="123">
        <v>0</v>
      </c>
      <c r="AU128" s="123">
        <v>0</v>
      </c>
      <c r="AV128" s="123">
        <v>0</v>
      </c>
      <c r="AW128" s="123">
        <v>0</v>
      </c>
      <c r="AX128" s="123">
        <v>0</v>
      </c>
      <c r="AY128" s="123">
        <v>0</v>
      </c>
    </row>
    <row r="129" spans="1:51" x14ac:dyDescent="0.2">
      <c r="A129" s="126"/>
      <c r="B129" s="135">
        <v>8</v>
      </c>
      <c r="C129" s="123">
        <v>0</v>
      </c>
      <c r="D129" s="123">
        <v>0</v>
      </c>
      <c r="E129" s="123">
        <v>0</v>
      </c>
      <c r="F129" s="123">
        <v>0</v>
      </c>
      <c r="G129" s="123">
        <v>0</v>
      </c>
      <c r="H129" s="123">
        <v>0</v>
      </c>
      <c r="I129" s="123">
        <v>0</v>
      </c>
      <c r="J129" s="123">
        <v>0</v>
      </c>
      <c r="K129" s="123">
        <v>0</v>
      </c>
      <c r="L129" s="123">
        <v>0</v>
      </c>
      <c r="M129" s="123">
        <v>0</v>
      </c>
      <c r="N129" s="123">
        <v>0</v>
      </c>
      <c r="O129" s="123">
        <v>0</v>
      </c>
      <c r="P129" s="123">
        <v>0</v>
      </c>
      <c r="Q129" s="123">
        <v>0</v>
      </c>
      <c r="R129" s="123">
        <v>0</v>
      </c>
      <c r="S129" s="123">
        <v>0</v>
      </c>
      <c r="T129" s="123">
        <v>0</v>
      </c>
      <c r="U129" s="123">
        <v>0</v>
      </c>
      <c r="V129" s="123">
        <v>0</v>
      </c>
      <c r="W129" s="123">
        <v>0</v>
      </c>
      <c r="X129" s="123">
        <v>0</v>
      </c>
      <c r="Y129" s="123">
        <v>0</v>
      </c>
      <c r="Z129" s="123">
        <v>0</v>
      </c>
      <c r="AA129" s="123">
        <v>0</v>
      </c>
      <c r="AB129" s="123">
        <v>0</v>
      </c>
      <c r="AC129" s="123">
        <v>0</v>
      </c>
      <c r="AD129" s="123">
        <v>0</v>
      </c>
      <c r="AE129" s="123">
        <v>0</v>
      </c>
      <c r="AF129" s="123">
        <v>0</v>
      </c>
      <c r="AG129" s="123">
        <v>0</v>
      </c>
      <c r="AH129" s="123">
        <v>0</v>
      </c>
      <c r="AI129" s="123">
        <v>0</v>
      </c>
      <c r="AJ129" s="123">
        <v>0</v>
      </c>
      <c r="AK129" s="123">
        <v>0</v>
      </c>
      <c r="AL129" s="123">
        <v>0</v>
      </c>
      <c r="AM129" s="123">
        <v>0</v>
      </c>
      <c r="AN129" s="123">
        <v>0</v>
      </c>
      <c r="AO129" s="123">
        <v>0</v>
      </c>
      <c r="AP129" s="123">
        <v>0</v>
      </c>
      <c r="AQ129" s="123">
        <v>0</v>
      </c>
      <c r="AR129" s="123">
        <v>0</v>
      </c>
      <c r="AS129" s="123">
        <v>0</v>
      </c>
      <c r="AT129" s="123">
        <v>0</v>
      </c>
      <c r="AU129" s="123">
        <v>0</v>
      </c>
      <c r="AV129" s="123">
        <v>0</v>
      </c>
      <c r="AW129" s="123">
        <v>0</v>
      </c>
      <c r="AX129" s="123">
        <v>0</v>
      </c>
      <c r="AY129" s="123">
        <v>0</v>
      </c>
    </row>
    <row r="130" spans="1:51" x14ac:dyDescent="0.2">
      <c r="A130" s="126"/>
      <c r="B130" s="135">
        <v>9</v>
      </c>
      <c r="C130" s="123">
        <v>0</v>
      </c>
      <c r="D130" s="123">
        <v>0</v>
      </c>
      <c r="E130" s="123">
        <v>0</v>
      </c>
      <c r="F130" s="123">
        <v>0</v>
      </c>
      <c r="G130" s="123">
        <v>0</v>
      </c>
      <c r="H130" s="123">
        <v>0</v>
      </c>
      <c r="I130" s="123">
        <v>0</v>
      </c>
      <c r="J130" s="123">
        <v>0</v>
      </c>
      <c r="K130" s="123">
        <v>0</v>
      </c>
      <c r="L130" s="123">
        <v>0</v>
      </c>
      <c r="M130" s="123">
        <v>0</v>
      </c>
      <c r="N130" s="123">
        <v>0</v>
      </c>
      <c r="O130" s="123">
        <v>0</v>
      </c>
      <c r="P130" s="123">
        <v>0</v>
      </c>
      <c r="Q130" s="123">
        <v>0</v>
      </c>
      <c r="R130" s="123">
        <v>0</v>
      </c>
      <c r="S130" s="123">
        <v>0</v>
      </c>
      <c r="T130" s="123">
        <v>0</v>
      </c>
      <c r="U130" s="123">
        <v>0</v>
      </c>
      <c r="V130" s="123">
        <v>0</v>
      </c>
      <c r="W130" s="123">
        <v>0</v>
      </c>
      <c r="X130" s="123">
        <v>0</v>
      </c>
      <c r="Y130" s="123">
        <v>0</v>
      </c>
      <c r="Z130" s="123">
        <v>0</v>
      </c>
      <c r="AA130" s="123">
        <v>0</v>
      </c>
      <c r="AB130" s="123">
        <v>0</v>
      </c>
      <c r="AC130" s="123">
        <v>0</v>
      </c>
      <c r="AD130" s="123">
        <v>0</v>
      </c>
      <c r="AE130" s="123">
        <v>0</v>
      </c>
      <c r="AF130" s="123">
        <v>0</v>
      </c>
      <c r="AG130" s="123">
        <v>0</v>
      </c>
      <c r="AH130" s="123">
        <v>0</v>
      </c>
      <c r="AI130" s="123">
        <v>0</v>
      </c>
      <c r="AJ130" s="123">
        <v>0</v>
      </c>
      <c r="AK130" s="123">
        <v>0</v>
      </c>
      <c r="AL130" s="123">
        <v>0</v>
      </c>
      <c r="AM130" s="123">
        <v>0</v>
      </c>
      <c r="AN130" s="123">
        <v>0</v>
      </c>
      <c r="AO130" s="123">
        <v>0</v>
      </c>
      <c r="AP130" s="123">
        <v>0</v>
      </c>
      <c r="AQ130" s="123">
        <v>0</v>
      </c>
      <c r="AR130" s="123">
        <v>0</v>
      </c>
      <c r="AS130" s="123">
        <v>0</v>
      </c>
      <c r="AT130" s="123">
        <v>0</v>
      </c>
      <c r="AU130" s="123">
        <v>0</v>
      </c>
      <c r="AV130" s="123">
        <v>0</v>
      </c>
      <c r="AW130" s="123">
        <v>0</v>
      </c>
      <c r="AX130" s="123">
        <v>0</v>
      </c>
      <c r="AY130" s="123">
        <v>0</v>
      </c>
    </row>
    <row r="131" spans="1:51" x14ac:dyDescent="0.2">
      <c r="A131" s="126"/>
      <c r="B131" s="135">
        <v>10</v>
      </c>
      <c r="C131" s="123">
        <v>0</v>
      </c>
      <c r="D131" s="123">
        <v>0</v>
      </c>
      <c r="E131" s="123">
        <v>0</v>
      </c>
      <c r="F131" s="123">
        <v>0</v>
      </c>
      <c r="G131" s="123">
        <v>0</v>
      </c>
      <c r="H131" s="123">
        <v>0</v>
      </c>
      <c r="I131" s="123">
        <v>0</v>
      </c>
      <c r="J131" s="123">
        <v>0</v>
      </c>
      <c r="K131" s="123">
        <v>0</v>
      </c>
      <c r="L131" s="123">
        <v>0</v>
      </c>
      <c r="M131" s="123">
        <v>0</v>
      </c>
      <c r="N131" s="123">
        <v>0</v>
      </c>
      <c r="O131" s="123">
        <v>0</v>
      </c>
      <c r="P131" s="123">
        <v>0</v>
      </c>
      <c r="Q131" s="123">
        <v>0</v>
      </c>
      <c r="R131" s="123">
        <v>0</v>
      </c>
      <c r="S131" s="123">
        <v>0</v>
      </c>
      <c r="T131" s="123">
        <v>0</v>
      </c>
      <c r="U131" s="123">
        <v>0</v>
      </c>
      <c r="V131" s="123">
        <v>0</v>
      </c>
      <c r="W131" s="123">
        <v>0</v>
      </c>
      <c r="X131" s="123">
        <v>0</v>
      </c>
      <c r="Y131" s="123">
        <v>0</v>
      </c>
      <c r="Z131" s="123">
        <v>0</v>
      </c>
      <c r="AA131" s="123">
        <v>0</v>
      </c>
      <c r="AB131" s="123">
        <v>0</v>
      </c>
      <c r="AC131" s="123">
        <v>0</v>
      </c>
      <c r="AD131" s="123">
        <v>0</v>
      </c>
      <c r="AE131" s="123">
        <v>0</v>
      </c>
      <c r="AF131" s="123">
        <v>0</v>
      </c>
      <c r="AG131" s="123">
        <v>0</v>
      </c>
      <c r="AH131" s="123">
        <v>0</v>
      </c>
      <c r="AI131" s="123">
        <v>0</v>
      </c>
      <c r="AJ131" s="123">
        <v>0</v>
      </c>
      <c r="AK131" s="123">
        <v>0</v>
      </c>
      <c r="AL131" s="123">
        <v>0</v>
      </c>
      <c r="AM131" s="123">
        <v>0</v>
      </c>
      <c r="AN131" s="123">
        <v>0</v>
      </c>
      <c r="AO131" s="123">
        <v>0</v>
      </c>
      <c r="AP131" s="123">
        <v>0</v>
      </c>
      <c r="AQ131" s="123">
        <v>0</v>
      </c>
      <c r="AR131" s="123">
        <v>0</v>
      </c>
      <c r="AS131" s="123">
        <v>0</v>
      </c>
      <c r="AT131" s="123">
        <v>0</v>
      </c>
      <c r="AU131" s="123">
        <v>0</v>
      </c>
      <c r="AV131" s="123">
        <v>0</v>
      </c>
      <c r="AW131" s="123">
        <v>0</v>
      </c>
      <c r="AX131" s="123">
        <v>0</v>
      </c>
      <c r="AY131" s="123">
        <v>0</v>
      </c>
    </row>
    <row r="132" spans="1:51" x14ac:dyDescent="0.2">
      <c r="A132" s="126"/>
      <c r="B132" s="135">
        <v>11</v>
      </c>
      <c r="C132" s="123">
        <v>0</v>
      </c>
      <c r="D132" s="123">
        <v>0</v>
      </c>
      <c r="E132" s="123">
        <v>0</v>
      </c>
      <c r="F132" s="123">
        <v>0</v>
      </c>
      <c r="G132" s="123">
        <v>0</v>
      </c>
      <c r="H132" s="123">
        <v>0</v>
      </c>
      <c r="I132" s="123">
        <v>0</v>
      </c>
      <c r="J132" s="123">
        <v>0</v>
      </c>
      <c r="K132" s="123">
        <v>0</v>
      </c>
      <c r="L132" s="123">
        <v>0</v>
      </c>
      <c r="M132" s="123">
        <v>0</v>
      </c>
      <c r="N132" s="123">
        <v>0</v>
      </c>
      <c r="O132" s="123">
        <v>0</v>
      </c>
      <c r="P132" s="123">
        <v>0</v>
      </c>
      <c r="Q132" s="123">
        <v>0</v>
      </c>
      <c r="R132" s="123">
        <v>0</v>
      </c>
      <c r="S132" s="123">
        <v>0</v>
      </c>
      <c r="T132" s="123">
        <v>0</v>
      </c>
      <c r="U132" s="123">
        <v>0</v>
      </c>
      <c r="V132" s="123">
        <v>0</v>
      </c>
      <c r="W132" s="123">
        <v>0</v>
      </c>
      <c r="X132" s="123">
        <v>0</v>
      </c>
      <c r="Y132" s="123">
        <v>0</v>
      </c>
      <c r="Z132" s="123">
        <v>0</v>
      </c>
      <c r="AA132" s="123">
        <v>0</v>
      </c>
      <c r="AB132" s="123">
        <v>0</v>
      </c>
      <c r="AC132" s="123">
        <v>0</v>
      </c>
      <c r="AD132" s="123">
        <v>0</v>
      </c>
      <c r="AE132" s="123">
        <v>0</v>
      </c>
      <c r="AF132" s="123">
        <v>0</v>
      </c>
      <c r="AG132" s="123">
        <v>0</v>
      </c>
      <c r="AH132" s="123">
        <v>0</v>
      </c>
      <c r="AI132" s="123">
        <v>0</v>
      </c>
      <c r="AJ132" s="123">
        <v>0</v>
      </c>
      <c r="AK132" s="123">
        <v>0</v>
      </c>
      <c r="AL132" s="123">
        <v>0</v>
      </c>
      <c r="AM132" s="123">
        <v>0</v>
      </c>
      <c r="AN132" s="123">
        <v>0</v>
      </c>
      <c r="AO132" s="123">
        <v>0</v>
      </c>
      <c r="AP132" s="123">
        <v>0</v>
      </c>
      <c r="AQ132" s="123">
        <v>0</v>
      </c>
      <c r="AR132" s="123">
        <v>0</v>
      </c>
      <c r="AS132" s="123">
        <v>0</v>
      </c>
      <c r="AT132" s="123">
        <v>0</v>
      </c>
      <c r="AU132" s="123">
        <v>0</v>
      </c>
      <c r="AV132" s="123">
        <v>0</v>
      </c>
      <c r="AW132" s="123">
        <v>0</v>
      </c>
      <c r="AX132" s="123">
        <v>0</v>
      </c>
      <c r="AY132" s="123">
        <v>0</v>
      </c>
    </row>
    <row r="133" spans="1:51" x14ac:dyDescent="0.2">
      <c r="A133" s="126"/>
      <c r="B133" s="135">
        <v>12</v>
      </c>
      <c r="C133" s="123">
        <v>0</v>
      </c>
      <c r="D133" s="123">
        <v>0</v>
      </c>
      <c r="E133" s="123">
        <v>0</v>
      </c>
      <c r="F133" s="123">
        <v>0</v>
      </c>
      <c r="G133" s="123">
        <v>0</v>
      </c>
      <c r="H133" s="123">
        <v>0</v>
      </c>
      <c r="I133" s="123">
        <v>0</v>
      </c>
      <c r="J133" s="123">
        <v>0</v>
      </c>
      <c r="K133" s="123">
        <v>0</v>
      </c>
      <c r="L133" s="123">
        <v>0</v>
      </c>
      <c r="M133" s="123">
        <v>0</v>
      </c>
      <c r="N133" s="123">
        <v>0</v>
      </c>
      <c r="O133" s="123">
        <v>0</v>
      </c>
      <c r="P133" s="123">
        <v>0</v>
      </c>
      <c r="Q133" s="123">
        <v>0</v>
      </c>
      <c r="R133" s="123">
        <v>0</v>
      </c>
      <c r="S133" s="123">
        <v>0</v>
      </c>
      <c r="T133" s="123">
        <v>0</v>
      </c>
      <c r="U133" s="123">
        <v>0</v>
      </c>
      <c r="V133" s="123">
        <v>0</v>
      </c>
      <c r="W133" s="123">
        <v>0</v>
      </c>
      <c r="X133" s="123">
        <v>0</v>
      </c>
      <c r="Y133" s="123">
        <v>0</v>
      </c>
      <c r="Z133" s="123">
        <v>0</v>
      </c>
      <c r="AA133" s="123">
        <v>0</v>
      </c>
      <c r="AB133" s="123">
        <v>0</v>
      </c>
      <c r="AC133" s="123">
        <v>0</v>
      </c>
      <c r="AD133" s="123">
        <v>0</v>
      </c>
      <c r="AE133" s="123">
        <v>0</v>
      </c>
      <c r="AF133" s="123">
        <v>0</v>
      </c>
      <c r="AG133" s="123">
        <v>0</v>
      </c>
      <c r="AH133" s="123">
        <v>0</v>
      </c>
      <c r="AI133" s="123">
        <v>0</v>
      </c>
      <c r="AJ133" s="123">
        <v>0</v>
      </c>
      <c r="AK133" s="123">
        <v>0</v>
      </c>
      <c r="AL133" s="123">
        <v>0</v>
      </c>
      <c r="AM133" s="123">
        <v>0</v>
      </c>
      <c r="AN133" s="123">
        <v>0</v>
      </c>
      <c r="AO133" s="123">
        <v>0</v>
      </c>
      <c r="AP133" s="123">
        <v>0</v>
      </c>
      <c r="AQ133" s="123">
        <v>0</v>
      </c>
      <c r="AR133" s="123">
        <v>0</v>
      </c>
      <c r="AS133" s="123">
        <v>0</v>
      </c>
      <c r="AT133" s="123">
        <v>0</v>
      </c>
      <c r="AU133" s="123">
        <v>0</v>
      </c>
      <c r="AV133" s="123">
        <v>0</v>
      </c>
      <c r="AW133" s="123">
        <v>0</v>
      </c>
      <c r="AX133" s="123">
        <v>0</v>
      </c>
      <c r="AY133" s="123">
        <v>0</v>
      </c>
    </row>
    <row r="134" spans="1:51" x14ac:dyDescent="0.2">
      <c r="A134" s="126"/>
      <c r="B134" s="136">
        <v>13</v>
      </c>
      <c r="C134" s="123">
        <v>0</v>
      </c>
      <c r="D134" s="123">
        <v>0</v>
      </c>
      <c r="E134" s="123">
        <v>0</v>
      </c>
      <c r="F134" s="123">
        <v>0</v>
      </c>
      <c r="G134" s="123">
        <v>0</v>
      </c>
      <c r="H134" s="123">
        <v>0</v>
      </c>
      <c r="I134" s="123">
        <v>0</v>
      </c>
      <c r="J134" s="123">
        <v>0</v>
      </c>
      <c r="K134" s="123">
        <v>0</v>
      </c>
      <c r="L134" s="123">
        <v>0</v>
      </c>
      <c r="M134" s="123">
        <v>0</v>
      </c>
      <c r="N134" s="123">
        <v>0</v>
      </c>
      <c r="O134" s="123">
        <v>0</v>
      </c>
      <c r="P134" s="123">
        <v>0</v>
      </c>
      <c r="Q134" s="123">
        <v>0</v>
      </c>
      <c r="R134" s="123">
        <v>0</v>
      </c>
      <c r="S134" s="123">
        <v>0</v>
      </c>
      <c r="T134" s="123">
        <v>0</v>
      </c>
      <c r="U134" s="123">
        <v>0</v>
      </c>
      <c r="V134" s="123">
        <v>0</v>
      </c>
      <c r="W134" s="123">
        <v>0</v>
      </c>
      <c r="X134" s="123">
        <v>0</v>
      </c>
      <c r="Y134" s="123">
        <v>0</v>
      </c>
      <c r="Z134" s="123">
        <v>0</v>
      </c>
      <c r="AA134" s="123">
        <v>0</v>
      </c>
      <c r="AB134" s="123">
        <v>0</v>
      </c>
      <c r="AC134" s="123">
        <v>0</v>
      </c>
      <c r="AD134" s="123">
        <v>0</v>
      </c>
      <c r="AE134" s="123">
        <v>0</v>
      </c>
      <c r="AF134" s="123">
        <v>0</v>
      </c>
      <c r="AG134" s="123">
        <v>0</v>
      </c>
      <c r="AH134" s="123">
        <v>0</v>
      </c>
      <c r="AI134" s="123">
        <v>0</v>
      </c>
      <c r="AJ134" s="123">
        <v>0</v>
      </c>
      <c r="AK134" s="123">
        <v>0</v>
      </c>
      <c r="AL134" s="123">
        <v>0</v>
      </c>
      <c r="AM134" s="123">
        <v>0</v>
      </c>
      <c r="AN134" s="123">
        <v>0</v>
      </c>
      <c r="AO134" s="123">
        <v>0</v>
      </c>
      <c r="AP134" s="123">
        <v>0</v>
      </c>
      <c r="AQ134" s="123">
        <v>0</v>
      </c>
      <c r="AR134" s="123">
        <v>0</v>
      </c>
      <c r="AS134" s="123">
        <v>0</v>
      </c>
      <c r="AT134" s="123">
        <v>0</v>
      </c>
      <c r="AU134" s="123">
        <v>0</v>
      </c>
      <c r="AV134" s="123">
        <v>0</v>
      </c>
      <c r="AW134" s="123">
        <v>0</v>
      </c>
      <c r="AX134" s="123">
        <v>0</v>
      </c>
      <c r="AY134" s="123">
        <v>0</v>
      </c>
    </row>
    <row r="135" spans="1:51" x14ac:dyDescent="0.2">
      <c r="A135" s="126"/>
      <c r="B135" s="136">
        <v>14</v>
      </c>
      <c r="C135" s="123">
        <v>0</v>
      </c>
      <c r="D135" s="123">
        <v>0</v>
      </c>
      <c r="E135" s="123">
        <v>0</v>
      </c>
      <c r="F135" s="123">
        <v>0</v>
      </c>
      <c r="G135" s="123">
        <v>0</v>
      </c>
      <c r="H135" s="123">
        <v>0</v>
      </c>
      <c r="I135" s="123">
        <v>0</v>
      </c>
      <c r="J135" s="123">
        <v>0</v>
      </c>
      <c r="K135" s="123">
        <v>0</v>
      </c>
      <c r="L135" s="123">
        <v>0</v>
      </c>
      <c r="M135" s="123">
        <v>0</v>
      </c>
      <c r="N135" s="123">
        <v>0</v>
      </c>
      <c r="O135" s="123">
        <v>0</v>
      </c>
      <c r="P135" s="123">
        <v>0</v>
      </c>
      <c r="Q135" s="123">
        <v>0</v>
      </c>
      <c r="R135" s="123">
        <v>0</v>
      </c>
      <c r="S135" s="123">
        <v>0</v>
      </c>
      <c r="T135" s="123">
        <v>0</v>
      </c>
      <c r="U135" s="123">
        <v>0</v>
      </c>
      <c r="V135" s="123">
        <v>0</v>
      </c>
      <c r="W135" s="123">
        <v>0</v>
      </c>
      <c r="X135" s="123">
        <v>0</v>
      </c>
      <c r="Y135" s="123">
        <v>0</v>
      </c>
      <c r="Z135" s="123">
        <v>0</v>
      </c>
      <c r="AA135" s="123">
        <v>0</v>
      </c>
      <c r="AB135" s="123">
        <v>0</v>
      </c>
      <c r="AC135" s="123">
        <v>0</v>
      </c>
      <c r="AD135" s="123">
        <v>0</v>
      </c>
      <c r="AE135" s="123">
        <v>0</v>
      </c>
      <c r="AF135" s="123">
        <v>0</v>
      </c>
      <c r="AG135" s="123">
        <v>0</v>
      </c>
      <c r="AH135" s="123">
        <v>0</v>
      </c>
      <c r="AI135" s="123">
        <v>0</v>
      </c>
      <c r="AJ135" s="123">
        <v>0</v>
      </c>
      <c r="AK135" s="123">
        <v>0</v>
      </c>
      <c r="AL135" s="123">
        <v>0</v>
      </c>
      <c r="AM135" s="123">
        <v>0</v>
      </c>
      <c r="AN135" s="123">
        <v>0</v>
      </c>
      <c r="AO135" s="123">
        <v>0</v>
      </c>
      <c r="AP135" s="123">
        <v>0</v>
      </c>
      <c r="AQ135" s="123">
        <v>0</v>
      </c>
      <c r="AR135" s="123">
        <v>0</v>
      </c>
      <c r="AS135" s="123">
        <v>0</v>
      </c>
      <c r="AT135" s="123">
        <v>0</v>
      </c>
      <c r="AU135" s="123">
        <v>0</v>
      </c>
      <c r="AV135" s="123">
        <v>0</v>
      </c>
      <c r="AW135" s="123">
        <v>0</v>
      </c>
      <c r="AX135" s="123">
        <v>0</v>
      </c>
      <c r="AY135" s="123">
        <v>0</v>
      </c>
    </row>
    <row r="136" spans="1:51" x14ac:dyDescent="0.2">
      <c r="A136" s="126"/>
      <c r="B136" s="136">
        <v>15</v>
      </c>
      <c r="C136" s="123">
        <v>0</v>
      </c>
      <c r="D136" s="123">
        <v>0</v>
      </c>
      <c r="E136" s="123">
        <v>0</v>
      </c>
      <c r="F136" s="123">
        <v>0</v>
      </c>
      <c r="G136" s="123">
        <v>0</v>
      </c>
      <c r="H136" s="123">
        <v>0</v>
      </c>
      <c r="I136" s="123">
        <v>0</v>
      </c>
      <c r="J136" s="123">
        <v>0</v>
      </c>
      <c r="K136" s="123">
        <v>0</v>
      </c>
      <c r="L136" s="123">
        <v>0</v>
      </c>
      <c r="M136" s="123">
        <v>0</v>
      </c>
      <c r="N136" s="123">
        <v>0</v>
      </c>
      <c r="O136" s="123">
        <v>0</v>
      </c>
      <c r="P136" s="123">
        <v>0</v>
      </c>
      <c r="Q136" s="123">
        <v>0</v>
      </c>
      <c r="R136" s="123">
        <v>0</v>
      </c>
      <c r="S136" s="123">
        <v>0</v>
      </c>
      <c r="T136" s="123">
        <v>0</v>
      </c>
      <c r="U136" s="123">
        <v>0</v>
      </c>
      <c r="V136" s="123">
        <v>0</v>
      </c>
      <c r="W136" s="123">
        <v>0</v>
      </c>
      <c r="X136" s="123">
        <v>0</v>
      </c>
      <c r="Y136" s="123">
        <v>0</v>
      </c>
      <c r="Z136" s="123">
        <v>0</v>
      </c>
      <c r="AA136" s="123">
        <v>0</v>
      </c>
      <c r="AB136" s="123">
        <v>0</v>
      </c>
      <c r="AC136" s="123">
        <v>0</v>
      </c>
      <c r="AD136" s="123">
        <v>0</v>
      </c>
      <c r="AE136" s="123">
        <v>0</v>
      </c>
      <c r="AF136" s="123">
        <v>0</v>
      </c>
      <c r="AG136" s="123">
        <v>0</v>
      </c>
      <c r="AH136" s="123">
        <v>0</v>
      </c>
      <c r="AI136" s="123">
        <v>0</v>
      </c>
      <c r="AJ136" s="123">
        <v>0</v>
      </c>
      <c r="AK136" s="123">
        <v>0</v>
      </c>
      <c r="AL136" s="123">
        <v>0</v>
      </c>
      <c r="AM136" s="123">
        <v>0</v>
      </c>
      <c r="AN136" s="123">
        <v>0</v>
      </c>
      <c r="AO136" s="123">
        <v>0</v>
      </c>
      <c r="AP136" s="123">
        <v>0</v>
      </c>
      <c r="AQ136" s="123">
        <v>0</v>
      </c>
      <c r="AR136" s="123">
        <v>0</v>
      </c>
      <c r="AS136" s="123">
        <v>0</v>
      </c>
      <c r="AT136" s="123">
        <v>0</v>
      </c>
      <c r="AU136" s="123">
        <v>0</v>
      </c>
      <c r="AV136" s="123">
        <v>0</v>
      </c>
      <c r="AW136" s="123">
        <v>0</v>
      </c>
      <c r="AX136" s="123">
        <v>0</v>
      </c>
      <c r="AY136" s="123">
        <v>0</v>
      </c>
    </row>
    <row r="137" spans="1:51" x14ac:dyDescent="0.2">
      <c r="A137" s="126"/>
      <c r="B137" s="136">
        <v>16</v>
      </c>
      <c r="C137" s="123">
        <v>0</v>
      </c>
      <c r="D137" s="123">
        <v>0</v>
      </c>
      <c r="E137" s="123">
        <v>0</v>
      </c>
      <c r="F137" s="123">
        <v>0</v>
      </c>
      <c r="G137" s="123">
        <v>0</v>
      </c>
      <c r="H137" s="123">
        <v>0</v>
      </c>
      <c r="I137" s="123">
        <v>0</v>
      </c>
      <c r="J137" s="123">
        <v>0</v>
      </c>
      <c r="K137" s="123">
        <v>0</v>
      </c>
      <c r="L137" s="123">
        <v>0</v>
      </c>
      <c r="M137" s="123">
        <v>0</v>
      </c>
      <c r="N137" s="123">
        <v>0</v>
      </c>
      <c r="O137" s="123">
        <v>0</v>
      </c>
      <c r="P137" s="123">
        <v>0</v>
      </c>
      <c r="Q137" s="123">
        <v>0</v>
      </c>
      <c r="R137" s="123">
        <v>0</v>
      </c>
      <c r="S137" s="123">
        <v>0</v>
      </c>
      <c r="T137" s="123">
        <v>0</v>
      </c>
      <c r="U137" s="123">
        <v>0</v>
      </c>
      <c r="V137" s="123">
        <v>0</v>
      </c>
      <c r="W137" s="123">
        <v>0</v>
      </c>
      <c r="X137" s="123">
        <v>0</v>
      </c>
      <c r="Y137" s="123">
        <v>0</v>
      </c>
      <c r="Z137" s="123">
        <v>0</v>
      </c>
      <c r="AA137" s="123">
        <v>0</v>
      </c>
      <c r="AB137" s="123">
        <v>0</v>
      </c>
      <c r="AC137" s="123">
        <v>0</v>
      </c>
      <c r="AD137" s="123">
        <v>0</v>
      </c>
      <c r="AE137" s="123">
        <v>0</v>
      </c>
      <c r="AF137" s="123">
        <v>0</v>
      </c>
      <c r="AG137" s="123">
        <v>0</v>
      </c>
      <c r="AH137" s="123">
        <v>0</v>
      </c>
      <c r="AI137" s="123">
        <v>0</v>
      </c>
      <c r="AJ137" s="123">
        <v>0</v>
      </c>
      <c r="AK137" s="123">
        <v>0</v>
      </c>
      <c r="AL137" s="123">
        <v>0</v>
      </c>
      <c r="AM137" s="123">
        <v>0</v>
      </c>
      <c r="AN137" s="123">
        <v>0</v>
      </c>
      <c r="AO137" s="123">
        <v>0</v>
      </c>
      <c r="AP137" s="123">
        <v>0</v>
      </c>
      <c r="AQ137" s="123">
        <v>0</v>
      </c>
      <c r="AR137" s="123">
        <v>0</v>
      </c>
      <c r="AS137" s="123">
        <v>0</v>
      </c>
      <c r="AT137" s="123">
        <v>0</v>
      </c>
      <c r="AU137" s="123">
        <v>0</v>
      </c>
      <c r="AV137" s="123">
        <v>0</v>
      </c>
      <c r="AW137" s="123">
        <v>0</v>
      </c>
      <c r="AX137" s="123">
        <v>0</v>
      </c>
      <c r="AY137" s="123">
        <v>0</v>
      </c>
    </row>
    <row r="138" spans="1:51" x14ac:dyDescent="0.2">
      <c r="A138" s="126"/>
      <c r="B138" s="136">
        <v>17</v>
      </c>
      <c r="C138" s="123">
        <v>0</v>
      </c>
      <c r="D138" s="123">
        <v>0</v>
      </c>
      <c r="E138" s="123">
        <v>0</v>
      </c>
      <c r="F138" s="123">
        <v>0</v>
      </c>
      <c r="G138" s="123">
        <v>0</v>
      </c>
      <c r="H138" s="123">
        <v>0</v>
      </c>
      <c r="I138" s="123">
        <v>0</v>
      </c>
      <c r="J138" s="123">
        <v>0</v>
      </c>
      <c r="K138" s="123">
        <v>0</v>
      </c>
      <c r="L138" s="123">
        <v>0</v>
      </c>
      <c r="M138" s="123">
        <v>0</v>
      </c>
      <c r="N138" s="123">
        <v>0</v>
      </c>
      <c r="O138" s="123">
        <v>0</v>
      </c>
      <c r="P138" s="123">
        <v>0</v>
      </c>
      <c r="Q138" s="123">
        <v>0</v>
      </c>
      <c r="R138" s="123">
        <v>0</v>
      </c>
      <c r="S138" s="123">
        <v>0</v>
      </c>
      <c r="T138" s="123">
        <v>0</v>
      </c>
      <c r="U138" s="123">
        <v>0</v>
      </c>
      <c r="V138" s="123">
        <v>0</v>
      </c>
      <c r="W138" s="123">
        <v>0</v>
      </c>
      <c r="X138" s="123">
        <v>0</v>
      </c>
      <c r="Y138" s="123">
        <v>0</v>
      </c>
      <c r="Z138" s="123">
        <v>0</v>
      </c>
      <c r="AA138" s="123">
        <v>0</v>
      </c>
      <c r="AB138" s="123">
        <v>0</v>
      </c>
      <c r="AC138" s="123">
        <v>0</v>
      </c>
      <c r="AD138" s="123">
        <v>0</v>
      </c>
      <c r="AE138" s="123">
        <v>0</v>
      </c>
      <c r="AF138" s="123">
        <v>0</v>
      </c>
      <c r="AG138" s="123">
        <v>0</v>
      </c>
      <c r="AH138" s="123">
        <v>0</v>
      </c>
      <c r="AI138" s="123">
        <v>0</v>
      </c>
      <c r="AJ138" s="123">
        <v>0</v>
      </c>
      <c r="AK138" s="123">
        <v>0</v>
      </c>
      <c r="AL138" s="123">
        <v>0</v>
      </c>
      <c r="AM138" s="123">
        <v>0</v>
      </c>
      <c r="AN138" s="123">
        <v>0</v>
      </c>
      <c r="AO138" s="123">
        <v>0</v>
      </c>
      <c r="AP138" s="123">
        <v>0</v>
      </c>
      <c r="AQ138" s="123">
        <v>0</v>
      </c>
      <c r="AR138" s="123">
        <v>0</v>
      </c>
      <c r="AS138" s="123">
        <v>0</v>
      </c>
      <c r="AT138" s="123">
        <v>0</v>
      </c>
      <c r="AU138" s="123">
        <v>0</v>
      </c>
      <c r="AV138" s="123">
        <v>0</v>
      </c>
      <c r="AW138" s="123">
        <v>0</v>
      </c>
      <c r="AX138" s="123">
        <v>0</v>
      </c>
      <c r="AY138" s="123">
        <v>0</v>
      </c>
    </row>
    <row r="139" spans="1:51" x14ac:dyDescent="0.2">
      <c r="A139" s="126"/>
      <c r="B139" s="136">
        <v>18</v>
      </c>
      <c r="C139" s="123">
        <v>0</v>
      </c>
      <c r="D139" s="123">
        <v>0</v>
      </c>
      <c r="E139" s="123">
        <v>0</v>
      </c>
      <c r="F139" s="123">
        <v>0</v>
      </c>
      <c r="G139" s="123">
        <v>0</v>
      </c>
      <c r="H139" s="123">
        <v>0</v>
      </c>
      <c r="I139" s="123">
        <v>0</v>
      </c>
      <c r="J139" s="123">
        <v>0</v>
      </c>
      <c r="K139" s="123">
        <v>0</v>
      </c>
      <c r="L139" s="123">
        <v>0</v>
      </c>
      <c r="M139" s="123">
        <v>0</v>
      </c>
      <c r="N139" s="123">
        <v>0</v>
      </c>
      <c r="O139" s="123">
        <v>0</v>
      </c>
      <c r="P139" s="123">
        <v>0</v>
      </c>
      <c r="Q139" s="123">
        <v>0</v>
      </c>
      <c r="R139" s="123">
        <v>0</v>
      </c>
      <c r="S139" s="123">
        <v>0</v>
      </c>
      <c r="T139" s="123">
        <v>0</v>
      </c>
      <c r="U139" s="123">
        <v>0</v>
      </c>
      <c r="V139" s="123">
        <v>0</v>
      </c>
      <c r="W139" s="123">
        <v>0</v>
      </c>
      <c r="X139" s="123">
        <v>0</v>
      </c>
      <c r="Y139" s="123">
        <v>0</v>
      </c>
      <c r="Z139" s="123">
        <v>0</v>
      </c>
      <c r="AA139" s="123">
        <v>0</v>
      </c>
      <c r="AB139" s="123">
        <v>0</v>
      </c>
      <c r="AC139" s="123">
        <v>0</v>
      </c>
      <c r="AD139" s="123">
        <v>0</v>
      </c>
      <c r="AE139" s="123">
        <v>0</v>
      </c>
      <c r="AF139" s="123">
        <v>0</v>
      </c>
      <c r="AG139" s="123">
        <v>0</v>
      </c>
      <c r="AH139" s="123">
        <v>0</v>
      </c>
      <c r="AI139" s="123">
        <v>0</v>
      </c>
      <c r="AJ139" s="123">
        <v>0</v>
      </c>
      <c r="AK139" s="123">
        <v>0</v>
      </c>
      <c r="AL139" s="123">
        <v>0</v>
      </c>
      <c r="AM139" s="123">
        <v>0</v>
      </c>
      <c r="AN139" s="123">
        <v>0</v>
      </c>
      <c r="AO139" s="123">
        <v>0</v>
      </c>
      <c r="AP139" s="123">
        <v>0</v>
      </c>
      <c r="AQ139" s="123">
        <v>0</v>
      </c>
      <c r="AR139" s="123">
        <v>0</v>
      </c>
      <c r="AS139" s="123">
        <v>0</v>
      </c>
      <c r="AT139" s="123">
        <v>0</v>
      </c>
      <c r="AU139" s="123">
        <v>0</v>
      </c>
      <c r="AV139" s="123">
        <v>0</v>
      </c>
      <c r="AW139" s="123">
        <v>0</v>
      </c>
      <c r="AX139" s="123">
        <v>0</v>
      </c>
      <c r="AY139" s="123">
        <v>0</v>
      </c>
    </row>
    <row r="140" spans="1:51" x14ac:dyDescent="0.2">
      <c r="A140" s="126"/>
      <c r="B140" s="136">
        <v>19</v>
      </c>
      <c r="C140" s="123">
        <v>0</v>
      </c>
      <c r="D140" s="123">
        <v>0</v>
      </c>
      <c r="E140" s="123">
        <v>0</v>
      </c>
      <c r="F140" s="123">
        <v>0</v>
      </c>
      <c r="G140" s="123">
        <v>0</v>
      </c>
      <c r="H140" s="123">
        <v>0</v>
      </c>
      <c r="I140" s="123">
        <v>0</v>
      </c>
      <c r="J140" s="123">
        <v>0</v>
      </c>
      <c r="K140" s="123">
        <v>0</v>
      </c>
      <c r="L140" s="123">
        <v>0</v>
      </c>
      <c r="M140" s="123">
        <v>0</v>
      </c>
      <c r="N140" s="123">
        <v>0</v>
      </c>
      <c r="O140" s="123">
        <v>0</v>
      </c>
      <c r="P140" s="123">
        <v>0</v>
      </c>
      <c r="Q140" s="123">
        <v>0</v>
      </c>
      <c r="R140" s="123">
        <v>0</v>
      </c>
      <c r="S140" s="123">
        <v>0</v>
      </c>
      <c r="T140" s="123">
        <v>0</v>
      </c>
      <c r="U140" s="123">
        <v>0</v>
      </c>
      <c r="V140" s="123">
        <v>0</v>
      </c>
      <c r="W140" s="123">
        <v>0</v>
      </c>
      <c r="X140" s="123">
        <v>0</v>
      </c>
      <c r="Y140" s="123">
        <v>0</v>
      </c>
      <c r="Z140" s="123">
        <v>0</v>
      </c>
      <c r="AA140" s="123">
        <v>0</v>
      </c>
      <c r="AB140" s="123">
        <v>0</v>
      </c>
      <c r="AC140" s="123">
        <v>0</v>
      </c>
      <c r="AD140" s="123">
        <v>0</v>
      </c>
      <c r="AE140" s="123">
        <v>0</v>
      </c>
      <c r="AF140" s="123">
        <v>0</v>
      </c>
      <c r="AG140" s="123">
        <v>0</v>
      </c>
      <c r="AH140" s="123">
        <v>0</v>
      </c>
      <c r="AI140" s="123">
        <v>0</v>
      </c>
      <c r="AJ140" s="123">
        <v>0</v>
      </c>
      <c r="AK140" s="123">
        <v>0</v>
      </c>
      <c r="AL140" s="123">
        <v>0</v>
      </c>
      <c r="AM140" s="123">
        <v>0</v>
      </c>
      <c r="AN140" s="123">
        <v>0</v>
      </c>
      <c r="AO140" s="123">
        <v>0</v>
      </c>
      <c r="AP140" s="123">
        <v>0</v>
      </c>
      <c r="AQ140" s="123">
        <v>0</v>
      </c>
      <c r="AR140" s="123">
        <v>0</v>
      </c>
      <c r="AS140" s="123">
        <v>0</v>
      </c>
      <c r="AT140" s="123">
        <v>0</v>
      </c>
      <c r="AU140" s="123">
        <v>0</v>
      </c>
      <c r="AV140" s="123">
        <v>0</v>
      </c>
      <c r="AW140" s="123">
        <v>0</v>
      </c>
      <c r="AX140" s="123">
        <v>0</v>
      </c>
      <c r="AY140" s="123">
        <v>0</v>
      </c>
    </row>
    <row r="141" spans="1:51" x14ac:dyDescent="0.2">
      <c r="A141" s="126"/>
      <c r="B141" s="136">
        <v>20</v>
      </c>
      <c r="C141" s="123">
        <v>0</v>
      </c>
      <c r="D141" s="123">
        <v>0</v>
      </c>
      <c r="E141" s="123">
        <v>0</v>
      </c>
      <c r="F141" s="123">
        <v>0</v>
      </c>
      <c r="G141" s="123">
        <v>0</v>
      </c>
      <c r="H141" s="123">
        <v>0</v>
      </c>
      <c r="I141" s="123">
        <v>0</v>
      </c>
      <c r="J141" s="123">
        <v>0</v>
      </c>
      <c r="K141" s="123">
        <v>0</v>
      </c>
      <c r="L141" s="123">
        <v>0</v>
      </c>
      <c r="M141" s="123">
        <v>0</v>
      </c>
      <c r="N141" s="123">
        <v>0</v>
      </c>
      <c r="O141" s="123">
        <v>0</v>
      </c>
      <c r="P141" s="123">
        <v>0</v>
      </c>
      <c r="Q141" s="123">
        <v>0</v>
      </c>
      <c r="R141" s="123">
        <v>0</v>
      </c>
      <c r="S141" s="123">
        <v>0</v>
      </c>
      <c r="T141" s="123">
        <v>0</v>
      </c>
      <c r="U141" s="123">
        <v>0</v>
      </c>
      <c r="V141" s="123">
        <v>0</v>
      </c>
      <c r="W141" s="123">
        <v>0</v>
      </c>
      <c r="X141" s="123">
        <v>0</v>
      </c>
      <c r="Y141" s="123">
        <v>0</v>
      </c>
      <c r="Z141" s="123">
        <v>0</v>
      </c>
      <c r="AA141" s="123">
        <v>0</v>
      </c>
      <c r="AB141" s="123">
        <v>0</v>
      </c>
      <c r="AC141" s="123">
        <v>0</v>
      </c>
      <c r="AD141" s="123">
        <v>0</v>
      </c>
      <c r="AE141" s="123">
        <v>0</v>
      </c>
      <c r="AF141" s="123">
        <v>0</v>
      </c>
      <c r="AG141" s="123">
        <v>0</v>
      </c>
      <c r="AH141" s="123">
        <v>0</v>
      </c>
      <c r="AI141" s="123">
        <v>0</v>
      </c>
      <c r="AJ141" s="123">
        <v>0</v>
      </c>
      <c r="AK141" s="123">
        <v>0</v>
      </c>
      <c r="AL141" s="123">
        <v>0</v>
      </c>
      <c r="AM141" s="123">
        <v>0</v>
      </c>
      <c r="AN141" s="123">
        <v>0</v>
      </c>
      <c r="AO141" s="123">
        <v>0</v>
      </c>
      <c r="AP141" s="123">
        <v>0</v>
      </c>
      <c r="AQ141" s="123">
        <v>0</v>
      </c>
      <c r="AR141" s="123">
        <v>0</v>
      </c>
      <c r="AS141" s="123">
        <v>0</v>
      </c>
      <c r="AT141" s="123">
        <v>0</v>
      </c>
      <c r="AU141" s="123">
        <v>0</v>
      </c>
      <c r="AV141" s="123">
        <v>0</v>
      </c>
      <c r="AW141" s="123">
        <v>0</v>
      </c>
      <c r="AX141" s="123">
        <v>0</v>
      </c>
      <c r="AY141" s="123">
        <v>0</v>
      </c>
    </row>
    <row r="142" spans="1:51" x14ac:dyDescent="0.2">
      <c r="A142" s="126"/>
      <c r="B142" s="136">
        <v>21</v>
      </c>
      <c r="C142" s="123">
        <v>0</v>
      </c>
      <c r="D142" s="123">
        <v>0</v>
      </c>
      <c r="E142" s="123">
        <v>0</v>
      </c>
      <c r="F142" s="123">
        <v>0</v>
      </c>
      <c r="G142" s="123">
        <v>0</v>
      </c>
      <c r="H142" s="123">
        <v>0</v>
      </c>
      <c r="I142" s="123">
        <v>0</v>
      </c>
      <c r="J142" s="123">
        <v>0</v>
      </c>
      <c r="K142" s="123">
        <v>0</v>
      </c>
      <c r="L142" s="123">
        <v>0</v>
      </c>
      <c r="M142" s="123">
        <v>0</v>
      </c>
      <c r="N142" s="123">
        <v>0</v>
      </c>
      <c r="O142" s="123">
        <v>0</v>
      </c>
      <c r="P142" s="123">
        <v>0</v>
      </c>
      <c r="Q142" s="123">
        <v>0</v>
      </c>
      <c r="R142" s="123">
        <v>0</v>
      </c>
      <c r="S142" s="123">
        <v>0</v>
      </c>
      <c r="T142" s="123">
        <v>0</v>
      </c>
      <c r="U142" s="123">
        <v>0</v>
      </c>
      <c r="V142" s="123">
        <v>0</v>
      </c>
      <c r="W142" s="123">
        <v>0</v>
      </c>
      <c r="X142" s="123">
        <v>0</v>
      </c>
      <c r="Y142" s="123">
        <v>0</v>
      </c>
      <c r="Z142" s="123">
        <v>0</v>
      </c>
      <c r="AA142" s="123">
        <v>0</v>
      </c>
      <c r="AB142" s="123">
        <v>0</v>
      </c>
      <c r="AC142" s="123">
        <v>0</v>
      </c>
      <c r="AD142" s="123">
        <v>0</v>
      </c>
      <c r="AE142" s="123">
        <v>0</v>
      </c>
      <c r="AF142" s="123">
        <v>0</v>
      </c>
      <c r="AG142" s="123">
        <v>0</v>
      </c>
      <c r="AH142" s="123">
        <v>0</v>
      </c>
      <c r="AI142" s="123">
        <v>0</v>
      </c>
      <c r="AJ142" s="123">
        <v>0</v>
      </c>
      <c r="AK142" s="123">
        <v>0</v>
      </c>
      <c r="AL142" s="123">
        <v>0</v>
      </c>
      <c r="AM142" s="123">
        <v>0</v>
      </c>
      <c r="AN142" s="123">
        <v>0</v>
      </c>
      <c r="AO142" s="123">
        <v>0</v>
      </c>
      <c r="AP142" s="123">
        <v>0</v>
      </c>
      <c r="AQ142" s="123">
        <v>0</v>
      </c>
      <c r="AR142" s="123">
        <v>0</v>
      </c>
      <c r="AS142" s="123">
        <v>0</v>
      </c>
      <c r="AT142" s="123">
        <v>0</v>
      </c>
      <c r="AU142" s="123">
        <v>0</v>
      </c>
      <c r="AV142" s="123">
        <v>0</v>
      </c>
      <c r="AW142" s="123">
        <v>0</v>
      </c>
      <c r="AX142" s="123">
        <v>0</v>
      </c>
      <c r="AY142" s="123">
        <v>0</v>
      </c>
    </row>
    <row r="143" spans="1:51" x14ac:dyDescent="0.2">
      <c r="A143" s="126"/>
      <c r="B143" s="136">
        <v>22</v>
      </c>
      <c r="C143" s="123">
        <v>0</v>
      </c>
      <c r="D143" s="123">
        <v>0</v>
      </c>
      <c r="E143" s="123">
        <v>0</v>
      </c>
      <c r="F143" s="123">
        <v>0</v>
      </c>
      <c r="G143" s="123">
        <v>0</v>
      </c>
      <c r="H143" s="123">
        <v>0</v>
      </c>
      <c r="I143" s="123">
        <v>0</v>
      </c>
      <c r="J143" s="123">
        <v>0</v>
      </c>
      <c r="K143" s="123">
        <v>0</v>
      </c>
      <c r="L143" s="123">
        <v>0</v>
      </c>
      <c r="M143" s="123">
        <v>0</v>
      </c>
      <c r="N143" s="123">
        <v>0</v>
      </c>
      <c r="O143" s="123">
        <v>0</v>
      </c>
      <c r="P143" s="123">
        <v>0</v>
      </c>
      <c r="Q143" s="123">
        <v>0</v>
      </c>
      <c r="R143" s="123">
        <v>0</v>
      </c>
      <c r="S143" s="123">
        <v>0</v>
      </c>
      <c r="T143" s="123">
        <v>0</v>
      </c>
      <c r="U143" s="123">
        <v>0</v>
      </c>
      <c r="V143" s="123">
        <v>0</v>
      </c>
      <c r="W143" s="123">
        <v>0</v>
      </c>
      <c r="X143" s="123">
        <v>0</v>
      </c>
      <c r="Y143" s="123">
        <v>0</v>
      </c>
      <c r="Z143" s="123">
        <v>0</v>
      </c>
      <c r="AA143" s="123">
        <v>0</v>
      </c>
      <c r="AB143" s="123">
        <v>0</v>
      </c>
      <c r="AC143" s="123">
        <v>0</v>
      </c>
      <c r="AD143" s="123">
        <v>0</v>
      </c>
      <c r="AE143" s="123">
        <v>0</v>
      </c>
      <c r="AF143" s="123">
        <v>0</v>
      </c>
      <c r="AG143" s="123">
        <v>0</v>
      </c>
      <c r="AH143" s="123">
        <v>0</v>
      </c>
      <c r="AI143" s="123">
        <v>0</v>
      </c>
      <c r="AJ143" s="123">
        <v>0</v>
      </c>
      <c r="AK143" s="123">
        <v>0</v>
      </c>
      <c r="AL143" s="123">
        <v>0</v>
      </c>
      <c r="AM143" s="123">
        <v>0</v>
      </c>
      <c r="AN143" s="123">
        <v>0</v>
      </c>
      <c r="AO143" s="123">
        <v>0</v>
      </c>
      <c r="AP143" s="123">
        <v>0</v>
      </c>
      <c r="AQ143" s="123">
        <v>0</v>
      </c>
      <c r="AR143" s="123">
        <v>0</v>
      </c>
      <c r="AS143" s="123">
        <v>0</v>
      </c>
      <c r="AT143" s="123">
        <v>0</v>
      </c>
      <c r="AU143" s="123">
        <v>0</v>
      </c>
      <c r="AV143" s="123">
        <v>0</v>
      </c>
      <c r="AW143" s="123">
        <v>0</v>
      </c>
      <c r="AX143" s="123">
        <v>0</v>
      </c>
      <c r="AY143" s="123">
        <v>0</v>
      </c>
    </row>
    <row r="144" spans="1:51" x14ac:dyDescent="0.2">
      <c r="A144" s="126"/>
      <c r="B144" s="136">
        <v>23</v>
      </c>
      <c r="C144" s="123">
        <v>0</v>
      </c>
      <c r="D144" s="123">
        <v>0</v>
      </c>
      <c r="E144" s="123">
        <v>0</v>
      </c>
      <c r="F144" s="123">
        <v>0</v>
      </c>
      <c r="G144" s="123">
        <v>0</v>
      </c>
      <c r="H144" s="123">
        <v>0</v>
      </c>
      <c r="I144" s="123">
        <v>0</v>
      </c>
      <c r="J144" s="123">
        <v>0</v>
      </c>
      <c r="K144" s="123">
        <v>0</v>
      </c>
      <c r="L144" s="123">
        <v>0</v>
      </c>
      <c r="M144" s="123">
        <v>0</v>
      </c>
      <c r="N144" s="123">
        <v>0</v>
      </c>
      <c r="O144" s="123">
        <v>0</v>
      </c>
      <c r="P144" s="123">
        <v>0</v>
      </c>
      <c r="Q144" s="123">
        <v>0</v>
      </c>
      <c r="R144" s="123">
        <v>0</v>
      </c>
      <c r="S144" s="123">
        <v>0</v>
      </c>
      <c r="T144" s="123">
        <v>0</v>
      </c>
      <c r="U144" s="123">
        <v>0</v>
      </c>
      <c r="V144" s="123">
        <v>0</v>
      </c>
      <c r="W144" s="123">
        <v>0</v>
      </c>
      <c r="X144" s="123">
        <v>0</v>
      </c>
      <c r="Y144" s="123">
        <v>0</v>
      </c>
      <c r="Z144" s="123">
        <v>0</v>
      </c>
      <c r="AA144" s="123">
        <v>0</v>
      </c>
      <c r="AB144" s="123">
        <v>0</v>
      </c>
      <c r="AC144" s="123">
        <v>0</v>
      </c>
      <c r="AD144" s="123">
        <v>0</v>
      </c>
      <c r="AE144" s="123">
        <v>0</v>
      </c>
      <c r="AF144" s="123">
        <v>0</v>
      </c>
      <c r="AG144" s="123">
        <v>0</v>
      </c>
      <c r="AH144" s="123">
        <v>0</v>
      </c>
      <c r="AI144" s="123">
        <v>0</v>
      </c>
      <c r="AJ144" s="123">
        <v>0</v>
      </c>
      <c r="AK144" s="123">
        <v>0</v>
      </c>
      <c r="AL144" s="123">
        <v>0</v>
      </c>
      <c r="AM144" s="123">
        <v>0</v>
      </c>
      <c r="AN144" s="123">
        <v>0</v>
      </c>
      <c r="AO144" s="123">
        <v>0</v>
      </c>
      <c r="AP144" s="123">
        <v>0</v>
      </c>
      <c r="AQ144" s="123">
        <v>0</v>
      </c>
      <c r="AR144" s="123">
        <v>0</v>
      </c>
      <c r="AS144" s="123">
        <v>0</v>
      </c>
      <c r="AT144" s="123">
        <v>0</v>
      </c>
      <c r="AU144" s="123">
        <v>0</v>
      </c>
      <c r="AV144" s="123">
        <v>0</v>
      </c>
      <c r="AW144" s="123">
        <v>0</v>
      </c>
      <c r="AX144" s="123">
        <v>0</v>
      </c>
      <c r="AY144" s="123">
        <v>0</v>
      </c>
    </row>
    <row r="145" spans="1:51" x14ac:dyDescent="0.2">
      <c r="A145" s="126"/>
      <c r="B145" s="136">
        <v>24</v>
      </c>
      <c r="C145" s="123">
        <v>0</v>
      </c>
      <c r="D145" s="123">
        <v>0</v>
      </c>
      <c r="E145" s="123">
        <v>0</v>
      </c>
      <c r="F145" s="123">
        <v>0</v>
      </c>
      <c r="G145" s="123">
        <v>0</v>
      </c>
      <c r="H145" s="123">
        <v>0</v>
      </c>
      <c r="I145" s="123">
        <v>0</v>
      </c>
      <c r="J145" s="123">
        <v>0</v>
      </c>
      <c r="K145" s="123">
        <v>0</v>
      </c>
      <c r="L145" s="123">
        <v>0</v>
      </c>
      <c r="M145" s="123">
        <v>0</v>
      </c>
      <c r="N145" s="123">
        <v>0</v>
      </c>
      <c r="O145" s="123">
        <v>0</v>
      </c>
      <c r="P145" s="123">
        <v>0</v>
      </c>
      <c r="Q145" s="123">
        <v>0</v>
      </c>
      <c r="R145" s="123">
        <v>0</v>
      </c>
      <c r="S145" s="123">
        <v>0</v>
      </c>
      <c r="T145" s="123">
        <v>0</v>
      </c>
      <c r="U145" s="123">
        <v>0</v>
      </c>
      <c r="V145" s="123">
        <v>0</v>
      </c>
      <c r="W145" s="123">
        <v>0</v>
      </c>
      <c r="X145" s="123">
        <v>0</v>
      </c>
      <c r="Y145" s="123">
        <v>0</v>
      </c>
      <c r="Z145" s="123">
        <v>0</v>
      </c>
      <c r="AA145" s="123">
        <v>0</v>
      </c>
      <c r="AB145" s="123">
        <v>0</v>
      </c>
      <c r="AC145" s="123">
        <v>0</v>
      </c>
      <c r="AD145" s="123">
        <v>0</v>
      </c>
      <c r="AE145" s="123">
        <v>0</v>
      </c>
      <c r="AF145" s="123">
        <v>0</v>
      </c>
      <c r="AG145" s="123">
        <v>0</v>
      </c>
      <c r="AH145" s="123">
        <v>0</v>
      </c>
      <c r="AI145" s="123">
        <v>0</v>
      </c>
      <c r="AJ145" s="123">
        <v>0</v>
      </c>
      <c r="AK145" s="123">
        <v>0</v>
      </c>
      <c r="AL145" s="123">
        <v>0</v>
      </c>
      <c r="AM145" s="123">
        <v>0</v>
      </c>
      <c r="AN145" s="123">
        <v>0</v>
      </c>
      <c r="AO145" s="123">
        <v>0</v>
      </c>
      <c r="AP145" s="123">
        <v>0</v>
      </c>
      <c r="AQ145" s="123">
        <v>0</v>
      </c>
      <c r="AR145" s="123">
        <v>0</v>
      </c>
      <c r="AS145" s="123">
        <v>0</v>
      </c>
      <c r="AT145" s="123">
        <v>0</v>
      </c>
      <c r="AU145" s="123">
        <v>0</v>
      </c>
      <c r="AV145" s="123">
        <v>0</v>
      </c>
      <c r="AW145" s="123">
        <v>0</v>
      </c>
      <c r="AX145" s="123">
        <v>0</v>
      </c>
      <c r="AY145" s="123">
        <v>0</v>
      </c>
    </row>
    <row r="146" spans="1:51" x14ac:dyDescent="0.2">
      <c r="A146" s="126"/>
      <c r="B146" s="143">
        <v>25</v>
      </c>
      <c r="C146" s="123">
        <v>0</v>
      </c>
      <c r="D146" s="123">
        <v>0</v>
      </c>
      <c r="E146" s="123">
        <v>0</v>
      </c>
      <c r="F146" s="123">
        <v>0</v>
      </c>
      <c r="G146" s="123">
        <v>0</v>
      </c>
      <c r="H146" s="123">
        <v>0</v>
      </c>
      <c r="I146" s="123">
        <v>0</v>
      </c>
      <c r="J146" s="123">
        <v>0</v>
      </c>
      <c r="K146" s="123">
        <v>0</v>
      </c>
      <c r="L146" s="123">
        <v>0</v>
      </c>
      <c r="M146" s="123">
        <v>0</v>
      </c>
      <c r="N146" s="123">
        <v>0</v>
      </c>
      <c r="O146" s="123">
        <v>0</v>
      </c>
      <c r="P146" s="123">
        <v>0</v>
      </c>
      <c r="Q146" s="123">
        <v>0</v>
      </c>
      <c r="R146" s="123">
        <v>0</v>
      </c>
      <c r="S146" s="123">
        <v>0</v>
      </c>
      <c r="T146" s="123">
        <v>0</v>
      </c>
      <c r="U146" s="123">
        <v>0</v>
      </c>
      <c r="V146" s="123">
        <v>0</v>
      </c>
      <c r="W146" s="123">
        <v>0</v>
      </c>
      <c r="X146" s="123">
        <v>0</v>
      </c>
      <c r="Y146" s="123">
        <v>0</v>
      </c>
      <c r="Z146" s="123">
        <v>0</v>
      </c>
      <c r="AA146" s="123">
        <v>0</v>
      </c>
      <c r="AB146" s="123">
        <v>0</v>
      </c>
      <c r="AC146" s="123">
        <v>0</v>
      </c>
      <c r="AD146" s="123">
        <v>0</v>
      </c>
      <c r="AE146" s="123">
        <v>0</v>
      </c>
      <c r="AF146" s="123">
        <v>0</v>
      </c>
      <c r="AG146" s="123">
        <v>0</v>
      </c>
      <c r="AH146" s="123">
        <v>0</v>
      </c>
      <c r="AI146" s="123">
        <v>0</v>
      </c>
      <c r="AJ146" s="123">
        <v>0</v>
      </c>
      <c r="AK146" s="123">
        <v>0</v>
      </c>
      <c r="AL146" s="123">
        <v>0</v>
      </c>
      <c r="AM146" s="123">
        <v>0</v>
      </c>
      <c r="AN146" s="123">
        <v>0</v>
      </c>
      <c r="AO146" s="123">
        <v>0</v>
      </c>
      <c r="AP146" s="123">
        <v>0</v>
      </c>
      <c r="AQ146" s="123">
        <v>0</v>
      </c>
      <c r="AR146" s="123">
        <v>0</v>
      </c>
      <c r="AS146" s="123">
        <v>0</v>
      </c>
      <c r="AT146" s="123">
        <v>0</v>
      </c>
      <c r="AU146" s="123">
        <v>0</v>
      </c>
      <c r="AV146" s="123">
        <v>0</v>
      </c>
      <c r="AW146" s="123">
        <v>0</v>
      </c>
      <c r="AX146" s="123">
        <v>0</v>
      </c>
      <c r="AY146" s="123">
        <v>0</v>
      </c>
    </row>
    <row r="147" spans="1:51" x14ac:dyDescent="0.2">
      <c r="A147" s="126"/>
      <c r="B147" s="143">
        <v>26</v>
      </c>
      <c r="C147" s="123">
        <v>0</v>
      </c>
      <c r="D147" s="123">
        <v>0</v>
      </c>
      <c r="E147" s="123">
        <v>0</v>
      </c>
      <c r="F147" s="123">
        <v>0</v>
      </c>
      <c r="G147" s="123">
        <v>0</v>
      </c>
      <c r="H147" s="123">
        <v>0</v>
      </c>
      <c r="I147" s="123">
        <v>0</v>
      </c>
      <c r="J147" s="123">
        <v>0</v>
      </c>
      <c r="K147" s="123">
        <v>0</v>
      </c>
      <c r="L147" s="123">
        <v>0</v>
      </c>
      <c r="M147" s="123">
        <v>0</v>
      </c>
      <c r="N147" s="123">
        <v>0</v>
      </c>
      <c r="O147" s="123">
        <v>0</v>
      </c>
      <c r="P147" s="123">
        <v>0</v>
      </c>
      <c r="Q147" s="123">
        <v>0</v>
      </c>
      <c r="R147" s="123">
        <v>0</v>
      </c>
      <c r="S147" s="123">
        <v>0</v>
      </c>
      <c r="T147" s="123">
        <v>0</v>
      </c>
      <c r="U147" s="123">
        <v>0</v>
      </c>
      <c r="V147" s="123">
        <v>0</v>
      </c>
      <c r="W147" s="123">
        <v>0</v>
      </c>
      <c r="X147" s="123">
        <v>0</v>
      </c>
      <c r="Y147" s="123">
        <v>0</v>
      </c>
      <c r="Z147" s="123">
        <v>0</v>
      </c>
      <c r="AA147" s="123">
        <v>0</v>
      </c>
      <c r="AB147" s="123">
        <v>0</v>
      </c>
      <c r="AC147" s="123">
        <v>0</v>
      </c>
      <c r="AD147" s="123">
        <v>0</v>
      </c>
      <c r="AE147" s="123">
        <v>0</v>
      </c>
      <c r="AF147" s="123">
        <v>0</v>
      </c>
      <c r="AG147" s="123">
        <v>0</v>
      </c>
      <c r="AH147" s="123">
        <v>0</v>
      </c>
      <c r="AI147" s="123">
        <v>0</v>
      </c>
      <c r="AJ147" s="123">
        <v>0</v>
      </c>
      <c r="AK147" s="123">
        <v>0</v>
      </c>
      <c r="AL147" s="123">
        <v>0</v>
      </c>
      <c r="AM147" s="123">
        <v>0</v>
      </c>
      <c r="AN147" s="123">
        <v>0</v>
      </c>
      <c r="AO147" s="123">
        <v>0</v>
      </c>
      <c r="AP147" s="123">
        <v>0</v>
      </c>
      <c r="AQ147" s="123">
        <v>0</v>
      </c>
      <c r="AR147" s="123">
        <v>0</v>
      </c>
      <c r="AS147" s="123">
        <v>0</v>
      </c>
      <c r="AT147" s="123">
        <v>0</v>
      </c>
      <c r="AU147" s="123">
        <v>0</v>
      </c>
      <c r="AV147" s="123">
        <v>0</v>
      </c>
      <c r="AW147" s="123">
        <v>0</v>
      </c>
      <c r="AX147" s="123">
        <v>0</v>
      </c>
      <c r="AY147" s="123">
        <v>0</v>
      </c>
    </row>
    <row r="148" spans="1:51" x14ac:dyDescent="0.2">
      <c r="A148" s="126"/>
      <c r="B148" s="143">
        <v>27</v>
      </c>
      <c r="C148" s="123">
        <v>0</v>
      </c>
      <c r="D148" s="123">
        <v>0</v>
      </c>
      <c r="E148" s="123">
        <v>0</v>
      </c>
      <c r="F148" s="123">
        <v>0</v>
      </c>
      <c r="G148" s="123">
        <v>0</v>
      </c>
      <c r="H148" s="123">
        <v>0</v>
      </c>
      <c r="I148" s="123">
        <v>0</v>
      </c>
      <c r="J148" s="123">
        <v>0</v>
      </c>
      <c r="K148" s="123">
        <v>0</v>
      </c>
      <c r="L148" s="123">
        <v>0</v>
      </c>
      <c r="M148" s="123">
        <v>0</v>
      </c>
      <c r="N148" s="123">
        <v>0</v>
      </c>
      <c r="O148" s="123">
        <v>0</v>
      </c>
      <c r="P148" s="123">
        <v>0</v>
      </c>
      <c r="Q148" s="123">
        <v>0</v>
      </c>
      <c r="R148" s="123">
        <v>0</v>
      </c>
      <c r="S148" s="123">
        <v>0</v>
      </c>
      <c r="T148" s="123">
        <v>0</v>
      </c>
      <c r="U148" s="123">
        <v>0</v>
      </c>
      <c r="V148" s="123">
        <v>0</v>
      </c>
      <c r="W148" s="123">
        <v>0</v>
      </c>
      <c r="X148" s="123">
        <v>0</v>
      </c>
      <c r="Y148" s="123">
        <v>0</v>
      </c>
      <c r="Z148" s="123">
        <v>0</v>
      </c>
      <c r="AA148" s="123">
        <v>0</v>
      </c>
      <c r="AB148" s="123">
        <v>0</v>
      </c>
      <c r="AC148" s="123">
        <v>0</v>
      </c>
      <c r="AD148" s="123">
        <v>0</v>
      </c>
      <c r="AE148" s="123">
        <v>0</v>
      </c>
      <c r="AF148" s="123">
        <v>0</v>
      </c>
      <c r="AG148" s="123">
        <v>0</v>
      </c>
      <c r="AH148" s="123">
        <v>0</v>
      </c>
      <c r="AI148" s="123">
        <v>0</v>
      </c>
      <c r="AJ148" s="123">
        <v>0</v>
      </c>
      <c r="AK148" s="123">
        <v>0</v>
      </c>
      <c r="AL148" s="123">
        <v>0</v>
      </c>
      <c r="AM148" s="123">
        <v>0</v>
      </c>
      <c r="AN148" s="123">
        <v>0</v>
      </c>
      <c r="AO148" s="123">
        <v>0</v>
      </c>
      <c r="AP148" s="123">
        <v>0</v>
      </c>
      <c r="AQ148" s="123">
        <v>0</v>
      </c>
      <c r="AR148" s="123">
        <v>0</v>
      </c>
      <c r="AS148" s="123">
        <v>0</v>
      </c>
      <c r="AT148" s="123">
        <v>0</v>
      </c>
      <c r="AU148" s="123">
        <v>0</v>
      </c>
      <c r="AV148" s="123">
        <v>0</v>
      </c>
      <c r="AW148" s="123">
        <v>0</v>
      </c>
      <c r="AX148" s="123">
        <v>0</v>
      </c>
      <c r="AY148" s="123">
        <v>0</v>
      </c>
    </row>
    <row r="149" spans="1:51" x14ac:dyDescent="0.2">
      <c r="A149" s="126"/>
      <c r="B149" s="143">
        <v>28</v>
      </c>
      <c r="C149" s="123">
        <v>0</v>
      </c>
      <c r="D149" s="123">
        <v>0</v>
      </c>
      <c r="E149" s="123">
        <v>0</v>
      </c>
      <c r="F149" s="123">
        <v>0</v>
      </c>
      <c r="G149" s="123">
        <v>0</v>
      </c>
      <c r="H149" s="123">
        <v>0</v>
      </c>
      <c r="I149" s="123">
        <v>0</v>
      </c>
      <c r="J149" s="123">
        <v>0</v>
      </c>
      <c r="K149" s="123">
        <v>0</v>
      </c>
      <c r="L149" s="123">
        <v>0</v>
      </c>
      <c r="M149" s="123">
        <v>0</v>
      </c>
      <c r="N149" s="123">
        <v>0</v>
      </c>
      <c r="O149" s="123">
        <v>0</v>
      </c>
      <c r="P149" s="123">
        <v>0</v>
      </c>
      <c r="Q149" s="123">
        <v>0</v>
      </c>
      <c r="R149" s="123">
        <v>0</v>
      </c>
      <c r="S149" s="123">
        <v>0</v>
      </c>
      <c r="T149" s="123">
        <v>0</v>
      </c>
      <c r="U149" s="123">
        <v>0</v>
      </c>
      <c r="V149" s="123">
        <v>0</v>
      </c>
      <c r="W149" s="123">
        <v>0</v>
      </c>
      <c r="X149" s="123">
        <v>0</v>
      </c>
      <c r="Y149" s="123">
        <v>0</v>
      </c>
      <c r="Z149" s="123">
        <v>0</v>
      </c>
      <c r="AA149" s="123">
        <v>0</v>
      </c>
      <c r="AB149" s="123">
        <v>0</v>
      </c>
      <c r="AC149" s="123">
        <v>0</v>
      </c>
      <c r="AD149" s="123">
        <v>0</v>
      </c>
      <c r="AE149" s="123">
        <v>0</v>
      </c>
      <c r="AF149" s="123">
        <v>0</v>
      </c>
      <c r="AG149" s="123">
        <v>0</v>
      </c>
      <c r="AH149" s="123">
        <v>0</v>
      </c>
      <c r="AI149" s="123">
        <v>0</v>
      </c>
      <c r="AJ149" s="123">
        <v>0</v>
      </c>
      <c r="AK149" s="123">
        <v>0</v>
      </c>
      <c r="AL149" s="123">
        <v>0</v>
      </c>
      <c r="AM149" s="123">
        <v>0</v>
      </c>
      <c r="AN149" s="123">
        <v>0</v>
      </c>
      <c r="AO149" s="123">
        <v>0</v>
      </c>
      <c r="AP149" s="123">
        <v>0</v>
      </c>
      <c r="AQ149" s="123">
        <v>0</v>
      </c>
      <c r="AR149" s="123">
        <v>0</v>
      </c>
      <c r="AS149" s="123">
        <v>0</v>
      </c>
      <c r="AT149" s="123">
        <v>0</v>
      </c>
      <c r="AU149" s="123">
        <v>0</v>
      </c>
      <c r="AV149" s="123">
        <v>0</v>
      </c>
      <c r="AW149" s="123">
        <v>0</v>
      </c>
      <c r="AX149" s="123">
        <v>0</v>
      </c>
      <c r="AY149" s="123">
        <v>0</v>
      </c>
    </row>
    <row r="150" spans="1:51" x14ac:dyDescent="0.2">
      <c r="A150" s="126"/>
      <c r="B150" s="143">
        <v>29</v>
      </c>
      <c r="C150" s="123">
        <v>0</v>
      </c>
      <c r="D150" s="123">
        <v>0</v>
      </c>
      <c r="E150" s="123">
        <v>0</v>
      </c>
      <c r="F150" s="123">
        <v>0</v>
      </c>
      <c r="G150" s="123">
        <v>0</v>
      </c>
      <c r="H150" s="123">
        <v>0</v>
      </c>
      <c r="I150" s="123">
        <v>0</v>
      </c>
      <c r="J150" s="123">
        <v>0</v>
      </c>
      <c r="K150" s="123">
        <v>0</v>
      </c>
      <c r="L150" s="123">
        <v>0</v>
      </c>
      <c r="M150" s="123">
        <v>0</v>
      </c>
      <c r="N150" s="123">
        <v>0</v>
      </c>
      <c r="O150" s="123">
        <v>0</v>
      </c>
      <c r="P150" s="123">
        <v>0</v>
      </c>
      <c r="Q150" s="123">
        <v>0</v>
      </c>
      <c r="R150" s="123">
        <v>0</v>
      </c>
      <c r="S150" s="123">
        <v>0</v>
      </c>
      <c r="T150" s="123">
        <v>0</v>
      </c>
      <c r="U150" s="123">
        <v>0</v>
      </c>
      <c r="V150" s="123">
        <v>0</v>
      </c>
      <c r="W150" s="123">
        <v>0</v>
      </c>
      <c r="X150" s="123">
        <v>0</v>
      </c>
      <c r="Y150" s="123">
        <v>0</v>
      </c>
      <c r="Z150" s="123">
        <v>0</v>
      </c>
      <c r="AA150" s="123">
        <v>0</v>
      </c>
      <c r="AB150" s="123">
        <v>0</v>
      </c>
      <c r="AC150" s="123">
        <v>0</v>
      </c>
      <c r="AD150" s="123">
        <v>0</v>
      </c>
      <c r="AE150" s="123">
        <v>0</v>
      </c>
      <c r="AF150" s="123">
        <v>0</v>
      </c>
      <c r="AG150" s="123">
        <v>0</v>
      </c>
      <c r="AH150" s="123">
        <v>0</v>
      </c>
      <c r="AI150" s="123">
        <v>0</v>
      </c>
      <c r="AJ150" s="123">
        <v>0</v>
      </c>
      <c r="AK150" s="123">
        <v>0</v>
      </c>
      <c r="AL150" s="123">
        <v>0</v>
      </c>
      <c r="AM150" s="123">
        <v>0</v>
      </c>
      <c r="AN150" s="123">
        <v>0</v>
      </c>
      <c r="AO150" s="123">
        <v>0</v>
      </c>
      <c r="AP150" s="123">
        <v>0</v>
      </c>
      <c r="AQ150" s="123">
        <v>0</v>
      </c>
      <c r="AR150" s="123">
        <v>0</v>
      </c>
      <c r="AS150" s="123">
        <v>0</v>
      </c>
      <c r="AT150" s="123">
        <v>0</v>
      </c>
      <c r="AU150" s="123">
        <v>0</v>
      </c>
      <c r="AV150" s="123">
        <v>0</v>
      </c>
      <c r="AW150" s="123">
        <v>0</v>
      </c>
      <c r="AX150" s="123">
        <v>0</v>
      </c>
      <c r="AY150" s="123">
        <v>0</v>
      </c>
    </row>
    <row r="151" spans="1:51" x14ac:dyDescent="0.2">
      <c r="A151" s="126"/>
      <c r="B151" s="143">
        <v>30</v>
      </c>
      <c r="C151" s="123">
        <v>0</v>
      </c>
      <c r="D151" s="123">
        <v>0</v>
      </c>
      <c r="E151" s="123">
        <v>0</v>
      </c>
      <c r="F151" s="123">
        <v>0</v>
      </c>
      <c r="G151" s="123">
        <v>0</v>
      </c>
      <c r="H151" s="123">
        <v>0</v>
      </c>
      <c r="I151" s="123">
        <v>0</v>
      </c>
      <c r="J151" s="123">
        <v>0</v>
      </c>
      <c r="K151" s="123">
        <v>0</v>
      </c>
      <c r="L151" s="123">
        <v>0</v>
      </c>
      <c r="M151" s="123">
        <v>0</v>
      </c>
      <c r="N151" s="123">
        <v>0</v>
      </c>
      <c r="O151" s="123">
        <v>0</v>
      </c>
      <c r="P151" s="123">
        <v>0</v>
      </c>
      <c r="Q151" s="123">
        <v>0</v>
      </c>
      <c r="R151" s="123">
        <v>0</v>
      </c>
      <c r="S151" s="123">
        <v>0</v>
      </c>
      <c r="T151" s="123">
        <v>0</v>
      </c>
      <c r="U151" s="123">
        <v>0</v>
      </c>
      <c r="V151" s="123">
        <v>0</v>
      </c>
      <c r="W151" s="123">
        <v>0</v>
      </c>
      <c r="X151" s="123">
        <v>0</v>
      </c>
      <c r="Y151" s="123">
        <v>0</v>
      </c>
      <c r="Z151" s="123">
        <v>0</v>
      </c>
      <c r="AA151" s="123">
        <v>0</v>
      </c>
      <c r="AB151" s="123">
        <v>0</v>
      </c>
      <c r="AC151" s="123">
        <v>0</v>
      </c>
      <c r="AD151" s="123">
        <v>0</v>
      </c>
      <c r="AE151" s="123">
        <v>0</v>
      </c>
      <c r="AF151" s="123">
        <v>0</v>
      </c>
      <c r="AG151" s="123">
        <v>0</v>
      </c>
      <c r="AH151" s="123">
        <v>0</v>
      </c>
      <c r="AI151" s="123">
        <v>0</v>
      </c>
      <c r="AJ151" s="123">
        <v>0</v>
      </c>
      <c r="AK151" s="123">
        <v>0</v>
      </c>
      <c r="AL151" s="123">
        <v>0</v>
      </c>
      <c r="AM151" s="123">
        <v>0</v>
      </c>
      <c r="AN151" s="123">
        <v>0</v>
      </c>
      <c r="AO151" s="123">
        <v>0</v>
      </c>
      <c r="AP151" s="123">
        <v>0</v>
      </c>
      <c r="AQ151" s="123">
        <v>0</v>
      </c>
      <c r="AR151" s="123">
        <v>0</v>
      </c>
      <c r="AS151" s="123">
        <v>0</v>
      </c>
      <c r="AT151" s="123">
        <v>0</v>
      </c>
      <c r="AU151" s="123">
        <v>0</v>
      </c>
      <c r="AV151" s="123">
        <v>0</v>
      </c>
      <c r="AW151" s="123">
        <v>0</v>
      </c>
      <c r="AX151" s="123">
        <v>0</v>
      </c>
      <c r="AY151" s="123">
        <v>0</v>
      </c>
    </row>
    <row r="152" spans="1:51" x14ac:dyDescent="0.2">
      <c r="A152" s="126"/>
      <c r="B152" s="143">
        <v>31</v>
      </c>
      <c r="C152" s="123">
        <v>0</v>
      </c>
      <c r="D152" s="123">
        <v>0</v>
      </c>
      <c r="E152" s="123">
        <v>0</v>
      </c>
      <c r="F152" s="123">
        <v>0</v>
      </c>
      <c r="G152" s="123">
        <v>0</v>
      </c>
      <c r="H152" s="123">
        <v>0</v>
      </c>
      <c r="I152" s="123">
        <v>0</v>
      </c>
      <c r="J152" s="123">
        <v>0</v>
      </c>
      <c r="K152" s="123">
        <v>0</v>
      </c>
      <c r="L152" s="123">
        <v>0</v>
      </c>
      <c r="M152" s="123">
        <v>0</v>
      </c>
      <c r="N152" s="123">
        <v>0</v>
      </c>
      <c r="O152" s="123">
        <v>0</v>
      </c>
      <c r="P152" s="123">
        <v>0</v>
      </c>
      <c r="Q152" s="123">
        <v>0</v>
      </c>
      <c r="R152" s="123">
        <v>0</v>
      </c>
      <c r="S152" s="123">
        <v>0</v>
      </c>
      <c r="T152" s="123">
        <v>0</v>
      </c>
      <c r="U152" s="123">
        <v>0</v>
      </c>
      <c r="V152" s="123">
        <v>0</v>
      </c>
      <c r="W152" s="123">
        <v>0</v>
      </c>
      <c r="X152" s="123">
        <v>0</v>
      </c>
      <c r="Y152" s="123">
        <v>0</v>
      </c>
      <c r="Z152" s="123">
        <v>0</v>
      </c>
      <c r="AA152" s="123">
        <v>0</v>
      </c>
      <c r="AB152" s="123">
        <v>0</v>
      </c>
      <c r="AC152" s="123">
        <v>0</v>
      </c>
      <c r="AD152" s="123">
        <v>0</v>
      </c>
      <c r="AE152" s="123">
        <v>0</v>
      </c>
      <c r="AF152" s="123">
        <v>0</v>
      </c>
      <c r="AG152" s="123">
        <v>0</v>
      </c>
      <c r="AH152" s="123">
        <v>0</v>
      </c>
      <c r="AI152" s="123">
        <v>0</v>
      </c>
      <c r="AJ152" s="123">
        <v>0</v>
      </c>
      <c r="AK152" s="123">
        <v>0</v>
      </c>
      <c r="AL152" s="123">
        <v>0</v>
      </c>
      <c r="AM152" s="123">
        <v>0</v>
      </c>
      <c r="AN152" s="123">
        <v>0</v>
      </c>
      <c r="AO152" s="123">
        <v>0</v>
      </c>
      <c r="AP152" s="123">
        <v>0</v>
      </c>
      <c r="AQ152" s="123">
        <v>0</v>
      </c>
      <c r="AR152" s="123">
        <v>0</v>
      </c>
      <c r="AS152" s="123">
        <v>0</v>
      </c>
      <c r="AT152" s="123">
        <v>0</v>
      </c>
      <c r="AU152" s="123">
        <v>0</v>
      </c>
      <c r="AV152" s="123">
        <v>0</v>
      </c>
      <c r="AW152" s="123">
        <v>0</v>
      </c>
      <c r="AX152" s="123">
        <v>0</v>
      </c>
      <c r="AY152" s="123">
        <v>0</v>
      </c>
    </row>
    <row r="153" spans="1:51" x14ac:dyDescent="0.2">
      <c r="A153" s="126"/>
      <c r="B153" s="143">
        <v>32</v>
      </c>
      <c r="C153" s="123">
        <v>0</v>
      </c>
      <c r="D153" s="123">
        <v>0</v>
      </c>
      <c r="E153" s="123">
        <v>0</v>
      </c>
      <c r="F153" s="123">
        <v>0</v>
      </c>
      <c r="G153" s="123">
        <v>0</v>
      </c>
      <c r="H153" s="123">
        <v>0</v>
      </c>
      <c r="I153" s="123">
        <v>0</v>
      </c>
      <c r="J153" s="123">
        <v>0</v>
      </c>
      <c r="K153" s="123">
        <v>0</v>
      </c>
      <c r="L153" s="123">
        <v>0</v>
      </c>
      <c r="M153" s="123">
        <v>0</v>
      </c>
      <c r="N153" s="123">
        <v>0</v>
      </c>
      <c r="O153" s="123">
        <v>0</v>
      </c>
      <c r="P153" s="123">
        <v>0</v>
      </c>
      <c r="Q153" s="123">
        <v>0</v>
      </c>
      <c r="R153" s="123">
        <v>0</v>
      </c>
      <c r="S153" s="123">
        <v>0</v>
      </c>
      <c r="T153" s="123">
        <v>0</v>
      </c>
      <c r="U153" s="123">
        <v>0</v>
      </c>
      <c r="V153" s="123">
        <v>0</v>
      </c>
      <c r="W153" s="123">
        <v>0</v>
      </c>
      <c r="X153" s="123">
        <v>0</v>
      </c>
      <c r="Y153" s="123">
        <v>0</v>
      </c>
      <c r="Z153" s="123">
        <v>0</v>
      </c>
      <c r="AA153" s="123">
        <v>0</v>
      </c>
      <c r="AB153" s="123">
        <v>0</v>
      </c>
      <c r="AC153" s="123">
        <v>0</v>
      </c>
      <c r="AD153" s="123">
        <v>0</v>
      </c>
      <c r="AE153" s="123">
        <v>0</v>
      </c>
      <c r="AF153" s="123">
        <v>0</v>
      </c>
      <c r="AG153" s="123">
        <v>0</v>
      </c>
      <c r="AH153" s="123">
        <v>0</v>
      </c>
      <c r="AI153" s="123">
        <v>0</v>
      </c>
      <c r="AJ153" s="123">
        <v>0</v>
      </c>
      <c r="AK153" s="123">
        <v>0</v>
      </c>
      <c r="AL153" s="123">
        <v>0</v>
      </c>
      <c r="AM153" s="123">
        <v>0</v>
      </c>
      <c r="AN153" s="123">
        <v>0</v>
      </c>
      <c r="AO153" s="123">
        <v>0</v>
      </c>
      <c r="AP153" s="123">
        <v>0</v>
      </c>
      <c r="AQ153" s="123">
        <v>0</v>
      </c>
      <c r="AR153" s="123">
        <v>0</v>
      </c>
      <c r="AS153" s="123">
        <v>0</v>
      </c>
      <c r="AT153" s="123">
        <v>0</v>
      </c>
      <c r="AU153" s="123">
        <v>0</v>
      </c>
      <c r="AV153" s="123">
        <v>0</v>
      </c>
      <c r="AW153" s="123">
        <v>0</v>
      </c>
      <c r="AX153" s="123">
        <v>0</v>
      </c>
      <c r="AY153" s="123">
        <v>0</v>
      </c>
    </row>
    <row r="154" spans="1:51" x14ac:dyDescent="0.2">
      <c r="A154" s="126"/>
      <c r="B154" s="143">
        <v>33</v>
      </c>
      <c r="C154" s="123">
        <v>0</v>
      </c>
      <c r="D154" s="123">
        <v>0</v>
      </c>
      <c r="E154" s="123">
        <v>0</v>
      </c>
      <c r="F154" s="123">
        <v>0</v>
      </c>
      <c r="G154" s="123">
        <v>0</v>
      </c>
      <c r="H154" s="123">
        <v>0</v>
      </c>
      <c r="I154" s="123">
        <v>0</v>
      </c>
      <c r="J154" s="123">
        <v>0</v>
      </c>
      <c r="K154" s="123">
        <v>0</v>
      </c>
      <c r="L154" s="123">
        <v>0</v>
      </c>
      <c r="M154" s="123">
        <v>0</v>
      </c>
      <c r="N154" s="123">
        <v>0</v>
      </c>
      <c r="O154" s="123">
        <v>0</v>
      </c>
      <c r="P154" s="123">
        <v>0</v>
      </c>
      <c r="Q154" s="123">
        <v>0</v>
      </c>
      <c r="R154" s="123">
        <v>0</v>
      </c>
      <c r="S154" s="123">
        <v>0</v>
      </c>
      <c r="T154" s="123">
        <v>0</v>
      </c>
      <c r="U154" s="123">
        <v>0</v>
      </c>
      <c r="V154" s="123">
        <v>0</v>
      </c>
      <c r="W154" s="123">
        <v>0</v>
      </c>
      <c r="X154" s="123">
        <v>0</v>
      </c>
      <c r="Y154" s="123">
        <v>0</v>
      </c>
      <c r="Z154" s="123">
        <v>0</v>
      </c>
      <c r="AA154" s="123">
        <v>0</v>
      </c>
      <c r="AB154" s="123">
        <v>0</v>
      </c>
      <c r="AC154" s="123">
        <v>0</v>
      </c>
      <c r="AD154" s="123">
        <v>0</v>
      </c>
      <c r="AE154" s="123">
        <v>0</v>
      </c>
      <c r="AF154" s="123">
        <v>0</v>
      </c>
      <c r="AG154" s="123">
        <v>0</v>
      </c>
      <c r="AH154" s="123">
        <v>0</v>
      </c>
      <c r="AI154" s="123">
        <v>0</v>
      </c>
      <c r="AJ154" s="123">
        <v>0</v>
      </c>
      <c r="AK154" s="123">
        <v>0</v>
      </c>
      <c r="AL154" s="123">
        <v>0</v>
      </c>
      <c r="AM154" s="123">
        <v>0</v>
      </c>
      <c r="AN154" s="123">
        <v>0</v>
      </c>
      <c r="AO154" s="123">
        <v>0</v>
      </c>
      <c r="AP154" s="123">
        <v>0</v>
      </c>
      <c r="AQ154" s="123">
        <v>0</v>
      </c>
      <c r="AR154" s="123">
        <v>0</v>
      </c>
      <c r="AS154" s="123">
        <v>0</v>
      </c>
      <c r="AT154" s="123">
        <v>0</v>
      </c>
      <c r="AU154" s="123">
        <v>0</v>
      </c>
      <c r="AV154" s="123">
        <v>0</v>
      </c>
      <c r="AW154" s="123">
        <v>0</v>
      </c>
      <c r="AX154" s="123">
        <v>0</v>
      </c>
      <c r="AY154" s="123">
        <v>0</v>
      </c>
    </row>
    <row r="155" spans="1:51" x14ac:dyDescent="0.2">
      <c r="A155" s="126"/>
      <c r="B155" s="143">
        <v>34</v>
      </c>
      <c r="C155" s="123">
        <v>0</v>
      </c>
      <c r="D155" s="123">
        <v>0</v>
      </c>
      <c r="E155" s="123">
        <v>0</v>
      </c>
      <c r="F155" s="123">
        <v>0</v>
      </c>
      <c r="G155" s="123">
        <v>0</v>
      </c>
      <c r="H155" s="123">
        <v>0</v>
      </c>
      <c r="I155" s="123">
        <v>0</v>
      </c>
      <c r="J155" s="123">
        <v>0</v>
      </c>
      <c r="K155" s="123">
        <v>0</v>
      </c>
      <c r="L155" s="123">
        <v>0</v>
      </c>
      <c r="M155" s="123">
        <v>0</v>
      </c>
      <c r="N155" s="123">
        <v>0</v>
      </c>
      <c r="O155" s="123">
        <v>0</v>
      </c>
      <c r="P155" s="123">
        <v>0</v>
      </c>
      <c r="Q155" s="123">
        <v>0</v>
      </c>
      <c r="R155" s="123">
        <v>0</v>
      </c>
      <c r="S155" s="123">
        <v>0</v>
      </c>
      <c r="T155" s="123">
        <v>0</v>
      </c>
      <c r="U155" s="123">
        <v>0</v>
      </c>
      <c r="V155" s="123">
        <v>0</v>
      </c>
      <c r="W155" s="123">
        <v>0</v>
      </c>
      <c r="X155" s="123">
        <v>0</v>
      </c>
      <c r="Y155" s="123">
        <v>0</v>
      </c>
      <c r="Z155" s="123">
        <v>0</v>
      </c>
      <c r="AA155" s="123">
        <v>0</v>
      </c>
      <c r="AB155" s="123">
        <v>0</v>
      </c>
      <c r="AC155" s="123">
        <v>0</v>
      </c>
      <c r="AD155" s="123">
        <v>0</v>
      </c>
      <c r="AE155" s="123">
        <v>0</v>
      </c>
      <c r="AF155" s="123">
        <v>0</v>
      </c>
      <c r="AG155" s="123">
        <v>0</v>
      </c>
      <c r="AH155" s="123">
        <v>0</v>
      </c>
      <c r="AI155" s="123">
        <v>0</v>
      </c>
      <c r="AJ155" s="123">
        <v>0</v>
      </c>
      <c r="AK155" s="123">
        <v>0</v>
      </c>
      <c r="AL155" s="123">
        <v>0</v>
      </c>
      <c r="AM155" s="123">
        <v>0</v>
      </c>
      <c r="AN155" s="123">
        <v>0</v>
      </c>
      <c r="AO155" s="123">
        <v>0</v>
      </c>
      <c r="AP155" s="123">
        <v>0</v>
      </c>
      <c r="AQ155" s="123">
        <v>0</v>
      </c>
      <c r="AR155" s="123">
        <v>0</v>
      </c>
      <c r="AS155" s="123">
        <v>0</v>
      </c>
      <c r="AT155" s="123">
        <v>0</v>
      </c>
      <c r="AU155" s="123">
        <v>0</v>
      </c>
      <c r="AV155" s="123">
        <v>0</v>
      </c>
      <c r="AW155" s="123">
        <v>0</v>
      </c>
      <c r="AX155" s="123">
        <v>0</v>
      </c>
      <c r="AY155" s="123">
        <v>0</v>
      </c>
    </row>
    <row r="156" spans="1:51" x14ac:dyDescent="0.2">
      <c r="A156" s="126"/>
      <c r="B156" s="143">
        <v>35</v>
      </c>
      <c r="C156" s="123">
        <v>0</v>
      </c>
      <c r="D156" s="123">
        <v>0</v>
      </c>
      <c r="E156" s="123">
        <v>0</v>
      </c>
      <c r="F156" s="123">
        <v>0</v>
      </c>
      <c r="G156" s="123">
        <v>0</v>
      </c>
      <c r="H156" s="123">
        <v>0</v>
      </c>
      <c r="I156" s="123">
        <v>0</v>
      </c>
      <c r="J156" s="123">
        <v>0</v>
      </c>
      <c r="K156" s="123">
        <v>0</v>
      </c>
      <c r="L156" s="123">
        <v>0</v>
      </c>
      <c r="M156" s="123">
        <v>0</v>
      </c>
      <c r="N156" s="123">
        <v>0</v>
      </c>
      <c r="O156" s="123">
        <v>0</v>
      </c>
      <c r="P156" s="123">
        <v>0</v>
      </c>
      <c r="Q156" s="123">
        <v>0</v>
      </c>
      <c r="R156" s="123">
        <v>0</v>
      </c>
      <c r="S156" s="123">
        <v>0</v>
      </c>
      <c r="T156" s="123">
        <v>0</v>
      </c>
      <c r="U156" s="123">
        <v>0</v>
      </c>
      <c r="V156" s="123">
        <v>0</v>
      </c>
      <c r="W156" s="123">
        <v>0</v>
      </c>
      <c r="X156" s="123">
        <v>0</v>
      </c>
      <c r="Y156" s="123">
        <v>0</v>
      </c>
      <c r="Z156" s="123">
        <v>0</v>
      </c>
      <c r="AA156" s="123">
        <v>0</v>
      </c>
      <c r="AB156" s="123">
        <v>0</v>
      </c>
      <c r="AC156" s="123">
        <v>0</v>
      </c>
      <c r="AD156" s="123">
        <v>0</v>
      </c>
      <c r="AE156" s="123">
        <v>0</v>
      </c>
      <c r="AF156" s="123">
        <v>0</v>
      </c>
      <c r="AG156" s="123">
        <v>0</v>
      </c>
      <c r="AH156" s="123">
        <v>0</v>
      </c>
      <c r="AI156" s="123">
        <v>0</v>
      </c>
      <c r="AJ156" s="123">
        <v>0</v>
      </c>
      <c r="AK156" s="123">
        <v>0</v>
      </c>
      <c r="AL156" s="123">
        <v>0</v>
      </c>
      <c r="AM156" s="123">
        <v>0</v>
      </c>
      <c r="AN156" s="123">
        <v>0</v>
      </c>
      <c r="AO156" s="123">
        <v>0</v>
      </c>
      <c r="AP156" s="123">
        <v>0</v>
      </c>
      <c r="AQ156" s="123">
        <v>0</v>
      </c>
      <c r="AR156" s="123">
        <v>0</v>
      </c>
      <c r="AS156" s="123">
        <v>0</v>
      </c>
      <c r="AT156" s="123">
        <v>0</v>
      </c>
      <c r="AU156" s="123">
        <v>0</v>
      </c>
      <c r="AV156" s="123">
        <v>0</v>
      </c>
      <c r="AW156" s="123">
        <v>0</v>
      </c>
      <c r="AX156" s="123">
        <v>0</v>
      </c>
      <c r="AY156" s="123">
        <v>0</v>
      </c>
    </row>
    <row r="157" spans="1:51" x14ac:dyDescent="0.2">
      <c r="A157" s="126"/>
      <c r="B157" s="143">
        <v>36</v>
      </c>
      <c r="C157" s="123">
        <v>0</v>
      </c>
      <c r="D157" s="123">
        <v>0</v>
      </c>
      <c r="E157" s="123">
        <v>0</v>
      </c>
      <c r="F157" s="123">
        <v>0</v>
      </c>
      <c r="G157" s="123">
        <v>0</v>
      </c>
      <c r="H157" s="123">
        <v>0</v>
      </c>
      <c r="I157" s="123">
        <v>0</v>
      </c>
      <c r="J157" s="123">
        <v>0</v>
      </c>
      <c r="K157" s="123">
        <v>0</v>
      </c>
      <c r="L157" s="123">
        <v>0</v>
      </c>
      <c r="M157" s="123">
        <v>0</v>
      </c>
      <c r="N157" s="123">
        <v>0</v>
      </c>
      <c r="O157" s="123">
        <v>0</v>
      </c>
      <c r="P157" s="123">
        <v>0</v>
      </c>
      <c r="Q157" s="123">
        <v>0</v>
      </c>
      <c r="R157" s="123">
        <v>0</v>
      </c>
      <c r="S157" s="123">
        <v>0</v>
      </c>
      <c r="T157" s="123">
        <v>0</v>
      </c>
      <c r="U157" s="123">
        <v>0</v>
      </c>
      <c r="V157" s="123">
        <v>0</v>
      </c>
      <c r="W157" s="123">
        <v>0</v>
      </c>
      <c r="X157" s="123">
        <v>0</v>
      </c>
      <c r="Y157" s="123">
        <v>0</v>
      </c>
      <c r="Z157" s="123">
        <v>0</v>
      </c>
      <c r="AA157" s="123">
        <v>0</v>
      </c>
      <c r="AB157" s="123">
        <v>0</v>
      </c>
      <c r="AC157" s="123">
        <v>0</v>
      </c>
      <c r="AD157" s="123">
        <v>0</v>
      </c>
      <c r="AE157" s="123">
        <v>0</v>
      </c>
      <c r="AF157" s="123">
        <v>0</v>
      </c>
      <c r="AG157" s="123">
        <v>0</v>
      </c>
      <c r="AH157" s="123">
        <v>0</v>
      </c>
      <c r="AI157" s="123">
        <v>0</v>
      </c>
      <c r="AJ157" s="123">
        <v>0</v>
      </c>
      <c r="AK157" s="123">
        <v>0</v>
      </c>
      <c r="AL157" s="123">
        <v>0</v>
      </c>
      <c r="AM157" s="123">
        <v>0</v>
      </c>
      <c r="AN157" s="123">
        <v>0</v>
      </c>
      <c r="AO157" s="123">
        <v>0</v>
      </c>
      <c r="AP157" s="123">
        <v>0</v>
      </c>
      <c r="AQ157" s="123">
        <v>0</v>
      </c>
      <c r="AR157" s="123">
        <v>0</v>
      </c>
      <c r="AS157" s="123">
        <v>0</v>
      </c>
      <c r="AT157" s="123">
        <v>0</v>
      </c>
      <c r="AU157" s="123">
        <v>0</v>
      </c>
      <c r="AV157" s="123">
        <v>0</v>
      </c>
      <c r="AW157" s="123">
        <v>0</v>
      </c>
      <c r="AX157" s="123">
        <v>0</v>
      </c>
      <c r="AY157" s="123">
        <v>0</v>
      </c>
    </row>
    <row r="158" spans="1:51" x14ac:dyDescent="0.2">
      <c r="A158" s="126"/>
      <c r="B158" s="146">
        <v>37</v>
      </c>
      <c r="C158" s="123">
        <v>0</v>
      </c>
      <c r="D158" s="123">
        <v>0</v>
      </c>
      <c r="E158" s="123">
        <v>0</v>
      </c>
      <c r="F158" s="123">
        <v>0</v>
      </c>
      <c r="G158" s="123">
        <v>0</v>
      </c>
      <c r="H158" s="123">
        <v>0</v>
      </c>
      <c r="I158" s="123">
        <v>0</v>
      </c>
      <c r="J158" s="123">
        <v>0</v>
      </c>
      <c r="K158" s="123">
        <v>0</v>
      </c>
      <c r="L158" s="123">
        <v>0</v>
      </c>
      <c r="M158" s="123">
        <v>0</v>
      </c>
      <c r="N158" s="123">
        <v>0</v>
      </c>
      <c r="O158" s="123">
        <v>0</v>
      </c>
      <c r="P158" s="123">
        <v>0</v>
      </c>
      <c r="Q158" s="123">
        <v>0</v>
      </c>
      <c r="R158" s="123">
        <v>0</v>
      </c>
      <c r="S158" s="123">
        <v>0</v>
      </c>
      <c r="T158" s="123">
        <v>0</v>
      </c>
      <c r="U158" s="123">
        <v>0</v>
      </c>
      <c r="V158" s="123">
        <v>0</v>
      </c>
      <c r="W158" s="123">
        <v>0</v>
      </c>
      <c r="X158" s="123">
        <v>0</v>
      </c>
      <c r="Y158" s="123">
        <v>0</v>
      </c>
      <c r="Z158" s="123">
        <v>0</v>
      </c>
      <c r="AA158" s="123">
        <v>0</v>
      </c>
      <c r="AB158" s="123">
        <v>0</v>
      </c>
      <c r="AC158" s="123">
        <v>0</v>
      </c>
      <c r="AD158" s="123">
        <v>0</v>
      </c>
      <c r="AE158" s="123">
        <v>0</v>
      </c>
      <c r="AF158" s="123">
        <v>0</v>
      </c>
      <c r="AG158" s="123">
        <v>0</v>
      </c>
      <c r="AH158" s="123">
        <v>0</v>
      </c>
      <c r="AI158" s="123">
        <v>0</v>
      </c>
      <c r="AJ158" s="123">
        <v>0</v>
      </c>
      <c r="AK158" s="123">
        <v>0</v>
      </c>
      <c r="AL158" s="123">
        <v>0</v>
      </c>
      <c r="AM158" s="123">
        <v>0</v>
      </c>
      <c r="AN158" s="123">
        <v>0</v>
      </c>
      <c r="AO158" s="123">
        <v>0</v>
      </c>
      <c r="AP158" s="123">
        <v>0</v>
      </c>
      <c r="AQ158" s="123">
        <v>0</v>
      </c>
      <c r="AR158" s="123">
        <v>0</v>
      </c>
      <c r="AS158" s="123">
        <v>0</v>
      </c>
      <c r="AT158" s="123">
        <v>0</v>
      </c>
      <c r="AU158" s="123">
        <v>0</v>
      </c>
      <c r="AV158" s="123">
        <v>0</v>
      </c>
      <c r="AW158" s="123">
        <v>0</v>
      </c>
      <c r="AX158" s="123">
        <v>0</v>
      </c>
      <c r="AY158" s="123">
        <v>0</v>
      </c>
    </row>
    <row r="159" spans="1:51" x14ac:dyDescent="0.2">
      <c r="A159" s="126"/>
      <c r="B159" s="146">
        <v>38</v>
      </c>
      <c r="C159" s="123">
        <v>0</v>
      </c>
      <c r="D159" s="123">
        <v>0</v>
      </c>
      <c r="E159" s="123">
        <v>0</v>
      </c>
      <c r="F159" s="123">
        <v>0</v>
      </c>
      <c r="G159" s="123">
        <v>0</v>
      </c>
      <c r="H159" s="123">
        <v>0</v>
      </c>
      <c r="I159" s="123">
        <v>0</v>
      </c>
      <c r="J159" s="123">
        <v>0</v>
      </c>
      <c r="K159" s="123">
        <v>0</v>
      </c>
      <c r="L159" s="123">
        <v>0</v>
      </c>
      <c r="M159" s="123">
        <v>0</v>
      </c>
      <c r="N159" s="123">
        <v>0</v>
      </c>
      <c r="O159" s="123">
        <v>0</v>
      </c>
      <c r="P159" s="123">
        <v>0</v>
      </c>
      <c r="Q159" s="123">
        <v>0</v>
      </c>
      <c r="R159" s="123">
        <v>0</v>
      </c>
      <c r="S159" s="123">
        <v>0</v>
      </c>
      <c r="T159" s="123">
        <v>0</v>
      </c>
      <c r="U159" s="123">
        <v>0</v>
      </c>
      <c r="V159" s="123">
        <v>0</v>
      </c>
      <c r="W159" s="123">
        <v>0</v>
      </c>
      <c r="X159" s="123">
        <v>0</v>
      </c>
      <c r="Y159" s="123">
        <v>0</v>
      </c>
      <c r="Z159" s="123">
        <v>0</v>
      </c>
      <c r="AA159" s="123">
        <v>0</v>
      </c>
      <c r="AB159" s="123">
        <v>0</v>
      </c>
      <c r="AC159" s="123">
        <v>0</v>
      </c>
      <c r="AD159" s="123">
        <v>0</v>
      </c>
      <c r="AE159" s="123">
        <v>0</v>
      </c>
      <c r="AF159" s="123">
        <v>0</v>
      </c>
      <c r="AG159" s="123">
        <v>0</v>
      </c>
      <c r="AH159" s="123">
        <v>0</v>
      </c>
      <c r="AI159" s="123">
        <v>0</v>
      </c>
      <c r="AJ159" s="123">
        <v>0</v>
      </c>
      <c r="AK159" s="123">
        <v>0</v>
      </c>
      <c r="AL159" s="123">
        <v>0</v>
      </c>
      <c r="AM159" s="123">
        <v>0</v>
      </c>
      <c r="AN159" s="123">
        <v>0</v>
      </c>
      <c r="AO159" s="123">
        <v>0</v>
      </c>
      <c r="AP159" s="123">
        <v>0</v>
      </c>
      <c r="AQ159" s="123">
        <v>0</v>
      </c>
      <c r="AR159" s="123">
        <v>0</v>
      </c>
      <c r="AS159" s="123">
        <v>0</v>
      </c>
      <c r="AT159" s="123">
        <v>0</v>
      </c>
      <c r="AU159" s="123">
        <v>0</v>
      </c>
      <c r="AV159" s="123">
        <v>0</v>
      </c>
      <c r="AW159" s="123">
        <v>0</v>
      </c>
      <c r="AX159" s="123">
        <v>0</v>
      </c>
      <c r="AY159" s="123">
        <v>0</v>
      </c>
    </row>
    <row r="160" spans="1:51" x14ac:dyDescent="0.2">
      <c r="A160" s="126"/>
      <c r="B160" s="146">
        <v>39</v>
      </c>
      <c r="C160" s="123">
        <v>0</v>
      </c>
      <c r="D160" s="123">
        <v>0</v>
      </c>
      <c r="E160" s="123">
        <v>0</v>
      </c>
      <c r="F160" s="123">
        <v>0</v>
      </c>
      <c r="G160" s="123">
        <v>0</v>
      </c>
      <c r="H160" s="123">
        <v>0</v>
      </c>
      <c r="I160" s="123">
        <v>0</v>
      </c>
      <c r="J160" s="123">
        <v>0</v>
      </c>
      <c r="K160" s="123">
        <v>0</v>
      </c>
      <c r="L160" s="123">
        <v>0</v>
      </c>
      <c r="M160" s="123">
        <v>0</v>
      </c>
      <c r="N160" s="123">
        <v>0</v>
      </c>
      <c r="O160" s="123">
        <v>0</v>
      </c>
      <c r="P160" s="123">
        <v>0</v>
      </c>
      <c r="Q160" s="123">
        <v>0</v>
      </c>
      <c r="R160" s="123">
        <v>0</v>
      </c>
      <c r="S160" s="123">
        <v>0</v>
      </c>
      <c r="T160" s="123">
        <v>0</v>
      </c>
      <c r="U160" s="123">
        <v>0</v>
      </c>
      <c r="V160" s="123">
        <v>0</v>
      </c>
      <c r="W160" s="123">
        <v>0</v>
      </c>
      <c r="X160" s="123">
        <v>0</v>
      </c>
      <c r="Y160" s="123">
        <v>0</v>
      </c>
      <c r="Z160" s="123">
        <v>0</v>
      </c>
      <c r="AA160" s="123">
        <v>0</v>
      </c>
      <c r="AB160" s="123">
        <v>0</v>
      </c>
      <c r="AC160" s="123">
        <v>0</v>
      </c>
      <c r="AD160" s="123">
        <v>0</v>
      </c>
      <c r="AE160" s="123">
        <v>0</v>
      </c>
      <c r="AF160" s="123">
        <v>0</v>
      </c>
      <c r="AG160" s="123">
        <v>0</v>
      </c>
      <c r="AH160" s="123">
        <v>0</v>
      </c>
      <c r="AI160" s="123">
        <v>0</v>
      </c>
      <c r="AJ160" s="123">
        <v>0</v>
      </c>
      <c r="AK160" s="123">
        <v>0</v>
      </c>
      <c r="AL160" s="123">
        <v>0</v>
      </c>
      <c r="AM160" s="123">
        <v>0</v>
      </c>
      <c r="AN160" s="123">
        <v>0</v>
      </c>
      <c r="AO160" s="123">
        <v>0</v>
      </c>
      <c r="AP160" s="123">
        <v>0</v>
      </c>
      <c r="AQ160" s="123">
        <v>0</v>
      </c>
      <c r="AR160" s="123">
        <v>0</v>
      </c>
      <c r="AS160" s="123">
        <v>0</v>
      </c>
      <c r="AT160" s="123">
        <v>0</v>
      </c>
      <c r="AU160" s="123">
        <v>0</v>
      </c>
      <c r="AV160" s="123">
        <v>0</v>
      </c>
      <c r="AW160" s="123">
        <v>0</v>
      </c>
      <c r="AX160" s="123">
        <v>0</v>
      </c>
      <c r="AY160" s="123">
        <v>0</v>
      </c>
    </row>
    <row r="161" spans="1:52" x14ac:dyDescent="0.2">
      <c r="A161" s="126"/>
      <c r="B161" s="146">
        <v>40</v>
      </c>
      <c r="C161" s="123">
        <v>0</v>
      </c>
      <c r="D161" s="123">
        <v>0</v>
      </c>
      <c r="E161" s="123">
        <v>0</v>
      </c>
      <c r="F161" s="123">
        <v>0</v>
      </c>
      <c r="G161" s="123">
        <v>0</v>
      </c>
      <c r="H161" s="123">
        <v>0</v>
      </c>
      <c r="I161" s="123">
        <v>0</v>
      </c>
      <c r="J161" s="123">
        <v>0</v>
      </c>
      <c r="K161" s="123">
        <v>0</v>
      </c>
      <c r="L161" s="123">
        <v>0</v>
      </c>
      <c r="M161" s="123">
        <v>0</v>
      </c>
      <c r="N161" s="123">
        <v>0</v>
      </c>
      <c r="O161" s="123">
        <v>0</v>
      </c>
      <c r="P161" s="123">
        <v>0</v>
      </c>
      <c r="Q161" s="123">
        <v>0</v>
      </c>
      <c r="R161" s="123">
        <v>0</v>
      </c>
      <c r="S161" s="123">
        <v>0</v>
      </c>
      <c r="T161" s="123">
        <v>0</v>
      </c>
      <c r="U161" s="123">
        <v>0</v>
      </c>
      <c r="V161" s="123">
        <v>0</v>
      </c>
      <c r="W161" s="123">
        <v>0</v>
      </c>
      <c r="X161" s="123">
        <v>0</v>
      </c>
      <c r="Y161" s="123">
        <v>0</v>
      </c>
      <c r="Z161" s="123">
        <v>0</v>
      </c>
      <c r="AA161" s="123">
        <v>0</v>
      </c>
      <c r="AB161" s="123">
        <v>0</v>
      </c>
      <c r="AC161" s="123">
        <v>0</v>
      </c>
      <c r="AD161" s="123">
        <v>0</v>
      </c>
      <c r="AE161" s="123">
        <v>0</v>
      </c>
      <c r="AF161" s="123">
        <v>0</v>
      </c>
      <c r="AG161" s="123">
        <v>0</v>
      </c>
      <c r="AH161" s="123">
        <v>0</v>
      </c>
      <c r="AI161" s="123">
        <v>0</v>
      </c>
      <c r="AJ161" s="123">
        <v>0</v>
      </c>
      <c r="AK161" s="123">
        <v>0</v>
      </c>
      <c r="AL161" s="123">
        <v>0</v>
      </c>
      <c r="AM161" s="123">
        <v>0</v>
      </c>
      <c r="AN161" s="123">
        <v>0</v>
      </c>
      <c r="AO161" s="123">
        <v>0</v>
      </c>
      <c r="AP161" s="123">
        <v>0</v>
      </c>
      <c r="AQ161" s="123">
        <v>0</v>
      </c>
      <c r="AR161" s="123">
        <v>0</v>
      </c>
      <c r="AS161" s="123">
        <v>0</v>
      </c>
      <c r="AT161" s="123">
        <v>0</v>
      </c>
      <c r="AU161" s="123">
        <v>0</v>
      </c>
      <c r="AV161" s="123">
        <v>0</v>
      </c>
      <c r="AW161" s="123">
        <v>0</v>
      </c>
      <c r="AX161" s="123">
        <v>0</v>
      </c>
      <c r="AY161" s="123">
        <v>0</v>
      </c>
    </row>
    <row r="162" spans="1:52" x14ac:dyDescent="0.2">
      <c r="A162" s="126"/>
      <c r="B162" s="146">
        <v>41</v>
      </c>
      <c r="C162" s="123">
        <v>0</v>
      </c>
      <c r="D162" s="123">
        <v>0</v>
      </c>
      <c r="E162" s="123">
        <v>0</v>
      </c>
      <c r="F162" s="123">
        <v>0</v>
      </c>
      <c r="G162" s="123">
        <v>0</v>
      </c>
      <c r="H162" s="123">
        <v>0</v>
      </c>
      <c r="I162" s="123">
        <v>0</v>
      </c>
      <c r="J162" s="123">
        <v>0</v>
      </c>
      <c r="K162" s="123">
        <v>0</v>
      </c>
      <c r="L162" s="123">
        <v>0</v>
      </c>
      <c r="M162" s="123">
        <v>0</v>
      </c>
      <c r="N162" s="123">
        <v>0</v>
      </c>
      <c r="O162" s="123">
        <v>0</v>
      </c>
      <c r="P162" s="123">
        <v>0</v>
      </c>
      <c r="Q162" s="123">
        <v>0</v>
      </c>
      <c r="R162" s="123">
        <v>0</v>
      </c>
      <c r="S162" s="123">
        <v>0</v>
      </c>
      <c r="T162" s="123">
        <v>0</v>
      </c>
      <c r="U162" s="123">
        <v>0</v>
      </c>
      <c r="V162" s="123">
        <v>0</v>
      </c>
      <c r="W162" s="123">
        <v>0</v>
      </c>
      <c r="X162" s="123">
        <v>0</v>
      </c>
      <c r="Y162" s="123">
        <v>0</v>
      </c>
      <c r="Z162" s="123">
        <v>0</v>
      </c>
      <c r="AA162" s="123">
        <v>0</v>
      </c>
      <c r="AB162" s="123">
        <v>0</v>
      </c>
      <c r="AC162" s="123">
        <v>0</v>
      </c>
      <c r="AD162" s="123">
        <v>0</v>
      </c>
      <c r="AE162" s="123">
        <v>0</v>
      </c>
      <c r="AF162" s="123">
        <v>0</v>
      </c>
      <c r="AG162" s="123">
        <v>0</v>
      </c>
      <c r="AH162" s="123">
        <v>0</v>
      </c>
      <c r="AI162" s="123">
        <v>0</v>
      </c>
      <c r="AJ162" s="123">
        <v>0</v>
      </c>
      <c r="AK162" s="123">
        <v>0</v>
      </c>
      <c r="AL162" s="123">
        <v>0</v>
      </c>
      <c r="AM162" s="123">
        <v>0</v>
      </c>
      <c r="AN162" s="123">
        <v>0</v>
      </c>
      <c r="AO162" s="123">
        <v>0</v>
      </c>
      <c r="AP162" s="123">
        <v>0</v>
      </c>
      <c r="AQ162" s="123">
        <v>0</v>
      </c>
      <c r="AR162" s="123">
        <v>0</v>
      </c>
      <c r="AS162" s="123">
        <v>0</v>
      </c>
      <c r="AT162" s="123">
        <v>0</v>
      </c>
      <c r="AU162" s="123">
        <v>0</v>
      </c>
      <c r="AV162" s="123">
        <v>0</v>
      </c>
      <c r="AW162" s="123">
        <v>0</v>
      </c>
      <c r="AX162" s="123">
        <v>0</v>
      </c>
      <c r="AY162" s="123">
        <v>0</v>
      </c>
    </row>
    <row r="163" spans="1:52" x14ac:dyDescent="0.2">
      <c r="A163" s="126"/>
      <c r="B163" s="146">
        <v>42</v>
      </c>
      <c r="C163" s="123">
        <v>0</v>
      </c>
      <c r="D163" s="123">
        <v>0</v>
      </c>
      <c r="E163" s="123">
        <v>0</v>
      </c>
      <c r="F163" s="123">
        <v>0</v>
      </c>
      <c r="G163" s="123">
        <v>0</v>
      </c>
      <c r="H163" s="123">
        <v>0</v>
      </c>
      <c r="I163" s="123">
        <v>0</v>
      </c>
      <c r="J163" s="123">
        <v>0</v>
      </c>
      <c r="K163" s="123">
        <v>0</v>
      </c>
      <c r="L163" s="123">
        <v>0</v>
      </c>
      <c r="M163" s="123">
        <v>0</v>
      </c>
      <c r="N163" s="123">
        <v>0</v>
      </c>
      <c r="O163" s="123">
        <v>0</v>
      </c>
      <c r="P163" s="123">
        <v>0</v>
      </c>
      <c r="Q163" s="123">
        <v>0</v>
      </c>
      <c r="R163" s="123">
        <v>0</v>
      </c>
      <c r="S163" s="123">
        <v>0</v>
      </c>
      <c r="T163" s="123">
        <v>0</v>
      </c>
      <c r="U163" s="123">
        <v>0</v>
      </c>
      <c r="V163" s="123">
        <v>0</v>
      </c>
      <c r="W163" s="123">
        <v>0</v>
      </c>
      <c r="X163" s="123">
        <v>0</v>
      </c>
      <c r="Y163" s="123">
        <v>0</v>
      </c>
      <c r="Z163" s="123">
        <v>0</v>
      </c>
      <c r="AA163" s="123">
        <v>0</v>
      </c>
      <c r="AB163" s="123">
        <v>0</v>
      </c>
      <c r="AC163" s="123">
        <v>0</v>
      </c>
      <c r="AD163" s="123">
        <v>0</v>
      </c>
      <c r="AE163" s="123">
        <v>0</v>
      </c>
      <c r="AF163" s="123">
        <v>0</v>
      </c>
      <c r="AG163" s="123">
        <v>0</v>
      </c>
      <c r="AH163" s="123">
        <v>0</v>
      </c>
      <c r="AI163" s="123">
        <v>0</v>
      </c>
      <c r="AJ163" s="123">
        <v>0</v>
      </c>
      <c r="AK163" s="123">
        <v>0</v>
      </c>
      <c r="AL163" s="123">
        <v>0</v>
      </c>
      <c r="AM163" s="123">
        <v>0</v>
      </c>
      <c r="AN163" s="123">
        <v>0</v>
      </c>
      <c r="AO163" s="123">
        <v>0</v>
      </c>
      <c r="AP163" s="123">
        <v>0</v>
      </c>
      <c r="AQ163" s="123">
        <v>0</v>
      </c>
      <c r="AR163" s="123">
        <v>0</v>
      </c>
      <c r="AS163" s="123">
        <v>0</v>
      </c>
      <c r="AT163" s="123">
        <v>0</v>
      </c>
      <c r="AU163" s="123">
        <v>0</v>
      </c>
      <c r="AV163" s="123">
        <v>0</v>
      </c>
      <c r="AW163" s="123">
        <v>0</v>
      </c>
      <c r="AX163" s="123">
        <v>0</v>
      </c>
      <c r="AY163" s="123">
        <v>0</v>
      </c>
    </row>
    <row r="164" spans="1:52" x14ac:dyDescent="0.2">
      <c r="A164" s="126"/>
      <c r="B164" s="146">
        <v>43</v>
      </c>
      <c r="C164" s="123">
        <v>0</v>
      </c>
      <c r="D164" s="123">
        <v>0</v>
      </c>
      <c r="E164" s="123">
        <v>0</v>
      </c>
      <c r="F164" s="123">
        <v>0</v>
      </c>
      <c r="G164" s="123">
        <v>0</v>
      </c>
      <c r="H164" s="123">
        <v>0</v>
      </c>
      <c r="I164" s="123">
        <v>0</v>
      </c>
      <c r="J164" s="123">
        <v>0</v>
      </c>
      <c r="K164" s="123">
        <v>0</v>
      </c>
      <c r="L164" s="123">
        <v>0</v>
      </c>
      <c r="M164" s="123">
        <v>0</v>
      </c>
      <c r="N164" s="123">
        <v>0</v>
      </c>
      <c r="O164" s="123">
        <v>0</v>
      </c>
      <c r="P164" s="123">
        <v>0</v>
      </c>
      <c r="Q164" s="123">
        <v>0</v>
      </c>
      <c r="R164" s="123">
        <v>0</v>
      </c>
      <c r="S164" s="123">
        <v>0</v>
      </c>
      <c r="T164" s="123">
        <v>0</v>
      </c>
      <c r="U164" s="123">
        <v>0</v>
      </c>
      <c r="V164" s="123">
        <v>0</v>
      </c>
      <c r="W164" s="123">
        <v>0</v>
      </c>
      <c r="X164" s="123">
        <v>0</v>
      </c>
      <c r="Y164" s="123">
        <v>0</v>
      </c>
      <c r="Z164" s="123">
        <v>0</v>
      </c>
      <c r="AA164" s="123">
        <v>0</v>
      </c>
      <c r="AB164" s="123">
        <v>0</v>
      </c>
      <c r="AC164" s="123">
        <v>0</v>
      </c>
      <c r="AD164" s="123">
        <v>0</v>
      </c>
      <c r="AE164" s="123">
        <v>0</v>
      </c>
      <c r="AF164" s="123">
        <v>0</v>
      </c>
      <c r="AG164" s="123">
        <v>0</v>
      </c>
      <c r="AH164" s="123">
        <v>0</v>
      </c>
      <c r="AI164" s="123">
        <v>0</v>
      </c>
      <c r="AJ164" s="123">
        <v>0</v>
      </c>
      <c r="AK164" s="123">
        <v>0</v>
      </c>
      <c r="AL164" s="123">
        <v>0</v>
      </c>
      <c r="AM164" s="123">
        <v>0</v>
      </c>
      <c r="AN164" s="123">
        <v>0</v>
      </c>
      <c r="AO164" s="123">
        <v>0</v>
      </c>
      <c r="AP164" s="123">
        <v>0</v>
      </c>
      <c r="AQ164" s="123">
        <v>0</v>
      </c>
      <c r="AR164" s="123">
        <v>0</v>
      </c>
      <c r="AS164" s="123">
        <v>0</v>
      </c>
      <c r="AT164" s="123">
        <v>0</v>
      </c>
      <c r="AU164" s="123">
        <v>0</v>
      </c>
      <c r="AV164" s="123">
        <v>0</v>
      </c>
      <c r="AW164" s="123">
        <v>0</v>
      </c>
      <c r="AX164" s="123">
        <v>0</v>
      </c>
      <c r="AY164" s="123">
        <v>0</v>
      </c>
    </row>
    <row r="165" spans="1:52" x14ac:dyDescent="0.2">
      <c r="A165" s="126"/>
      <c r="B165" s="146">
        <v>44</v>
      </c>
      <c r="C165" s="123">
        <v>0</v>
      </c>
      <c r="D165" s="123">
        <v>0</v>
      </c>
      <c r="E165" s="123">
        <v>0</v>
      </c>
      <c r="F165" s="123">
        <v>0</v>
      </c>
      <c r="G165" s="123">
        <v>0</v>
      </c>
      <c r="H165" s="123">
        <v>0</v>
      </c>
      <c r="I165" s="123">
        <v>0</v>
      </c>
      <c r="J165" s="123">
        <v>0</v>
      </c>
      <c r="K165" s="123">
        <v>0</v>
      </c>
      <c r="L165" s="123">
        <v>0</v>
      </c>
      <c r="M165" s="123">
        <v>0</v>
      </c>
      <c r="N165" s="123">
        <v>0</v>
      </c>
      <c r="O165" s="123">
        <v>0</v>
      </c>
      <c r="P165" s="123">
        <v>0</v>
      </c>
      <c r="Q165" s="123">
        <v>0</v>
      </c>
      <c r="R165" s="123">
        <v>0</v>
      </c>
      <c r="S165" s="123">
        <v>0</v>
      </c>
      <c r="T165" s="123">
        <v>0</v>
      </c>
      <c r="U165" s="123">
        <v>0</v>
      </c>
      <c r="V165" s="123">
        <v>0</v>
      </c>
      <c r="W165" s="123">
        <v>0</v>
      </c>
      <c r="X165" s="123">
        <v>0</v>
      </c>
      <c r="Y165" s="123">
        <v>0</v>
      </c>
      <c r="Z165" s="123">
        <v>0</v>
      </c>
      <c r="AA165" s="123">
        <v>0</v>
      </c>
      <c r="AB165" s="123">
        <v>0</v>
      </c>
      <c r="AC165" s="123">
        <v>0</v>
      </c>
      <c r="AD165" s="123">
        <v>0</v>
      </c>
      <c r="AE165" s="123">
        <v>0</v>
      </c>
      <c r="AF165" s="123">
        <v>0</v>
      </c>
      <c r="AG165" s="123">
        <v>0</v>
      </c>
      <c r="AH165" s="123">
        <v>0</v>
      </c>
      <c r="AI165" s="123">
        <v>0</v>
      </c>
      <c r="AJ165" s="123">
        <v>0</v>
      </c>
      <c r="AK165" s="123">
        <v>0</v>
      </c>
      <c r="AL165" s="123">
        <v>0</v>
      </c>
      <c r="AM165" s="123">
        <v>0</v>
      </c>
      <c r="AN165" s="123">
        <v>0</v>
      </c>
      <c r="AO165" s="123">
        <v>0</v>
      </c>
      <c r="AP165" s="123">
        <v>0</v>
      </c>
      <c r="AQ165" s="123">
        <v>0</v>
      </c>
      <c r="AR165" s="123">
        <v>0</v>
      </c>
      <c r="AS165" s="123">
        <v>0</v>
      </c>
      <c r="AT165" s="123">
        <v>0</v>
      </c>
      <c r="AU165" s="123">
        <v>0</v>
      </c>
      <c r="AV165" s="123">
        <v>0</v>
      </c>
      <c r="AW165" s="123">
        <v>0</v>
      </c>
      <c r="AX165" s="123">
        <v>0</v>
      </c>
      <c r="AY165" s="123">
        <v>0</v>
      </c>
    </row>
    <row r="166" spans="1:52" x14ac:dyDescent="0.2">
      <c r="A166" s="126"/>
      <c r="B166" s="146">
        <v>45</v>
      </c>
      <c r="C166" s="123">
        <v>0</v>
      </c>
      <c r="D166" s="123">
        <v>0</v>
      </c>
      <c r="E166" s="123">
        <v>0</v>
      </c>
      <c r="F166" s="123">
        <v>0</v>
      </c>
      <c r="G166" s="123">
        <v>0</v>
      </c>
      <c r="H166" s="123">
        <v>0</v>
      </c>
      <c r="I166" s="123">
        <v>0</v>
      </c>
      <c r="J166" s="123">
        <v>0</v>
      </c>
      <c r="K166" s="123">
        <v>0</v>
      </c>
      <c r="L166" s="123">
        <v>0</v>
      </c>
      <c r="M166" s="123">
        <v>0</v>
      </c>
      <c r="N166" s="123">
        <v>0</v>
      </c>
      <c r="O166" s="123">
        <v>0</v>
      </c>
      <c r="P166" s="123">
        <v>0</v>
      </c>
      <c r="Q166" s="123">
        <v>0</v>
      </c>
      <c r="R166" s="123">
        <v>0</v>
      </c>
      <c r="S166" s="123">
        <v>0</v>
      </c>
      <c r="T166" s="123">
        <v>0</v>
      </c>
      <c r="U166" s="123">
        <v>0</v>
      </c>
      <c r="V166" s="123">
        <v>0</v>
      </c>
      <c r="W166" s="123">
        <v>0</v>
      </c>
      <c r="X166" s="123">
        <v>0</v>
      </c>
      <c r="Y166" s="123">
        <v>0</v>
      </c>
      <c r="Z166" s="123">
        <v>0</v>
      </c>
      <c r="AA166" s="123">
        <v>0</v>
      </c>
      <c r="AB166" s="123">
        <v>0</v>
      </c>
      <c r="AC166" s="123">
        <v>0</v>
      </c>
      <c r="AD166" s="123">
        <v>0</v>
      </c>
      <c r="AE166" s="123">
        <v>0</v>
      </c>
      <c r="AF166" s="123">
        <v>0</v>
      </c>
      <c r="AG166" s="123">
        <v>0</v>
      </c>
      <c r="AH166" s="123">
        <v>0</v>
      </c>
      <c r="AI166" s="123">
        <v>0</v>
      </c>
      <c r="AJ166" s="123">
        <v>0</v>
      </c>
      <c r="AK166" s="123">
        <v>0</v>
      </c>
      <c r="AL166" s="123">
        <v>0</v>
      </c>
      <c r="AM166" s="123">
        <v>0</v>
      </c>
      <c r="AN166" s="123">
        <v>0</v>
      </c>
      <c r="AO166" s="123">
        <v>0</v>
      </c>
      <c r="AP166" s="123">
        <v>0</v>
      </c>
      <c r="AQ166" s="123">
        <v>0</v>
      </c>
      <c r="AR166" s="123">
        <v>0</v>
      </c>
      <c r="AS166" s="123">
        <v>0</v>
      </c>
      <c r="AT166" s="123">
        <v>0</v>
      </c>
      <c r="AU166" s="123">
        <v>0</v>
      </c>
      <c r="AV166" s="123">
        <v>0</v>
      </c>
      <c r="AW166" s="123">
        <v>0</v>
      </c>
      <c r="AX166" s="123">
        <v>0</v>
      </c>
      <c r="AY166" s="123">
        <v>0</v>
      </c>
    </row>
    <row r="167" spans="1:52" x14ac:dyDescent="0.2">
      <c r="A167" s="126"/>
      <c r="B167" s="146">
        <v>46</v>
      </c>
      <c r="C167" s="123">
        <v>0</v>
      </c>
      <c r="D167" s="123">
        <v>0</v>
      </c>
      <c r="E167" s="123">
        <v>0</v>
      </c>
      <c r="F167" s="123">
        <v>0</v>
      </c>
      <c r="G167" s="123">
        <v>0</v>
      </c>
      <c r="H167" s="123">
        <v>0</v>
      </c>
      <c r="I167" s="123">
        <v>0</v>
      </c>
      <c r="J167" s="123">
        <v>0</v>
      </c>
      <c r="K167" s="123">
        <v>0</v>
      </c>
      <c r="L167" s="123">
        <v>0</v>
      </c>
      <c r="M167" s="123">
        <v>0</v>
      </c>
      <c r="N167" s="123">
        <v>0</v>
      </c>
      <c r="O167" s="123">
        <v>0</v>
      </c>
      <c r="P167" s="123">
        <v>0</v>
      </c>
      <c r="Q167" s="123">
        <v>0</v>
      </c>
      <c r="R167" s="123">
        <v>0</v>
      </c>
      <c r="S167" s="123">
        <v>0</v>
      </c>
      <c r="T167" s="123">
        <v>0</v>
      </c>
      <c r="U167" s="123">
        <v>0</v>
      </c>
      <c r="V167" s="123">
        <v>0</v>
      </c>
      <c r="W167" s="123">
        <v>0</v>
      </c>
      <c r="X167" s="123">
        <v>0</v>
      </c>
      <c r="Y167" s="123">
        <v>0</v>
      </c>
      <c r="Z167" s="123">
        <v>0</v>
      </c>
      <c r="AA167" s="123">
        <v>0</v>
      </c>
      <c r="AB167" s="123">
        <v>0</v>
      </c>
      <c r="AC167" s="123">
        <v>0</v>
      </c>
      <c r="AD167" s="123">
        <v>0</v>
      </c>
      <c r="AE167" s="123">
        <v>0</v>
      </c>
      <c r="AF167" s="123">
        <v>0</v>
      </c>
      <c r="AG167" s="123">
        <v>0</v>
      </c>
      <c r="AH167" s="123">
        <v>0</v>
      </c>
      <c r="AI167" s="123">
        <v>0</v>
      </c>
      <c r="AJ167" s="123">
        <v>0</v>
      </c>
      <c r="AK167" s="123">
        <v>0</v>
      </c>
      <c r="AL167" s="123">
        <v>0</v>
      </c>
      <c r="AM167" s="123">
        <v>0</v>
      </c>
      <c r="AN167" s="123">
        <v>0</v>
      </c>
      <c r="AO167" s="123">
        <v>0</v>
      </c>
      <c r="AP167" s="123">
        <v>0</v>
      </c>
      <c r="AQ167" s="123">
        <v>0</v>
      </c>
      <c r="AR167" s="123">
        <v>0</v>
      </c>
      <c r="AS167" s="123">
        <v>0</v>
      </c>
      <c r="AT167" s="123">
        <v>0</v>
      </c>
      <c r="AU167" s="123">
        <v>0</v>
      </c>
      <c r="AV167" s="123">
        <v>0</v>
      </c>
      <c r="AW167" s="123">
        <v>0</v>
      </c>
      <c r="AX167" s="123">
        <v>0</v>
      </c>
      <c r="AY167" s="123">
        <v>0</v>
      </c>
    </row>
    <row r="168" spans="1:52" x14ac:dyDescent="0.2">
      <c r="A168" s="126"/>
      <c r="B168" s="146">
        <v>47</v>
      </c>
      <c r="C168" s="123">
        <v>0</v>
      </c>
      <c r="D168" s="123">
        <v>0</v>
      </c>
      <c r="E168" s="123">
        <v>0</v>
      </c>
      <c r="F168" s="123">
        <v>0</v>
      </c>
      <c r="G168" s="123">
        <v>0</v>
      </c>
      <c r="H168" s="123">
        <v>0</v>
      </c>
      <c r="I168" s="123">
        <v>0</v>
      </c>
      <c r="J168" s="123">
        <v>0</v>
      </c>
      <c r="K168" s="123">
        <v>0</v>
      </c>
      <c r="L168" s="123">
        <v>0</v>
      </c>
      <c r="M168" s="123">
        <v>0</v>
      </c>
      <c r="N168" s="123">
        <v>0</v>
      </c>
      <c r="O168" s="123">
        <v>0</v>
      </c>
      <c r="P168" s="123">
        <v>0</v>
      </c>
      <c r="Q168" s="123">
        <v>0</v>
      </c>
      <c r="R168" s="123">
        <v>0</v>
      </c>
      <c r="S168" s="123">
        <v>0</v>
      </c>
      <c r="T168" s="123">
        <v>0</v>
      </c>
      <c r="U168" s="123">
        <v>0</v>
      </c>
      <c r="V168" s="123">
        <v>0</v>
      </c>
      <c r="W168" s="123">
        <v>0</v>
      </c>
      <c r="X168" s="123">
        <v>0</v>
      </c>
      <c r="Y168" s="123">
        <v>0</v>
      </c>
      <c r="Z168" s="123">
        <v>0</v>
      </c>
      <c r="AA168" s="123">
        <v>0</v>
      </c>
      <c r="AB168" s="123">
        <v>0</v>
      </c>
      <c r="AC168" s="123">
        <v>0</v>
      </c>
      <c r="AD168" s="123">
        <v>0</v>
      </c>
      <c r="AE168" s="123">
        <v>0</v>
      </c>
      <c r="AF168" s="123">
        <v>0</v>
      </c>
      <c r="AG168" s="123">
        <v>0</v>
      </c>
      <c r="AH168" s="123">
        <v>0</v>
      </c>
      <c r="AI168" s="123">
        <v>0</v>
      </c>
      <c r="AJ168" s="123">
        <v>0</v>
      </c>
      <c r="AK168" s="123">
        <v>0</v>
      </c>
      <c r="AL168" s="123">
        <v>0</v>
      </c>
      <c r="AM168" s="123">
        <v>0</v>
      </c>
      <c r="AN168" s="123">
        <v>0</v>
      </c>
      <c r="AO168" s="123">
        <v>0</v>
      </c>
      <c r="AP168" s="123">
        <v>0</v>
      </c>
      <c r="AQ168" s="123">
        <v>0</v>
      </c>
      <c r="AR168" s="123">
        <v>0</v>
      </c>
      <c r="AS168" s="123">
        <v>0</v>
      </c>
      <c r="AT168" s="123">
        <v>0</v>
      </c>
      <c r="AU168" s="123">
        <v>0</v>
      </c>
      <c r="AV168" s="123">
        <v>0</v>
      </c>
      <c r="AW168" s="123">
        <v>0</v>
      </c>
      <c r="AX168" s="123">
        <v>0</v>
      </c>
      <c r="AY168" s="123">
        <v>0</v>
      </c>
    </row>
    <row r="169" spans="1:52" x14ac:dyDescent="0.2">
      <c r="A169" s="126"/>
      <c r="B169" s="146">
        <v>48</v>
      </c>
      <c r="C169" s="123">
        <v>0</v>
      </c>
      <c r="D169" s="123">
        <v>0</v>
      </c>
      <c r="E169" s="123">
        <v>0</v>
      </c>
      <c r="F169" s="123">
        <v>0</v>
      </c>
      <c r="G169" s="123">
        <v>0</v>
      </c>
      <c r="H169" s="123">
        <v>0</v>
      </c>
      <c r="I169" s="123">
        <v>0</v>
      </c>
      <c r="J169" s="123">
        <v>0</v>
      </c>
      <c r="K169" s="123">
        <v>0</v>
      </c>
      <c r="L169" s="123">
        <v>0</v>
      </c>
      <c r="M169" s="123">
        <v>0</v>
      </c>
      <c r="N169" s="123">
        <v>0</v>
      </c>
      <c r="O169" s="123">
        <v>0</v>
      </c>
      <c r="P169" s="123">
        <v>0</v>
      </c>
      <c r="Q169" s="123">
        <v>0</v>
      </c>
      <c r="R169" s="123">
        <v>0</v>
      </c>
      <c r="S169" s="123">
        <v>0</v>
      </c>
      <c r="T169" s="123">
        <v>0</v>
      </c>
      <c r="U169" s="123">
        <v>0</v>
      </c>
      <c r="V169" s="123">
        <v>0</v>
      </c>
      <c r="W169" s="123">
        <v>0</v>
      </c>
      <c r="X169" s="123">
        <v>0</v>
      </c>
      <c r="Y169" s="123">
        <v>0</v>
      </c>
      <c r="Z169" s="123">
        <v>0</v>
      </c>
      <c r="AA169" s="123">
        <v>0</v>
      </c>
      <c r="AB169" s="123">
        <v>0</v>
      </c>
      <c r="AC169" s="123">
        <v>0</v>
      </c>
      <c r="AD169" s="123">
        <v>0</v>
      </c>
      <c r="AE169" s="123">
        <v>0</v>
      </c>
      <c r="AF169" s="123">
        <v>0</v>
      </c>
      <c r="AG169" s="123">
        <v>0</v>
      </c>
      <c r="AH169" s="123">
        <v>0</v>
      </c>
      <c r="AI169" s="123">
        <v>0</v>
      </c>
      <c r="AJ169" s="123">
        <v>0</v>
      </c>
      <c r="AK169" s="123">
        <v>0</v>
      </c>
      <c r="AL169" s="123">
        <v>0</v>
      </c>
      <c r="AM169" s="123">
        <v>0</v>
      </c>
      <c r="AN169" s="123">
        <v>0</v>
      </c>
      <c r="AO169" s="123">
        <v>0</v>
      </c>
      <c r="AP169" s="123">
        <v>0</v>
      </c>
      <c r="AQ169" s="123">
        <v>0</v>
      </c>
      <c r="AR169" s="123">
        <v>0</v>
      </c>
      <c r="AS169" s="123">
        <v>0</v>
      </c>
      <c r="AT169" s="123">
        <v>0</v>
      </c>
      <c r="AU169" s="123">
        <v>0</v>
      </c>
      <c r="AV169" s="123">
        <v>0</v>
      </c>
      <c r="AW169" s="123">
        <v>0</v>
      </c>
      <c r="AX169" s="123">
        <v>0</v>
      </c>
      <c r="AY169" s="123">
        <v>0</v>
      </c>
    </row>
    <row r="170" spans="1:52" x14ac:dyDescent="0.2">
      <c r="A170" s="144"/>
      <c r="B170" s="148" t="s">
        <v>296</v>
      </c>
      <c r="C170" s="130">
        <v>0</v>
      </c>
      <c r="D170" s="141">
        <v>0</v>
      </c>
      <c r="E170" s="141">
        <v>0</v>
      </c>
      <c r="F170" s="141">
        <v>0</v>
      </c>
      <c r="G170" s="141">
        <v>0</v>
      </c>
      <c r="H170" s="141">
        <v>0</v>
      </c>
      <c r="I170" s="141">
        <v>0</v>
      </c>
      <c r="J170" s="141">
        <v>0</v>
      </c>
      <c r="K170" s="141">
        <v>0</v>
      </c>
      <c r="L170" s="141">
        <v>0</v>
      </c>
      <c r="M170" s="141">
        <v>0</v>
      </c>
      <c r="N170" s="141">
        <v>0</v>
      </c>
      <c r="O170" s="141">
        <v>0</v>
      </c>
      <c r="P170" s="141">
        <v>0</v>
      </c>
      <c r="Q170" s="141">
        <v>0</v>
      </c>
      <c r="R170" s="141">
        <v>0</v>
      </c>
      <c r="S170" s="141">
        <v>0</v>
      </c>
      <c r="T170" s="141">
        <v>0</v>
      </c>
      <c r="U170" s="141">
        <v>0</v>
      </c>
      <c r="V170" s="141">
        <v>0</v>
      </c>
      <c r="W170" s="141">
        <v>0</v>
      </c>
      <c r="X170" s="141">
        <v>0</v>
      </c>
      <c r="Y170" s="141">
        <v>0</v>
      </c>
      <c r="Z170" s="141">
        <v>0</v>
      </c>
      <c r="AA170" s="141">
        <v>0</v>
      </c>
      <c r="AB170" s="141">
        <v>0</v>
      </c>
      <c r="AC170" s="141">
        <v>0</v>
      </c>
      <c r="AD170" s="141">
        <v>0</v>
      </c>
      <c r="AE170" s="141">
        <v>0</v>
      </c>
      <c r="AF170" s="141">
        <v>0</v>
      </c>
      <c r="AG170" s="141">
        <v>0</v>
      </c>
      <c r="AH170" s="141">
        <v>0</v>
      </c>
      <c r="AI170" s="141">
        <v>0</v>
      </c>
      <c r="AJ170" s="141">
        <v>0</v>
      </c>
      <c r="AK170" s="141">
        <v>0</v>
      </c>
      <c r="AL170" s="141">
        <v>0</v>
      </c>
      <c r="AM170" s="141">
        <v>0</v>
      </c>
      <c r="AN170" s="141">
        <v>0</v>
      </c>
      <c r="AO170" s="141">
        <v>0</v>
      </c>
      <c r="AP170" s="141">
        <v>0</v>
      </c>
      <c r="AQ170" s="141">
        <v>0</v>
      </c>
      <c r="AR170" s="141">
        <v>0</v>
      </c>
      <c r="AS170" s="141">
        <v>0</v>
      </c>
      <c r="AT170" s="141">
        <v>0</v>
      </c>
      <c r="AU170" s="141">
        <v>0</v>
      </c>
      <c r="AV170" s="141">
        <v>0</v>
      </c>
      <c r="AW170" s="141">
        <v>0</v>
      </c>
      <c r="AX170" s="141">
        <v>0</v>
      </c>
      <c r="AY170" s="141">
        <v>0</v>
      </c>
      <c r="AZ170" s="124">
        <f>SUM($D170:$AY170)</f>
        <v>0</v>
      </c>
    </row>
    <row r="172" spans="1:52" x14ac:dyDescent="0.2">
      <c r="A172" s="1" t="s">
        <v>124</v>
      </c>
      <c r="B172" s="149" t="s">
        <v>297</v>
      </c>
      <c r="C172" s="150">
        <v>0.33148378297386499</v>
      </c>
      <c r="D172" s="150">
        <v>0.33148378297386499</v>
      </c>
      <c r="E172" s="150">
        <v>0.33148378297386499</v>
      </c>
      <c r="F172" s="150">
        <v>0.33148378297386499</v>
      </c>
      <c r="G172" s="150">
        <v>0.33148378297386499</v>
      </c>
      <c r="H172" s="150">
        <v>0.33148378297386499</v>
      </c>
      <c r="I172" s="150">
        <v>0.33148378297386499</v>
      </c>
      <c r="J172" s="150">
        <v>0.33148378297386499</v>
      </c>
      <c r="K172" s="150">
        <v>0.33148378297386499</v>
      </c>
      <c r="L172" s="150">
        <v>0.33148378297386499</v>
      </c>
      <c r="M172" s="150">
        <v>0.33148378297386499</v>
      </c>
      <c r="N172" s="150">
        <v>0.33148378297386499</v>
      </c>
      <c r="O172" s="150">
        <v>0.33148378297386499</v>
      </c>
      <c r="P172" s="150">
        <v>0.33148378297386499</v>
      </c>
      <c r="Q172" s="150">
        <v>0.33148378297386499</v>
      </c>
      <c r="R172" s="150">
        <v>0.33148378297386499</v>
      </c>
      <c r="S172" s="150">
        <v>0.33148378297386499</v>
      </c>
      <c r="T172" s="150">
        <v>0.33148378297386499</v>
      </c>
      <c r="U172" s="150">
        <v>0.33148378297386499</v>
      </c>
      <c r="V172" s="150">
        <v>0.33148378297386499</v>
      </c>
      <c r="W172" s="150">
        <v>0.33148378297386499</v>
      </c>
      <c r="X172" s="150">
        <v>0.33148378297386499</v>
      </c>
      <c r="Y172" s="150">
        <v>0.33148378297386499</v>
      </c>
      <c r="Z172" s="150">
        <v>0.33148378297386499</v>
      </c>
      <c r="AA172" s="150">
        <v>0.33148378297386499</v>
      </c>
      <c r="AB172" s="150">
        <v>0.33148378297386499</v>
      </c>
      <c r="AC172" s="150">
        <v>0.33148378297386499</v>
      </c>
      <c r="AD172" s="150">
        <v>0.33148378297386499</v>
      </c>
      <c r="AE172" s="150">
        <v>0.33148378297386499</v>
      </c>
      <c r="AF172" s="150">
        <v>0.33148378297386499</v>
      </c>
      <c r="AG172" s="150">
        <v>0.33148378297386499</v>
      </c>
      <c r="AH172" s="150">
        <v>0.33148378297386499</v>
      </c>
      <c r="AI172" s="150">
        <v>0.33148378297386499</v>
      </c>
      <c r="AJ172" s="150">
        <v>0.33148378297386499</v>
      </c>
      <c r="AK172" s="150">
        <v>0.33148378297386499</v>
      </c>
      <c r="AL172" s="150">
        <v>0.33148378297386499</v>
      </c>
      <c r="AM172" s="150">
        <v>0.33148378297386499</v>
      </c>
      <c r="AN172" s="150">
        <v>0.33148378297386499</v>
      </c>
      <c r="AO172" s="150">
        <v>0.33148378297386499</v>
      </c>
      <c r="AP172" s="150">
        <v>0.33148378297386499</v>
      </c>
      <c r="AQ172" s="150">
        <v>0.33148378297386499</v>
      </c>
      <c r="AR172" s="150">
        <v>0.33148378297386499</v>
      </c>
      <c r="AS172" s="150">
        <v>0.33148378297386499</v>
      </c>
      <c r="AT172" s="150">
        <v>0.33148378297386499</v>
      </c>
      <c r="AU172" s="150">
        <v>0.33148378297386499</v>
      </c>
      <c r="AV172" s="150">
        <v>0.33148378297386499</v>
      </c>
      <c r="AW172" s="150">
        <v>0.33148378297386499</v>
      </c>
      <c r="AX172" s="150">
        <v>0.33148378297386499</v>
      </c>
      <c r="AY172" s="150">
        <v>0.33148378297386499</v>
      </c>
    </row>
    <row r="174" spans="1:52" x14ac:dyDescent="0.2">
      <c r="A174" s="1" t="s">
        <v>272</v>
      </c>
    </row>
    <row r="175" spans="1:52" x14ac:dyDescent="0.2">
      <c r="A175" s="151" t="s">
        <v>125</v>
      </c>
      <c r="B175" s="151" t="s">
        <v>298</v>
      </c>
      <c r="C175" s="140" t="s">
        <v>293</v>
      </c>
      <c r="D175" s="140">
        <f t="shared" ref="D175:AY175" si="1">SUM(D95:D98)</f>
        <v>0</v>
      </c>
      <c r="E175" s="140">
        <f t="shared" si="1"/>
        <v>0</v>
      </c>
      <c r="F175" s="140">
        <f t="shared" si="1"/>
        <v>251.53903504999744</v>
      </c>
      <c r="G175" s="140">
        <f t="shared" si="1"/>
        <v>2277.5131100128665</v>
      </c>
      <c r="H175" s="140">
        <f t="shared" si="1"/>
        <v>3744.1553155772262</v>
      </c>
      <c r="I175" s="140">
        <f t="shared" si="1"/>
        <v>6159.7079763989641</v>
      </c>
      <c r="J175" s="140">
        <f t="shared" si="1"/>
        <v>7368.7761235626276</v>
      </c>
      <c r="K175" s="140">
        <f t="shared" si="1"/>
        <v>9214.6042689798087</v>
      </c>
      <c r="L175" s="140">
        <f t="shared" si="1"/>
        <v>11389.365311033414</v>
      </c>
      <c r="M175" s="140">
        <f t="shared" si="1"/>
        <v>13838.471775967284</v>
      </c>
      <c r="N175" s="140">
        <f t="shared" si="1"/>
        <v>15821.129954499174</v>
      </c>
      <c r="O175" s="140">
        <f t="shared" si="1"/>
        <v>17796.026540631508</v>
      </c>
      <c r="P175" s="140">
        <f t="shared" si="1"/>
        <v>18315.958678040024</v>
      </c>
      <c r="Q175" s="140">
        <f t="shared" si="1"/>
        <v>18315.958678040024</v>
      </c>
      <c r="R175" s="140">
        <f t="shared" si="1"/>
        <v>18315.958678040024</v>
      </c>
      <c r="S175" s="140">
        <f t="shared" si="1"/>
        <v>18315.958678040024</v>
      </c>
      <c r="T175" s="140">
        <f t="shared" si="1"/>
        <v>18315.958678040024</v>
      </c>
      <c r="U175" s="140">
        <f t="shared" si="1"/>
        <v>18315.958678040024</v>
      </c>
      <c r="V175" s="140">
        <f t="shared" si="1"/>
        <v>18315.958678040024</v>
      </c>
      <c r="W175" s="140">
        <f t="shared" si="1"/>
        <v>18315.958678040024</v>
      </c>
      <c r="X175" s="140">
        <f t="shared" si="1"/>
        <v>18315.958678040024</v>
      </c>
      <c r="Y175" s="140">
        <f t="shared" si="1"/>
        <v>18315.958678040024</v>
      </c>
      <c r="Z175" s="140">
        <f t="shared" si="1"/>
        <v>18315.958678040024</v>
      </c>
      <c r="AA175" s="140">
        <f t="shared" si="1"/>
        <v>18315.958678040024</v>
      </c>
      <c r="AB175" s="140">
        <f t="shared" si="1"/>
        <v>18315.958678040024</v>
      </c>
      <c r="AC175" s="140">
        <f t="shared" si="1"/>
        <v>18315.958678040024</v>
      </c>
      <c r="AD175" s="140">
        <f t="shared" si="1"/>
        <v>18315.958678040024</v>
      </c>
      <c r="AE175" s="140">
        <f t="shared" si="1"/>
        <v>18315.958678040024</v>
      </c>
      <c r="AF175" s="140">
        <f t="shared" si="1"/>
        <v>18315.958678040024</v>
      </c>
      <c r="AG175" s="140">
        <f t="shared" si="1"/>
        <v>18315.958678040024</v>
      </c>
      <c r="AH175" s="140">
        <f t="shared" si="1"/>
        <v>18315.958678040024</v>
      </c>
      <c r="AI175" s="140">
        <f t="shared" si="1"/>
        <v>18315.958678040024</v>
      </c>
      <c r="AJ175" s="140">
        <f t="shared" si="1"/>
        <v>16456.89841347087</v>
      </c>
      <c r="AK175" s="140">
        <f t="shared" si="1"/>
        <v>16456.89841347087</v>
      </c>
      <c r="AL175" s="140">
        <f t="shared" si="1"/>
        <v>16456.89841347087</v>
      </c>
      <c r="AM175" s="140">
        <f t="shared" si="1"/>
        <v>16456.89841347087</v>
      </c>
      <c r="AN175" s="140">
        <f t="shared" si="1"/>
        <v>18315.958678040024</v>
      </c>
      <c r="AO175" s="140">
        <f t="shared" si="1"/>
        <v>18315.958678040024</v>
      </c>
      <c r="AP175" s="140">
        <f t="shared" si="1"/>
        <v>18315.958678040024</v>
      </c>
      <c r="AQ175" s="140">
        <f t="shared" si="1"/>
        <v>17620.946827138341</v>
      </c>
      <c r="AR175" s="140">
        <f t="shared" si="1"/>
        <v>16928.704671683477</v>
      </c>
      <c r="AS175" s="140">
        <f t="shared" si="1"/>
        <v>16239.213479957896</v>
      </c>
      <c r="AT175" s="140">
        <f t="shared" si="1"/>
        <v>15552.454076337499</v>
      </c>
      <c r="AU175" s="140">
        <f t="shared" si="1"/>
        <v>15563.418695365595</v>
      </c>
      <c r="AV175" s="140">
        <f t="shared" si="1"/>
        <v>15574.305736852426</v>
      </c>
      <c r="AW175" s="140">
        <f t="shared" si="1"/>
        <v>14413.787365444827</v>
      </c>
      <c r="AX175" s="140">
        <f t="shared" si="1"/>
        <v>15100.546769065226</v>
      </c>
      <c r="AY175" s="140">
        <f t="shared" si="1"/>
        <v>15784.594000938816</v>
      </c>
    </row>
    <row r="176" spans="1:52" x14ac:dyDescent="0.2">
      <c r="A176" s="141"/>
      <c r="B176" s="152" t="s">
        <v>299</v>
      </c>
      <c r="C176" s="141" t="s">
        <v>293</v>
      </c>
      <c r="D176" s="141">
        <v>0</v>
      </c>
      <c r="E176" s="141">
        <v>0</v>
      </c>
      <c r="F176" s="141">
        <v>251.53903504999744</v>
      </c>
      <c r="G176" s="141">
        <v>440</v>
      </c>
      <c r="H176" s="141">
        <v>447</v>
      </c>
      <c r="I176" s="141">
        <v>587</v>
      </c>
      <c r="J176" s="141">
        <v>514</v>
      </c>
      <c r="K176" s="141">
        <v>634</v>
      </c>
      <c r="L176" s="141">
        <v>659</v>
      </c>
      <c r="M176" s="141">
        <v>567</v>
      </c>
      <c r="N176" s="141">
        <v>545</v>
      </c>
      <c r="O176" s="141">
        <v>603</v>
      </c>
      <c r="P176" s="141">
        <v>621</v>
      </c>
      <c r="Q176" s="141">
        <v>548</v>
      </c>
      <c r="R176" s="141">
        <v>573</v>
      </c>
      <c r="S176" s="141">
        <v>606</v>
      </c>
      <c r="T176" s="141">
        <v>559</v>
      </c>
      <c r="U176" s="141">
        <v>468</v>
      </c>
      <c r="V176" s="141">
        <v>666</v>
      </c>
      <c r="W176" s="141">
        <v>485</v>
      </c>
      <c r="X176" s="141">
        <v>699</v>
      </c>
      <c r="Y176" s="141">
        <v>608</v>
      </c>
      <c r="Z176" s="141">
        <v>625</v>
      </c>
      <c r="AA176" s="141">
        <v>455</v>
      </c>
      <c r="AB176" s="141">
        <v>593</v>
      </c>
      <c r="AC176" s="141">
        <v>514</v>
      </c>
      <c r="AD176" s="141">
        <v>524</v>
      </c>
      <c r="AE176" s="141">
        <v>705</v>
      </c>
      <c r="AF176" s="141">
        <v>514</v>
      </c>
      <c r="AG176" s="141">
        <v>500</v>
      </c>
      <c r="AH176" s="141">
        <v>592</v>
      </c>
      <c r="AI176" s="141">
        <v>512</v>
      </c>
      <c r="AJ176" s="141">
        <v>623</v>
      </c>
      <c r="AK176" s="141">
        <v>550</v>
      </c>
      <c r="AL176" s="141">
        <v>600</v>
      </c>
      <c r="AM176" s="141">
        <v>720</v>
      </c>
      <c r="AN176" s="141">
        <v>576</v>
      </c>
      <c r="AO176" s="141">
        <v>646</v>
      </c>
      <c r="AP176" s="141">
        <v>591</v>
      </c>
      <c r="AQ176" s="141">
        <v>572</v>
      </c>
      <c r="AR176" s="141">
        <v>686</v>
      </c>
      <c r="AS176" s="141">
        <v>593</v>
      </c>
      <c r="AT176" s="141">
        <v>477</v>
      </c>
      <c r="AU176" s="141">
        <v>706</v>
      </c>
      <c r="AV176" s="141">
        <v>623</v>
      </c>
      <c r="AW176" s="141">
        <v>617</v>
      </c>
      <c r="AX176" s="141">
        <v>608</v>
      </c>
      <c r="AY176" s="141">
        <v>550</v>
      </c>
    </row>
    <row r="177" spans="1:51" x14ac:dyDescent="0.2">
      <c r="A177" s="151" t="s">
        <v>133</v>
      </c>
      <c r="B177" s="151" t="s">
        <v>298</v>
      </c>
      <c r="C177" s="140" t="s">
        <v>293</v>
      </c>
      <c r="D177" s="140">
        <f t="shared" ref="D177:AY177" si="2">SUM(D100:D107)</f>
        <v>3088.5393538592862</v>
      </c>
      <c r="E177" s="140">
        <f t="shared" si="2"/>
        <v>2803.6371630387284</v>
      </c>
      <c r="F177" s="140">
        <f t="shared" si="2"/>
        <v>2290.1692117986254</v>
      </c>
      <c r="G177" s="140">
        <f t="shared" si="2"/>
        <v>1514.1692117986254</v>
      </c>
      <c r="H177" s="140">
        <f t="shared" si="2"/>
        <v>812.41668076489782</v>
      </c>
      <c r="I177" s="140">
        <f t="shared" si="2"/>
        <v>198.95146475989705</v>
      </c>
      <c r="J177" s="140">
        <f t="shared" si="2"/>
        <v>74.74782098034045</v>
      </c>
      <c r="K177" s="140">
        <f t="shared" si="2"/>
        <v>280.18645200000003</v>
      </c>
      <c r="L177" s="140">
        <f t="shared" si="2"/>
        <v>78.95146475989705</v>
      </c>
      <c r="M177" s="140">
        <f t="shared" si="2"/>
        <v>359.13791675989705</v>
      </c>
      <c r="N177" s="140">
        <f t="shared" si="2"/>
        <v>219.04469075989709</v>
      </c>
      <c r="O177" s="140">
        <f t="shared" si="2"/>
        <v>219.04469075989707</v>
      </c>
      <c r="P177" s="140">
        <f t="shared" si="2"/>
        <v>219.04469075989707</v>
      </c>
      <c r="Q177" s="140">
        <f t="shared" si="2"/>
        <v>120</v>
      </c>
      <c r="R177" s="140">
        <f t="shared" si="2"/>
        <v>318.08938151979413</v>
      </c>
      <c r="S177" s="140">
        <f t="shared" si="2"/>
        <v>219.04469075989707</v>
      </c>
      <c r="T177" s="140">
        <f t="shared" si="2"/>
        <v>0</v>
      </c>
      <c r="U177" s="140">
        <f t="shared" si="2"/>
        <v>219.04469075989707</v>
      </c>
      <c r="V177" s="140">
        <f t="shared" si="2"/>
        <v>359.13791675989705</v>
      </c>
      <c r="W177" s="140">
        <f t="shared" si="2"/>
        <v>198.95146475989708</v>
      </c>
      <c r="X177" s="140">
        <f t="shared" si="2"/>
        <v>78.95146475989705</v>
      </c>
      <c r="Y177" s="140">
        <f t="shared" si="2"/>
        <v>359.13791675989711</v>
      </c>
      <c r="Z177" s="140">
        <f t="shared" si="2"/>
        <v>219.04469075989707</v>
      </c>
      <c r="AA177" s="140">
        <f t="shared" si="2"/>
        <v>219.04469075989707</v>
      </c>
      <c r="AB177" s="140">
        <f t="shared" si="2"/>
        <v>99.044690759897065</v>
      </c>
      <c r="AC177" s="140">
        <f t="shared" si="2"/>
        <v>219.04469075989707</v>
      </c>
      <c r="AD177" s="140">
        <f t="shared" si="2"/>
        <v>140.09322600000002</v>
      </c>
      <c r="AE177" s="140">
        <f t="shared" si="2"/>
        <v>438.08938151979413</v>
      </c>
      <c r="AF177" s="140">
        <f t="shared" si="2"/>
        <v>219.04469075989707</v>
      </c>
      <c r="AG177" s="140">
        <f t="shared" si="2"/>
        <v>140.09322600000002</v>
      </c>
      <c r="AH177" s="140">
        <f t="shared" si="2"/>
        <v>219.04469075989707</v>
      </c>
      <c r="AI177" s="140">
        <f t="shared" si="2"/>
        <v>219.04469075989707</v>
      </c>
      <c r="AJ177" s="140">
        <f t="shared" si="2"/>
        <v>219.04469075989707</v>
      </c>
      <c r="AK177" s="140">
        <f t="shared" si="2"/>
        <v>219.04469075989707</v>
      </c>
      <c r="AL177" s="140">
        <f t="shared" si="2"/>
        <v>14.472175917329645</v>
      </c>
      <c r="AM177" s="140">
        <f t="shared" si="2"/>
        <v>339.04469075989709</v>
      </c>
      <c r="AN177" s="140">
        <f t="shared" si="2"/>
        <v>78.95146475989705</v>
      </c>
      <c r="AO177" s="140">
        <f t="shared" si="2"/>
        <v>379.23114275989707</v>
      </c>
      <c r="AP177" s="140">
        <f t="shared" si="2"/>
        <v>140.09322600000004</v>
      </c>
      <c r="AQ177" s="140">
        <f t="shared" si="2"/>
        <v>297.99615551979412</v>
      </c>
      <c r="AR177" s="140">
        <f t="shared" si="2"/>
        <v>219.04469075989707</v>
      </c>
      <c r="AS177" s="140">
        <f t="shared" si="2"/>
        <v>178.64285395331052</v>
      </c>
      <c r="AT177" s="140">
        <f t="shared" si="2"/>
        <v>140.09322600000002</v>
      </c>
      <c r="AU177" s="140">
        <f t="shared" si="2"/>
        <v>198.94556544906058</v>
      </c>
      <c r="AV177" s="140">
        <f t="shared" si="2"/>
        <v>277.89040326488151</v>
      </c>
      <c r="AW177" s="140">
        <f t="shared" si="2"/>
        <v>179.05891453222691</v>
      </c>
      <c r="AX177" s="140">
        <f t="shared" si="2"/>
        <v>59.161068937357356</v>
      </c>
      <c r="AY177" s="140">
        <f t="shared" si="2"/>
        <v>315.09528947759895</v>
      </c>
    </row>
    <row r="178" spans="1:51" x14ac:dyDescent="0.2">
      <c r="A178" s="141"/>
      <c r="B178" s="152" t="s">
        <v>299</v>
      </c>
      <c r="C178" s="141" t="s">
        <v>293</v>
      </c>
      <c r="D178" s="141">
        <v>1076</v>
      </c>
      <c r="E178" s="141">
        <v>677</v>
      </c>
      <c r="F178" s="141">
        <v>896</v>
      </c>
      <c r="G178" s="141">
        <v>1019</v>
      </c>
      <c r="H178" s="141">
        <v>812.41668076489782</v>
      </c>
      <c r="I178" s="141">
        <v>198.95146475989705</v>
      </c>
      <c r="J178" s="141">
        <v>74.74782098034045</v>
      </c>
      <c r="K178" s="141">
        <v>280.18645200000003</v>
      </c>
      <c r="L178" s="141">
        <v>78.95146475989705</v>
      </c>
      <c r="M178" s="141">
        <v>359.13791675989705</v>
      </c>
      <c r="N178" s="141">
        <v>219.04469075989709</v>
      </c>
      <c r="O178" s="141">
        <v>219.04469075989707</v>
      </c>
      <c r="P178" s="141">
        <v>219.04469075989707</v>
      </c>
      <c r="Q178" s="141">
        <v>120</v>
      </c>
      <c r="R178" s="141">
        <v>318.08938151979413</v>
      </c>
      <c r="S178" s="141">
        <v>219.04469075989707</v>
      </c>
      <c r="T178" s="141">
        <v>0</v>
      </c>
      <c r="U178" s="141">
        <v>219.04469075989707</v>
      </c>
      <c r="V178" s="141">
        <v>359.13791675989705</v>
      </c>
      <c r="W178" s="141">
        <v>198.95146475989708</v>
      </c>
      <c r="X178" s="141">
        <v>78.95146475989705</v>
      </c>
      <c r="Y178" s="141">
        <v>359.13791675989711</v>
      </c>
      <c r="Z178" s="141">
        <v>219.04469075989707</v>
      </c>
      <c r="AA178" s="141">
        <v>219.04469075989707</v>
      </c>
      <c r="AB178" s="141">
        <v>99.044690759897065</v>
      </c>
      <c r="AC178" s="141">
        <v>219.04469075989707</v>
      </c>
      <c r="AD178" s="141">
        <v>140.09322600000002</v>
      </c>
      <c r="AE178" s="141">
        <v>438.08938151979413</v>
      </c>
      <c r="AF178" s="141">
        <v>219.04469075989707</v>
      </c>
      <c r="AG178" s="141">
        <v>140.09322600000002</v>
      </c>
      <c r="AH178" s="141">
        <v>219.04469075989707</v>
      </c>
      <c r="AI178" s="141">
        <v>219.04469075989707</v>
      </c>
      <c r="AJ178" s="141">
        <v>219.04469075989707</v>
      </c>
      <c r="AK178" s="141">
        <v>219.04469075989707</v>
      </c>
      <c r="AL178" s="141">
        <v>14.472175917329645</v>
      </c>
      <c r="AM178" s="141">
        <v>339.04469075989709</v>
      </c>
      <c r="AN178" s="141">
        <v>78.95146475989705</v>
      </c>
      <c r="AO178" s="141">
        <v>379.23114275989707</v>
      </c>
      <c r="AP178" s="141">
        <v>140.09322600000004</v>
      </c>
      <c r="AQ178" s="141">
        <v>297.99615551979412</v>
      </c>
      <c r="AR178" s="141">
        <v>219.04469075989707</v>
      </c>
      <c r="AS178" s="141">
        <v>178.64285395331052</v>
      </c>
      <c r="AT178" s="141">
        <v>140.09322600000002</v>
      </c>
      <c r="AU178" s="141">
        <v>198.94556544906058</v>
      </c>
      <c r="AV178" s="141">
        <v>277.89040326488151</v>
      </c>
      <c r="AW178" s="141">
        <v>179.05891453222691</v>
      </c>
      <c r="AX178" s="141">
        <v>59.161068937357356</v>
      </c>
      <c r="AY178" s="141">
        <v>315.09528947759895</v>
      </c>
    </row>
    <row r="179" spans="1:51" x14ac:dyDescent="0.2">
      <c r="A179" s="151" t="s">
        <v>134</v>
      </c>
      <c r="B179" s="151" t="s">
        <v>298</v>
      </c>
      <c r="C179" s="140" t="s">
        <v>293</v>
      </c>
      <c r="D179" s="140">
        <f t="shared" ref="D179:AY179" si="3">SUM(D109:D120)</f>
        <v>27271.953701569277</v>
      </c>
      <c r="E179" s="140">
        <f t="shared" si="3"/>
        <v>29995.26720418912</v>
      </c>
      <c r="F179" s="140">
        <f t="shared" si="3"/>
        <v>31813.313626097013</v>
      </c>
      <c r="G179" s="140">
        <f t="shared" si="3"/>
        <v>31645.629339304745</v>
      </c>
      <c r="H179" s="140">
        <f t="shared" si="3"/>
        <v>31541.267939687947</v>
      </c>
      <c r="I179" s="140">
        <f t="shared" si="3"/>
        <v>30287.754358455397</v>
      </c>
      <c r="J179" s="140">
        <f t="shared" si="3"/>
        <v>29594.241077570608</v>
      </c>
      <c r="K179" s="140">
        <f t="shared" si="3"/>
        <v>27825.668000313864</v>
      </c>
      <c r="L179" s="140">
        <f t="shared" si="3"/>
        <v>26003.342585569892</v>
      </c>
      <c r="M179" s="140">
        <f t="shared" si="3"/>
        <v>23309.460517611169</v>
      </c>
      <c r="N179" s="140">
        <f t="shared" si="3"/>
        <v>21564.596078782208</v>
      </c>
      <c r="O179" s="140">
        <f t="shared" si="3"/>
        <v>19705.243002381652</v>
      </c>
      <c r="P179" s="140">
        <f t="shared" si="3"/>
        <v>16455.510341768808</v>
      </c>
      <c r="Q179" s="140">
        <f t="shared" si="3"/>
        <v>13991.544935718219</v>
      </c>
      <c r="R179" s="140">
        <f t="shared" si="3"/>
        <v>12326.3118581129</v>
      </c>
      <c r="S179" s="140">
        <f t="shared" si="3"/>
        <v>11192.945203120462</v>
      </c>
      <c r="T179" s="140">
        <f t="shared" si="3"/>
        <v>10446.343401330781</v>
      </c>
      <c r="U179" s="140">
        <f t="shared" si="3"/>
        <v>9901.9216763358963</v>
      </c>
      <c r="V179" s="140">
        <f t="shared" si="3"/>
        <v>9566.1430458282521</v>
      </c>
      <c r="W179" s="140">
        <f t="shared" si="3"/>
        <v>9360.8938705747223</v>
      </c>
      <c r="X179" s="140">
        <f t="shared" si="3"/>
        <v>9249.9988280880407</v>
      </c>
      <c r="Y179" s="140">
        <f t="shared" si="3"/>
        <v>9166.6719974074003</v>
      </c>
      <c r="Z179" s="140">
        <f t="shared" si="3"/>
        <v>9092.2994877002202</v>
      </c>
      <c r="AA179" s="140">
        <f t="shared" si="3"/>
        <v>9055.1552033166827</v>
      </c>
      <c r="AB179" s="140">
        <f t="shared" si="3"/>
        <v>9037.7747746874429</v>
      </c>
      <c r="AC179" s="140">
        <f t="shared" si="3"/>
        <v>9064.3817035435932</v>
      </c>
      <c r="AD179" s="140">
        <f t="shared" si="3"/>
        <v>9106.9594425531086</v>
      </c>
      <c r="AE179" s="140">
        <f t="shared" si="3"/>
        <v>9095.2143132436122</v>
      </c>
      <c r="AF179" s="140">
        <f t="shared" si="3"/>
        <v>9084.4751138981737</v>
      </c>
      <c r="AG179" s="140">
        <f t="shared" si="3"/>
        <v>9068.5260447258679</v>
      </c>
      <c r="AH179" s="140">
        <f t="shared" si="3"/>
        <v>9059.1160433700243</v>
      </c>
      <c r="AI179" s="140">
        <f t="shared" si="3"/>
        <v>9024.7274822580057</v>
      </c>
      <c r="AJ179" s="140">
        <f t="shared" si="3"/>
        <v>8987.6900889999542</v>
      </c>
      <c r="AK179" s="140">
        <f t="shared" si="3"/>
        <v>8975.174407160619</v>
      </c>
      <c r="AL179" s="140">
        <f t="shared" si="3"/>
        <v>8941.7634729663332</v>
      </c>
      <c r="AM179" s="140">
        <f t="shared" si="3"/>
        <v>8916.576735842953</v>
      </c>
      <c r="AN179" s="140">
        <f t="shared" si="3"/>
        <v>8928.9625923935782</v>
      </c>
      <c r="AO179" s="140">
        <f t="shared" si="3"/>
        <v>8895.1741963536115</v>
      </c>
      <c r="AP179" s="140">
        <f t="shared" si="3"/>
        <v>8859.0461530093216</v>
      </c>
      <c r="AQ179" s="140">
        <f t="shared" si="3"/>
        <v>8862.3531906659337</v>
      </c>
      <c r="AR179" s="140">
        <f t="shared" si="3"/>
        <v>8829.433063746641</v>
      </c>
      <c r="AS179" s="140">
        <f t="shared" si="3"/>
        <v>8798.8099522557295</v>
      </c>
      <c r="AT179" s="140">
        <f t="shared" si="3"/>
        <v>8734.8789889644831</v>
      </c>
      <c r="AU179" s="140">
        <f t="shared" si="3"/>
        <v>8682.5249920419519</v>
      </c>
      <c r="AV179" s="140">
        <f t="shared" si="3"/>
        <v>8654.0092260946021</v>
      </c>
      <c r="AW179" s="140">
        <f t="shared" si="3"/>
        <v>8624.7720649160092</v>
      </c>
      <c r="AX179" s="140">
        <f t="shared" si="3"/>
        <v>8629.1011663530153</v>
      </c>
      <c r="AY179" s="140">
        <f t="shared" si="3"/>
        <v>8624.0724270937335</v>
      </c>
    </row>
    <row r="180" spans="1:51" x14ac:dyDescent="0.2">
      <c r="A180" s="141"/>
      <c r="B180" s="152" t="s">
        <v>299</v>
      </c>
      <c r="C180" s="141" t="s">
        <v>293</v>
      </c>
      <c r="D180" s="141">
        <v>428</v>
      </c>
      <c r="E180" s="141">
        <v>569</v>
      </c>
      <c r="F180" s="141">
        <v>447</v>
      </c>
      <c r="G180" s="141">
        <v>486</v>
      </c>
      <c r="H180" s="141">
        <v>454</v>
      </c>
      <c r="I180" s="141">
        <v>570.62069845660096</v>
      </c>
      <c r="J180" s="141">
        <v>542.68975884289807</v>
      </c>
      <c r="K180" s="141">
        <v>494.90507655943327</v>
      </c>
      <c r="L180" s="141">
        <v>568.2358456233676</v>
      </c>
      <c r="M180" s="141">
        <v>487.26363252773785</v>
      </c>
      <c r="N180" s="141">
        <v>474.49276443733345</v>
      </c>
      <c r="O180" s="141">
        <v>554.56899515450516</v>
      </c>
      <c r="P180" s="141">
        <v>437.39857511985122</v>
      </c>
      <c r="Q180" s="141">
        <v>542.73098751418843</v>
      </c>
      <c r="R180" s="141">
        <v>565.59810380436249</v>
      </c>
      <c r="S180" s="141">
        <v>485.67731323412886</v>
      </c>
      <c r="T180" s="141">
        <v>478</v>
      </c>
      <c r="U180" s="141">
        <v>468.62605268784563</v>
      </c>
      <c r="V180" s="141">
        <v>473.29715789741402</v>
      </c>
      <c r="W180" s="141">
        <v>569.63402398494634</v>
      </c>
      <c r="X180" s="141">
        <v>477.54982851660958</v>
      </c>
      <c r="Y180" s="141">
        <v>510.32830928559196</v>
      </c>
      <c r="Z180" s="141">
        <v>542.01465771326195</v>
      </c>
      <c r="AA180" s="141">
        <v>579.25105437705929</v>
      </c>
      <c r="AB180" s="141">
        <v>422.61188310881619</v>
      </c>
      <c r="AC180" s="141">
        <v>505.0311547831115</v>
      </c>
      <c r="AD180" s="141">
        <v>501.30860512985117</v>
      </c>
      <c r="AE180" s="141">
        <v>537.13332919160825</v>
      </c>
      <c r="AF180" s="141">
        <v>592.22240937074082</v>
      </c>
      <c r="AG180" s="141">
        <v>573.38984520681913</v>
      </c>
      <c r="AH180" s="141">
        <v>470.67655380160841</v>
      </c>
      <c r="AI180" s="141">
        <v>493.69581819944398</v>
      </c>
      <c r="AJ180" s="141">
        <v>480.10102952219739</v>
      </c>
      <c r="AK180" s="141">
        <v>576.92898882089116</v>
      </c>
      <c r="AL180" s="141">
        <v>523.85469251253949</v>
      </c>
      <c r="AM180" s="141">
        <v>452.16085861667352</v>
      </c>
      <c r="AN180" s="141">
        <v>544.45838402297659</v>
      </c>
      <c r="AO180" s="141">
        <v>563.19385796169036</v>
      </c>
      <c r="AP180" s="141">
        <v>577.28946159250916</v>
      </c>
      <c r="AQ180" s="141">
        <v>538.12396047231186</v>
      </c>
      <c r="AR180" s="141">
        <v>588.32661077053694</v>
      </c>
      <c r="AS180" s="141">
        <v>462.39612450643654</v>
      </c>
      <c r="AT180" s="141">
        <v>447.11683367493299</v>
      </c>
      <c r="AU180" s="141">
        <v>498.38784515350653</v>
      </c>
      <c r="AV180" s="141">
        <v>679.07754285110241</v>
      </c>
      <c r="AW180" s="141">
        <v>478.83004878826267</v>
      </c>
      <c r="AX180" s="141">
        <v>442.98577313987516</v>
      </c>
      <c r="AY180" s="141">
        <v>517.73846897087424</v>
      </c>
    </row>
    <row r="181" spans="1:51" x14ac:dyDescent="0.2">
      <c r="A181" s="151" t="s">
        <v>123</v>
      </c>
      <c r="B181" s="151" t="s">
        <v>298</v>
      </c>
      <c r="C181" s="140" t="s">
        <v>293</v>
      </c>
      <c r="D181" s="140">
        <f t="shared" ref="D181:AY181" si="4">(1-D172)*SUM(D122:D169)</f>
        <v>6444.1667165820554</v>
      </c>
      <c r="E181" s="140">
        <f t="shared" si="4"/>
        <v>4814.0492108642629</v>
      </c>
      <c r="F181" s="140">
        <f t="shared" si="4"/>
        <v>3773.759422693659</v>
      </c>
      <c r="G181" s="140">
        <f t="shared" si="4"/>
        <v>3050.2311477798312</v>
      </c>
      <c r="H181" s="140">
        <f t="shared" si="4"/>
        <v>2608.657284195639</v>
      </c>
      <c r="I181" s="140">
        <f t="shared" si="4"/>
        <v>2241.9267601529236</v>
      </c>
      <c r="J181" s="140">
        <f t="shared" si="4"/>
        <v>1980.3021213591285</v>
      </c>
      <c r="K181" s="140">
        <f t="shared" si="4"/>
        <v>1791.3167990061281</v>
      </c>
      <c r="L181" s="140">
        <f t="shared" si="4"/>
        <v>1690.2367190949124</v>
      </c>
      <c r="M181" s="140">
        <f t="shared" si="4"/>
        <v>1666.5639922963612</v>
      </c>
      <c r="N181" s="140">
        <f t="shared" si="4"/>
        <v>1601.249614474174</v>
      </c>
      <c r="O181" s="140">
        <f t="shared" si="4"/>
        <v>1524.0069044463601</v>
      </c>
      <c r="P181" s="140">
        <f t="shared" si="4"/>
        <v>1474.9920035431589</v>
      </c>
      <c r="Q181" s="140">
        <f t="shared" si="4"/>
        <v>1455.7090003108351</v>
      </c>
      <c r="R181" s="140">
        <f t="shared" si="4"/>
        <v>1488.0548796184817</v>
      </c>
      <c r="S181" s="140">
        <f t="shared" si="4"/>
        <v>1544.5303026899696</v>
      </c>
      <c r="T181" s="140">
        <f t="shared" si="4"/>
        <v>1510.7008508665349</v>
      </c>
      <c r="U181" s="140">
        <f t="shared" si="4"/>
        <v>1564.7489573314649</v>
      </c>
      <c r="V181" s="140">
        <f t="shared" si="4"/>
        <v>1566.3681395599554</v>
      </c>
      <c r="W181" s="140">
        <f t="shared" si="4"/>
        <v>1567.6704606391206</v>
      </c>
      <c r="X181" s="140">
        <f t="shared" si="4"/>
        <v>1522.188263983033</v>
      </c>
      <c r="Y181" s="140">
        <f t="shared" si="4"/>
        <v>1516.5740639984167</v>
      </c>
      <c r="Z181" s="140">
        <f t="shared" si="4"/>
        <v>1526.339293801914</v>
      </c>
      <c r="AA181" s="140">
        <f t="shared" si="4"/>
        <v>1488.9551191274122</v>
      </c>
      <c r="AB181" s="140">
        <f t="shared" si="4"/>
        <v>1528.6512301455057</v>
      </c>
      <c r="AC181" s="140">
        <f t="shared" si="4"/>
        <v>1541.5771799146999</v>
      </c>
      <c r="AD181" s="140">
        <f t="shared" si="4"/>
        <v>1464.3680212629201</v>
      </c>
      <c r="AE181" s="140">
        <f t="shared" si="4"/>
        <v>1522.8721423543591</v>
      </c>
      <c r="AF181" s="140">
        <f t="shared" si="4"/>
        <v>1478.5357437457496</v>
      </c>
      <c r="AG181" s="140">
        <f t="shared" si="4"/>
        <v>1545.771442195783</v>
      </c>
      <c r="AH181" s="140">
        <f t="shared" si="4"/>
        <v>1497.0153930173208</v>
      </c>
      <c r="AI181" s="140">
        <f t="shared" si="4"/>
        <v>1492.9757114503414</v>
      </c>
      <c r="AJ181" s="140">
        <f t="shared" si="4"/>
        <v>1496.9474024190911</v>
      </c>
      <c r="AK181" s="140">
        <f t="shared" si="4"/>
        <v>1449.1929356231731</v>
      </c>
      <c r="AL181" s="140">
        <f t="shared" si="4"/>
        <v>1475.5442230147517</v>
      </c>
      <c r="AM181" s="140">
        <f t="shared" si="4"/>
        <v>1513.9341569903461</v>
      </c>
      <c r="AN181" s="140">
        <f t="shared" si="4"/>
        <v>1460.508859808793</v>
      </c>
      <c r="AO181" s="140">
        <f t="shared" si="4"/>
        <v>1468.7163520081176</v>
      </c>
      <c r="AP181" s="140">
        <f t="shared" si="4"/>
        <v>1471.0374525211471</v>
      </c>
      <c r="AQ181" s="140">
        <f t="shared" si="4"/>
        <v>1456.4808440692188</v>
      </c>
      <c r="AR181" s="140">
        <f t="shared" si="4"/>
        <v>1416.7769256708168</v>
      </c>
      <c r="AS181" s="140">
        <f t="shared" si="4"/>
        <v>1416.8393860122994</v>
      </c>
      <c r="AT181" s="140">
        <f t="shared" si="4"/>
        <v>1391.4310544567536</v>
      </c>
      <c r="AU181" s="140">
        <f t="shared" si="4"/>
        <v>1435.4668589637993</v>
      </c>
      <c r="AV181" s="140">
        <f t="shared" si="4"/>
        <v>1437.9836841570798</v>
      </c>
      <c r="AW181" s="140">
        <f t="shared" si="4"/>
        <v>1457.9236025952514</v>
      </c>
      <c r="AX181" s="140">
        <f t="shared" si="4"/>
        <v>1465.4025692787382</v>
      </c>
      <c r="AY181" s="140">
        <f t="shared" si="4"/>
        <v>1462.276080934495</v>
      </c>
    </row>
    <row r="182" spans="1:51" x14ac:dyDescent="0.2">
      <c r="A182" s="141"/>
      <c r="B182" s="152" t="s">
        <v>299</v>
      </c>
      <c r="C182" s="141" t="s">
        <v>293</v>
      </c>
      <c r="D182" s="141">
        <v>513</v>
      </c>
      <c r="E182" s="141">
        <v>439</v>
      </c>
      <c r="F182" s="141">
        <v>481</v>
      </c>
      <c r="G182" s="141">
        <v>418</v>
      </c>
      <c r="H182" s="141">
        <v>525</v>
      </c>
      <c r="I182" s="141">
        <v>549.62069845660096</v>
      </c>
      <c r="J182" s="141">
        <v>570.68975884289807</v>
      </c>
      <c r="K182" s="141">
        <v>532.90507655943327</v>
      </c>
      <c r="L182" s="141">
        <v>467.2358456233676</v>
      </c>
      <c r="M182" s="141">
        <v>541.26363252773785</v>
      </c>
      <c r="N182" s="141">
        <v>591.49276443733345</v>
      </c>
      <c r="O182" s="141">
        <v>587.56899515450516</v>
      </c>
      <c r="P182" s="141">
        <v>567.39857511985122</v>
      </c>
      <c r="Q182" s="141">
        <v>499.73098751418843</v>
      </c>
      <c r="R182" s="141">
        <v>447.59810380436249</v>
      </c>
      <c r="S182" s="141">
        <v>554.67731323412886</v>
      </c>
      <c r="T182" s="141">
        <v>440</v>
      </c>
      <c r="U182" s="141">
        <v>491.62605268784563</v>
      </c>
      <c r="V182" s="141">
        <v>491.29715789741402</v>
      </c>
      <c r="W182" s="141">
        <v>560.63402398494634</v>
      </c>
      <c r="X182" s="141">
        <v>523.54982851660964</v>
      </c>
      <c r="Y182" s="141">
        <v>503.32830928559196</v>
      </c>
      <c r="Z182" s="141">
        <v>569.01465771326195</v>
      </c>
      <c r="AA182" s="141">
        <v>472.25105437705929</v>
      </c>
      <c r="AB182" s="141">
        <v>492.61188310881619</v>
      </c>
      <c r="AC182" s="141">
        <v>621.03115478311156</v>
      </c>
      <c r="AD182" s="141">
        <v>456.30860512985117</v>
      </c>
      <c r="AE182" s="141">
        <v>581.13332919160825</v>
      </c>
      <c r="AF182" s="141">
        <v>436.22240937074088</v>
      </c>
      <c r="AG182" s="141">
        <v>576.38984520681913</v>
      </c>
      <c r="AH182" s="141">
        <v>533.67655380160841</v>
      </c>
      <c r="AI182" s="141">
        <v>523.69581819944403</v>
      </c>
      <c r="AJ182" s="141">
        <v>599.10102952219745</v>
      </c>
      <c r="AK182" s="141">
        <v>511.92898882089122</v>
      </c>
      <c r="AL182" s="141">
        <v>480.85469251253954</v>
      </c>
      <c r="AM182" s="141">
        <v>599.16085861667352</v>
      </c>
      <c r="AN182" s="141">
        <v>533.45838402297659</v>
      </c>
      <c r="AO182" s="141">
        <v>538.19385796169036</v>
      </c>
      <c r="AP182" s="141">
        <v>562.28946159250916</v>
      </c>
      <c r="AQ182" s="141">
        <v>607.12396047231186</v>
      </c>
      <c r="AR182" s="141">
        <v>567.32661077053694</v>
      </c>
      <c r="AS182" s="141">
        <v>605.39612450643654</v>
      </c>
      <c r="AT182" s="141">
        <v>514.11683367493299</v>
      </c>
      <c r="AU182" s="141">
        <v>554.38784515350653</v>
      </c>
      <c r="AV182" s="141">
        <v>527.07754285110241</v>
      </c>
      <c r="AW182" s="141">
        <v>535.83004878826262</v>
      </c>
      <c r="AX182" s="141">
        <v>547.98577313987516</v>
      </c>
      <c r="AY182" s="141">
        <v>639.73846897087424</v>
      </c>
    </row>
    <row r="184" spans="1:51" x14ac:dyDescent="0.2">
      <c r="A184" s="1" t="s">
        <v>300</v>
      </c>
    </row>
    <row r="185" spans="1:51" x14ac:dyDescent="0.2">
      <c r="A185" s="142" t="s">
        <v>125</v>
      </c>
      <c r="B185" s="139">
        <v>1</v>
      </c>
      <c r="C185" s="140">
        <v>0</v>
      </c>
      <c r="D185" s="140">
        <v>0</v>
      </c>
      <c r="E185" s="140">
        <v>0</v>
      </c>
      <c r="F185" s="140">
        <v>251.53903504999744</v>
      </c>
      <c r="G185" s="140">
        <v>440</v>
      </c>
      <c r="H185" s="140">
        <v>447</v>
      </c>
      <c r="I185" s="140">
        <v>0</v>
      </c>
      <c r="J185" s="140">
        <v>0</v>
      </c>
      <c r="K185" s="140">
        <v>0</v>
      </c>
      <c r="L185" s="140">
        <v>0</v>
      </c>
      <c r="M185" s="140">
        <v>0</v>
      </c>
      <c r="N185" s="140">
        <v>0</v>
      </c>
      <c r="O185" s="140">
        <v>0</v>
      </c>
      <c r="P185" s="140">
        <v>0</v>
      </c>
      <c r="Q185" s="140">
        <v>0</v>
      </c>
      <c r="R185" s="140">
        <v>0</v>
      </c>
      <c r="S185" s="140">
        <v>0</v>
      </c>
      <c r="T185" s="140">
        <v>0</v>
      </c>
      <c r="U185" s="140">
        <v>0</v>
      </c>
      <c r="V185" s="140">
        <v>0</v>
      </c>
      <c r="W185" s="140">
        <v>0</v>
      </c>
      <c r="X185" s="140">
        <v>0</v>
      </c>
      <c r="Y185" s="140">
        <v>0</v>
      </c>
      <c r="Z185" s="140">
        <v>0</v>
      </c>
      <c r="AA185" s="140">
        <v>0</v>
      </c>
      <c r="AB185" s="140">
        <v>0</v>
      </c>
      <c r="AC185" s="140">
        <v>0</v>
      </c>
      <c r="AD185" s="140">
        <v>0</v>
      </c>
      <c r="AE185" s="140">
        <v>0</v>
      </c>
      <c r="AF185" s="140">
        <v>0</v>
      </c>
      <c r="AG185" s="140">
        <v>0</v>
      </c>
      <c r="AH185" s="140">
        <v>0</v>
      </c>
      <c r="AI185" s="140">
        <v>0</v>
      </c>
      <c r="AJ185" s="140">
        <v>0</v>
      </c>
      <c r="AK185" s="140">
        <v>0</v>
      </c>
      <c r="AL185" s="140">
        <v>0</v>
      </c>
      <c r="AM185" s="140">
        <v>0</v>
      </c>
      <c r="AN185" s="140">
        <v>0</v>
      </c>
      <c r="AO185" s="140">
        <v>0</v>
      </c>
      <c r="AP185" s="140">
        <v>0</v>
      </c>
      <c r="AQ185" s="140">
        <v>0</v>
      </c>
      <c r="AR185" s="140">
        <v>0</v>
      </c>
      <c r="AS185" s="140">
        <v>0</v>
      </c>
      <c r="AT185" s="140">
        <v>0</v>
      </c>
      <c r="AU185" s="140">
        <v>0</v>
      </c>
      <c r="AV185" s="140">
        <v>0</v>
      </c>
      <c r="AW185" s="140">
        <v>0</v>
      </c>
      <c r="AX185" s="140">
        <v>0</v>
      </c>
      <c r="AY185" s="140">
        <v>0</v>
      </c>
    </row>
    <row r="186" spans="1:51" x14ac:dyDescent="0.2">
      <c r="A186" s="126"/>
      <c r="B186" s="136">
        <v>2</v>
      </c>
      <c r="C186" s="123">
        <v>0</v>
      </c>
      <c r="D186" s="123">
        <v>0</v>
      </c>
      <c r="E186" s="123">
        <v>0</v>
      </c>
      <c r="F186" s="123">
        <v>0</v>
      </c>
      <c r="G186" s="123">
        <v>0</v>
      </c>
      <c r="H186" s="123">
        <v>0</v>
      </c>
      <c r="I186" s="123">
        <v>587</v>
      </c>
      <c r="J186" s="123">
        <v>424.39857684229128</v>
      </c>
      <c r="K186" s="123">
        <v>0</v>
      </c>
      <c r="L186" s="123">
        <v>0</v>
      </c>
      <c r="M186" s="123">
        <v>0</v>
      </c>
      <c r="N186" s="123">
        <v>0</v>
      </c>
      <c r="O186" s="123">
        <v>0</v>
      </c>
      <c r="P186" s="123">
        <v>0</v>
      </c>
      <c r="Q186" s="123">
        <v>0</v>
      </c>
      <c r="R186" s="123">
        <v>0</v>
      </c>
      <c r="S186" s="123">
        <v>0</v>
      </c>
      <c r="T186" s="123">
        <v>0</v>
      </c>
      <c r="U186" s="123">
        <v>0</v>
      </c>
      <c r="V186" s="123">
        <v>0</v>
      </c>
      <c r="W186" s="123">
        <v>0</v>
      </c>
      <c r="X186" s="123">
        <v>0</v>
      </c>
      <c r="Y186" s="123">
        <v>0</v>
      </c>
      <c r="Z186" s="123">
        <v>0</v>
      </c>
      <c r="AA186" s="123">
        <v>0</v>
      </c>
      <c r="AB186" s="123">
        <v>0</v>
      </c>
      <c r="AC186" s="123">
        <v>0</v>
      </c>
      <c r="AD186" s="123">
        <v>0</v>
      </c>
      <c r="AE186" s="123">
        <v>0</v>
      </c>
      <c r="AF186" s="123">
        <v>0</v>
      </c>
      <c r="AG186" s="123">
        <v>0</v>
      </c>
      <c r="AH186" s="123">
        <v>0</v>
      </c>
      <c r="AI186" s="123">
        <v>0</v>
      </c>
      <c r="AJ186" s="123">
        <v>0</v>
      </c>
      <c r="AK186" s="123">
        <v>0</v>
      </c>
      <c r="AL186" s="123">
        <v>0</v>
      </c>
      <c r="AM186" s="123">
        <v>0</v>
      </c>
      <c r="AN186" s="123">
        <v>0</v>
      </c>
      <c r="AO186" s="123">
        <v>0</v>
      </c>
      <c r="AP186" s="123">
        <v>0</v>
      </c>
      <c r="AQ186" s="123">
        <v>0</v>
      </c>
      <c r="AR186" s="123">
        <v>0</v>
      </c>
      <c r="AS186" s="123">
        <v>0</v>
      </c>
      <c r="AT186" s="123">
        <v>0</v>
      </c>
      <c r="AU186" s="123">
        <v>0</v>
      </c>
      <c r="AV186" s="123">
        <v>0</v>
      </c>
      <c r="AW186" s="123">
        <v>0</v>
      </c>
      <c r="AX186" s="123">
        <v>0</v>
      </c>
      <c r="AY186" s="123">
        <v>0</v>
      </c>
    </row>
    <row r="187" spans="1:51" x14ac:dyDescent="0.2">
      <c r="A187" s="126"/>
      <c r="B187" s="143">
        <v>3</v>
      </c>
      <c r="C187" s="123">
        <v>0</v>
      </c>
      <c r="D187" s="123">
        <v>0</v>
      </c>
      <c r="E187" s="123">
        <v>0</v>
      </c>
      <c r="F187" s="123">
        <v>0</v>
      </c>
      <c r="G187" s="123">
        <v>0</v>
      </c>
      <c r="H187" s="123">
        <v>0</v>
      </c>
      <c r="I187" s="123">
        <v>0</v>
      </c>
      <c r="J187" s="123">
        <v>89.601423157708723</v>
      </c>
      <c r="K187" s="123">
        <v>634</v>
      </c>
      <c r="L187" s="123">
        <v>659</v>
      </c>
      <c r="M187" s="123">
        <v>465.49723256273273</v>
      </c>
      <c r="N187" s="123">
        <v>0</v>
      </c>
      <c r="O187" s="123">
        <v>0</v>
      </c>
      <c r="P187" s="123">
        <v>0</v>
      </c>
      <c r="Q187" s="123">
        <v>0</v>
      </c>
      <c r="R187" s="123">
        <v>0</v>
      </c>
      <c r="S187" s="123">
        <v>0</v>
      </c>
      <c r="T187" s="123">
        <v>0</v>
      </c>
      <c r="U187" s="123">
        <v>0</v>
      </c>
      <c r="V187" s="123">
        <v>0</v>
      </c>
      <c r="W187" s="123">
        <v>0</v>
      </c>
      <c r="X187" s="123">
        <v>0</v>
      </c>
      <c r="Y187" s="123">
        <v>0</v>
      </c>
      <c r="Z187" s="123">
        <v>0</v>
      </c>
      <c r="AA187" s="123">
        <v>0</v>
      </c>
      <c r="AB187" s="123">
        <v>0</v>
      </c>
      <c r="AC187" s="123">
        <v>0</v>
      </c>
      <c r="AD187" s="123">
        <v>0</v>
      </c>
      <c r="AE187" s="123">
        <v>0</v>
      </c>
      <c r="AF187" s="123">
        <v>0</v>
      </c>
      <c r="AG187" s="123">
        <v>0</v>
      </c>
      <c r="AH187" s="123">
        <v>0</v>
      </c>
      <c r="AI187" s="123">
        <v>0</v>
      </c>
      <c r="AJ187" s="123">
        <v>0</v>
      </c>
      <c r="AK187" s="123">
        <v>0</v>
      </c>
      <c r="AL187" s="123">
        <v>0</v>
      </c>
      <c r="AM187" s="123">
        <v>0</v>
      </c>
      <c r="AN187" s="123">
        <v>0</v>
      </c>
      <c r="AO187" s="123">
        <v>0</v>
      </c>
      <c r="AP187" s="123">
        <v>0</v>
      </c>
      <c r="AQ187" s="123">
        <v>0</v>
      </c>
      <c r="AR187" s="123">
        <v>0</v>
      </c>
      <c r="AS187" s="123">
        <v>0</v>
      </c>
      <c r="AT187" s="123">
        <v>0</v>
      </c>
      <c r="AU187" s="123">
        <v>0</v>
      </c>
      <c r="AV187" s="123">
        <v>0</v>
      </c>
      <c r="AW187" s="123">
        <v>0</v>
      </c>
      <c r="AX187" s="123">
        <v>0</v>
      </c>
      <c r="AY187" s="123">
        <v>0</v>
      </c>
    </row>
    <row r="188" spans="1:51" x14ac:dyDescent="0.2">
      <c r="A188" s="144"/>
      <c r="B188" s="145">
        <v>4</v>
      </c>
      <c r="C188" s="123">
        <v>0</v>
      </c>
      <c r="D188" s="123">
        <v>0</v>
      </c>
      <c r="E188" s="123">
        <v>0</v>
      </c>
      <c r="F188" s="123">
        <v>0</v>
      </c>
      <c r="G188" s="123">
        <v>0</v>
      </c>
      <c r="H188" s="123">
        <v>0</v>
      </c>
      <c r="I188" s="123">
        <v>0</v>
      </c>
      <c r="J188" s="123">
        <v>0</v>
      </c>
      <c r="K188" s="123">
        <v>0</v>
      </c>
      <c r="L188" s="123">
        <v>0</v>
      </c>
      <c r="M188" s="123">
        <v>101.50276743726727</v>
      </c>
      <c r="N188" s="123">
        <v>545</v>
      </c>
      <c r="O188" s="123">
        <v>603</v>
      </c>
      <c r="P188" s="123">
        <v>621</v>
      </c>
      <c r="Q188" s="123">
        <v>548</v>
      </c>
      <c r="R188" s="123">
        <v>573</v>
      </c>
      <c r="S188" s="123">
        <v>606</v>
      </c>
      <c r="T188" s="123">
        <v>559</v>
      </c>
      <c r="U188" s="123">
        <v>468</v>
      </c>
      <c r="V188" s="123">
        <v>666</v>
      </c>
      <c r="W188" s="123">
        <v>485</v>
      </c>
      <c r="X188" s="123">
        <v>699</v>
      </c>
      <c r="Y188" s="123">
        <v>608</v>
      </c>
      <c r="Z188" s="123">
        <v>625</v>
      </c>
      <c r="AA188" s="123">
        <v>455</v>
      </c>
      <c r="AB188" s="123">
        <v>593</v>
      </c>
      <c r="AC188" s="123">
        <v>514</v>
      </c>
      <c r="AD188" s="123">
        <v>524</v>
      </c>
      <c r="AE188" s="123">
        <v>705</v>
      </c>
      <c r="AF188" s="123">
        <v>514</v>
      </c>
      <c r="AG188" s="123">
        <v>500</v>
      </c>
      <c r="AH188" s="123">
        <v>592</v>
      </c>
      <c r="AI188" s="123">
        <v>512</v>
      </c>
      <c r="AJ188" s="123">
        <v>623</v>
      </c>
      <c r="AK188" s="123">
        <v>550</v>
      </c>
      <c r="AL188" s="123">
        <v>600</v>
      </c>
      <c r="AM188" s="123">
        <v>720</v>
      </c>
      <c r="AN188" s="123">
        <v>576</v>
      </c>
      <c r="AO188" s="123">
        <v>646</v>
      </c>
      <c r="AP188" s="123">
        <v>591</v>
      </c>
      <c r="AQ188" s="123">
        <v>572</v>
      </c>
      <c r="AR188" s="123">
        <v>686</v>
      </c>
      <c r="AS188" s="123">
        <v>593</v>
      </c>
      <c r="AT188" s="123">
        <v>477</v>
      </c>
      <c r="AU188" s="123">
        <v>706</v>
      </c>
      <c r="AV188" s="123">
        <v>623</v>
      </c>
      <c r="AW188" s="123">
        <v>617</v>
      </c>
      <c r="AX188" s="123">
        <v>608</v>
      </c>
      <c r="AY188" s="123">
        <v>550</v>
      </c>
    </row>
    <row r="189" spans="1:51" x14ac:dyDescent="0.2">
      <c r="A189" s="142" t="s">
        <v>133</v>
      </c>
      <c r="B189" s="139">
        <v>1</v>
      </c>
      <c r="C189" s="140">
        <v>0</v>
      </c>
      <c r="D189" s="140">
        <v>519.46064614071383</v>
      </c>
      <c r="E189" s="140">
        <v>0</v>
      </c>
      <c r="F189" s="140">
        <v>0</v>
      </c>
      <c r="G189" s="140">
        <v>0</v>
      </c>
      <c r="H189" s="140">
        <v>219.04469075989707</v>
      </c>
      <c r="I189" s="140">
        <v>198.95146475989705</v>
      </c>
      <c r="J189" s="140">
        <v>54.654594980340434</v>
      </c>
      <c r="K189" s="140">
        <v>140.09322600000002</v>
      </c>
      <c r="L189" s="140">
        <v>78.95146475989705</v>
      </c>
      <c r="M189" s="140">
        <v>219.04469075989704</v>
      </c>
      <c r="N189" s="140">
        <v>219.04469075989707</v>
      </c>
      <c r="O189" s="140">
        <v>219.04469075989707</v>
      </c>
      <c r="P189" s="140">
        <v>219.04469075989707</v>
      </c>
      <c r="Q189" s="140">
        <v>120</v>
      </c>
      <c r="R189" s="140">
        <v>219.04469075989707</v>
      </c>
      <c r="S189" s="140">
        <v>219.04469075989707</v>
      </c>
      <c r="T189" s="140">
        <v>0</v>
      </c>
      <c r="U189" s="140">
        <v>219.04469075989707</v>
      </c>
      <c r="V189" s="140">
        <v>219.04469075989704</v>
      </c>
      <c r="W189" s="140">
        <v>198.95146475989705</v>
      </c>
      <c r="X189" s="140">
        <v>78.95146475989705</v>
      </c>
      <c r="Y189" s="140">
        <v>198.95146475989705</v>
      </c>
      <c r="Z189" s="140">
        <v>219.04469075989707</v>
      </c>
      <c r="AA189" s="140">
        <v>198.95146475989705</v>
      </c>
      <c r="AB189" s="140">
        <v>78.95146475989705</v>
      </c>
      <c r="AC189" s="140">
        <v>219.04469075989707</v>
      </c>
      <c r="AD189" s="140">
        <v>0</v>
      </c>
      <c r="AE189" s="140">
        <v>219.04469075989707</v>
      </c>
      <c r="AF189" s="140">
        <v>219.04469075989707</v>
      </c>
      <c r="AG189" s="140">
        <v>140.09322600000002</v>
      </c>
      <c r="AH189" s="140">
        <v>219.04469075989707</v>
      </c>
      <c r="AI189" s="140">
        <v>219.04469075989707</v>
      </c>
      <c r="AJ189" s="140">
        <v>219.04469075989707</v>
      </c>
      <c r="AK189" s="140">
        <v>219.04469075989707</v>
      </c>
      <c r="AL189" s="140">
        <v>14.472175917329645</v>
      </c>
      <c r="AM189" s="140">
        <v>198.95146475989705</v>
      </c>
      <c r="AN189" s="140">
        <v>78.95146475989705</v>
      </c>
      <c r="AO189" s="140">
        <v>219.04469075989704</v>
      </c>
      <c r="AP189" s="140">
        <v>140.09322600000002</v>
      </c>
      <c r="AQ189" s="140">
        <v>219.04469075989707</v>
      </c>
      <c r="AR189" s="140">
        <v>219.04469075989707</v>
      </c>
      <c r="AS189" s="140">
        <v>178.64285395331052</v>
      </c>
      <c r="AT189" s="140">
        <v>140.09322600000002</v>
      </c>
      <c r="AU189" s="140">
        <v>178.85233944906057</v>
      </c>
      <c r="AV189" s="140">
        <v>199.04922516925757</v>
      </c>
      <c r="AW189" s="140">
        <v>179.05891453222691</v>
      </c>
      <c r="AX189" s="140">
        <v>59.161068937357356</v>
      </c>
      <c r="AY189" s="140">
        <v>154.90883747759892</v>
      </c>
    </row>
    <row r="190" spans="1:51" x14ac:dyDescent="0.2">
      <c r="A190" s="126"/>
      <c r="B190" s="135">
        <v>2</v>
      </c>
      <c r="C190" s="123">
        <v>691</v>
      </c>
      <c r="D190" s="123">
        <v>552</v>
      </c>
      <c r="E190" s="123">
        <v>677</v>
      </c>
      <c r="F190" s="123">
        <v>0</v>
      </c>
      <c r="G190" s="123">
        <v>0</v>
      </c>
      <c r="H190" s="123">
        <v>219.04469075989707</v>
      </c>
      <c r="I190" s="123">
        <v>0</v>
      </c>
      <c r="J190" s="123">
        <v>20.093226000000016</v>
      </c>
      <c r="K190" s="123">
        <v>140.09322600000002</v>
      </c>
      <c r="L190" s="123">
        <v>0</v>
      </c>
      <c r="M190" s="123">
        <v>140.09322600000002</v>
      </c>
      <c r="N190" s="123">
        <v>2.8421709430404007E-14</v>
      </c>
      <c r="O190" s="123">
        <v>0</v>
      </c>
      <c r="P190" s="123">
        <v>0</v>
      </c>
      <c r="Q190" s="123">
        <v>0</v>
      </c>
      <c r="R190" s="123">
        <v>99.044690759897065</v>
      </c>
      <c r="S190" s="123">
        <v>0</v>
      </c>
      <c r="T190" s="123">
        <v>0</v>
      </c>
      <c r="U190" s="123">
        <v>0</v>
      </c>
      <c r="V190" s="123">
        <v>0</v>
      </c>
      <c r="W190" s="123">
        <v>2.8421709430404007E-14</v>
      </c>
      <c r="X190" s="123">
        <v>0</v>
      </c>
      <c r="Y190" s="123">
        <v>140.09322600000002</v>
      </c>
      <c r="Z190" s="123">
        <v>0</v>
      </c>
      <c r="AA190" s="123">
        <v>0</v>
      </c>
      <c r="AB190" s="123">
        <v>20.093226000000016</v>
      </c>
      <c r="AC190" s="123">
        <v>0</v>
      </c>
      <c r="AD190" s="123">
        <v>0</v>
      </c>
      <c r="AE190" s="123">
        <v>219.04469075989707</v>
      </c>
      <c r="AF190" s="123">
        <v>0</v>
      </c>
      <c r="AG190" s="123">
        <v>0</v>
      </c>
      <c r="AH190" s="123">
        <v>0</v>
      </c>
      <c r="AI190" s="123">
        <v>0</v>
      </c>
      <c r="AJ190" s="123">
        <v>0</v>
      </c>
      <c r="AK190" s="123">
        <v>0</v>
      </c>
      <c r="AL190" s="123">
        <v>0</v>
      </c>
      <c r="AM190" s="123">
        <v>140.09322600000002</v>
      </c>
      <c r="AN190" s="123">
        <v>0</v>
      </c>
      <c r="AO190" s="123">
        <v>140.09322600000002</v>
      </c>
      <c r="AP190" s="123">
        <v>2.8421709430404007E-14</v>
      </c>
      <c r="AQ190" s="123">
        <v>78.95146475989705</v>
      </c>
      <c r="AR190" s="123">
        <v>0</v>
      </c>
      <c r="AS190" s="123">
        <v>0</v>
      </c>
      <c r="AT190" s="123">
        <v>0</v>
      </c>
      <c r="AU190" s="123">
        <v>0</v>
      </c>
      <c r="AV190" s="123">
        <v>20.093226000000016</v>
      </c>
      <c r="AW190" s="123">
        <v>0</v>
      </c>
      <c r="AX190" s="123">
        <v>0</v>
      </c>
      <c r="AY190" s="123">
        <v>140.09322600000002</v>
      </c>
    </row>
    <row r="191" spans="1:51" x14ac:dyDescent="0.2">
      <c r="A191" s="126"/>
      <c r="B191" s="136">
        <v>3</v>
      </c>
      <c r="C191" s="123">
        <v>0</v>
      </c>
      <c r="D191" s="123">
        <v>4.539353859286166</v>
      </c>
      <c r="E191" s="123">
        <v>0</v>
      </c>
      <c r="F191" s="123">
        <v>896</v>
      </c>
      <c r="G191" s="123">
        <v>0</v>
      </c>
      <c r="H191" s="123">
        <v>78.95146475989705</v>
      </c>
      <c r="I191" s="123">
        <v>0</v>
      </c>
      <c r="J191" s="123">
        <v>0</v>
      </c>
      <c r="K191" s="123">
        <v>0</v>
      </c>
      <c r="L191" s="123">
        <v>0</v>
      </c>
      <c r="M191" s="123">
        <v>0</v>
      </c>
      <c r="N191" s="123">
        <v>0</v>
      </c>
      <c r="O191" s="123">
        <v>0</v>
      </c>
      <c r="P191" s="123">
        <v>0</v>
      </c>
      <c r="Q191" s="123">
        <v>0</v>
      </c>
      <c r="R191" s="123">
        <v>0</v>
      </c>
      <c r="S191" s="123">
        <v>0</v>
      </c>
      <c r="T191" s="123">
        <v>0</v>
      </c>
      <c r="U191" s="123">
        <v>0</v>
      </c>
      <c r="V191" s="123">
        <v>140.09322600000002</v>
      </c>
      <c r="W191" s="123">
        <v>0</v>
      </c>
      <c r="X191" s="123">
        <v>0</v>
      </c>
      <c r="Y191" s="123">
        <v>20.093226000000016</v>
      </c>
      <c r="Z191" s="123">
        <v>0</v>
      </c>
      <c r="AA191" s="123">
        <v>20.093226000000016</v>
      </c>
      <c r="AB191" s="123">
        <v>0</v>
      </c>
      <c r="AC191" s="123">
        <v>0</v>
      </c>
      <c r="AD191" s="123">
        <v>140.09322600000002</v>
      </c>
      <c r="AE191" s="123">
        <v>0</v>
      </c>
      <c r="AF191" s="123">
        <v>0</v>
      </c>
      <c r="AG191" s="123">
        <v>0</v>
      </c>
      <c r="AH191" s="123">
        <v>0</v>
      </c>
      <c r="AI191" s="123">
        <v>0</v>
      </c>
      <c r="AJ191" s="123">
        <v>0</v>
      </c>
      <c r="AK191" s="123">
        <v>0</v>
      </c>
      <c r="AL191" s="123">
        <v>0</v>
      </c>
      <c r="AM191" s="123">
        <v>0</v>
      </c>
      <c r="AN191" s="123">
        <v>0</v>
      </c>
      <c r="AO191" s="123">
        <v>20.093226000000016</v>
      </c>
      <c r="AP191" s="123">
        <v>0</v>
      </c>
      <c r="AQ191" s="123">
        <v>0</v>
      </c>
      <c r="AR191" s="123">
        <v>0</v>
      </c>
      <c r="AS191" s="123">
        <v>0</v>
      </c>
      <c r="AT191" s="123">
        <v>0</v>
      </c>
      <c r="AU191" s="123">
        <v>20.093226000000016</v>
      </c>
      <c r="AV191" s="123">
        <v>58.747952095623923</v>
      </c>
      <c r="AW191" s="123">
        <v>0</v>
      </c>
      <c r="AX191" s="123">
        <v>0</v>
      </c>
      <c r="AY191" s="123">
        <v>20.093226000000016</v>
      </c>
    </row>
    <row r="192" spans="1:51" x14ac:dyDescent="0.2">
      <c r="A192" s="126"/>
      <c r="B192" s="136">
        <v>4</v>
      </c>
      <c r="C192" s="123">
        <v>0</v>
      </c>
      <c r="D192" s="123">
        <v>0</v>
      </c>
      <c r="E192" s="123">
        <v>0</v>
      </c>
      <c r="F192" s="123">
        <v>0</v>
      </c>
      <c r="G192" s="123">
        <v>1019</v>
      </c>
      <c r="H192" s="123">
        <v>204.58058400000002</v>
      </c>
      <c r="I192" s="123">
        <v>0</v>
      </c>
      <c r="J192" s="123">
        <v>0</v>
      </c>
      <c r="K192" s="123">
        <v>0</v>
      </c>
      <c r="L192" s="123">
        <v>0</v>
      </c>
      <c r="M192" s="123">
        <v>0</v>
      </c>
      <c r="N192" s="123">
        <v>0</v>
      </c>
      <c r="O192" s="123">
        <v>0</v>
      </c>
      <c r="P192" s="123">
        <v>0</v>
      </c>
      <c r="Q192" s="123">
        <v>0</v>
      </c>
      <c r="R192" s="123">
        <v>0</v>
      </c>
      <c r="S192" s="123">
        <v>0</v>
      </c>
      <c r="T192" s="123">
        <v>0</v>
      </c>
      <c r="U192" s="123">
        <v>0</v>
      </c>
      <c r="V192" s="123">
        <v>0</v>
      </c>
      <c r="W192" s="123">
        <v>0</v>
      </c>
      <c r="X192" s="123">
        <v>0</v>
      </c>
      <c r="Y192" s="123">
        <v>0</v>
      </c>
      <c r="Z192" s="123">
        <v>0</v>
      </c>
      <c r="AA192" s="123">
        <v>0</v>
      </c>
      <c r="AB192" s="123">
        <v>0</v>
      </c>
      <c r="AC192" s="123">
        <v>0</v>
      </c>
      <c r="AD192" s="123">
        <v>0</v>
      </c>
      <c r="AE192" s="123">
        <v>0</v>
      </c>
      <c r="AF192" s="123">
        <v>0</v>
      </c>
      <c r="AG192" s="123">
        <v>0</v>
      </c>
      <c r="AH192" s="123">
        <v>0</v>
      </c>
      <c r="AI192" s="123">
        <v>0</v>
      </c>
      <c r="AJ192" s="123">
        <v>0</v>
      </c>
      <c r="AK192" s="123">
        <v>0</v>
      </c>
      <c r="AL192" s="123">
        <v>0</v>
      </c>
      <c r="AM192" s="123">
        <v>0</v>
      </c>
      <c r="AN192" s="123">
        <v>0</v>
      </c>
      <c r="AO192" s="123">
        <v>0</v>
      </c>
      <c r="AP192" s="123">
        <v>0</v>
      </c>
      <c r="AQ192" s="123">
        <v>0</v>
      </c>
      <c r="AR192" s="123">
        <v>0</v>
      </c>
      <c r="AS192" s="123">
        <v>0</v>
      </c>
      <c r="AT192" s="123">
        <v>0</v>
      </c>
      <c r="AU192" s="123">
        <v>0</v>
      </c>
      <c r="AV192" s="123">
        <v>0</v>
      </c>
      <c r="AW192" s="123">
        <v>0</v>
      </c>
      <c r="AX192" s="123">
        <v>0</v>
      </c>
      <c r="AY192" s="123">
        <v>0</v>
      </c>
    </row>
    <row r="193" spans="1:51" x14ac:dyDescent="0.2">
      <c r="A193" s="126"/>
      <c r="B193" s="143">
        <v>5</v>
      </c>
      <c r="C193" s="123">
        <v>0</v>
      </c>
      <c r="D193" s="123">
        <v>0</v>
      </c>
      <c r="E193" s="123">
        <v>0</v>
      </c>
      <c r="F193" s="123">
        <v>0</v>
      </c>
      <c r="G193" s="123">
        <v>0</v>
      </c>
      <c r="H193" s="123">
        <v>90.79525048520658</v>
      </c>
      <c r="I193" s="123">
        <v>0</v>
      </c>
      <c r="J193" s="123">
        <v>0</v>
      </c>
      <c r="K193" s="123">
        <v>0</v>
      </c>
      <c r="L193" s="123">
        <v>0</v>
      </c>
      <c r="M193" s="123">
        <v>0</v>
      </c>
      <c r="N193" s="123">
        <v>0</v>
      </c>
      <c r="O193" s="123">
        <v>0</v>
      </c>
      <c r="P193" s="123">
        <v>0</v>
      </c>
      <c r="Q193" s="123">
        <v>0</v>
      </c>
      <c r="R193" s="123">
        <v>0</v>
      </c>
      <c r="S193" s="123">
        <v>0</v>
      </c>
      <c r="T193" s="123">
        <v>0</v>
      </c>
      <c r="U193" s="123">
        <v>0</v>
      </c>
      <c r="V193" s="123">
        <v>0</v>
      </c>
      <c r="W193" s="123">
        <v>0</v>
      </c>
      <c r="X193" s="123">
        <v>0</v>
      </c>
      <c r="Y193" s="123">
        <v>0</v>
      </c>
      <c r="Z193" s="123">
        <v>0</v>
      </c>
      <c r="AA193" s="123">
        <v>0</v>
      </c>
      <c r="AB193" s="123">
        <v>0</v>
      </c>
      <c r="AC193" s="123">
        <v>0</v>
      </c>
      <c r="AD193" s="123">
        <v>0</v>
      </c>
      <c r="AE193" s="123">
        <v>0</v>
      </c>
      <c r="AF193" s="123">
        <v>0</v>
      </c>
      <c r="AG193" s="123">
        <v>0</v>
      </c>
      <c r="AH193" s="123">
        <v>0</v>
      </c>
      <c r="AI193" s="123">
        <v>0</v>
      </c>
      <c r="AJ193" s="123">
        <v>0</v>
      </c>
      <c r="AK193" s="123">
        <v>0</v>
      </c>
      <c r="AL193" s="123">
        <v>0</v>
      </c>
      <c r="AM193" s="123">
        <v>0</v>
      </c>
      <c r="AN193" s="123">
        <v>0</v>
      </c>
      <c r="AO193" s="123">
        <v>0</v>
      </c>
      <c r="AP193" s="123">
        <v>0</v>
      </c>
      <c r="AQ193" s="123">
        <v>0</v>
      </c>
      <c r="AR193" s="123">
        <v>0</v>
      </c>
      <c r="AS193" s="123">
        <v>0</v>
      </c>
      <c r="AT193" s="123">
        <v>0</v>
      </c>
      <c r="AU193" s="123">
        <v>0</v>
      </c>
      <c r="AV193" s="123">
        <v>0</v>
      </c>
      <c r="AW193" s="123">
        <v>0</v>
      </c>
      <c r="AX193" s="123">
        <v>0</v>
      </c>
      <c r="AY193" s="123">
        <v>0</v>
      </c>
    </row>
    <row r="194" spans="1:51" x14ac:dyDescent="0.2">
      <c r="A194" s="126"/>
      <c r="B194" s="143">
        <v>6</v>
      </c>
      <c r="C194" s="123">
        <v>0</v>
      </c>
      <c r="D194" s="123">
        <v>0</v>
      </c>
      <c r="E194" s="123">
        <v>0</v>
      </c>
      <c r="F194" s="123">
        <v>0</v>
      </c>
      <c r="G194" s="123">
        <v>0</v>
      </c>
      <c r="H194" s="123">
        <v>0</v>
      </c>
      <c r="I194" s="123">
        <v>0</v>
      </c>
      <c r="J194" s="123">
        <v>0</v>
      </c>
      <c r="K194" s="123">
        <v>0</v>
      </c>
      <c r="L194" s="123">
        <v>0</v>
      </c>
      <c r="M194" s="123">
        <v>0</v>
      </c>
      <c r="N194" s="123">
        <v>0</v>
      </c>
      <c r="O194" s="123">
        <v>0</v>
      </c>
      <c r="P194" s="123">
        <v>0</v>
      </c>
      <c r="Q194" s="123">
        <v>0</v>
      </c>
      <c r="R194" s="123">
        <v>0</v>
      </c>
      <c r="S194" s="123">
        <v>0</v>
      </c>
      <c r="T194" s="123">
        <v>0</v>
      </c>
      <c r="U194" s="123">
        <v>0</v>
      </c>
      <c r="V194" s="123">
        <v>0</v>
      </c>
      <c r="W194" s="123">
        <v>0</v>
      </c>
      <c r="X194" s="123">
        <v>0</v>
      </c>
      <c r="Y194" s="123">
        <v>0</v>
      </c>
      <c r="Z194" s="123">
        <v>0</v>
      </c>
      <c r="AA194" s="123">
        <v>0</v>
      </c>
      <c r="AB194" s="123">
        <v>0</v>
      </c>
      <c r="AC194" s="123">
        <v>0</v>
      </c>
      <c r="AD194" s="123">
        <v>0</v>
      </c>
      <c r="AE194" s="123">
        <v>0</v>
      </c>
      <c r="AF194" s="123">
        <v>0</v>
      </c>
      <c r="AG194" s="123">
        <v>0</v>
      </c>
      <c r="AH194" s="123">
        <v>0</v>
      </c>
      <c r="AI194" s="123">
        <v>0</v>
      </c>
      <c r="AJ194" s="123">
        <v>0</v>
      </c>
      <c r="AK194" s="123">
        <v>0</v>
      </c>
      <c r="AL194" s="123">
        <v>0</v>
      </c>
      <c r="AM194" s="123">
        <v>0</v>
      </c>
      <c r="AN194" s="123">
        <v>0</v>
      </c>
      <c r="AO194" s="123">
        <v>0</v>
      </c>
      <c r="AP194" s="123">
        <v>0</v>
      </c>
      <c r="AQ194" s="123">
        <v>0</v>
      </c>
      <c r="AR194" s="123">
        <v>0</v>
      </c>
      <c r="AS194" s="123">
        <v>0</v>
      </c>
      <c r="AT194" s="123">
        <v>0</v>
      </c>
      <c r="AU194" s="123">
        <v>0</v>
      </c>
      <c r="AV194" s="123">
        <v>0</v>
      </c>
      <c r="AW194" s="123">
        <v>0</v>
      </c>
      <c r="AX194" s="123">
        <v>0</v>
      </c>
      <c r="AY194" s="123">
        <v>0</v>
      </c>
    </row>
    <row r="195" spans="1:51" x14ac:dyDescent="0.2">
      <c r="A195" s="126"/>
      <c r="B195" s="146">
        <v>7</v>
      </c>
      <c r="C195" s="123">
        <v>0</v>
      </c>
      <c r="D195" s="123">
        <v>0</v>
      </c>
      <c r="E195" s="123">
        <v>0</v>
      </c>
      <c r="F195" s="123">
        <v>0</v>
      </c>
      <c r="G195" s="123">
        <v>0</v>
      </c>
      <c r="H195" s="123">
        <v>0</v>
      </c>
      <c r="I195" s="123">
        <v>0</v>
      </c>
      <c r="J195" s="123">
        <v>0</v>
      </c>
      <c r="K195" s="123">
        <v>0</v>
      </c>
      <c r="L195" s="123">
        <v>0</v>
      </c>
      <c r="M195" s="123">
        <v>0</v>
      </c>
      <c r="N195" s="123">
        <v>0</v>
      </c>
      <c r="O195" s="123">
        <v>0</v>
      </c>
      <c r="P195" s="123">
        <v>0</v>
      </c>
      <c r="Q195" s="123">
        <v>0</v>
      </c>
      <c r="R195" s="123">
        <v>0</v>
      </c>
      <c r="S195" s="123">
        <v>0</v>
      </c>
      <c r="T195" s="123">
        <v>0</v>
      </c>
      <c r="U195" s="123">
        <v>0</v>
      </c>
      <c r="V195" s="123">
        <v>0</v>
      </c>
      <c r="W195" s="123">
        <v>0</v>
      </c>
      <c r="X195" s="123">
        <v>0</v>
      </c>
      <c r="Y195" s="123">
        <v>0</v>
      </c>
      <c r="Z195" s="123">
        <v>0</v>
      </c>
      <c r="AA195" s="123">
        <v>0</v>
      </c>
      <c r="AB195" s="123">
        <v>0</v>
      </c>
      <c r="AC195" s="123">
        <v>0</v>
      </c>
      <c r="AD195" s="123">
        <v>0</v>
      </c>
      <c r="AE195" s="123">
        <v>0</v>
      </c>
      <c r="AF195" s="123">
        <v>0</v>
      </c>
      <c r="AG195" s="123">
        <v>0</v>
      </c>
      <c r="AH195" s="123">
        <v>0</v>
      </c>
      <c r="AI195" s="123">
        <v>0</v>
      </c>
      <c r="AJ195" s="123">
        <v>0</v>
      </c>
      <c r="AK195" s="123">
        <v>0</v>
      </c>
      <c r="AL195" s="123">
        <v>0</v>
      </c>
      <c r="AM195" s="123">
        <v>0</v>
      </c>
      <c r="AN195" s="123">
        <v>0</v>
      </c>
      <c r="AO195" s="123">
        <v>0</v>
      </c>
      <c r="AP195" s="123">
        <v>0</v>
      </c>
      <c r="AQ195" s="123">
        <v>0</v>
      </c>
      <c r="AR195" s="123">
        <v>0</v>
      </c>
      <c r="AS195" s="123">
        <v>0</v>
      </c>
      <c r="AT195" s="123">
        <v>0</v>
      </c>
      <c r="AU195" s="123">
        <v>0</v>
      </c>
      <c r="AV195" s="123">
        <v>0</v>
      </c>
      <c r="AW195" s="123">
        <v>0</v>
      </c>
      <c r="AX195" s="123">
        <v>0</v>
      </c>
      <c r="AY195" s="123">
        <v>0</v>
      </c>
    </row>
    <row r="196" spans="1:51" x14ac:dyDescent="0.2">
      <c r="A196" s="144"/>
      <c r="B196" s="145">
        <v>8</v>
      </c>
      <c r="C196" s="130">
        <v>0</v>
      </c>
      <c r="D196" s="130">
        <v>0</v>
      </c>
      <c r="E196" s="130">
        <v>0</v>
      </c>
      <c r="F196" s="130">
        <v>0</v>
      </c>
      <c r="G196" s="130">
        <v>0</v>
      </c>
      <c r="H196" s="130">
        <v>0</v>
      </c>
      <c r="I196" s="130">
        <v>0</v>
      </c>
      <c r="J196" s="130">
        <v>0</v>
      </c>
      <c r="K196" s="130">
        <v>0</v>
      </c>
      <c r="L196" s="130">
        <v>0</v>
      </c>
      <c r="M196" s="130">
        <v>0</v>
      </c>
      <c r="N196" s="130">
        <v>0</v>
      </c>
      <c r="O196" s="130">
        <v>0</v>
      </c>
      <c r="P196" s="130">
        <v>0</v>
      </c>
      <c r="Q196" s="130">
        <v>0</v>
      </c>
      <c r="R196" s="130">
        <v>0</v>
      </c>
      <c r="S196" s="130">
        <v>0</v>
      </c>
      <c r="T196" s="130">
        <v>0</v>
      </c>
      <c r="U196" s="130">
        <v>0</v>
      </c>
      <c r="V196" s="130">
        <v>0</v>
      </c>
      <c r="W196" s="130">
        <v>0</v>
      </c>
      <c r="X196" s="130">
        <v>0</v>
      </c>
      <c r="Y196" s="130">
        <v>0</v>
      </c>
      <c r="Z196" s="130">
        <v>0</v>
      </c>
      <c r="AA196" s="130">
        <v>0</v>
      </c>
      <c r="AB196" s="130">
        <v>0</v>
      </c>
      <c r="AC196" s="130">
        <v>0</v>
      </c>
      <c r="AD196" s="130">
        <v>0</v>
      </c>
      <c r="AE196" s="130">
        <v>0</v>
      </c>
      <c r="AF196" s="130">
        <v>0</v>
      </c>
      <c r="AG196" s="130">
        <v>0</v>
      </c>
      <c r="AH196" s="130">
        <v>0</v>
      </c>
      <c r="AI196" s="130">
        <v>0</v>
      </c>
      <c r="AJ196" s="130">
        <v>0</v>
      </c>
      <c r="AK196" s="130">
        <v>0</v>
      </c>
      <c r="AL196" s="130">
        <v>0</v>
      </c>
      <c r="AM196" s="130">
        <v>0</v>
      </c>
      <c r="AN196" s="130">
        <v>0</v>
      </c>
      <c r="AO196" s="130">
        <v>0</v>
      </c>
      <c r="AP196" s="130">
        <v>0</v>
      </c>
      <c r="AQ196" s="130">
        <v>0</v>
      </c>
      <c r="AR196" s="130">
        <v>0</v>
      </c>
      <c r="AS196" s="130">
        <v>0</v>
      </c>
      <c r="AT196" s="130">
        <v>0</v>
      </c>
      <c r="AU196" s="130">
        <v>0</v>
      </c>
      <c r="AV196" s="130">
        <v>0</v>
      </c>
      <c r="AW196" s="130">
        <v>0</v>
      </c>
      <c r="AX196" s="130">
        <v>0</v>
      </c>
      <c r="AY196" s="130">
        <v>0</v>
      </c>
    </row>
    <row r="197" spans="1:51" x14ac:dyDescent="0.2">
      <c r="A197" s="147" t="s">
        <v>134</v>
      </c>
      <c r="B197" s="135">
        <v>1</v>
      </c>
      <c r="C197" s="123">
        <v>0</v>
      </c>
      <c r="D197" s="123">
        <v>0</v>
      </c>
      <c r="E197" s="123">
        <v>0</v>
      </c>
      <c r="F197" s="123">
        <v>0</v>
      </c>
      <c r="G197" s="123">
        <v>0</v>
      </c>
      <c r="H197" s="123">
        <v>0</v>
      </c>
      <c r="I197" s="123">
        <v>0</v>
      </c>
      <c r="J197" s="123">
        <v>0</v>
      </c>
      <c r="K197" s="123">
        <v>0</v>
      </c>
      <c r="L197" s="123">
        <v>0</v>
      </c>
      <c r="M197" s="123">
        <v>0</v>
      </c>
      <c r="N197" s="123">
        <v>0</v>
      </c>
      <c r="O197" s="123">
        <v>0</v>
      </c>
      <c r="P197" s="123">
        <v>0</v>
      </c>
      <c r="Q197" s="123">
        <v>0</v>
      </c>
      <c r="R197" s="123">
        <v>0</v>
      </c>
      <c r="S197" s="123">
        <v>0</v>
      </c>
      <c r="T197" s="123">
        <v>0</v>
      </c>
      <c r="U197" s="123">
        <v>0</v>
      </c>
      <c r="V197" s="123">
        <v>0</v>
      </c>
      <c r="W197" s="123">
        <v>0</v>
      </c>
      <c r="X197" s="123">
        <v>0</v>
      </c>
      <c r="Y197" s="123">
        <v>0</v>
      </c>
      <c r="Z197" s="123">
        <v>0</v>
      </c>
      <c r="AA197" s="123">
        <v>0</v>
      </c>
      <c r="AB197" s="123">
        <v>0</v>
      </c>
      <c r="AC197" s="123">
        <v>0</v>
      </c>
      <c r="AD197" s="123">
        <v>0</v>
      </c>
      <c r="AE197" s="123">
        <v>0</v>
      </c>
      <c r="AF197" s="123">
        <v>0</v>
      </c>
      <c r="AG197" s="123">
        <v>0</v>
      </c>
      <c r="AH197" s="123">
        <v>0</v>
      </c>
      <c r="AI197" s="123">
        <v>0</v>
      </c>
      <c r="AJ197" s="123">
        <v>0</v>
      </c>
      <c r="AK197" s="123">
        <v>0</v>
      </c>
      <c r="AL197" s="123">
        <v>0</v>
      </c>
      <c r="AM197" s="123">
        <v>0</v>
      </c>
      <c r="AN197" s="123">
        <v>0</v>
      </c>
      <c r="AO197" s="123">
        <v>0</v>
      </c>
      <c r="AP197" s="123">
        <v>0</v>
      </c>
      <c r="AQ197" s="123">
        <v>0</v>
      </c>
      <c r="AR197" s="123">
        <v>0</v>
      </c>
      <c r="AS197" s="123">
        <v>0</v>
      </c>
      <c r="AT197" s="123">
        <v>0</v>
      </c>
      <c r="AU197" s="123">
        <v>0</v>
      </c>
      <c r="AV197" s="123">
        <v>0</v>
      </c>
      <c r="AW197" s="123">
        <v>0</v>
      </c>
      <c r="AX197" s="123">
        <v>0</v>
      </c>
      <c r="AY197" s="123">
        <v>0</v>
      </c>
    </row>
    <row r="198" spans="1:51" x14ac:dyDescent="0.2">
      <c r="A198" s="126"/>
      <c r="B198" s="135">
        <v>2</v>
      </c>
      <c r="C198" s="123">
        <v>0</v>
      </c>
      <c r="D198" s="123">
        <v>0</v>
      </c>
      <c r="E198" s="123">
        <v>0</v>
      </c>
      <c r="F198" s="123">
        <v>0</v>
      </c>
      <c r="G198" s="123">
        <v>0</v>
      </c>
      <c r="H198" s="123">
        <v>0</v>
      </c>
      <c r="I198" s="123">
        <v>0</v>
      </c>
      <c r="J198" s="123">
        <v>0</v>
      </c>
      <c r="K198" s="123">
        <v>0</v>
      </c>
      <c r="L198" s="123">
        <v>0</v>
      </c>
      <c r="M198" s="123">
        <v>0</v>
      </c>
      <c r="N198" s="123">
        <v>0</v>
      </c>
      <c r="O198" s="123">
        <v>0</v>
      </c>
      <c r="P198" s="123">
        <v>0</v>
      </c>
      <c r="Q198" s="123">
        <v>0</v>
      </c>
      <c r="R198" s="123">
        <v>0</v>
      </c>
      <c r="S198" s="123">
        <v>0</v>
      </c>
      <c r="T198" s="123">
        <v>0</v>
      </c>
      <c r="U198" s="123">
        <v>0</v>
      </c>
      <c r="V198" s="123">
        <v>0</v>
      </c>
      <c r="W198" s="123">
        <v>0</v>
      </c>
      <c r="X198" s="123">
        <v>0</v>
      </c>
      <c r="Y198" s="123">
        <v>0</v>
      </c>
      <c r="Z198" s="123">
        <v>0</v>
      </c>
      <c r="AA198" s="123">
        <v>0</v>
      </c>
      <c r="AB198" s="123">
        <v>0</v>
      </c>
      <c r="AC198" s="123">
        <v>0</v>
      </c>
      <c r="AD198" s="123">
        <v>0</v>
      </c>
      <c r="AE198" s="123">
        <v>0</v>
      </c>
      <c r="AF198" s="123">
        <v>0</v>
      </c>
      <c r="AG198" s="123">
        <v>0</v>
      </c>
      <c r="AH198" s="123">
        <v>0</v>
      </c>
      <c r="AI198" s="123">
        <v>0</v>
      </c>
      <c r="AJ198" s="123">
        <v>0</v>
      </c>
      <c r="AK198" s="123">
        <v>0</v>
      </c>
      <c r="AL198" s="123">
        <v>0</v>
      </c>
      <c r="AM198" s="123">
        <v>0</v>
      </c>
      <c r="AN198" s="123">
        <v>0</v>
      </c>
      <c r="AO198" s="123">
        <v>0</v>
      </c>
      <c r="AP198" s="123">
        <v>0</v>
      </c>
      <c r="AQ198" s="123">
        <v>0</v>
      </c>
      <c r="AR198" s="123">
        <v>0</v>
      </c>
      <c r="AS198" s="123">
        <v>0</v>
      </c>
      <c r="AT198" s="123">
        <v>0</v>
      </c>
      <c r="AU198" s="123">
        <v>0</v>
      </c>
      <c r="AV198" s="123">
        <v>0</v>
      </c>
      <c r="AW198" s="123">
        <v>0</v>
      </c>
      <c r="AX198" s="123">
        <v>0</v>
      </c>
      <c r="AY198" s="123">
        <v>0</v>
      </c>
    </row>
    <row r="199" spans="1:51" x14ac:dyDescent="0.2">
      <c r="A199" s="126"/>
      <c r="B199" s="135">
        <v>3</v>
      </c>
      <c r="C199" s="123">
        <v>0</v>
      </c>
      <c r="D199" s="123">
        <v>0</v>
      </c>
      <c r="E199" s="123">
        <v>0</v>
      </c>
      <c r="F199" s="123">
        <v>0</v>
      </c>
      <c r="G199" s="123">
        <v>0</v>
      </c>
      <c r="H199" s="123">
        <v>0</v>
      </c>
      <c r="I199" s="123">
        <v>0</v>
      </c>
      <c r="J199" s="123">
        <v>0</v>
      </c>
      <c r="K199" s="123">
        <v>0</v>
      </c>
      <c r="L199" s="123">
        <v>0</v>
      </c>
      <c r="M199" s="123">
        <v>0</v>
      </c>
      <c r="N199" s="123">
        <v>0</v>
      </c>
      <c r="O199" s="123">
        <v>0</v>
      </c>
      <c r="P199" s="123">
        <v>0</v>
      </c>
      <c r="Q199" s="123">
        <v>0</v>
      </c>
      <c r="R199" s="123">
        <v>0</v>
      </c>
      <c r="S199" s="123">
        <v>0</v>
      </c>
      <c r="T199" s="123">
        <v>0</v>
      </c>
      <c r="U199" s="123">
        <v>0</v>
      </c>
      <c r="V199" s="123">
        <v>0</v>
      </c>
      <c r="W199" s="123">
        <v>0</v>
      </c>
      <c r="X199" s="123">
        <v>0</v>
      </c>
      <c r="Y199" s="123">
        <v>0</v>
      </c>
      <c r="Z199" s="123">
        <v>0</v>
      </c>
      <c r="AA199" s="123">
        <v>0</v>
      </c>
      <c r="AB199" s="123">
        <v>0</v>
      </c>
      <c r="AC199" s="123">
        <v>0</v>
      </c>
      <c r="AD199" s="123">
        <v>0</v>
      </c>
      <c r="AE199" s="123">
        <v>0</v>
      </c>
      <c r="AF199" s="123">
        <v>0</v>
      </c>
      <c r="AG199" s="123">
        <v>0</v>
      </c>
      <c r="AH199" s="123">
        <v>0</v>
      </c>
      <c r="AI199" s="123">
        <v>0</v>
      </c>
      <c r="AJ199" s="123">
        <v>0</v>
      </c>
      <c r="AK199" s="123">
        <v>0</v>
      </c>
      <c r="AL199" s="123">
        <v>0</v>
      </c>
      <c r="AM199" s="123">
        <v>0</v>
      </c>
      <c r="AN199" s="123">
        <v>0</v>
      </c>
      <c r="AO199" s="123">
        <v>0</v>
      </c>
      <c r="AP199" s="123">
        <v>0</v>
      </c>
      <c r="AQ199" s="123">
        <v>0</v>
      </c>
      <c r="AR199" s="123">
        <v>0</v>
      </c>
      <c r="AS199" s="123">
        <v>0</v>
      </c>
      <c r="AT199" s="123">
        <v>0</v>
      </c>
      <c r="AU199" s="123">
        <v>0</v>
      </c>
      <c r="AV199" s="123">
        <v>0</v>
      </c>
      <c r="AW199" s="123">
        <v>0</v>
      </c>
      <c r="AX199" s="123">
        <v>0</v>
      </c>
      <c r="AY199" s="123">
        <v>0</v>
      </c>
    </row>
    <row r="200" spans="1:51" x14ac:dyDescent="0.2">
      <c r="A200" s="126"/>
      <c r="B200" s="136">
        <v>4</v>
      </c>
      <c r="C200" s="123">
        <v>0</v>
      </c>
      <c r="D200" s="123">
        <v>0</v>
      </c>
      <c r="E200" s="123">
        <v>0</v>
      </c>
      <c r="F200" s="123">
        <v>0</v>
      </c>
      <c r="G200" s="123">
        <v>0</v>
      </c>
      <c r="H200" s="123">
        <v>0</v>
      </c>
      <c r="I200" s="123">
        <v>0</v>
      </c>
      <c r="J200" s="123">
        <v>0</v>
      </c>
      <c r="K200" s="123">
        <v>0</v>
      </c>
      <c r="L200" s="123">
        <v>0</v>
      </c>
      <c r="M200" s="123">
        <v>0</v>
      </c>
      <c r="N200" s="123">
        <v>0</v>
      </c>
      <c r="O200" s="123">
        <v>0</v>
      </c>
      <c r="P200" s="123">
        <v>0</v>
      </c>
      <c r="Q200" s="123">
        <v>0</v>
      </c>
      <c r="R200" s="123">
        <v>0</v>
      </c>
      <c r="S200" s="123">
        <v>0</v>
      </c>
      <c r="T200" s="123">
        <v>0</v>
      </c>
      <c r="U200" s="123">
        <v>0</v>
      </c>
      <c r="V200" s="123">
        <v>0</v>
      </c>
      <c r="W200" s="123">
        <v>0</v>
      </c>
      <c r="X200" s="123">
        <v>0</v>
      </c>
      <c r="Y200" s="123">
        <v>0</v>
      </c>
      <c r="Z200" s="123">
        <v>0</v>
      </c>
      <c r="AA200" s="123">
        <v>0</v>
      </c>
      <c r="AB200" s="123">
        <v>0</v>
      </c>
      <c r="AC200" s="123">
        <v>0</v>
      </c>
      <c r="AD200" s="123">
        <v>0</v>
      </c>
      <c r="AE200" s="123">
        <v>0</v>
      </c>
      <c r="AF200" s="123">
        <v>0</v>
      </c>
      <c r="AG200" s="123">
        <v>0</v>
      </c>
      <c r="AH200" s="123">
        <v>0</v>
      </c>
      <c r="AI200" s="123">
        <v>0</v>
      </c>
      <c r="AJ200" s="123">
        <v>0</v>
      </c>
      <c r="AK200" s="123">
        <v>0</v>
      </c>
      <c r="AL200" s="123">
        <v>0</v>
      </c>
      <c r="AM200" s="123">
        <v>0</v>
      </c>
      <c r="AN200" s="123">
        <v>0</v>
      </c>
      <c r="AO200" s="123">
        <v>0</v>
      </c>
      <c r="AP200" s="123">
        <v>0</v>
      </c>
      <c r="AQ200" s="123">
        <v>0</v>
      </c>
      <c r="AR200" s="123">
        <v>0</v>
      </c>
      <c r="AS200" s="123">
        <v>0</v>
      </c>
      <c r="AT200" s="123">
        <v>0</v>
      </c>
      <c r="AU200" s="123">
        <v>0</v>
      </c>
      <c r="AV200" s="123">
        <v>0</v>
      </c>
      <c r="AW200" s="123">
        <v>0</v>
      </c>
      <c r="AX200" s="123">
        <v>0</v>
      </c>
      <c r="AY200" s="123">
        <v>0</v>
      </c>
    </row>
    <row r="201" spans="1:51" x14ac:dyDescent="0.2">
      <c r="A201" s="126"/>
      <c r="B201" s="136">
        <v>5</v>
      </c>
      <c r="C201" s="123">
        <v>0</v>
      </c>
      <c r="D201" s="123">
        <v>0</v>
      </c>
      <c r="E201" s="123">
        <v>0</v>
      </c>
      <c r="F201" s="123">
        <v>0</v>
      </c>
      <c r="G201" s="123">
        <v>0</v>
      </c>
      <c r="H201" s="123">
        <v>0</v>
      </c>
      <c r="I201" s="123">
        <v>0</v>
      </c>
      <c r="J201" s="123">
        <v>0</v>
      </c>
      <c r="K201" s="123">
        <v>0</v>
      </c>
      <c r="L201" s="123">
        <v>0</v>
      </c>
      <c r="M201" s="123">
        <v>0</v>
      </c>
      <c r="N201" s="123">
        <v>0</v>
      </c>
      <c r="O201" s="123">
        <v>0</v>
      </c>
      <c r="P201" s="123">
        <v>0</v>
      </c>
      <c r="Q201" s="123">
        <v>0</v>
      </c>
      <c r="R201" s="123">
        <v>0</v>
      </c>
      <c r="S201" s="123">
        <v>0</v>
      </c>
      <c r="T201" s="123">
        <v>0</v>
      </c>
      <c r="U201" s="123">
        <v>0</v>
      </c>
      <c r="V201" s="123">
        <v>0</v>
      </c>
      <c r="W201" s="123">
        <v>0</v>
      </c>
      <c r="X201" s="123">
        <v>0</v>
      </c>
      <c r="Y201" s="123">
        <v>0</v>
      </c>
      <c r="Z201" s="123">
        <v>0</v>
      </c>
      <c r="AA201" s="123">
        <v>0</v>
      </c>
      <c r="AB201" s="123">
        <v>0</v>
      </c>
      <c r="AC201" s="123">
        <v>0</v>
      </c>
      <c r="AD201" s="123">
        <v>0</v>
      </c>
      <c r="AE201" s="123">
        <v>0</v>
      </c>
      <c r="AF201" s="123">
        <v>0</v>
      </c>
      <c r="AG201" s="123">
        <v>0</v>
      </c>
      <c r="AH201" s="123">
        <v>0</v>
      </c>
      <c r="AI201" s="123">
        <v>0</v>
      </c>
      <c r="AJ201" s="123">
        <v>0</v>
      </c>
      <c r="AK201" s="123">
        <v>0</v>
      </c>
      <c r="AL201" s="123">
        <v>0</v>
      </c>
      <c r="AM201" s="123">
        <v>0</v>
      </c>
      <c r="AN201" s="123">
        <v>0</v>
      </c>
      <c r="AO201" s="123">
        <v>0</v>
      </c>
      <c r="AP201" s="123">
        <v>0</v>
      </c>
      <c r="AQ201" s="123">
        <v>0</v>
      </c>
      <c r="AR201" s="123">
        <v>0</v>
      </c>
      <c r="AS201" s="123">
        <v>0</v>
      </c>
      <c r="AT201" s="123">
        <v>0</v>
      </c>
      <c r="AU201" s="123">
        <v>0</v>
      </c>
      <c r="AV201" s="123">
        <v>0</v>
      </c>
      <c r="AW201" s="123">
        <v>0</v>
      </c>
      <c r="AX201" s="123">
        <v>0</v>
      </c>
      <c r="AY201" s="123">
        <v>0</v>
      </c>
    </row>
    <row r="202" spans="1:51" x14ac:dyDescent="0.2">
      <c r="A202" s="126"/>
      <c r="B202" s="136">
        <v>6</v>
      </c>
      <c r="C202" s="123">
        <v>580</v>
      </c>
      <c r="D202" s="123">
        <v>332.09856632367769</v>
      </c>
      <c r="E202" s="123">
        <v>0</v>
      </c>
      <c r="F202" s="123">
        <v>0</v>
      </c>
      <c r="G202" s="123">
        <v>0</v>
      </c>
      <c r="H202" s="123">
        <v>0</v>
      </c>
      <c r="I202" s="123">
        <v>0</v>
      </c>
      <c r="J202" s="123">
        <v>0</v>
      </c>
      <c r="K202" s="123">
        <v>0</v>
      </c>
      <c r="L202" s="123">
        <v>0</v>
      </c>
      <c r="M202" s="123">
        <v>0</v>
      </c>
      <c r="N202" s="123">
        <v>0</v>
      </c>
      <c r="O202" s="123">
        <v>0</v>
      </c>
      <c r="P202" s="123">
        <v>0</v>
      </c>
      <c r="Q202" s="123">
        <v>0</v>
      </c>
      <c r="R202" s="123">
        <v>0</v>
      </c>
      <c r="S202" s="123">
        <v>0</v>
      </c>
      <c r="T202" s="123">
        <v>0</v>
      </c>
      <c r="U202" s="123">
        <v>0</v>
      </c>
      <c r="V202" s="123">
        <v>0</v>
      </c>
      <c r="W202" s="123">
        <v>0</v>
      </c>
      <c r="X202" s="123">
        <v>0</v>
      </c>
      <c r="Y202" s="123">
        <v>0</v>
      </c>
      <c r="Z202" s="123">
        <v>0</v>
      </c>
      <c r="AA202" s="123">
        <v>0</v>
      </c>
      <c r="AB202" s="123">
        <v>0</v>
      </c>
      <c r="AC202" s="123">
        <v>0</v>
      </c>
      <c r="AD202" s="123">
        <v>0</v>
      </c>
      <c r="AE202" s="123">
        <v>0</v>
      </c>
      <c r="AF202" s="123">
        <v>0</v>
      </c>
      <c r="AG202" s="123">
        <v>0</v>
      </c>
      <c r="AH202" s="123">
        <v>0</v>
      </c>
      <c r="AI202" s="123">
        <v>0</v>
      </c>
      <c r="AJ202" s="123">
        <v>0</v>
      </c>
      <c r="AK202" s="123">
        <v>0</v>
      </c>
      <c r="AL202" s="123">
        <v>0</v>
      </c>
      <c r="AM202" s="123">
        <v>0</v>
      </c>
      <c r="AN202" s="123">
        <v>0</v>
      </c>
      <c r="AO202" s="123">
        <v>0</v>
      </c>
      <c r="AP202" s="123">
        <v>0</v>
      </c>
      <c r="AQ202" s="123">
        <v>0</v>
      </c>
      <c r="AR202" s="123">
        <v>0</v>
      </c>
      <c r="AS202" s="123">
        <v>0</v>
      </c>
      <c r="AT202" s="123">
        <v>0</v>
      </c>
      <c r="AU202" s="123">
        <v>0</v>
      </c>
      <c r="AV202" s="123">
        <v>0</v>
      </c>
      <c r="AW202" s="123">
        <v>0</v>
      </c>
      <c r="AX202" s="123">
        <v>0</v>
      </c>
      <c r="AY202" s="123">
        <v>0</v>
      </c>
    </row>
    <row r="203" spans="1:51" x14ac:dyDescent="0.2">
      <c r="A203" s="126"/>
      <c r="B203" s="143">
        <v>7</v>
      </c>
      <c r="C203" s="123">
        <v>0</v>
      </c>
      <c r="D203" s="123">
        <v>95.901433676322313</v>
      </c>
      <c r="E203" s="123">
        <v>569</v>
      </c>
      <c r="F203" s="123">
        <v>0</v>
      </c>
      <c r="G203" s="123">
        <v>0</v>
      </c>
      <c r="H203" s="123">
        <v>0</v>
      </c>
      <c r="I203" s="123">
        <v>0</v>
      </c>
      <c r="J203" s="123">
        <v>0</v>
      </c>
      <c r="K203" s="123">
        <v>0</v>
      </c>
      <c r="L203" s="123">
        <v>0</v>
      </c>
      <c r="M203" s="123">
        <v>0</v>
      </c>
      <c r="N203" s="123">
        <v>0</v>
      </c>
      <c r="O203" s="123">
        <v>0</v>
      </c>
      <c r="P203" s="123">
        <v>0</v>
      </c>
      <c r="Q203" s="123">
        <v>0</v>
      </c>
      <c r="R203" s="123">
        <v>0</v>
      </c>
      <c r="S203" s="123">
        <v>0</v>
      </c>
      <c r="T203" s="123">
        <v>0</v>
      </c>
      <c r="U203" s="123">
        <v>0</v>
      </c>
      <c r="V203" s="123">
        <v>0</v>
      </c>
      <c r="W203" s="123">
        <v>0</v>
      </c>
      <c r="X203" s="123">
        <v>0</v>
      </c>
      <c r="Y203" s="123">
        <v>0</v>
      </c>
      <c r="Z203" s="123">
        <v>0</v>
      </c>
      <c r="AA203" s="123">
        <v>0</v>
      </c>
      <c r="AB203" s="123">
        <v>0</v>
      </c>
      <c r="AC203" s="123">
        <v>0</v>
      </c>
      <c r="AD203" s="123">
        <v>0</v>
      </c>
      <c r="AE203" s="123">
        <v>0</v>
      </c>
      <c r="AF203" s="123">
        <v>0</v>
      </c>
      <c r="AG203" s="123">
        <v>0</v>
      </c>
      <c r="AH203" s="123">
        <v>0</v>
      </c>
      <c r="AI203" s="123">
        <v>0</v>
      </c>
      <c r="AJ203" s="123">
        <v>0</v>
      </c>
      <c r="AK203" s="123">
        <v>0</v>
      </c>
      <c r="AL203" s="123">
        <v>0</v>
      </c>
      <c r="AM203" s="123">
        <v>0</v>
      </c>
      <c r="AN203" s="123">
        <v>0</v>
      </c>
      <c r="AO203" s="123">
        <v>0</v>
      </c>
      <c r="AP203" s="123">
        <v>0</v>
      </c>
      <c r="AQ203" s="123">
        <v>0</v>
      </c>
      <c r="AR203" s="123">
        <v>0</v>
      </c>
      <c r="AS203" s="123">
        <v>0</v>
      </c>
      <c r="AT203" s="123">
        <v>0</v>
      </c>
      <c r="AU203" s="123">
        <v>0</v>
      </c>
      <c r="AV203" s="123">
        <v>0</v>
      </c>
      <c r="AW203" s="123">
        <v>0</v>
      </c>
      <c r="AX203" s="123">
        <v>0</v>
      </c>
      <c r="AY203" s="123">
        <v>0</v>
      </c>
    </row>
    <row r="204" spans="1:51" x14ac:dyDescent="0.2">
      <c r="A204" s="126"/>
      <c r="B204" s="143">
        <v>8</v>
      </c>
      <c r="C204" s="123">
        <v>0</v>
      </c>
      <c r="D204" s="123">
        <v>0</v>
      </c>
      <c r="E204" s="123">
        <v>0</v>
      </c>
      <c r="F204" s="123">
        <v>447</v>
      </c>
      <c r="G204" s="123">
        <v>0</v>
      </c>
      <c r="H204" s="123">
        <v>0</v>
      </c>
      <c r="I204" s="123">
        <v>0</v>
      </c>
      <c r="J204" s="123">
        <v>0</v>
      </c>
      <c r="K204" s="123">
        <v>0</v>
      </c>
      <c r="L204" s="123">
        <v>0</v>
      </c>
      <c r="M204" s="123">
        <v>0</v>
      </c>
      <c r="N204" s="123">
        <v>0</v>
      </c>
      <c r="O204" s="123">
        <v>0</v>
      </c>
      <c r="P204" s="123">
        <v>0</v>
      </c>
      <c r="Q204" s="123">
        <v>0</v>
      </c>
      <c r="R204" s="123">
        <v>0</v>
      </c>
      <c r="S204" s="123">
        <v>0</v>
      </c>
      <c r="T204" s="123">
        <v>0</v>
      </c>
      <c r="U204" s="123">
        <v>0</v>
      </c>
      <c r="V204" s="123">
        <v>0</v>
      </c>
      <c r="W204" s="123">
        <v>0</v>
      </c>
      <c r="X204" s="123">
        <v>0</v>
      </c>
      <c r="Y204" s="123">
        <v>0</v>
      </c>
      <c r="Z204" s="123">
        <v>0</v>
      </c>
      <c r="AA204" s="123">
        <v>0</v>
      </c>
      <c r="AB204" s="123">
        <v>0</v>
      </c>
      <c r="AC204" s="123">
        <v>0</v>
      </c>
      <c r="AD204" s="123">
        <v>0</v>
      </c>
      <c r="AE204" s="123">
        <v>0</v>
      </c>
      <c r="AF204" s="123">
        <v>0</v>
      </c>
      <c r="AG204" s="123">
        <v>0</v>
      </c>
      <c r="AH204" s="123">
        <v>0</v>
      </c>
      <c r="AI204" s="123">
        <v>0</v>
      </c>
      <c r="AJ204" s="123">
        <v>0</v>
      </c>
      <c r="AK204" s="123">
        <v>0</v>
      </c>
      <c r="AL204" s="123">
        <v>0</v>
      </c>
      <c r="AM204" s="123">
        <v>0</v>
      </c>
      <c r="AN204" s="123">
        <v>0</v>
      </c>
      <c r="AO204" s="123">
        <v>0</v>
      </c>
      <c r="AP204" s="123">
        <v>0</v>
      </c>
      <c r="AQ204" s="123">
        <v>0</v>
      </c>
      <c r="AR204" s="123">
        <v>0</v>
      </c>
      <c r="AS204" s="123">
        <v>0</v>
      </c>
      <c r="AT204" s="123">
        <v>0</v>
      </c>
      <c r="AU204" s="123">
        <v>0</v>
      </c>
      <c r="AV204" s="123">
        <v>0</v>
      </c>
      <c r="AW204" s="123">
        <v>0</v>
      </c>
      <c r="AX204" s="123">
        <v>0</v>
      </c>
      <c r="AY204" s="123">
        <v>0</v>
      </c>
    </row>
    <row r="205" spans="1:51" x14ac:dyDescent="0.2">
      <c r="A205" s="126"/>
      <c r="B205" s="143">
        <v>9</v>
      </c>
      <c r="C205" s="123">
        <v>0</v>
      </c>
      <c r="D205" s="123">
        <v>0</v>
      </c>
      <c r="E205" s="123">
        <v>0</v>
      </c>
      <c r="F205" s="123">
        <v>0</v>
      </c>
      <c r="G205" s="123">
        <v>486</v>
      </c>
      <c r="H205" s="123">
        <v>454</v>
      </c>
      <c r="I205" s="123">
        <v>0</v>
      </c>
      <c r="J205" s="123">
        <v>0</v>
      </c>
      <c r="K205" s="123">
        <v>0</v>
      </c>
      <c r="L205" s="123">
        <v>0</v>
      </c>
      <c r="M205" s="123">
        <v>0</v>
      </c>
      <c r="N205" s="123">
        <v>0</v>
      </c>
      <c r="O205" s="123">
        <v>0</v>
      </c>
      <c r="P205" s="123">
        <v>0</v>
      </c>
      <c r="Q205" s="123">
        <v>0</v>
      </c>
      <c r="R205" s="123">
        <v>0</v>
      </c>
      <c r="S205" s="123">
        <v>0</v>
      </c>
      <c r="T205" s="123">
        <v>0</v>
      </c>
      <c r="U205" s="123">
        <v>0</v>
      </c>
      <c r="V205" s="123">
        <v>0</v>
      </c>
      <c r="W205" s="123">
        <v>0</v>
      </c>
      <c r="X205" s="123">
        <v>0</v>
      </c>
      <c r="Y205" s="123">
        <v>0</v>
      </c>
      <c r="Z205" s="123">
        <v>0</v>
      </c>
      <c r="AA205" s="123">
        <v>0</v>
      </c>
      <c r="AB205" s="123">
        <v>0</v>
      </c>
      <c r="AC205" s="123">
        <v>0</v>
      </c>
      <c r="AD205" s="123">
        <v>0</v>
      </c>
      <c r="AE205" s="123">
        <v>0</v>
      </c>
      <c r="AF205" s="123">
        <v>0</v>
      </c>
      <c r="AG205" s="123">
        <v>0</v>
      </c>
      <c r="AH205" s="123">
        <v>0</v>
      </c>
      <c r="AI205" s="123">
        <v>0</v>
      </c>
      <c r="AJ205" s="123">
        <v>0</v>
      </c>
      <c r="AK205" s="123">
        <v>0</v>
      </c>
      <c r="AL205" s="123">
        <v>0</v>
      </c>
      <c r="AM205" s="123">
        <v>0</v>
      </c>
      <c r="AN205" s="123">
        <v>0</v>
      </c>
      <c r="AO205" s="123">
        <v>0</v>
      </c>
      <c r="AP205" s="123">
        <v>0</v>
      </c>
      <c r="AQ205" s="123">
        <v>0</v>
      </c>
      <c r="AR205" s="123">
        <v>0</v>
      </c>
      <c r="AS205" s="123">
        <v>0</v>
      </c>
      <c r="AT205" s="123">
        <v>0</v>
      </c>
      <c r="AU205" s="123">
        <v>0</v>
      </c>
      <c r="AV205" s="123">
        <v>0</v>
      </c>
      <c r="AW205" s="123">
        <v>0</v>
      </c>
      <c r="AX205" s="123">
        <v>0</v>
      </c>
      <c r="AY205" s="123">
        <v>0</v>
      </c>
    </row>
    <row r="206" spans="1:51" x14ac:dyDescent="0.2">
      <c r="A206" s="126"/>
      <c r="B206" s="146">
        <v>10</v>
      </c>
      <c r="C206" s="123">
        <v>0</v>
      </c>
      <c r="D206" s="123">
        <v>0</v>
      </c>
      <c r="E206" s="123">
        <v>0</v>
      </c>
      <c r="F206" s="123">
        <v>0</v>
      </c>
      <c r="G206" s="123">
        <v>0</v>
      </c>
      <c r="H206" s="123">
        <v>0</v>
      </c>
      <c r="I206" s="123">
        <v>570.62069845660096</v>
      </c>
      <c r="J206" s="123">
        <v>420.34095617908747</v>
      </c>
      <c r="K206" s="123">
        <v>0</v>
      </c>
      <c r="L206" s="123">
        <v>0</v>
      </c>
      <c r="M206" s="123">
        <v>0</v>
      </c>
      <c r="N206" s="123">
        <v>0</v>
      </c>
      <c r="O206" s="123">
        <v>0</v>
      </c>
      <c r="P206" s="123">
        <v>0</v>
      </c>
      <c r="Q206" s="123">
        <v>0</v>
      </c>
      <c r="R206" s="123">
        <v>0</v>
      </c>
      <c r="S206" s="123">
        <v>0</v>
      </c>
      <c r="T206" s="123">
        <v>0</v>
      </c>
      <c r="U206" s="123">
        <v>0</v>
      </c>
      <c r="V206" s="123">
        <v>0</v>
      </c>
      <c r="W206" s="123">
        <v>0</v>
      </c>
      <c r="X206" s="123">
        <v>0</v>
      </c>
      <c r="Y206" s="123">
        <v>0</v>
      </c>
      <c r="Z206" s="123">
        <v>0</v>
      </c>
      <c r="AA206" s="123">
        <v>0</v>
      </c>
      <c r="AB206" s="123">
        <v>0</v>
      </c>
      <c r="AC206" s="123">
        <v>0</v>
      </c>
      <c r="AD206" s="123">
        <v>0</v>
      </c>
      <c r="AE206" s="123">
        <v>0</v>
      </c>
      <c r="AF206" s="123">
        <v>0</v>
      </c>
      <c r="AG206" s="123">
        <v>0</v>
      </c>
      <c r="AH206" s="123">
        <v>0</v>
      </c>
      <c r="AI206" s="123">
        <v>0</v>
      </c>
      <c r="AJ206" s="123">
        <v>0</v>
      </c>
      <c r="AK206" s="123">
        <v>0</v>
      </c>
      <c r="AL206" s="123">
        <v>0</v>
      </c>
      <c r="AM206" s="123">
        <v>0</v>
      </c>
      <c r="AN206" s="123">
        <v>0</v>
      </c>
      <c r="AO206" s="123">
        <v>0</v>
      </c>
      <c r="AP206" s="123">
        <v>0</v>
      </c>
      <c r="AQ206" s="123">
        <v>0</v>
      </c>
      <c r="AR206" s="123">
        <v>0</v>
      </c>
      <c r="AS206" s="123">
        <v>0</v>
      </c>
      <c r="AT206" s="123">
        <v>0</v>
      </c>
      <c r="AU206" s="123">
        <v>0</v>
      </c>
      <c r="AV206" s="123">
        <v>0</v>
      </c>
      <c r="AW206" s="123">
        <v>0</v>
      </c>
      <c r="AX206" s="123">
        <v>0</v>
      </c>
      <c r="AY206" s="123">
        <v>0</v>
      </c>
    </row>
    <row r="207" spans="1:51" x14ac:dyDescent="0.2">
      <c r="A207" s="126"/>
      <c r="B207" s="146">
        <v>11</v>
      </c>
      <c r="C207" s="123">
        <v>0</v>
      </c>
      <c r="D207" s="123">
        <v>0</v>
      </c>
      <c r="E207" s="123">
        <v>0</v>
      </c>
      <c r="F207" s="123">
        <v>0</v>
      </c>
      <c r="G207" s="123">
        <v>0</v>
      </c>
      <c r="H207" s="123">
        <v>0</v>
      </c>
      <c r="I207" s="123">
        <v>0</v>
      </c>
      <c r="J207" s="123">
        <v>122.3488026638106</v>
      </c>
      <c r="K207" s="123">
        <v>494.90507655943327</v>
      </c>
      <c r="L207" s="123">
        <v>568.2358456233676</v>
      </c>
      <c r="M207" s="123">
        <v>282.74104333968421</v>
      </c>
      <c r="N207" s="123">
        <v>0</v>
      </c>
      <c r="O207" s="123">
        <v>0</v>
      </c>
      <c r="P207" s="123">
        <v>0</v>
      </c>
      <c r="Q207" s="123">
        <v>0</v>
      </c>
      <c r="R207" s="123">
        <v>0</v>
      </c>
      <c r="S207" s="123">
        <v>0</v>
      </c>
      <c r="T207" s="123">
        <v>0</v>
      </c>
      <c r="U207" s="123">
        <v>0</v>
      </c>
      <c r="V207" s="123">
        <v>0</v>
      </c>
      <c r="W207" s="123">
        <v>0</v>
      </c>
      <c r="X207" s="123">
        <v>0</v>
      </c>
      <c r="Y207" s="123">
        <v>0</v>
      </c>
      <c r="Z207" s="123">
        <v>0</v>
      </c>
      <c r="AA207" s="123">
        <v>0</v>
      </c>
      <c r="AB207" s="123">
        <v>0</v>
      </c>
      <c r="AC207" s="123">
        <v>0</v>
      </c>
      <c r="AD207" s="123">
        <v>0</v>
      </c>
      <c r="AE207" s="123">
        <v>0</v>
      </c>
      <c r="AF207" s="123">
        <v>0</v>
      </c>
      <c r="AG207" s="123">
        <v>0</v>
      </c>
      <c r="AH207" s="123">
        <v>0</v>
      </c>
      <c r="AI207" s="123">
        <v>0</v>
      </c>
      <c r="AJ207" s="123">
        <v>0</v>
      </c>
      <c r="AK207" s="123">
        <v>0</v>
      </c>
      <c r="AL207" s="123">
        <v>0</v>
      </c>
      <c r="AM207" s="123">
        <v>0</v>
      </c>
      <c r="AN207" s="123">
        <v>0</v>
      </c>
      <c r="AO207" s="123">
        <v>0</v>
      </c>
      <c r="AP207" s="123">
        <v>0</v>
      </c>
      <c r="AQ207" s="123">
        <v>0</v>
      </c>
      <c r="AR207" s="123">
        <v>0</v>
      </c>
      <c r="AS207" s="123">
        <v>0</v>
      </c>
      <c r="AT207" s="123">
        <v>0</v>
      </c>
      <c r="AU207" s="123">
        <v>0</v>
      </c>
      <c r="AV207" s="123">
        <v>0</v>
      </c>
      <c r="AW207" s="123">
        <v>0</v>
      </c>
      <c r="AX207" s="123">
        <v>0</v>
      </c>
      <c r="AY207" s="123">
        <v>0</v>
      </c>
    </row>
    <row r="208" spans="1:51" x14ac:dyDescent="0.2">
      <c r="A208" s="126"/>
      <c r="B208" s="146">
        <v>12</v>
      </c>
      <c r="C208" s="123">
        <v>0</v>
      </c>
      <c r="D208" s="123">
        <v>0</v>
      </c>
      <c r="E208" s="123">
        <v>0</v>
      </c>
      <c r="F208" s="123">
        <v>0</v>
      </c>
      <c r="G208" s="123">
        <v>0</v>
      </c>
      <c r="H208" s="123">
        <v>0</v>
      </c>
      <c r="I208" s="123">
        <v>0</v>
      </c>
      <c r="J208" s="123">
        <v>0</v>
      </c>
      <c r="K208" s="123">
        <v>0</v>
      </c>
      <c r="L208" s="123">
        <v>0</v>
      </c>
      <c r="M208" s="123">
        <v>204.52258918805364</v>
      </c>
      <c r="N208" s="123">
        <v>474.49276443733345</v>
      </c>
      <c r="O208" s="123">
        <v>554.56899515450516</v>
      </c>
      <c r="P208" s="123">
        <v>437.39857511985122</v>
      </c>
      <c r="Q208" s="123">
        <v>542.73098751418843</v>
      </c>
      <c r="R208" s="123">
        <v>565.59810380436249</v>
      </c>
      <c r="S208" s="123">
        <v>485.67731323412886</v>
      </c>
      <c r="T208" s="123">
        <v>478</v>
      </c>
      <c r="U208" s="123">
        <v>468.62605268784563</v>
      </c>
      <c r="V208" s="123">
        <v>473.29715789741402</v>
      </c>
      <c r="W208" s="123">
        <v>569.63402398494634</v>
      </c>
      <c r="X208" s="123">
        <v>477.54982851660958</v>
      </c>
      <c r="Y208" s="123">
        <v>510.32830928559196</v>
      </c>
      <c r="Z208" s="123">
        <v>542.01465771326195</v>
      </c>
      <c r="AA208" s="123">
        <v>579.25105437705929</v>
      </c>
      <c r="AB208" s="123">
        <v>422.61188310881619</v>
      </c>
      <c r="AC208" s="123">
        <v>505.0311547831115</v>
      </c>
      <c r="AD208" s="123">
        <v>501.30860512985117</v>
      </c>
      <c r="AE208" s="123">
        <v>537.13332919160825</v>
      </c>
      <c r="AF208" s="123">
        <v>592.22240937074082</v>
      </c>
      <c r="AG208" s="123">
        <v>573.38984520681913</v>
      </c>
      <c r="AH208" s="123">
        <v>470.67655380160841</v>
      </c>
      <c r="AI208" s="123">
        <v>493.69581819944398</v>
      </c>
      <c r="AJ208" s="123">
        <v>480.10102952219739</v>
      </c>
      <c r="AK208" s="123">
        <v>576.92898882089116</v>
      </c>
      <c r="AL208" s="123">
        <v>523.85469251253949</v>
      </c>
      <c r="AM208" s="123">
        <v>452.16085861667352</v>
      </c>
      <c r="AN208" s="123">
        <v>544.45838402297659</v>
      </c>
      <c r="AO208" s="123">
        <v>563.19385796169036</v>
      </c>
      <c r="AP208" s="123">
        <v>577.28946159250916</v>
      </c>
      <c r="AQ208" s="123">
        <v>538.12396047231186</v>
      </c>
      <c r="AR208" s="123">
        <v>588.32661077053694</v>
      </c>
      <c r="AS208" s="123">
        <v>462.39612450643654</v>
      </c>
      <c r="AT208" s="123">
        <v>447.11683367493299</v>
      </c>
      <c r="AU208" s="123">
        <v>498.38784515350653</v>
      </c>
      <c r="AV208" s="123">
        <v>679.07754285110241</v>
      </c>
      <c r="AW208" s="123">
        <v>478.83004878826267</v>
      </c>
      <c r="AX208" s="123">
        <v>442.98577313987516</v>
      </c>
      <c r="AY208" s="123">
        <v>517.73846897087424</v>
      </c>
    </row>
    <row r="209" spans="1:51" x14ac:dyDescent="0.2">
      <c r="A209" s="142" t="s">
        <v>123</v>
      </c>
      <c r="B209" s="139">
        <v>1</v>
      </c>
      <c r="C209" s="140">
        <v>0</v>
      </c>
      <c r="D209" s="140">
        <v>0</v>
      </c>
      <c r="E209" s="140">
        <v>0</v>
      </c>
      <c r="F209" s="140">
        <v>0</v>
      </c>
      <c r="G209" s="140">
        <v>0</v>
      </c>
      <c r="H209" s="140">
        <v>0</v>
      </c>
      <c r="I209" s="140">
        <v>0</v>
      </c>
      <c r="J209" s="140">
        <v>0</v>
      </c>
      <c r="K209" s="140">
        <v>0</v>
      </c>
      <c r="L209" s="140">
        <v>0</v>
      </c>
      <c r="M209" s="140">
        <v>0</v>
      </c>
      <c r="N209" s="140">
        <v>0</v>
      </c>
      <c r="O209" s="140">
        <v>0</v>
      </c>
      <c r="P209" s="140">
        <v>0</v>
      </c>
      <c r="Q209" s="140">
        <v>0</v>
      </c>
      <c r="R209" s="140">
        <v>0</v>
      </c>
      <c r="S209" s="140">
        <v>0</v>
      </c>
      <c r="T209" s="140">
        <v>0</v>
      </c>
      <c r="U209" s="140">
        <v>0</v>
      </c>
      <c r="V209" s="140">
        <v>0</v>
      </c>
      <c r="W209" s="140">
        <v>0</v>
      </c>
      <c r="X209" s="140">
        <v>0</v>
      </c>
      <c r="Y209" s="140">
        <v>0</v>
      </c>
      <c r="Z209" s="140">
        <v>0</v>
      </c>
      <c r="AA209" s="140">
        <v>0</v>
      </c>
      <c r="AB209" s="140">
        <v>0</v>
      </c>
      <c r="AC209" s="140">
        <v>0</v>
      </c>
      <c r="AD209" s="140">
        <v>0</v>
      </c>
      <c r="AE209" s="140">
        <v>0</v>
      </c>
      <c r="AF209" s="140">
        <v>0</v>
      </c>
      <c r="AG209" s="140">
        <v>0</v>
      </c>
      <c r="AH209" s="140">
        <v>0</v>
      </c>
      <c r="AI209" s="140">
        <v>0</v>
      </c>
      <c r="AJ209" s="140">
        <v>0</v>
      </c>
      <c r="AK209" s="140">
        <v>0</v>
      </c>
      <c r="AL209" s="140">
        <v>0</v>
      </c>
      <c r="AM209" s="140">
        <v>0</v>
      </c>
      <c r="AN209" s="140">
        <v>0</v>
      </c>
      <c r="AO209" s="140">
        <v>0</v>
      </c>
      <c r="AP209" s="140">
        <v>0</v>
      </c>
      <c r="AQ209" s="140">
        <v>0</v>
      </c>
      <c r="AR209" s="140">
        <v>0</v>
      </c>
      <c r="AS209" s="140">
        <v>37.524813437642251</v>
      </c>
      <c r="AT209" s="140">
        <v>0</v>
      </c>
      <c r="AU209" s="140">
        <v>0</v>
      </c>
      <c r="AV209" s="140">
        <v>0</v>
      </c>
      <c r="AW209" s="140">
        <v>0</v>
      </c>
      <c r="AX209" s="140">
        <v>0</v>
      </c>
      <c r="AY209" s="140">
        <v>26.43046297988451</v>
      </c>
    </row>
    <row r="210" spans="1:51" x14ac:dyDescent="0.2">
      <c r="A210" s="126"/>
      <c r="B210" s="135">
        <v>2</v>
      </c>
      <c r="C210" s="123">
        <v>0</v>
      </c>
      <c r="D210" s="127">
        <v>0</v>
      </c>
      <c r="E210" s="127">
        <v>0</v>
      </c>
      <c r="F210" s="127">
        <v>0</v>
      </c>
      <c r="G210" s="127">
        <v>0</v>
      </c>
      <c r="H210" s="127">
        <v>0</v>
      </c>
      <c r="I210" s="127">
        <v>0</v>
      </c>
      <c r="J210" s="127">
        <v>6.9046382644675646</v>
      </c>
      <c r="K210" s="127">
        <v>158.10527833400278</v>
      </c>
      <c r="L210" s="127">
        <v>193.51612730915298</v>
      </c>
      <c r="M210" s="127">
        <v>291.21664101207443</v>
      </c>
      <c r="N210" s="127">
        <v>406.76015074385714</v>
      </c>
      <c r="O210" s="127">
        <v>480.07909148884261</v>
      </c>
      <c r="P210" s="127">
        <v>508.92357235738973</v>
      </c>
      <c r="Q210" s="127">
        <v>460.53898798405078</v>
      </c>
      <c r="R210" s="127">
        <v>376.0602249665784</v>
      </c>
      <c r="S210" s="127">
        <v>426.6640113248568</v>
      </c>
      <c r="T210" s="127">
        <v>345.81614991416296</v>
      </c>
      <c r="U210" s="127">
        <v>343.39409613707835</v>
      </c>
      <c r="V210" s="127">
        <v>341.44601911815624</v>
      </c>
      <c r="W210" s="127">
        <v>409.48056412652318</v>
      </c>
      <c r="X210" s="127">
        <v>417.87856531427428</v>
      </c>
      <c r="Y210" s="127">
        <v>403.27124606787294</v>
      </c>
      <c r="Z210" s="127">
        <v>459.19236469204566</v>
      </c>
      <c r="AA210" s="127">
        <v>399.8129360303447</v>
      </c>
      <c r="AB210" s="127">
        <v>380.47765374400802</v>
      </c>
      <c r="AC210" s="127">
        <v>495.97097564910916</v>
      </c>
      <c r="AD210" s="127">
        <v>408.45758464762861</v>
      </c>
      <c r="AE210" s="127">
        <v>474.77818761794691</v>
      </c>
      <c r="AF210" s="127">
        <v>374.20366640568898</v>
      </c>
      <c r="AG210" s="127">
        <v>447.13540379173378</v>
      </c>
      <c r="AH210" s="127">
        <v>453.17816156498532</v>
      </c>
      <c r="AI210" s="127">
        <v>447.23710752980031</v>
      </c>
      <c r="AJ210" s="127">
        <v>518.67062788380395</v>
      </c>
      <c r="AK210" s="127">
        <v>479.25305397841566</v>
      </c>
      <c r="AL210" s="127">
        <v>421.82747027848575</v>
      </c>
      <c r="AM210" s="127">
        <v>501.7437024070249</v>
      </c>
      <c r="AN210" s="127">
        <v>489.46652499488141</v>
      </c>
      <c r="AO210" s="127">
        <v>485.99450673427032</v>
      </c>
      <c r="AP210" s="127">
        <v>507.7690098520597</v>
      </c>
      <c r="AQ210" s="127">
        <v>567.16011718379082</v>
      </c>
      <c r="AR210" s="127">
        <v>567.06668588041782</v>
      </c>
      <c r="AS210" s="127">
        <v>567.54892583719243</v>
      </c>
      <c r="AT210" s="127">
        <v>514.11683367493299</v>
      </c>
      <c r="AU210" s="127">
        <v>535.43798697040484</v>
      </c>
      <c r="AV210" s="127">
        <v>505.61085947472009</v>
      </c>
      <c r="AW210" s="127">
        <v>494.42344697370891</v>
      </c>
      <c r="AX210" s="127">
        <v>499.10020464183458</v>
      </c>
      <c r="AY210" s="127">
        <v>567.54892583719243</v>
      </c>
    </row>
    <row r="211" spans="1:51" x14ac:dyDescent="0.2">
      <c r="A211" s="126"/>
      <c r="B211" s="135">
        <v>3</v>
      </c>
      <c r="C211" s="123">
        <v>0</v>
      </c>
      <c r="D211" s="127">
        <v>0</v>
      </c>
      <c r="E211" s="127">
        <v>0</v>
      </c>
      <c r="F211" s="127">
        <v>0</v>
      </c>
      <c r="G211" s="127">
        <v>0</v>
      </c>
      <c r="H211" s="127">
        <v>0</v>
      </c>
      <c r="I211" s="127">
        <v>103.62659996230087</v>
      </c>
      <c r="J211" s="127">
        <v>379.41566087792631</v>
      </c>
      <c r="K211" s="127">
        <v>374.79979822543049</v>
      </c>
      <c r="L211" s="127">
        <v>273.71971831421462</v>
      </c>
      <c r="M211" s="127">
        <v>250.04699151566342</v>
      </c>
      <c r="N211" s="127">
        <v>184.73261369347631</v>
      </c>
      <c r="O211" s="127">
        <v>107.48990366566254</v>
      </c>
      <c r="P211" s="127">
        <v>58.4750027624615</v>
      </c>
      <c r="Q211" s="127">
        <v>39.191999530137657</v>
      </c>
      <c r="R211" s="127">
        <v>71.537878837784064</v>
      </c>
      <c r="S211" s="127">
        <v>128.01330190927203</v>
      </c>
      <c r="T211" s="127">
        <v>94.183850085837037</v>
      </c>
      <c r="U211" s="127">
        <v>148.23195655076731</v>
      </c>
      <c r="V211" s="127">
        <v>149.85113877925778</v>
      </c>
      <c r="W211" s="127">
        <v>151.15345985842313</v>
      </c>
      <c r="X211" s="127">
        <v>105.67126320233537</v>
      </c>
      <c r="Y211" s="127">
        <v>100.057063217719</v>
      </c>
      <c r="Z211" s="127">
        <v>109.82229302121628</v>
      </c>
      <c r="AA211" s="127">
        <v>72.438118346714603</v>
      </c>
      <c r="AB211" s="127">
        <v>112.13422936480818</v>
      </c>
      <c r="AC211" s="127">
        <v>125.06017913400241</v>
      </c>
      <c r="AD211" s="127">
        <v>47.851020482222552</v>
      </c>
      <c r="AE211" s="127">
        <v>106.35514157366133</v>
      </c>
      <c r="AF211" s="127">
        <v>62.018742965051885</v>
      </c>
      <c r="AG211" s="127">
        <v>129.25444141508532</v>
      </c>
      <c r="AH211" s="127">
        <v>80.498392236623118</v>
      </c>
      <c r="AI211" s="127">
        <v>76.458710669643736</v>
      </c>
      <c r="AJ211" s="127">
        <v>80.430401638393462</v>
      </c>
      <c r="AK211" s="127">
        <v>32.675934842475542</v>
      </c>
      <c r="AL211" s="127">
        <v>59.027222234053809</v>
      </c>
      <c r="AM211" s="127">
        <v>97.417156209648638</v>
      </c>
      <c r="AN211" s="127">
        <v>43.991859028095178</v>
      </c>
      <c r="AO211" s="127">
        <v>52.199351227420053</v>
      </c>
      <c r="AP211" s="127">
        <v>54.520451740449445</v>
      </c>
      <c r="AQ211" s="127">
        <v>39.963843288521105</v>
      </c>
      <c r="AR211" s="127">
        <v>0.25992489011907072</v>
      </c>
      <c r="AS211" s="127">
        <v>0.32238523160180649</v>
      </c>
      <c r="AT211" s="127">
        <v>0</v>
      </c>
      <c r="AU211" s="127">
        <v>18.949858183101696</v>
      </c>
      <c r="AV211" s="127">
        <v>21.466683376382324</v>
      </c>
      <c r="AW211" s="127">
        <v>41.40660181455371</v>
      </c>
      <c r="AX211" s="127">
        <v>48.885568498040591</v>
      </c>
      <c r="AY211" s="127">
        <v>45.75908015379725</v>
      </c>
    </row>
    <row r="212" spans="1:51" x14ac:dyDescent="0.2">
      <c r="A212" s="126"/>
      <c r="B212" s="135">
        <v>4</v>
      </c>
      <c r="C212" s="123">
        <v>91.69756650916861</v>
      </c>
      <c r="D212" s="127">
        <v>0</v>
      </c>
      <c r="E212" s="127">
        <v>0</v>
      </c>
      <c r="F212" s="127">
        <v>0</v>
      </c>
      <c r="G212" s="127">
        <v>0</v>
      </c>
      <c r="H212" s="127">
        <v>0</v>
      </c>
      <c r="I212" s="127">
        <v>253.64552229058222</v>
      </c>
      <c r="J212" s="127">
        <v>184.36945970050422</v>
      </c>
      <c r="K212" s="127">
        <v>0</v>
      </c>
      <c r="L212" s="127">
        <v>0</v>
      </c>
      <c r="M212" s="127">
        <v>0</v>
      </c>
      <c r="N212" s="127">
        <v>0</v>
      </c>
      <c r="O212" s="127">
        <v>0</v>
      </c>
      <c r="P212" s="127">
        <v>0</v>
      </c>
      <c r="Q212" s="127">
        <v>0</v>
      </c>
      <c r="R212" s="127">
        <v>0</v>
      </c>
      <c r="S212" s="127">
        <v>0</v>
      </c>
      <c r="T212" s="127">
        <v>0</v>
      </c>
      <c r="U212" s="127">
        <v>0</v>
      </c>
      <c r="V212" s="127">
        <v>0</v>
      </c>
      <c r="W212" s="127">
        <v>0</v>
      </c>
      <c r="X212" s="127">
        <v>0</v>
      </c>
      <c r="Y212" s="127">
        <v>0</v>
      </c>
      <c r="Z212" s="127">
        <v>0</v>
      </c>
      <c r="AA212" s="127">
        <v>0</v>
      </c>
      <c r="AB212" s="127">
        <v>0</v>
      </c>
      <c r="AC212" s="127">
        <v>0</v>
      </c>
      <c r="AD212" s="127">
        <v>0</v>
      </c>
      <c r="AE212" s="127">
        <v>0</v>
      </c>
      <c r="AF212" s="127">
        <v>0</v>
      </c>
      <c r="AG212" s="127">
        <v>0</v>
      </c>
      <c r="AH212" s="127">
        <v>0</v>
      </c>
      <c r="AI212" s="127">
        <v>0</v>
      </c>
      <c r="AJ212" s="127">
        <v>0</v>
      </c>
      <c r="AK212" s="127">
        <v>0</v>
      </c>
      <c r="AL212" s="127">
        <v>0</v>
      </c>
      <c r="AM212" s="127">
        <v>0</v>
      </c>
      <c r="AN212" s="127">
        <v>0</v>
      </c>
      <c r="AO212" s="127">
        <v>0</v>
      </c>
      <c r="AP212" s="127">
        <v>0</v>
      </c>
      <c r="AQ212" s="127">
        <v>0</v>
      </c>
      <c r="AR212" s="127">
        <v>0</v>
      </c>
      <c r="AS212" s="127">
        <v>0</v>
      </c>
      <c r="AT212" s="127">
        <v>0</v>
      </c>
      <c r="AU212" s="127">
        <v>0</v>
      </c>
      <c r="AV212" s="127">
        <v>0</v>
      </c>
      <c r="AW212" s="127">
        <v>0</v>
      </c>
      <c r="AX212" s="127">
        <v>0</v>
      </c>
      <c r="AY212" s="127">
        <v>0</v>
      </c>
    </row>
    <row r="213" spans="1:51" x14ac:dyDescent="0.2">
      <c r="A213" s="126"/>
      <c r="B213" s="135">
        <v>5</v>
      </c>
      <c r="C213" s="123">
        <v>651.30243349083139</v>
      </c>
      <c r="D213" s="127">
        <v>513</v>
      </c>
      <c r="E213" s="127">
        <v>354.95496354055979</v>
      </c>
      <c r="F213" s="127">
        <v>250.31837360434434</v>
      </c>
      <c r="G213" s="127">
        <v>117.36711633767067</v>
      </c>
      <c r="H213" s="127">
        <v>135.48704478088553</v>
      </c>
      <c r="I213" s="127">
        <v>169.56614502731821</v>
      </c>
      <c r="J213" s="127">
        <v>0</v>
      </c>
      <c r="K213" s="127">
        <v>0</v>
      </c>
      <c r="L213" s="127">
        <v>0</v>
      </c>
      <c r="M213" s="127">
        <v>0</v>
      </c>
      <c r="N213" s="127">
        <v>0</v>
      </c>
      <c r="O213" s="127">
        <v>0</v>
      </c>
      <c r="P213" s="127">
        <v>0</v>
      </c>
      <c r="Q213" s="127">
        <v>0</v>
      </c>
      <c r="R213" s="127">
        <v>0</v>
      </c>
      <c r="S213" s="127">
        <v>0</v>
      </c>
      <c r="T213" s="127">
        <v>0</v>
      </c>
      <c r="U213" s="127">
        <v>0</v>
      </c>
      <c r="V213" s="127">
        <v>0</v>
      </c>
      <c r="W213" s="127">
        <v>0</v>
      </c>
      <c r="X213" s="127">
        <v>0</v>
      </c>
      <c r="Y213" s="127">
        <v>0</v>
      </c>
      <c r="Z213" s="127">
        <v>0</v>
      </c>
      <c r="AA213" s="127">
        <v>0</v>
      </c>
      <c r="AB213" s="127">
        <v>0</v>
      </c>
      <c r="AC213" s="127">
        <v>0</v>
      </c>
      <c r="AD213" s="127">
        <v>0</v>
      </c>
      <c r="AE213" s="127">
        <v>0</v>
      </c>
      <c r="AF213" s="127">
        <v>0</v>
      </c>
      <c r="AG213" s="127">
        <v>0</v>
      </c>
      <c r="AH213" s="127">
        <v>0</v>
      </c>
      <c r="AI213" s="127">
        <v>0</v>
      </c>
      <c r="AJ213" s="127">
        <v>0</v>
      </c>
      <c r="AK213" s="127">
        <v>0</v>
      </c>
      <c r="AL213" s="127">
        <v>0</v>
      </c>
      <c r="AM213" s="127">
        <v>0</v>
      </c>
      <c r="AN213" s="127">
        <v>0</v>
      </c>
      <c r="AO213" s="127">
        <v>0</v>
      </c>
      <c r="AP213" s="127">
        <v>0</v>
      </c>
      <c r="AQ213" s="127">
        <v>0</v>
      </c>
      <c r="AR213" s="127">
        <v>0</v>
      </c>
      <c r="AS213" s="127">
        <v>0</v>
      </c>
      <c r="AT213" s="127">
        <v>0</v>
      </c>
      <c r="AU213" s="127">
        <v>0</v>
      </c>
      <c r="AV213" s="127">
        <v>0</v>
      </c>
      <c r="AW213" s="127">
        <v>0</v>
      </c>
      <c r="AX213" s="127">
        <v>0</v>
      </c>
      <c r="AY213" s="127">
        <v>0</v>
      </c>
    </row>
    <row r="214" spans="1:51" x14ac:dyDescent="0.2">
      <c r="A214" s="126"/>
      <c r="B214" s="135">
        <v>6</v>
      </c>
      <c r="C214" s="123">
        <v>0</v>
      </c>
      <c r="D214" s="127">
        <v>0</v>
      </c>
      <c r="E214" s="127">
        <v>84.045036459440198</v>
      </c>
      <c r="F214" s="127">
        <v>230.68162639565566</v>
      </c>
      <c r="G214" s="127">
        <v>300.63288366232933</v>
      </c>
      <c r="H214" s="127">
        <v>389.51295521911447</v>
      </c>
      <c r="I214" s="127">
        <v>22.782431176399605</v>
      </c>
      <c r="J214" s="127">
        <v>0</v>
      </c>
      <c r="K214" s="127">
        <v>0</v>
      </c>
      <c r="L214" s="127">
        <v>0</v>
      </c>
      <c r="M214" s="127">
        <v>0</v>
      </c>
      <c r="N214" s="127">
        <v>0</v>
      </c>
      <c r="O214" s="127">
        <v>0</v>
      </c>
      <c r="P214" s="127">
        <v>0</v>
      </c>
      <c r="Q214" s="127">
        <v>0</v>
      </c>
      <c r="R214" s="127">
        <v>0</v>
      </c>
      <c r="S214" s="127">
        <v>0</v>
      </c>
      <c r="T214" s="127">
        <v>0</v>
      </c>
      <c r="U214" s="127">
        <v>0</v>
      </c>
      <c r="V214" s="127">
        <v>0</v>
      </c>
      <c r="W214" s="127">
        <v>0</v>
      </c>
      <c r="X214" s="127">
        <v>0</v>
      </c>
      <c r="Y214" s="127">
        <v>0</v>
      </c>
      <c r="Z214" s="127">
        <v>0</v>
      </c>
      <c r="AA214" s="127">
        <v>0</v>
      </c>
      <c r="AB214" s="127">
        <v>0</v>
      </c>
      <c r="AC214" s="127">
        <v>0</v>
      </c>
      <c r="AD214" s="127">
        <v>0</v>
      </c>
      <c r="AE214" s="127">
        <v>0</v>
      </c>
      <c r="AF214" s="127">
        <v>0</v>
      </c>
      <c r="AG214" s="127">
        <v>0</v>
      </c>
      <c r="AH214" s="127">
        <v>0</v>
      </c>
      <c r="AI214" s="127">
        <v>0</v>
      </c>
      <c r="AJ214" s="127">
        <v>0</v>
      </c>
      <c r="AK214" s="127">
        <v>0</v>
      </c>
      <c r="AL214" s="127">
        <v>0</v>
      </c>
      <c r="AM214" s="127">
        <v>0</v>
      </c>
      <c r="AN214" s="127">
        <v>0</v>
      </c>
      <c r="AO214" s="127">
        <v>0</v>
      </c>
      <c r="AP214" s="127">
        <v>0</v>
      </c>
      <c r="AQ214" s="127">
        <v>0</v>
      </c>
      <c r="AR214" s="127">
        <v>0</v>
      </c>
      <c r="AS214" s="127">
        <v>0</v>
      </c>
      <c r="AT214" s="127">
        <v>0</v>
      </c>
      <c r="AU214" s="127">
        <v>0</v>
      </c>
      <c r="AV214" s="127">
        <v>0</v>
      </c>
      <c r="AW214" s="127">
        <v>0</v>
      </c>
      <c r="AX214" s="127">
        <v>0</v>
      </c>
      <c r="AY214" s="127">
        <v>0</v>
      </c>
    </row>
    <row r="215" spans="1:51" x14ac:dyDescent="0.2">
      <c r="A215" s="126"/>
      <c r="B215" s="135">
        <v>7</v>
      </c>
      <c r="C215" s="123">
        <v>0</v>
      </c>
      <c r="D215" s="127">
        <v>0</v>
      </c>
      <c r="E215" s="127">
        <v>0</v>
      </c>
      <c r="F215" s="127">
        <v>0</v>
      </c>
      <c r="G215" s="127">
        <v>0</v>
      </c>
      <c r="H215" s="127">
        <v>0</v>
      </c>
      <c r="I215" s="127">
        <v>0</v>
      </c>
      <c r="J215" s="127">
        <v>0</v>
      </c>
      <c r="K215" s="127">
        <v>0</v>
      </c>
      <c r="L215" s="127">
        <v>0</v>
      </c>
      <c r="M215" s="127">
        <v>0</v>
      </c>
      <c r="N215" s="127">
        <v>0</v>
      </c>
      <c r="O215" s="127">
        <v>0</v>
      </c>
      <c r="P215" s="127">
        <v>0</v>
      </c>
      <c r="Q215" s="127">
        <v>0</v>
      </c>
      <c r="R215" s="127">
        <v>0</v>
      </c>
      <c r="S215" s="127">
        <v>0</v>
      </c>
      <c r="T215" s="127">
        <v>0</v>
      </c>
      <c r="U215" s="127">
        <v>0</v>
      </c>
      <c r="V215" s="127">
        <v>0</v>
      </c>
      <c r="W215" s="127">
        <v>0</v>
      </c>
      <c r="X215" s="127">
        <v>0</v>
      </c>
      <c r="Y215" s="127">
        <v>0</v>
      </c>
      <c r="Z215" s="127">
        <v>0</v>
      </c>
      <c r="AA215" s="127">
        <v>0</v>
      </c>
      <c r="AB215" s="127">
        <v>0</v>
      </c>
      <c r="AC215" s="127">
        <v>0</v>
      </c>
      <c r="AD215" s="127">
        <v>0</v>
      </c>
      <c r="AE215" s="127">
        <v>0</v>
      </c>
      <c r="AF215" s="127">
        <v>0</v>
      </c>
      <c r="AG215" s="127">
        <v>0</v>
      </c>
      <c r="AH215" s="127">
        <v>0</v>
      </c>
      <c r="AI215" s="127">
        <v>0</v>
      </c>
      <c r="AJ215" s="127">
        <v>0</v>
      </c>
      <c r="AK215" s="127">
        <v>0</v>
      </c>
      <c r="AL215" s="127">
        <v>0</v>
      </c>
      <c r="AM215" s="127">
        <v>0</v>
      </c>
      <c r="AN215" s="127">
        <v>0</v>
      </c>
      <c r="AO215" s="127">
        <v>0</v>
      </c>
      <c r="AP215" s="127">
        <v>0</v>
      </c>
      <c r="AQ215" s="127">
        <v>0</v>
      </c>
      <c r="AR215" s="127">
        <v>0</v>
      </c>
      <c r="AS215" s="127">
        <v>0</v>
      </c>
      <c r="AT215" s="127">
        <v>0</v>
      </c>
      <c r="AU215" s="127">
        <v>0</v>
      </c>
      <c r="AV215" s="127">
        <v>0</v>
      </c>
      <c r="AW215" s="127">
        <v>0</v>
      </c>
      <c r="AX215" s="127">
        <v>0</v>
      </c>
      <c r="AY215" s="127">
        <v>0</v>
      </c>
    </row>
    <row r="216" spans="1:51" x14ac:dyDescent="0.2">
      <c r="A216" s="126"/>
      <c r="B216" s="135">
        <v>8</v>
      </c>
      <c r="C216" s="123">
        <v>0</v>
      </c>
      <c r="D216" s="127">
        <v>0</v>
      </c>
      <c r="E216" s="127">
        <v>0</v>
      </c>
      <c r="F216" s="127">
        <v>0</v>
      </c>
      <c r="G216" s="127">
        <v>0</v>
      </c>
      <c r="H216" s="127">
        <v>0</v>
      </c>
      <c r="I216" s="127">
        <v>0</v>
      </c>
      <c r="J216" s="127">
        <v>0</v>
      </c>
      <c r="K216" s="127">
        <v>0</v>
      </c>
      <c r="L216" s="127">
        <v>0</v>
      </c>
      <c r="M216" s="127">
        <v>0</v>
      </c>
      <c r="N216" s="127">
        <v>0</v>
      </c>
      <c r="O216" s="127">
        <v>0</v>
      </c>
      <c r="P216" s="127">
        <v>0</v>
      </c>
      <c r="Q216" s="127">
        <v>0</v>
      </c>
      <c r="R216" s="127">
        <v>0</v>
      </c>
      <c r="S216" s="127">
        <v>0</v>
      </c>
      <c r="T216" s="127">
        <v>0</v>
      </c>
      <c r="U216" s="127">
        <v>0</v>
      </c>
      <c r="V216" s="127">
        <v>0</v>
      </c>
      <c r="W216" s="127">
        <v>0</v>
      </c>
      <c r="X216" s="127">
        <v>0</v>
      </c>
      <c r="Y216" s="127">
        <v>0</v>
      </c>
      <c r="Z216" s="127">
        <v>0</v>
      </c>
      <c r="AA216" s="127">
        <v>0</v>
      </c>
      <c r="AB216" s="127">
        <v>0</v>
      </c>
      <c r="AC216" s="127">
        <v>0</v>
      </c>
      <c r="AD216" s="127">
        <v>0</v>
      </c>
      <c r="AE216" s="127">
        <v>0</v>
      </c>
      <c r="AF216" s="127">
        <v>0</v>
      </c>
      <c r="AG216" s="127">
        <v>0</v>
      </c>
      <c r="AH216" s="127">
        <v>0</v>
      </c>
      <c r="AI216" s="127">
        <v>0</v>
      </c>
      <c r="AJ216" s="127">
        <v>0</v>
      </c>
      <c r="AK216" s="127">
        <v>0</v>
      </c>
      <c r="AL216" s="127">
        <v>0</v>
      </c>
      <c r="AM216" s="127">
        <v>0</v>
      </c>
      <c r="AN216" s="127">
        <v>0</v>
      </c>
      <c r="AO216" s="127">
        <v>0</v>
      </c>
      <c r="AP216" s="127">
        <v>0</v>
      </c>
      <c r="AQ216" s="127">
        <v>0</v>
      </c>
      <c r="AR216" s="127">
        <v>0</v>
      </c>
      <c r="AS216" s="127">
        <v>0</v>
      </c>
      <c r="AT216" s="127">
        <v>0</v>
      </c>
      <c r="AU216" s="127">
        <v>0</v>
      </c>
      <c r="AV216" s="127">
        <v>0</v>
      </c>
      <c r="AW216" s="127">
        <v>0</v>
      </c>
      <c r="AX216" s="127">
        <v>0</v>
      </c>
      <c r="AY216" s="127">
        <v>0</v>
      </c>
    </row>
    <row r="217" spans="1:51" x14ac:dyDescent="0.2">
      <c r="A217" s="126"/>
      <c r="B217" s="135">
        <v>9</v>
      </c>
      <c r="C217" s="123">
        <v>0</v>
      </c>
      <c r="D217" s="127">
        <v>0</v>
      </c>
      <c r="E217" s="127">
        <v>0</v>
      </c>
      <c r="F217" s="127">
        <v>0</v>
      </c>
      <c r="G217" s="127">
        <v>0</v>
      </c>
      <c r="H217" s="127">
        <v>0</v>
      </c>
      <c r="I217" s="127">
        <v>0</v>
      </c>
      <c r="J217" s="127">
        <v>0</v>
      </c>
      <c r="K217" s="127">
        <v>0</v>
      </c>
      <c r="L217" s="127">
        <v>0</v>
      </c>
      <c r="M217" s="127">
        <v>0</v>
      </c>
      <c r="N217" s="127">
        <v>0</v>
      </c>
      <c r="O217" s="127">
        <v>0</v>
      </c>
      <c r="P217" s="127">
        <v>0</v>
      </c>
      <c r="Q217" s="127">
        <v>0</v>
      </c>
      <c r="R217" s="127">
        <v>0</v>
      </c>
      <c r="S217" s="127">
        <v>0</v>
      </c>
      <c r="T217" s="127">
        <v>0</v>
      </c>
      <c r="U217" s="127">
        <v>0</v>
      </c>
      <c r="V217" s="127">
        <v>0</v>
      </c>
      <c r="W217" s="127">
        <v>0</v>
      </c>
      <c r="X217" s="127">
        <v>0</v>
      </c>
      <c r="Y217" s="127">
        <v>0</v>
      </c>
      <c r="Z217" s="127">
        <v>0</v>
      </c>
      <c r="AA217" s="127">
        <v>0</v>
      </c>
      <c r="AB217" s="127">
        <v>0</v>
      </c>
      <c r="AC217" s="127">
        <v>0</v>
      </c>
      <c r="AD217" s="127">
        <v>0</v>
      </c>
      <c r="AE217" s="127">
        <v>0</v>
      </c>
      <c r="AF217" s="127">
        <v>0</v>
      </c>
      <c r="AG217" s="127">
        <v>0</v>
      </c>
      <c r="AH217" s="127">
        <v>0</v>
      </c>
      <c r="AI217" s="127">
        <v>0</v>
      </c>
      <c r="AJ217" s="127">
        <v>0</v>
      </c>
      <c r="AK217" s="127">
        <v>0</v>
      </c>
      <c r="AL217" s="127">
        <v>0</v>
      </c>
      <c r="AM217" s="127">
        <v>0</v>
      </c>
      <c r="AN217" s="127">
        <v>0</v>
      </c>
      <c r="AO217" s="127">
        <v>0</v>
      </c>
      <c r="AP217" s="127">
        <v>0</v>
      </c>
      <c r="AQ217" s="127">
        <v>0</v>
      </c>
      <c r="AR217" s="127">
        <v>0</v>
      </c>
      <c r="AS217" s="127">
        <v>0</v>
      </c>
      <c r="AT217" s="127">
        <v>0</v>
      </c>
      <c r="AU217" s="127">
        <v>0</v>
      </c>
      <c r="AV217" s="127">
        <v>0</v>
      </c>
      <c r="AW217" s="127">
        <v>0</v>
      </c>
      <c r="AX217" s="127">
        <v>0</v>
      </c>
      <c r="AY217" s="127">
        <v>0</v>
      </c>
    </row>
    <row r="218" spans="1:51" x14ac:dyDescent="0.2">
      <c r="A218" s="126"/>
      <c r="B218" s="135">
        <v>10</v>
      </c>
      <c r="C218" s="123">
        <v>0</v>
      </c>
      <c r="D218" s="127">
        <v>0</v>
      </c>
      <c r="E218" s="127">
        <v>0</v>
      </c>
      <c r="F218" s="127">
        <v>0</v>
      </c>
      <c r="G218" s="127">
        <v>0</v>
      </c>
      <c r="H218" s="127">
        <v>0</v>
      </c>
      <c r="I218" s="127">
        <v>0</v>
      </c>
      <c r="J218" s="127">
        <v>0</v>
      </c>
      <c r="K218" s="127">
        <v>0</v>
      </c>
      <c r="L218" s="127">
        <v>0</v>
      </c>
      <c r="M218" s="127">
        <v>0</v>
      </c>
      <c r="N218" s="127">
        <v>0</v>
      </c>
      <c r="O218" s="127">
        <v>0</v>
      </c>
      <c r="P218" s="127">
        <v>0</v>
      </c>
      <c r="Q218" s="127">
        <v>0</v>
      </c>
      <c r="R218" s="127">
        <v>0</v>
      </c>
      <c r="S218" s="127">
        <v>0</v>
      </c>
      <c r="T218" s="127">
        <v>0</v>
      </c>
      <c r="U218" s="127">
        <v>0</v>
      </c>
      <c r="V218" s="127">
        <v>0</v>
      </c>
      <c r="W218" s="127">
        <v>0</v>
      </c>
      <c r="X218" s="127">
        <v>0</v>
      </c>
      <c r="Y218" s="127">
        <v>0</v>
      </c>
      <c r="Z218" s="127">
        <v>0</v>
      </c>
      <c r="AA218" s="127">
        <v>0</v>
      </c>
      <c r="AB218" s="127">
        <v>0</v>
      </c>
      <c r="AC218" s="127">
        <v>0</v>
      </c>
      <c r="AD218" s="127">
        <v>0</v>
      </c>
      <c r="AE218" s="127">
        <v>0</v>
      </c>
      <c r="AF218" s="127">
        <v>0</v>
      </c>
      <c r="AG218" s="127">
        <v>0</v>
      </c>
      <c r="AH218" s="127">
        <v>0</v>
      </c>
      <c r="AI218" s="127">
        <v>0</v>
      </c>
      <c r="AJ218" s="127">
        <v>0</v>
      </c>
      <c r="AK218" s="127">
        <v>0</v>
      </c>
      <c r="AL218" s="127">
        <v>0</v>
      </c>
      <c r="AM218" s="127">
        <v>0</v>
      </c>
      <c r="AN218" s="127">
        <v>0</v>
      </c>
      <c r="AO218" s="127">
        <v>0</v>
      </c>
      <c r="AP218" s="127">
        <v>0</v>
      </c>
      <c r="AQ218" s="127">
        <v>0</v>
      </c>
      <c r="AR218" s="127">
        <v>0</v>
      </c>
      <c r="AS218" s="127">
        <v>0</v>
      </c>
      <c r="AT218" s="127">
        <v>0</v>
      </c>
      <c r="AU218" s="127">
        <v>0</v>
      </c>
      <c r="AV218" s="127">
        <v>0</v>
      </c>
      <c r="AW218" s="127">
        <v>0</v>
      </c>
      <c r="AX218" s="127">
        <v>0</v>
      </c>
      <c r="AY218" s="127">
        <v>0</v>
      </c>
    </row>
    <row r="219" spans="1:51" x14ac:dyDescent="0.2">
      <c r="A219" s="126"/>
      <c r="B219" s="135">
        <v>11</v>
      </c>
      <c r="C219" s="123">
        <v>0</v>
      </c>
      <c r="D219" s="127">
        <v>0</v>
      </c>
      <c r="E219" s="127">
        <v>0</v>
      </c>
      <c r="F219" s="127">
        <v>0</v>
      </c>
      <c r="G219" s="127">
        <v>0</v>
      </c>
      <c r="H219" s="127">
        <v>0</v>
      </c>
      <c r="I219" s="127">
        <v>0</v>
      </c>
      <c r="J219" s="127">
        <v>0</v>
      </c>
      <c r="K219" s="127">
        <v>0</v>
      </c>
      <c r="L219" s="127">
        <v>0</v>
      </c>
      <c r="M219" s="127">
        <v>0</v>
      </c>
      <c r="N219" s="127">
        <v>0</v>
      </c>
      <c r="O219" s="127">
        <v>0</v>
      </c>
      <c r="P219" s="127">
        <v>0</v>
      </c>
      <c r="Q219" s="127">
        <v>0</v>
      </c>
      <c r="R219" s="127">
        <v>0</v>
      </c>
      <c r="S219" s="127">
        <v>0</v>
      </c>
      <c r="T219" s="127">
        <v>0</v>
      </c>
      <c r="U219" s="127">
        <v>0</v>
      </c>
      <c r="V219" s="127">
        <v>0</v>
      </c>
      <c r="W219" s="127">
        <v>0</v>
      </c>
      <c r="X219" s="127">
        <v>0</v>
      </c>
      <c r="Y219" s="127">
        <v>0</v>
      </c>
      <c r="Z219" s="127">
        <v>0</v>
      </c>
      <c r="AA219" s="127">
        <v>0</v>
      </c>
      <c r="AB219" s="127">
        <v>0</v>
      </c>
      <c r="AC219" s="127">
        <v>0</v>
      </c>
      <c r="AD219" s="127">
        <v>0</v>
      </c>
      <c r="AE219" s="127">
        <v>0</v>
      </c>
      <c r="AF219" s="127">
        <v>0</v>
      </c>
      <c r="AG219" s="127">
        <v>0</v>
      </c>
      <c r="AH219" s="127">
        <v>0</v>
      </c>
      <c r="AI219" s="127">
        <v>0</v>
      </c>
      <c r="AJ219" s="127">
        <v>0</v>
      </c>
      <c r="AK219" s="127">
        <v>0</v>
      </c>
      <c r="AL219" s="127">
        <v>0</v>
      </c>
      <c r="AM219" s="127">
        <v>0</v>
      </c>
      <c r="AN219" s="127">
        <v>0</v>
      </c>
      <c r="AO219" s="127">
        <v>0</v>
      </c>
      <c r="AP219" s="127">
        <v>0</v>
      </c>
      <c r="AQ219" s="127">
        <v>0</v>
      </c>
      <c r="AR219" s="127">
        <v>0</v>
      </c>
      <c r="AS219" s="127">
        <v>0</v>
      </c>
      <c r="AT219" s="127">
        <v>0</v>
      </c>
      <c r="AU219" s="127">
        <v>0</v>
      </c>
      <c r="AV219" s="127">
        <v>0</v>
      </c>
      <c r="AW219" s="127">
        <v>0</v>
      </c>
      <c r="AX219" s="127">
        <v>0</v>
      </c>
      <c r="AY219" s="127">
        <v>0</v>
      </c>
    </row>
    <row r="220" spans="1:51" x14ac:dyDescent="0.2">
      <c r="A220" s="126"/>
      <c r="B220" s="135">
        <v>12</v>
      </c>
      <c r="C220" s="123">
        <v>0</v>
      </c>
      <c r="D220" s="127">
        <v>0</v>
      </c>
      <c r="E220" s="127">
        <v>0</v>
      </c>
      <c r="F220" s="127">
        <v>0</v>
      </c>
      <c r="G220" s="127">
        <v>0</v>
      </c>
      <c r="H220" s="127">
        <v>0</v>
      </c>
      <c r="I220" s="127">
        <v>0</v>
      </c>
      <c r="J220" s="127">
        <v>0</v>
      </c>
      <c r="K220" s="127">
        <v>0</v>
      </c>
      <c r="L220" s="127">
        <v>0</v>
      </c>
      <c r="M220" s="127">
        <v>0</v>
      </c>
      <c r="N220" s="127">
        <v>0</v>
      </c>
      <c r="O220" s="127">
        <v>0</v>
      </c>
      <c r="P220" s="127">
        <v>0</v>
      </c>
      <c r="Q220" s="127">
        <v>0</v>
      </c>
      <c r="R220" s="127">
        <v>0</v>
      </c>
      <c r="S220" s="127">
        <v>0</v>
      </c>
      <c r="T220" s="127">
        <v>0</v>
      </c>
      <c r="U220" s="127">
        <v>0</v>
      </c>
      <c r="V220" s="127">
        <v>0</v>
      </c>
      <c r="W220" s="127">
        <v>0</v>
      </c>
      <c r="X220" s="127">
        <v>0</v>
      </c>
      <c r="Y220" s="127">
        <v>0</v>
      </c>
      <c r="Z220" s="127">
        <v>0</v>
      </c>
      <c r="AA220" s="127">
        <v>0</v>
      </c>
      <c r="AB220" s="127">
        <v>0</v>
      </c>
      <c r="AC220" s="127">
        <v>0</v>
      </c>
      <c r="AD220" s="127">
        <v>0</v>
      </c>
      <c r="AE220" s="127">
        <v>0</v>
      </c>
      <c r="AF220" s="127">
        <v>0</v>
      </c>
      <c r="AG220" s="127">
        <v>0</v>
      </c>
      <c r="AH220" s="127">
        <v>0</v>
      </c>
      <c r="AI220" s="127">
        <v>0</v>
      </c>
      <c r="AJ220" s="127">
        <v>0</v>
      </c>
      <c r="AK220" s="127">
        <v>0</v>
      </c>
      <c r="AL220" s="127">
        <v>0</v>
      </c>
      <c r="AM220" s="127">
        <v>0</v>
      </c>
      <c r="AN220" s="127">
        <v>0</v>
      </c>
      <c r="AO220" s="127">
        <v>0</v>
      </c>
      <c r="AP220" s="127">
        <v>0</v>
      </c>
      <c r="AQ220" s="127">
        <v>0</v>
      </c>
      <c r="AR220" s="127">
        <v>0</v>
      </c>
      <c r="AS220" s="127">
        <v>0</v>
      </c>
      <c r="AT220" s="127">
        <v>0</v>
      </c>
      <c r="AU220" s="127">
        <v>0</v>
      </c>
      <c r="AV220" s="127">
        <v>0</v>
      </c>
      <c r="AW220" s="127">
        <v>0</v>
      </c>
      <c r="AX220" s="127">
        <v>0</v>
      </c>
      <c r="AY220" s="127">
        <v>0</v>
      </c>
    </row>
    <row r="221" spans="1:51" x14ac:dyDescent="0.2">
      <c r="A221" s="126"/>
      <c r="B221" s="136">
        <v>13</v>
      </c>
      <c r="C221" s="123">
        <v>0</v>
      </c>
      <c r="D221" s="127">
        <v>0</v>
      </c>
      <c r="E221" s="127">
        <v>0</v>
      </c>
      <c r="F221" s="127">
        <v>0</v>
      </c>
      <c r="G221" s="127">
        <v>0</v>
      </c>
      <c r="H221" s="127">
        <v>0</v>
      </c>
      <c r="I221" s="127">
        <v>0</v>
      </c>
      <c r="J221" s="127">
        <v>0</v>
      </c>
      <c r="K221" s="127">
        <v>0</v>
      </c>
      <c r="L221" s="127">
        <v>0</v>
      </c>
      <c r="M221" s="127">
        <v>0</v>
      </c>
      <c r="N221" s="127">
        <v>0</v>
      </c>
      <c r="O221" s="127">
        <v>0</v>
      </c>
      <c r="P221" s="127">
        <v>0</v>
      </c>
      <c r="Q221" s="127">
        <v>0</v>
      </c>
      <c r="R221" s="127">
        <v>0</v>
      </c>
      <c r="S221" s="127">
        <v>0</v>
      </c>
      <c r="T221" s="127">
        <v>0</v>
      </c>
      <c r="U221" s="127">
        <v>0</v>
      </c>
      <c r="V221" s="127">
        <v>0</v>
      </c>
      <c r="W221" s="127">
        <v>0</v>
      </c>
      <c r="X221" s="127">
        <v>0</v>
      </c>
      <c r="Y221" s="127">
        <v>0</v>
      </c>
      <c r="Z221" s="127">
        <v>0</v>
      </c>
      <c r="AA221" s="127">
        <v>0</v>
      </c>
      <c r="AB221" s="127">
        <v>0</v>
      </c>
      <c r="AC221" s="127">
        <v>0</v>
      </c>
      <c r="AD221" s="127">
        <v>0</v>
      </c>
      <c r="AE221" s="127">
        <v>0</v>
      </c>
      <c r="AF221" s="127">
        <v>0</v>
      </c>
      <c r="AG221" s="127">
        <v>0</v>
      </c>
      <c r="AH221" s="127">
        <v>0</v>
      </c>
      <c r="AI221" s="127">
        <v>0</v>
      </c>
      <c r="AJ221" s="127">
        <v>0</v>
      </c>
      <c r="AK221" s="127">
        <v>0</v>
      </c>
      <c r="AL221" s="127">
        <v>0</v>
      </c>
      <c r="AM221" s="127">
        <v>0</v>
      </c>
      <c r="AN221" s="127">
        <v>0</v>
      </c>
      <c r="AO221" s="127">
        <v>0</v>
      </c>
      <c r="AP221" s="127">
        <v>0</v>
      </c>
      <c r="AQ221" s="127">
        <v>0</v>
      </c>
      <c r="AR221" s="127">
        <v>0</v>
      </c>
      <c r="AS221" s="127">
        <v>0</v>
      </c>
      <c r="AT221" s="127">
        <v>0</v>
      </c>
      <c r="AU221" s="127">
        <v>0</v>
      </c>
      <c r="AV221" s="127">
        <v>0</v>
      </c>
      <c r="AW221" s="127">
        <v>0</v>
      </c>
      <c r="AX221" s="127">
        <v>0</v>
      </c>
      <c r="AY221" s="127">
        <v>0</v>
      </c>
    </row>
    <row r="222" spans="1:51" x14ac:dyDescent="0.2">
      <c r="A222" s="126"/>
      <c r="B222" s="136">
        <v>14</v>
      </c>
      <c r="C222" s="123">
        <v>0</v>
      </c>
      <c r="D222" s="127">
        <v>0</v>
      </c>
      <c r="E222" s="127">
        <v>0</v>
      </c>
      <c r="F222" s="127">
        <v>0</v>
      </c>
      <c r="G222" s="127">
        <v>0</v>
      </c>
      <c r="H222" s="127">
        <v>0</v>
      </c>
      <c r="I222" s="127">
        <v>0</v>
      </c>
      <c r="J222" s="127">
        <v>0</v>
      </c>
      <c r="K222" s="127">
        <v>0</v>
      </c>
      <c r="L222" s="127">
        <v>0</v>
      </c>
      <c r="M222" s="127">
        <v>0</v>
      </c>
      <c r="N222" s="127">
        <v>0</v>
      </c>
      <c r="O222" s="127">
        <v>0</v>
      </c>
      <c r="P222" s="127">
        <v>0</v>
      </c>
      <c r="Q222" s="127">
        <v>0</v>
      </c>
      <c r="R222" s="127">
        <v>0</v>
      </c>
      <c r="S222" s="127">
        <v>0</v>
      </c>
      <c r="T222" s="127">
        <v>0</v>
      </c>
      <c r="U222" s="127">
        <v>0</v>
      </c>
      <c r="V222" s="127">
        <v>0</v>
      </c>
      <c r="W222" s="127">
        <v>0</v>
      </c>
      <c r="X222" s="127">
        <v>0</v>
      </c>
      <c r="Y222" s="127">
        <v>0</v>
      </c>
      <c r="Z222" s="127">
        <v>0</v>
      </c>
      <c r="AA222" s="127">
        <v>0</v>
      </c>
      <c r="AB222" s="127">
        <v>0</v>
      </c>
      <c r="AC222" s="127">
        <v>0</v>
      </c>
      <c r="AD222" s="127">
        <v>0</v>
      </c>
      <c r="AE222" s="127">
        <v>0</v>
      </c>
      <c r="AF222" s="127">
        <v>0</v>
      </c>
      <c r="AG222" s="127">
        <v>0</v>
      </c>
      <c r="AH222" s="127">
        <v>0</v>
      </c>
      <c r="AI222" s="127">
        <v>0</v>
      </c>
      <c r="AJ222" s="127">
        <v>0</v>
      </c>
      <c r="AK222" s="127">
        <v>0</v>
      </c>
      <c r="AL222" s="127">
        <v>0</v>
      </c>
      <c r="AM222" s="127">
        <v>0</v>
      </c>
      <c r="AN222" s="127">
        <v>0</v>
      </c>
      <c r="AO222" s="127">
        <v>0</v>
      </c>
      <c r="AP222" s="127">
        <v>0</v>
      </c>
      <c r="AQ222" s="127">
        <v>0</v>
      </c>
      <c r="AR222" s="127">
        <v>0</v>
      </c>
      <c r="AS222" s="127">
        <v>0</v>
      </c>
      <c r="AT222" s="127">
        <v>0</v>
      </c>
      <c r="AU222" s="127">
        <v>0</v>
      </c>
      <c r="AV222" s="127">
        <v>0</v>
      </c>
      <c r="AW222" s="127">
        <v>0</v>
      </c>
      <c r="AX222" s="127">
        <v>0</v>
      </c>
      <c r="AY222" s="127">
        <v>0</v>
      </c>
    </row>
    <row r="223" spans="1:51" x14ac:dyDescent="0.2">
      <c r="A223" s="126"/>
      <c r="B223" s="136">
        <v>15</v>
      </c>
      <c r="C223" s="123">
        <v>0</v>
      </c>
      <c r="D223" s="127">
        <v>0</v>
      </c>
      <c r="E223" s="127">
        <v>0</v>
      </c>
      <c r="F223" s="127">
        <v>0</v>
      </c>
      <c r="G223" s="127">
        <v>0</v>
      </c>
      <c r="H223" s="127">
        <v>0</v>
      </c>
      <c r="I223" s="127">
        <v>0</v>
      </c>
      <c r="J223" s="127">
        <v>0</v>
      </c>
      <c r="K223" s="127">
        <v>0</v>
      </c>
      <c r="L223" s="127">
        <v>0</v>
      </c>
      <c r="M223" s="127">
        <v>0</v>
      </c>
      <c r="N223" s="127">
        <v>0</v>
      </c>
      <c r="O223" s="127">
        <v>0</v>
      </c>
      <c r="P223" s="127">
        <v>0</v>
      </c>
      <c r="Q223" s="127">
        <v>0</v>
      </c>
      <c r="R223" s="127">
        <v>0</v>
      </c>
      <c r="S223" s="127">
        <v>0</v>
      </c>
      <c r="T223" s="127">
        <v>0</v>
      </c>
      <c r="U223" s="127">
        <v>0</v>
      </c>
      <c r="V223" s="127">
        <v>0</v>
      </c>
      <c r="W223" s="127">
        <v>0</v>
      </c>
      <c r="X223" s="127">
        <v>0</v>
      </c>
      <c r="Y223" s="127">
        <v>0</v>
      </c>
      <c r="Z223" s="127">
        <v>0</v>
      </c>
      <c r="AA223" s="127">
        <v>0</v>
      </c>
      <c r="AB223" s="127">
        <v>0</v>
      </c>
      <c r="AC223" s="127">
        <v>0</v>
      </c>
      <c r="AD223" s="127">
        <v>0</v>
      </c>
      <c r="AE223" s="127">
        <v>0</v>
      </c>
      <c r="AF223" s="127">
        <v>0</v>
      </c>
      <c r="AG223" s="127">
        <v>0</v>
      </c>
      <c r="AH223" s="127">
        <v>0</v>
      </c>
      <c r="AI223" s="127">
        <v>0</v>
      </c>
      <c r="AJ223" s="127">
        <v>0</v>
      </c>
      <c r="AK223" s="127">
        <v>0</v>
      </c>
      <c r="AL223" s="127">
        <v>0</v>
      </c>
      <c r="AM223" s="127">
        <v>0</v>
      </c>
      <c r="AN223" s="127">
        <v>0</v>
      </c>
      <c r="AO223" s="127">
        <v>0</v>
      </c>
      <c r="AP223" s="127">
        <v>0</v>
      </c>
      <c r="AQ223" s="127">
        <v>0</v>
      </c>
      <c r="AR223" s="127">
        <v>0</v>
      </c>
      <c r="AS223" s="127">
        <v>0</v>
      </c>
      <c r="AT223" s="127">
        <v>0</v>
      </c>
      <c r="AU223" s="127">
        <v>0</v>
      </c>
      <c r="AV223" s="127">
        <v>0</v>
      </c>
      <c r="AW223" s="127">
        <v>0</v>
      </c>
      <c r="AX223" s="127">
        <v>0</v>
      </c>
      <c r="AY223" s="127">
        <v>0</v>
      </c>
    </row>
    <row r="224" spans="1:51" x14ac:dyDescent="0.2">
      <c r="A224" s="126"/>
      <c r="B224" s="136">
        <v>16</v>
      </c>
      <c r="C224" s="123">
        <v>0</v>
      </c>
      <c r="D224" s="127">
        <v>0</v>
      </c>
      <c r="E224" s="127">
        <v>0</v>
      </c>
      <c r="F224" s="127">
        <v>0</v>
      </c>
      <c r="G224" s="127">
        <v>0</v>
      </c>
      <c r="H224" s="127">
        <v>0</v>
      </c>
      <c r="I224" s="127">
        <v>0</v>
      </c>
      <c r="J224" s="127">
        <v>0</v>
      </c>
      <c r="K224" s="127">
        <v>0</v>
      </c>
      <c r="L224" s="127">
        <v>0</v>
      </c>
      <c r="M224" s="127">
        <v>0</v>
      </c>
      <c r="N224" s="127">
        <v>0</v>
      </c>
      <c r="O224" s="127">
        <v>0</v>
      </c>
      <c r="P224" s="127">
        <v>0</v>
      </c>
      <c r="Q224" s="127">
        <v>0</v>
      </c>
      <c r="R224" s="127">
        <v>0</v>
      </c>
      <c r="S224" s="127">
        <v>0</v>
      </c>
      <c r="T224" s="127">
        <v>0</v>
      </c>
      <c r="U224" s="127">
        <v>0</v>
      </c>
      <c r="V224" s="127">
        <v>0</v>
      </c>
      <c r="W224" s="127">
        <v>0</v>
      </c>
      <c r="X224" s="127">
        <v>0</v>
      </c>
      <c r="Y224" s="127">
        <v>0</v>
      </c>
      <c r="Z224" s="127">
        <v>0</v>
      </c>
      <c r="AA224" s="127">
        <v>0</v>
      </c>
      <c r="AB224" s="127">
        <v>0</v>
      </c>
      <c r="AC224" s="127">
        <v>0</v>
      </c>
      <c r="AD224" s="127">
        <v>0</v>
      </c>
      <c r="AE224" s="127">
        <v>0</v>
      </c>
      <c r="AF224" s="127">
        <v>0</v>
      </c>
      <c r="AG224" s="127">
        <v>0</v>
      </c>
      <c r="AH224" s="127">
        <v>0</v>
      </c>
      <c r="AI224" s="127">
        <v>0</v>
      </c>
      <c r="AJ224" s="127">
        <v>0</v>
      </c>
      <c r="AK224" s="127">
        <v>0</v>
      </c>
      <c r="AL224" s="127">
        <v>0</v>
      </c>
      <c r="AM224" s="127">
        <v>0</v>
      </c>
      <c r="AN224" s="127">
        <v>0</v>
      </c>
      <c r="AO224" s="127">
        <v>0</v>
      </c>
      <c r="AP224" s="127">
        <v>0</v>
      </c>
      <c r="AQ224" s="127">
        <v>0</v>
      </c>
      <c r="AR224" s="127">
        <v>0</v>
      </c>
      <c r="AS224" s="127">
        <v>0</v>
      </c>
      <c r="AT224" s="127">
        <v>0</v>
      </c>
      <c r="AU224" s="127">
        <v>0</v>
      </c>
      <c r="AV224" s="127">
        <v>0</v>
      </c>
      <c r="AW224" s="127">
        <v>0</v>
      </c>
      <c r="AX224" s="127">
        <v>0</v>
      </c>
      <c r="AY224" s="127">
        <v>0</v>
      </c>
    </row>
    <row r="225" spans="1:51" x14ac:dyDescent="0.2">
      <c r="A225" s="126"/>
      <c r="B225" s="136">
        <v>17</v>
      </c>
      <c r="C225" s="123">
        <v>0</v>
      </c>
      <c r="D225" s="127">
        <v>0</v>
      </c>
      <c r="E225" s="127">
        <v>0</v>
      </c>
      <c r="F225" s="127">
        <v>0</v>
      </c>
      <c r="G225" s="127">
        <v>0</v>
      </c>
      <c r="H225" s="127">
        <v>0</v>
      </c>
      <c r="I225" s="127">
        <v>0</v>
      </c>
      <c r="J225" s="127">
        <v>0</v>
      </c>
      <c r="K225" s="127">
        <v>0</v>
      </c>
      <c r="L225" s="127">
        <v>0</v>
      </c>
      <c r="M225" s="127">
        <v>0</v>
      </c>
      <c r="N225" s="127">
        <v>0</v>
      </c>
      <c r="O225" s="127">
        <v>0</v>
      </c>
      <c r="P225" s="127">
        <v>0</v>
      </c>
      <c r="Q225" s="127">
        <v>0</v>
      </c>
      <c r="R225" s="127">
        <v>0</v>
      </c>
      <c r="S225" s="127">
        <v>0</v>
      </c>
      <c r="T225" s="127">
        <v>0</v>
      </c>
      <c r="U225" s="127">
        <v>0</v>
      </c>
      <c r="V225" s="127">
        <v>0</v>
      </c>
      <c r="W225" s="127">
        <v>0</v>
      </c>
      <c r="X225" s="127">
        <v>0</v>
      </c>
      <c r="Y225" s="127">
        <v>0</v>
      </c>
      <c r="Z225" s="127">
        <v>0</v>
      </c>
      <c r="AA225" s="127">
        <v>0</v>
      </c>
      <c r="AB225" s="127">
        <v>0</v>
      </c>
      <c r="AC225" s="127">
        <v>0</v>
      </c>
      <c r="AD225" s="127">
        <v>0</v>
      </c>
      <c r="AE225" s="127">
        <v>0</v>
      </c>
      <c r="AF225" s="127">
        <v>0</v>
      </c>
      <c r="AG225" s="127">
        <v>0</v>
      </c>
      <c r="AH225" s="127">
        <v>0</v>
      </c>
      <c r="AI225" s="127">
        <v>0</v>
      </c>
      <c r="AJ225" s="127">
        <v>0</v>
      </c>
      <c r="AK225" s="127">
        <v>0</v>
      </c>
      <c r="AL225" s="127">
        <v>0</v>
      </c>
      <c r="AM225" s="127">
        <v>0</v>
      </c>
      <c r="AN225" s="127">
        <v>0</v>
      </c>
      <c r="AO225" s="127">
        <v>0</v>
      </c>
      <c r="AP225" s="127">
        <v>0</v>
      </c>
      <c r="AQ225" s="127">
        <v>0</v>
      </c>
      <c r="AR225" s="127">
        <v>0</v>
      </c>
      <c r="AS225" s="127">
        <v>0</v>
      </c>
      <c r="AT225" s="127">
        <v>0</v>
      </c>
      <c r="AU225" s="127">
        <v>0</v>
      </c>
      <c r="AV225" s="127">
        <v>0</v>
      </c>
      <c r="AW225" s="127">
        <v>0</v>
      </c>
      <c r="AX225" s="127">
        <v>0</v>
      </c>
      <c r="AY225" s="127">
        <v>0</v>
      </c>
    </row>
    <row r="226" spans="1:51" x14ac:dyDescent="0.2">
      <c r="A226" s="126"/>
      <c r="B226" s="136">
        <v>18</v>
      </c>
      <c r="C226" s="123">
        <v>0</v>
      </c>
      <c r="D226" s="127">
        <v>0</v>
      </c>
      <c r="E226" s="127">
        <v>0</v>
      </c>
      <c r="F226" s="127">
        <v>0</v>
      </c>
      <c r="G226" s="127">
        <v>0</v>
      </c>
      <c r="H226" s="127">
        <v>0</v>
      </c>
      <c r="I226" s="127">
        <v>0</v>
      </c>
      <c r="J226" s="127">
        <v>0</v>
      </c>
      <c r="K226" s="127">
        <v>0</v>
      </c>
      <c r="L226" s="127">
        <v>0</v>
      </c>
      <c r="M226" s="127">
        <v>0</v>
      </c>
      <c r="N226" s="127">
        <v>0</v>
      </c>
      <c r="O226" s="127">
        <v>0</v>
      </c>
      <c r="P226" s="127">
        <v>0</v>
      </c>
      <c r="Q226" s="127">
        <v>0</v>
      </c>
      <c r="R226" s="127">
        <v>0</v>
      </c>
      <c r="S226" s="127">
        <v>0</v>
      </c>
      <c r="T226" s="127">
        <v>0</v>
      </c>
      <c r="U226" s="127">
        <v>0</v>
      </c>
      <c r="V226" s="127">
        <v>0</v>
      </c>
      <c r="W226" s="127">
        <v>0</v>
      </c>
      <c r="X226" s="127">
        <v>0</v>
      </c>
      <c r="Y226" s="127">
        <v>0</v>
      </c>
      <c r="Z226" s="127">
        <v>0</v>
      </c>
      <c r="AA226" s="127">
        <v>0</v>
      </c>
      <c r="AB226" s="127">
        <v>0</v>
      </c>
      <c r="AC226" s="127">
        <v>0</v>
      </c>
      <c r="AD226" s="127">
        <v>0</v>
      </c>
      <c r="AE226" s="127">
        <v>0</v>
      </c>
      <c r="AF226" s="127">
        <v>0</v>
      </c>
      <c r="AG226" s="127">
        <v>0</v>
      </c>
      <c r="AH226" s="127">
        <v>0</v>
      </c>
      <c r="AI226" s="127">
        <v>0</v>
      </c>
      <c r="AJ226" s="127">
        <v>0</v>
      </c>
      <c r="AK226" s="127">
        <v>0</v>
      </c>
      <c r="AL226" s="127">
        <v>0</v>
      </c>
      <c r="AM226" s="127">
        <v>0</v>
      </c>
      <c r="AN226" s="127">
        <v>0</v>
      </c>
      <c r="AO226" s="127">
        <v>0</v>
      </c>
      <c r="AP226" s="127">
        <v>0</v>
      </c>
      <c r="AQ226" s="127">
        <v>0</v>
      </c>
      <c r="AR226" s="127">
        <v>0</v>
      </c>
      <c r="AS226" s="127">
        <v>0</v>
      </c>
      <c r="AT226" s="127">
        <v>0</v>
      </c>
      <c r="AU226" s="127">
        <v>0</v>
      </c>
      <c r="AV226" s="127">
        <v>0</v>
      </c>
      <c r="AW226" s="127">
        <v>0</v>
      </c>
      <c r="AX226" s="127">
        <v>0</v>
      </c>
      <c r="AY226" s="127">
        <v>0</v>
      </c>
    </row>
    <row r="227" spans="1:51" x14ac:dyDescent="0.2">
      <c r="A227" s="126"/>
      <c r="B227" s="136">
        <v>19</v>
      </c>
      <c r="C227" s="123">
        <v>0</v>
      </c>
      <c r="D227" s="127">
        <v>0</v>
      </c>
      <c r="E227" s="127">
        <v>0</v>
      </c>
      <c r="F227" s="127">
        <v>0</v>
      </c>
      <c r="G227" s="127">
        <v>0</v>
      </c>
      <c r="H227" s="127">
        <v>0</v>
      </c>
      <c r="I227" s="127">
        <v>0</v>
      </c>
      <c r="J227" s="127">
        <v>0</v>
      </c>
      <c r="K227" s="127">
        <v>0</v>
      </c>
      <c r="L227" s="127">
        <v>0</v>
      </c>
      <c r="M227" s="127">
        <v>0</v>
      </c>
      <c r="N227" s="127">
        <v>0</v>
      </c>
      <c r="O227" s="127">
        <v>0</v>
      </c>
      <c r="P227" s="127">
        <v>0</v>
      </c>
      <c r="Q227" s="127">
        <v>0</v>
      </c>
      <c r="R227" s="127">
        <v>0</v>
      </c>
      <c r="S227" s="127">
        <v>0</v>
      </c>
      <c r="T227" s="127">
        <v>0</v>
      </c>
      <c r="U227" s="127">
        <v>0</v>
      </c>
      <c r="V227" s="127">
        <v>0</v>
      </c>
      <c r="W227" s="127">
        <v>0</v>
      </c>
      <c r="X227" s="127">
        <v>0</v>
      </c>
      <c r="Y227" s="127">
        <v>0</v>
      </c>
      <c r="Z227" s="127">
        <v>0</v>
      </c>
      <c r="AA227" s="127">
        <v>0</v>
      </c>
      <c r="AB227" s="127">
        <v>0</v>
      </c>
      <c r="AC227" s="127">
        <v>0</v>
      </c>
      <c r="AD227" s="127">
        <v>0</v>
      </c>
      <c r="AE227" s="127">
        <v>0</v>
      </c>
      <c r="AF227" s="127">
        <v>0</v>
      </c>
      <c r="AG227" s="127">
        <v>0</v>
      </c>
      <c r="AH227" s="127">
        <v>0</v>
      </c>
      <c r="AI227" s="127">
        <v>0</v>
      </c>
      <c r="AJ227" s="127">
        <v>0</v>
      </c>
      <c r="AK227" s="127">
        <v>0</v>
      </c>
      <c r="AL227" s="127">
        <v>0</v>
      </c>
      <c r="AM227" s="127">
        <v>0</v>
      </c>
      <c r="AN227" s="127">
        <v>0</v>
      </c>
      <c r="AO227" s="127">
        <v>0</v>
      </c>
      <c r="AP227" s="127">
        <v>0</v>
      </c>
      <c r="AQ227" s="127">
        <v>0</v>
      </c>
      <c r="AR227" s="127">
        <v>0</v>
      </c>
      <c r="AS227" s="127">
        <v>0</v>
      </c>
      <c r="AT227" s="127">
        <v>0</v>
      </c>
      <c r="AU227" s="127">
        <v>0</v>
      </c>
      <c r="AV227" s="127">
        <v>0</v>
      </c>
      <c r="AW227" s="127">
        <v>0</v>
      </c>
      <c r="AX227" s="127">
        <v>0</v>
      </c>
      <c r="AY227" s="127">
        <v>0</v>
      </c>
    </row>
    <row r="228" spans="1:51" x14ac:dyDescent="0.2">
      <c r="A228" s="126"/>
      <c r="B228" s="136">
        <v>20</v>
      </c>
      <c r="C228" s="123">
        <v>0</v>
      </c>
      <c r="D228" s="127">
        <v>0</v>
      </c>
      <c r="E228" s="127">
        <v>0</v>
      </c>
      <c r="F228" s="127">
        <v>0</v>
      </c>
      <c r="G228" s="127">
        <v>0</v>
      </c>
      <c r="H228" s="127">
        <v>0</v>
      </c>
      <c r="I228" s="127">
        <v>0</v>
      </c>
      <c r="J228" s="127">
        <v>0</v>
      </c>
      <c r="K228" s="127">
        <v>0</v>
      </c>
      <c r="L228" s="127">
        <v>0</v>
      </c>
      <c r="M228" s="127">
        <v>0</v>
      </c>
      <c r="N228" s="127">
        <v>0</v>
      </c>
      <c r="O228" s="127">
        <v>0</v>
      </c>
      <c r="P228" s="127">
        <v>0</v>
      </c>
      <c r="Q228" s="127">
        <v>0</v>
      </c>
      <c r="R228" s="127">
        <v>0</v>
      </c>
      <c r="S228" s="127">
        <v>0</v>
      </c>
      <c r="T228" s="127">
        <v>0</v>
      </c>
      <c r="U228" s="127">
        <v>0</v>
      </c>
      <c r="V228" s="127">
        <v>0</v>
      </c>
      <c r="W228" s="127">
        <v>0</v>
      </c>
      <c r="X228" s="127">
        <v>0</v>
      </c>
      <c r="Y228" s="127">
        <v>0</v>
      </c>
      <c r="Z228" s="127">
        <v>0</v>
      </c>
      <c r="AA228" s="127">
        <v>0</v>
      </c>
      <c r="AB228" s="127">
        <v>0</v>
      </c>
      <c r="AC228" s="127">
        <v>0</v>
      </c>
      <c r="AD228" s="127">
        <v>0</v>
      </c>
      <c r="AE228" s="127">
        <v>0</v>
      </c>
      <c r="AF228" s="127">
        <v>0</v>
      </c>
      <c r="AG228" s="127">
        <v>0</v>
      </c>
      <c r="AH228" s="127">
        <v>0</v>
      </c>
      <c r="AI228" s="127">
        <v>0</v>
      </c>
      <c r="AJ228" s="127">
        <v>0</v>
      </c>
      <c r="AK228" s="127">
        <v>0</v>
      </c>
      <c r="AL228" s="127">
        <v>0</v>
      </c>
      <c r="AM228" s="127">
        <v>0</v>
      </c>
      <c r="AN228" s="127">
        <v>0</v>
      </c>
      <c r="AO228" s="127">
        <v>0</v>
      </c>
      <c r="AP228" s="127">
        <v>0</v>
      </c>
      <c r="AQ228" s="127">
        <v>0</v>
      </c>
      <c r="AR228" s="127">
        <v>0</v>
      </c>
      <c r="AS228" s="127">
        <v>0</v>
      </c>
      <c r="AT228" s="127">
        <v>0</v>
      </c>
      <c r="AU228" s="127">
        <v>0</v>
      </c>
      <c r="AV228" s="127">
        <v>0</v>
      </c>
      <c r="AW228" s="127">
        <v>0</v>
      </c>
      <c r="AX228" s="127">
        <v>0</v>
      </c>
      <c r="AY228" s="127">
        <v>0</v>
      </c>
    </row>
    <row r="229" spans="1:51" x14ac:dyDescent="0.2">
      <c r="A229" s="126"/>
      <c r="B229" s="136">
        <v>21</v>
      </c>
      <c r="C229" s="123">
        <v>0</v>
      </c>
      <c r="D229" s="127">
        <v>0</v>
      </c>
      <c r="E229" s="127">
        <v>0</v>
      </c>
      <c r="F229" s="127">
        <v>0</v>
      </c>
      <c r="G229" s="127">
        <v>0</v>
      </c>
      <c r="H229" s="127">
        <v>0</v>
      </c>
      <c r="I229" s="127">
        <v>0</v>
      </c>
      <c r="J229" s="127">
        <v>0</v>
      </c>
      <c r="K229" s="127">
        <v>0</v>
      </c>
      <c r="L229" s="127">
        <v>0</v>
      </c>
      <c r="M229" s="127">
        <v>0</v>
      </c>
      <c r="N229" s="127">
        <v>0</v>
      </c>
      <c r="O229" s="127">
        <v>0</v>
      </c>
      <c r="P229" s="127">
        <v>0</v>
      </c>
      <c r="Q229" s="127">
        <v>0</v>
      </c>
      <c r="R229" s="127">
        <v>0</v>
      </c>
      <c r="S229" s="127">
        <v>0</v>
      </c>
      <c r="T229" s="127">
        <v>0</v>
      </c>
      <c r="U229" s="127">
        <v>0</v>
      </c>
      <c r="V229" s="127">
        <v>0</v>
      </c>
      <c r="W229" s="127">
        <v>0</v>
      </c>
      <c r="X229" s="127">
        <v>0</v>
      </c>
      <c r="Y229" s="127">
        <v>0</v>
      </c>
      <c r="Z229" s="127">
        <v>0</v>
      </c>
      <c r="AA229" s="127">
        <v>0</v>
      </c>
      <c r="AB229" s="127">
        <v>0</v>
      </c>
      <c r="AC229" s="127">
        <v>0</v>
      </c>
      <c r="AD229" s="127">
        <v>0</v>
      </c>
      <c r="AE229" s="127">
        <v>0</v>
      </c>
      <c r="AF229" s="127">
        <v>0</v>
      </c>
      <c r="AG229" s="127">
        <v>0</v>
      </c>
      <c r="AH229" s="127">
        <v>0</v>
      </c>
      <c r="AI229" s="127">
        <v>0</v>
      </c>
      <c r="AJ229" s="127">
        <v>0</v>
      </c>
      <c r="AK229" s="127">
        <v>0</v>
      </c>
      <c r="AL229" s="127">
        <v>0</v>
      </c>
      <c r="AM229" s="127">
        <v>0</v>
      </c>
      <c r="AN229" s="127">
        <v>0</v>
      </c>
      <c r="AO229" s="127">
        <v>0</v>
      </c>
      <c r="AP229" s="127">
        <v>0</v>
      </c>
      <c r="AQ229" s="127">
        <v>0</v>
      </c>
      <c r="AR229" s="127">
        <v>0</v>
      </c>
      <c r="AS229" s="127">
        <v>0</v>
      </c>
      <c r="AT229" s="127">
        <v>0</v>
      </c>
      <c r="AU229" s="127">
        <v>0</v>
      </c>
      <c r="AV229" s="127">
        <v>0</v>
      </c>
      <c r="AW229" s="127">
        <v>0</v>
      </c>
      <c r="AX229" s="127">
        <v>0</v>
      </c>
      <c r="AY229" s="127">
        <v>0</v>
      </c>
    </row>
    <row r="230" spans="1:51" x14ac:dyDescent="0.2">
      <c r="A230" s="126"/>
      <c r="B230" s="136">
        <v>22</v>
      </c>
      <c r="C230" s="123">
        <v>0</v>
      </c>
      <c r="D230" s="127">
        <v>0</v>
      </c>
      <c r="E230" s="127">
        <v>0</v>
      </c>
      <c r="F230" s="127">
        <v>0</v>
      </c>
      <c r="G230" s="127">
        <v>0</v>
      </c>
      <c r="H230" s="127">
        <v>0</v>
      </c>
      <c r="I230" s="127">
        <v>0</v>
      </c>
      <c r="J230" s="127">
        <v>0</v>
      </c>
      <c r="K230" s="127">
        <v>0</v>
      </c>
      <c r="L230" s="127">
        <v>0</v>
      </c>
      <c r="M230" s="127">
        <v>0</v>
      </c>
      <c r="N230" s="127">
        <v>0</v>
      </c>
      <c r="O230" s="127">
        <v>0</v>
      </c>
      <c r="P230" s="127">
        <v>0</v>
      </c>
      <c r="Q230" s="127">
        <v>0</v>
      </c>
      <c r="R230" s="127">
        <v>0</v>
      </c>
      <c r="S230" s="127">
        <v>0</v>
      </c>
      <c r="T230" s="127">
        <v>0</v>
      </c>
      <c r="U230" s="127">
        <v>0</v>
      </c>
      <c r="V230" s="127">
        <v>0</v>
      </c>
      <c r="W230" s="127">
        <v>0</v>
      </c>
      <c r="X230" s="127">
        <v>0</v>
      </c>
      <c r="Y230" s="127">
        <v>0</v>
      </c>
      <c r="Z230" s="127">
        <v>0</v>
      </c>
      <c r="AA230" s="127">
        <v>0</v>
      </c>
      <c r="AB230" s="127">
        <v>0</v>
      </c>
      <c r="AC230" s="127">
        <v>0</v>
      </c>
      <c r="AD230" s="127">
        <v>0</v>
      </c>
      <c r="AE230" s="127">
        <v>0</v>
      </c>
      <c r="AF230" s="127">
        <v>0</v>
      </c>
      <c r="AG230" s="127">
        <v>0</v>
      </c>
      <c r="AH230" s="127">
        <v>0</v>
      </c>
      <c r="AI230" s="127">
        <v>0</v>
      </c>
      <c r="AJ230" s="127">
        <v>0</v>
      </c>
      <c r="AK230" s="127">
        <v>0</v>
      </c>
      <c r="AL230" s="127">
        <v>0</v>
      </c>
      <c r="AM230" s="127">
        <v>0</v>
      </c>
      <c r="AN230" s="127">
        <v>0</v>
      </c>
      <c r="AO230" s="127">
        <v>0</v>
      </c>
      <c r="AP230" s="127">
        <v>0</v>
      </c>
      <c r="AQ230" s="127">
        <v>0</v>
      </c>
      <c r="AR230" s="127">
        <v>0</v>
      </c>
      <c r="AS230" s="127">
        <v>0</v>
      </c>
      <c r="AT230" s="127">
        <v>0</v>
      </c>
      <c r="AU230" s="127">
        <v>0</v>
      </c>
      <c r="AV230" s="127">
        <v>0</v>
      </c>
      <c r="AW230" s="127">
        <v>0</v>
      </c>
      <c r="AX230" s="127">
        <v>0</v>
      </c>
      <c r="AY230" s="127">
        <v>0</v>
      </c>
    </row>
    <row r="231" spans="1:51" x14ac:dyDescent="0.2">
      <c r="A231" s="126"/>
      <c r="B231" s="136">
        <v>23</v>
      </c>
      <c r="C231" s="123">
        <v>0</v>
      </c>
      <c r="D231" s="127">
        <v>0</v>
      </c>
      <c r="E231" s="127">
        <v>0</v>
      </c>
      <c r="F231" s="127">
        <v>0</v>
      </c>
      <c r="G231" s="127">
        <v>0</v>
      </c>
      <c r="H231" s="127">
        <v>0</v>
      </c>
      <c r="I231" s="127">
        <v>0</v>
      </c>
      <c r="J231" s="127">
        <v>0</v>
      </c>
      <c r="K231" s="127">
        <v>0</v>
      </c>
      <c r="L231" s="127">
        <v>0</v>
      </c>
      <c r="M231" s="127">
        <v>0</v>
      </c>
      <c r="N231" s="127">
        <v>0</v>
      </c>
      <c r="O231" s="127">
        <v>0</v>
      </c>
      <c r="P231" s="127">
        <v>0</v>
      </c>
      <c r="Q231" s="127">
        <v>0</v>
      </c>
      <c r="R231" s="127">
        <v>0</v>
      </c>
      <c r="S231" s="127">
        <v>0</v>
      </c>
      <c r="T231" s="127">
        <v>0</v>
      </c>
      <c r="U231" s="127">
        <v>0</v>
      </c>
      <c r="V231" s="127">
        <v>0</v>
      </c>
      <c r="W231" s="127">
        <v>0</v>
      </c>
      <c r="X231" s="127">
        <v>0</v>
      </c>
      <c r="Y231" s="127">
        <v>0</v>
      </c>
      <c r="Z231" s="127">
        <v>0</v>
      </c>
      <c r="AA231" s="127">
        <v>0</v>
      </c>
      <c r="AB231" s="127">
        <v>0</v>
      </c>
      <c r="AC231" s="127">
        <v>0</v>
      </c>
      <c r="AD231" s="127">
        <v>0</v>
      </c>
      <c r="AE231" s="127">
        <v>0</v>
      </c>
      <c r="AF231" s="127">
        <v>0</v>
      </c>
      <c r="AG231" s="127">
        <v>0</v>
      </c>
      <c r="AH231" s="127">
        <v>0</v>
      </c>
      <c r="AI231" s="127">
        <v>0</v>
      </c>
      <c r="AJ231" s="127">
        <v>0</v>
      </c>
      <c r="AK231" s="127">
        <v>0</v>
      </c>
      <c r="AL231" s="127">
        <v>0</v>
      </c>
      <c r="AM231" s="127">
        <v>0</v>
      </c>
      <c r="AN231" s="127">
        <v>0</v>
      </c>
      <c r="AO231" s="127">
        <v>0</v>
      </c>
      <c r="AP231" s="127">
        <v>0</v>
      </c>
      <c r="AQ231" s="127">
        <v>0</v>
      </c>
      <c r="AR231" s="127">
        <v>0</v>
      </c>
      <c r="AS231" s="127">
        <v>0</v>
      </c>
      <c r="AT231" s="127">
        <v>0</v>
      </c>
      <c r="AU231" s="127">
        <v>0</v>
      </c>
      <c r="AV231" s="127">
        <v>0</v>
      </c>
      <c r="AW231" s="127">
        <v>0</v>
      </c>
      <c r="AX231" s="127">
        <v>0</v>
      </c>
      <c r="AY231" s="127">
        <v>0</v>
      </c>
    </row>
    <row r="232" spans="1:51" x14ac:dyDescent="0.2">
      <c r="A232" s="126"/>
      <c r="B232" s="136">
        <v>24</v>
      </c>
      <c r="C232" s="123">
        <v>0</v>
      </c>
      <c r="D232" s="127">
        <v>0</v>
      </c>
      <c r="E232" s="127">
        <v>0</v>
      </c>
      <c r="F232" s="127">
        <v>0</v>
      </c>
      <c r="G232" s="127">
        <v>0</v>
      </c>
      <c r="H232" s="127">
        <v>0</v>
      </c>
      <c r="I232" s="127">
        <v>0</v>
      </c>
      <c r="J232" s="127">
        <v>0</v>
      </c>
      <c r="K232" s="127">
        <v>0</v>
      </c>
      <c r="L232" s="127">
        <v>0</v>
      </c>
      <c r="M232" s="127">
        <v>0</v>
      </c>
      <c r="N232" s="127">
        <v>0</v>
      </c>
      <c r="O232" s="127">
        <v>0</v>
      </c>
      <c r="P232" s="127">
        <v>0</v>
      </c>
      <c r="Q232" s="127">
        <v>0</v>
      </c>
      <c r="R232" s="127">
        <v>0</v>
      </c>
      <c r="S232" s="127">
        <v>0</v>
      </c>
      <c r="T232" s="127">
        <v>0</v>
      </c>
      <c r="U232" s="127">
        <v>0</v>
      </c>
      <c r="V232" s="127">
        <v>0</v>
      </c>
      <c r="W232" s="127">
        <v>0</v>
      </c>
      <c r="X232" s="127">
        <v>0</v>
      </c>
      <c r="Y232" s="127">
        <v>0</v>
      </c>
      <c r="Z232" s="127">
        <v>0</v>
      </c>
      <c r="AA232" s="127">
        <v>0</v>
      </c>
      <c r="AB232" s="127">
        <v>0</v>
      </c>
      <c r="AC232" s="127">
        <v>0</v>
      </c>
      <c r="AD232" s="127">
        <v>0</v>
      </c>
      <c r="AE232" s="127">
        <v>0</v>
      </c>
      <c r="AF232" s="127">
        <v>0</v>
      </c>
      <c r="AG232" s="127">
        <v>0</v>
      </c>
      <c r="AH232" s="127">
        <v>0</v>
      </c>
      <c r="AI232" s="127">
        <v>0</v>
      </c>
      <c r="AJ232" s="127">
        <v>0</v>
      </c>
      <c r="AK232" s="127">
        <v>0</v>
      </c>
      <c r="AL232" s="127">
        <v>0</v>
      </c>
      <c r="AM232" s="127">
        <v>0</v>
      </c>
      <c r="AN232" s="127">
        <v>0</v>
      </c>
      <c r="AO232" s="127">
        <v>0</v>
      </c>
      <c r="AP232" s="127">
        <v>0</v>
      </c>
      <c r="AQ232" s="127">
        <v>0</v>
      </c>
      <c r="AR232" s="127">
        <v>0</v>
      </c>
      <c r="AS232" s="127">
        <v>0</v>
      </c>
      <c r="AT232" s="127">
        <v>0</v>
      </c>
      <c r="AU232" s="127">
        <v>0</v>
      </c>
      <c r="AV232" s="127">
        <v>0</v>
      </c>
      <c r="AW232" s="127">
        <v>0</v>
      </c>
      <c r="AX232" s="127">
        <v>0</v>
      </c>
      <c r="AY232" s="127">
        <v>0</v>
      </c>
    </row>
    <row r="233" spans="1:51" x14ac:dyDescent="0.2">
      <c r="A233" s="126"/>
      <c r="B233" s="143">
        <v>25</v>
      </c>
      <c r="C233" s="123">
        <v>0</v>
      </c>
      <c r="D233" s="127">
        <v>0</v>
      </c>
      <c r="E233" s="127">
        <v>0</v>
      </c>
      <c r="F233" s="127">
        <v>0</v>
      </c>
      <c r="G233" s="127">
        <v>0</v>
      </c>
      <c r="H233" s="127">
        <v>0</v>
      </c>
      <c r="I233" s="127">
        <v>0</v>
      </c>
      <c r="J233" s="127">
        <v>0</v>
      </c>
      <c r="K233" s="127">
        <v>0</v>
      </c>
      <c r="L233" s="127">
        <v>0</v>
      </c>
      <c r="M233" s="127">
        <v>0</v>
      </c>
      <c r="N233" s="127">
        <v>0</v>
      </c>
      <c r="O233" s="127">
        <v>0</v>
      </c>
      <c r="P233" s="127">
        <v>0</v>
      </c>
      <c r="Q233" s="127">
        <v>0</v>
      </c>
      <c r="R233" s="127">
        <v>0</v>
      </c>
      <c r="S233" s="127">
        <v>0</v>
      </c>
      <c r="T233" s="127">
        <v>0</v>
      </c>
      <c r="U233" s="127">
        <v>0</v>
      </c>
      <c r="V233" s="127">
        <v>0</v>
      </c>
      <c r="W233" s="127">
        <v>0</v>
      </c>
      <c r="X233" s="127">
        <v>0</v>
      </c>
      <c r="Y233" s="127">
        <v>0</v>
      </c>
      <c r="Z233" s="127">
        <v>0</v>
      </c>
      <c r="AA233" s="127">
        <v>0</v>
      </c>
      <c r="AB233" s="127">
        <v>0</v>
      </c>
      <c r="AC233" s="127">
        <v>0</v>
      </c>
      <c r="AD233" s="127">
        <v>0</v>
      </c>
      <c r="AE233" s="127">
        <v>0</v>
      </c>
      <c r="AF233" s="127">
        <v>0</v>
      </c>
      <c r="AG233" s="127">
        <v>0</v>
      </c>
      <c r="AH233" s="127">
        <v>0</v>
      </c>
      <c r="AI233" s="127">
        <v>0</v>
      </c>
      <c r="AJ233" s="127">
        <v>0</v>
      </c>
      <c r="AK233" s="127">
        <v>0</v>
      </c>
      <c r="AL233" s="127">
        <v>0</v>
      </c>
      <c r="AM233" s="127">
        <v>0</v>
      </c>
      <c r="AN233" s="127">
        <v>0</v>
      </c>
      <c r="AO233" s="127">
        <v>0</v>
      </c>
      <c r="AP233" s="127">
        <v>0</v>
      </c>
      <c r="AQ233" s="127">
        <v>0</v>
      </c>
      <c r="AR233" s="127">
        <v>0</v>
      </c>
      <c r="AS233" s="127">
        <v>0</v>
      </c>
      <c r="AT233" s="127">
        <v>0</v>
      </c>
      <c r="AU233" s="127">
        <v>0</v>
      </c>
      <c r="AV233" s="127">
        <v>0</v>
      </c>
      <c r="AW233" s="127">
        <v>0</v>
      </c>
      <c r="AX233" s="127">
        <v>0</v>
      </c>
      <c r="AY233" s="127">
        <v>0</v>
      </c>
    </row>
    <row r="234" spans="1:51" x14ac:dyDescent="0.2">
      <c r="A234" s="126"/>
      <c r="B234" s="143">
        <v>26</v>
      </c>
      <c r="C234" s="123">
        <v>0</v>
      </c>
      <c r="D234" s="127">
        <v>0</v>
      </c>
      <c r="E234" s="127">
        <v>0</v>
      </c>
      <c r="F234" s="127">
        <v>0</v>
      </c>
      <c r="G234" s="127">
        <v>0</v>
      </c>
      <c r="H234" s="127">
        <v>0</v>
      </c>
      <c r="I234" s="127">
        <v>0</v>
      </c>
      <c r="J234" s="127">
        <v>0</v>
      </c>
      <c r="K234" s="127">
        <v>0</v>
      </c>
      <c r="L234" s="127">
        <v>0</v>
      </c>
      <c r="M234" s="127">
        <v>0</v>
      </c>
      <c r="N234" s="127">
        <v>0</v>
      </c>
      <c r="O234" s="127">
        <v>0</v>
      </c>
      <c r="P234" s="127">
        <v>0</v>
      </c>
      <c r="Q234" s="127">
        <v>0</v>
      </c>
      <c r="R234" s="127">
        <v>0</v>
      </c>
      <c r="S234" s="127">
        <v>0</v>
      </c>
      <c r="T234" s="127">
        <v>0</v>
      </c>
      <c r="U234" s="127">
        <v>0</v>
      </c>
      <c r="V234" s="127">
        <v>0</v>
      </c>
      <c r="W234" s="127">
        <v>0</v>
      </c>
      <c r="X234" s="127">
        <v>0</v>
      </c>
      <c r="Y234" s="127">
        <v>0</v>
      </c>
      <c r="Z234" s="127">
        <v>0</v>
      </c>
      <c r="AA234" s="127">
        <v>0</v>
      </c>
      <c r="AB234" s="127">
        <v>0</v>
      </c>
      <c r="AC234" s="127">
        <v>0</v>
      </c>
      <c r="AD234" s="127">
        <v>0</v>
      </c>
      <c r="AE234" s="127">
        <v>0</v>
      </c>
      <c r="AF234" s="127">
        <v>0</v>
      </c>
      <c r="AG234" s="127">
        <v>0</v>
      </c>
      <c r="AH234" s="127">
        <v>0</v>
      </c>
      <c r="AI234" s="127">
        <v>0</v>
      </c>
      <c r="AJ234" s="127">
        <v>0</v>
      </c>
      <c r="AK234" s="127">
        <v>0</v>
      </c>
      <c r="AL234" s="127">
        <v>0</v>
      </c>
      <c r="AM234" s="127">
        <v>0</v>
      </c>
      <c r="AN234" s="127">
        <v>0</v>
      </c>
      <c r="AO234" s="127">
        <v>0</v>
      </c>
      <c r="AP234" s="127">
        <v>0</v>
      </c>
      <c r="AQ234" s="127">
        <v>0</v>
      </c>
      <c r="AR234" s="127">
        <v>0</v>
      </c>
      <c r="AS234" s="127">
        <v>0</v>
      </c>
      <c r="AT234" s="127">
        <v>0</v>
      </c>
      <c r="AU234" s="127">
        <v>0</v>
      </c>
      <c r="AV234" s="127">
        <v>0</v>
      </c>
      <c r="AW234" s="127">
        <v>0</v>
      </c>
      <c r="AX234" s="127">
        <v>0</v>
      </c>
      <c r="AY234" s="127">
        <v>0</v>
      </c>
    </row>
    <row r="235" spans="1:51" x14ac:dyDescent="0.2">
      <c r="A235" s="126"/>
      <c r="B235" s="143">
        <v>27</v>
      </c>
      <c r="C235" s="123">
        <v>0</v>
      </c>
      <c r="D235" s="127">
        <v>0</v>
      </c>
      <c r="E235" s="127">
        <v>0</v>
      </c>
      <c r="F235" s="127">
        <v>0</v>
      </c>
      <c r="G235" s="127">
        <v>0</v>
      </c>
      <c r="H235" s="127">
        <v>0</v>
      </c>
      <c r="I235" s="127">
        <v>0</v>
      </c>
      <c r="J235" s="127">
        <v>0</v>
      </c>
      <c r="K235" s="127">
        <v>0</v>
      </c>
      <c r="L235" s="127">
        <v>0</v>
      </c>
      <c r="M235" s="127">
        <v>0</v>
      </c>
      <c r="N235" s="127">
        <v>0</v>
      </c>
      <c r="O235" s="127">
        <v>0</v>
      </c>
      <c r="P235" s="127">
        <v>0</v>
      </c>
      <c r="Q235" s="127">
        <v>0</v>
      </c>
      <c r="R235" s="127">
        <v>0</v>
      </c>
      <c r="S235" s="127">
        <v>0</v>
      </c>
      <c r="T235" s="127">
        <v>0</v>
      </c>
      <c r="U235" s="127">
        <v>0</v>
      </c>
      <c r="V235" s="127">
        <v>0</v>
      </c>
      <c r="W235" s="127">
        <v>0</v>
      </c>
      <c r="X235" s="127">
        <v>0</v>
      </c>
      <c r="Y235" s="127">
        <v>0</v>
      </c>
      <c r="Z235" s="127">
        <v>0</v>
      </c>
      <c r="AA235" s="127">
        <v>0</v>
      </c>
      <c r="AB235" s="127">
        <v>0</v>
      </c>
      <c r="AC235" s="127">
        <v>0</v>
      </c>
      <c r="AD235" s="127">
        <v>0</v>
      </c>
      <c r="AE235" s="127">
        <v>0</v>
      </c>
      <c r="AF235" s="127">
        <v>0</v>
      </c>
      <c r="AG235" s="127">
        <v>0</v>
      </c>
      <c r="AH235" s="127">
        <v>0</v>
      </c>
      <c r="AI235" s="127">
        <v>0</v>
      </c>
      <c r="AJ235" s="127">
        <v>0</v>
      </c>
      <c r="AK235" s="127">
        <v>0</v>
      </c>
      <c r="AL235" s="127">
        <v>0</v>
      </c>
      <c r="AM235" s="127">
        <v>0</v>
      </c>
      <c r="AN235" s="127">
        <v>0</v>
      </c>
      <c r="AO235" s="127">
        <v>0</v>
      </c>
      <c r="AP235" s="127">
        <v>0</v>
      </c>
      <c r="AQ235" s="127">
        <v>0</v>
      </c>
      <c r="AR235" s="127">
        <v>0</v>
      </c>
      <c r="AS235" s="127">
        <v>0</v>
      </c>
      <c r="AT235" s="127">
        <v>0</v>
      </c>
      <c r="AU235" s="127">
        <v>0</v>
      </c>
      <c r="AV235" s="127">
        <v>0</v>
      </c>
      <c r="AW235" s="127">
        <v>0</v>
      </c>
      <c r="AX235" s="127">
        <v>0</v>
      </c>
      <c r="AY235" s="127">
        <v>0</v>
      </c>
    </row>
    <row r="236" spans="1:51" x14ac:dyDescent="0.2">
      <c r="A236" s="126"/>
      <c r="B236" s="143">
        <v>28</v>
      </c>
      <c r="C236" s="123">
        <v>0</v>
      </c>
      <c r="D236" s="127">
        <v>0</v>
      </c>
      <c r="E236" s="127">
        <v>0</v>
      </c>
      <c r="F236" s="127">
        <v>0</v>
      </c>
      <c r="G236" s="127">
        <v>0</v>
      </c>
      <c r="H236" s="127">
        <v>0</v>
      </c>
      <c r="I236" s="127">
        <v>0</v>
      </c>
      <c r="J236" s="127">
        <v>0</v>
      </c>
      <c r="K236" s="127">
        <v>0</v>
      </c>
      <c r="L236" s="127">
        <v>0</v>
      </c>
      <c r="M236" s="127">
        <v>0</v>
      </c>
      <c r="N236" s="127">
        <v>0</v>
      </c>
      <c r="O236" s="127">
        <v>0</v>
      </c>
      <c r="P236" s="127">
        <v>0</v>
      </c>
      <c r="Q236" s="127">
        <v>0</v>
      </c>
      <c r="R236" s="127">
        <v>0</v>
      </c>
      <c r="S236" s="127">
        <v>0</v>
      </c>
      <c r="T236" s="127">
        <v>0</v>
      </c>
      <c r="U236" s="127">
        <v>0</v>
      </c>
      <c r="V236" s="127">
        <v>0</v>
      </c>
      <c r="W236" s="127">
        <v>0</v>
      </c>
      <c r="X236" s="127">
        <v>0</v>
      </c>
      <c r="Y236" s="127">
        <v>0</v>
      </c>
      <c r="Z236" s="127">
        <v>0</v>
      </c>
      <c r="AA236" s="127">
        <v>0</v>
      </c>
      <c r="AB236" s="127">
        <v>0</v>
      </c>
      <c r="AC236" s="127">
        <v>0</v>
      </c>
      <c r="AD236" s="127">
        <v>0</v>
      </c>
      <c r="AE236" s="127">
        <v>0</v>
      </c>
      <c r="AF236" s="127">
        <v>0</v>
      </c>
      <c r="AG236" s="127">
        <v>0</v>
      </c>
      <c r="AH236" s="127">
        <v>0</v>
      </c>
      <c r="AI236" s="127">
        <v>0</v>
      </c>
      <c r="AJ236" s="127">
        <v>0</v>
      </c>
      <c r="AK236" s="127">
        <v>0</v>
      </c>
      <c r="AL236" s="127">
        <v>0</v>
      </c>
      <c r="AM236" s="127">
        <v>0</v>
      </c>
      <c r="AN236" s="127">
        <v>0</v>
      </c>
      <c r="AO236" s="127">
        <v>0</v>
      </c>
      <c r="AP236" s="127">
        <v>0</v>
      </c>
      <c r="AQ236" s="127">
        <v>0</v>
      </c>
      <c r="AR236" s="127">
        <v>0</v>
      </c>
      <c r="AS236" s="127">
        <v>0</v>
      </c>
      <c r="AT236" s="127">
        <v>0</v>
      </c>
      <c r="AU236" s="127">
        <v>0</v>
      </c>
      <c r="AV236" s="127">
        <v>0</v>
      </c>
      <c r="AW236" s="127">
        <v>0</v>
      </c>
      <c r="AX236" s="127">
        <v>0</v>
      </c>
      <c r="AY236" s="127">
        <v>0</v>
      </c>
    </row>
    <row r="237" spans="1:51" x14ac:dyDescent="0.2">
      <c r="A237" s="126"/>
      <c r="B237" s="143">
        <v>29</v>
      </c>
      <c r="C237" s="123">
        <v>0</v>
      </c>
      <c r="D237" s="127">
        <v>0</v>
      </c>
      <c r="E237" s="127">
        <v>0</v>
      </c>
      <c r="F237" s="127">
        <v>0</v>
      </c>
      <c r="G237" s="127">
        <v>0</v>
      </c>
      <c r="H237" s="127">
        <v>0</v>
      </c>
      <c r="I237" s="127">
        <v>0</v>
      </c>
      <c r="J237" s="127">
        <v>0</v>
      </c>
      <c r="K237" s="127">
        <v>0</v>
      </c>
      <c r="L237" s="127">
        <v>0</v>
      </c>
      <c r="M237" s="127">
        <v>0</v>
      </c>
      <c r="N237" s="127">
        <v>0</v>
      </c>
      <c r="O237" s="127">
        <v>0</v>
      </c>
      <c r="P237" s="127">
        <v>0</v>
      </c>
      <c r="Q237" s="127">
        <v>0</v>
      </c>
      <c r="R237" s="127">
        <v>0</v>
      </c>
      <c r="S237" s="127">
        <v>0</v>
      </c>
      <c r="T237" s="127">
        <v>0</v>
      </c>
      <c r="U237" s="127">
        <v>0</v>
      </c>
      <c r="V237" s="127">
        <v>0</v>
      </c>
      <c r="W237" s="127">
        <v>0</v>
      </c>
      <c r="X237" s="127">
        <v>0</v>
      </c>
      <c r="Y237" s="127">
        <v>0</v>
      </c>
      <c r="Z237" s="127">
        <v>0</v>
      </c>
      <c r="AA237" s="127">
        <v>0</v>
      </c>
      <c r="AB237" s="127">
        <v>0</v>
      </c>
      <c r="AC237" s="127">
        <v>0</v>
      </c>
      <c r="AD237" s="127">
        <v>0</v>
      </c>
      <c r="AE237" s="127">
        <v>0</v>
      </c>
      <c r="AF237" s="127">
        <v>0</v>
      </c>
      <c r="AG237" s="127">
        <v>0</v>
      </c>
      <c r="AH237" s="127">
        <v>0</v>
      </c>
      <c r="AI237" s="127">
        <v>0</v>
      </c>
      <c r="AJ237" s="127">
        <v>0</v>
      </c>
      <c r="AK237" s="127">
        <v>0</v>
      </c>
      <c r="AL237" s="127">
        <v>0</v>
      </c>
      <c r="AM237" s="127">
        <v>0</v>
      </c>
      <c r="AN237" s="127">
        <v>0</v>
      </c>
      <c r="AO237" s="127">
        <v>0</v>
      </c>
      <c r="AP237" s="127">
        <v>0</v>
      </c>
      <c r="AQ237" s="127">
        <v>0</v>
      </c>
      <c r="AR237" s="127">
        <v>0</v>
      </c>
      <c r="AS237" s="127">
        <v>0</v>
      </c>
      <c r="AT237" s="127">
        <v>0</v>
      </c>
      <c r="AU237" s="127">
        <v>0</v>
      </c>
      <c r="AV237" s="127">
        <v>0</v>
      </c>
      <c r="AW237" s="127">
        <v>0</v>
      </c>
      <c r="AX237" s="127">
        <v>0</v>
      </c>
      <c r="AY237" s="127">
        <v>0</v>
      </c>
    </row>
    <row r="238" spans="1:51" x14ac:dyDescent="0.2">
      <c r="A238" s="126"/>
      <c r="B238" s="143">
        <v>30</v>
      </c>
      <c r="C238" s="123">
        <v>0</v>
      </c>
      <c r="D238" s="127">
        <v>0</v>
      </c>
      <c r="E238" s="127">
        <v>0</v>
      </c>
      <c r="F238" s="127">
        <v>0</v>
      </c>
      <c r="G238" s="127">
        <v>0</v>
      </c>
      <c r="H238" s="127">
        <v>0</v>
      </c>
      <c r="I238" s="127">
        <v>0</v>
      </c>
      <c r="J238" s="127">
        <v>0</v>
      </c>
      <c r="K238" s="127">
        <v>0</v>
      </c>
      <c r="L238" s="127">
        <v>0</v>
      </c>
      <c r="M238" s="127">
        <v>0</v>
      </c>
      <c r="N238" s="127">
        <v>0</v>
      </c>
      <c r="O238" s="127">
        <v>0</v>
      </c>
      <c r="P238" s="127">
        <v>0</v>
      </c>
      <c r="Q238" s="127">
        <v>0</v>
      </c>
      <c r="R238" s="127">
        <v>0</v>
      </c>
      <c r="S238" s="127">
        <v>0</v>
      </c>
      <c r="T238" s="127">
        <v>0</v>
      </c>
      <c r="U238" s="127">
        <v>0</v>
      </c>
      <c r="V238" s="127">
        <v>0</v>
      </c>
      <c r="W238" s="127">
        <v>0</v>
      </c>
      <c r="X238" s="127">
        <v>0</v>
      </c>
      <c r="Y238" s="127">
        <v>0</v>
      </c>
      <c r="Z238" s="127">
        <v>0</v>
      </c>
      <c r="AA238" s="127">
        <v>0</v>
      </c>
      <c r="AB238" s="127">
        <v>0</v>
      </c>
      <c r="AC238" s="127">
        <v>0</v>
      </c>
      <c r="AD238" s="127">
        <v>0</v>
      </c>
      <c r="AE238" s="127">
        <v>0</v>
      </c>
      <c r="AF238" s="127">
        <v>0</v>
      </c>
      <c r="AG238" s="127">
        <v>0</v>
      </c>
      <c r="AH238" s="127">
        <v>0</v>
      </c>
      <c r="AI238" s="127">
        <v>0</v>
      </c>
      <c r="AJ238" s="127">
        <v>0</v>
      </c>
      <c r="AK238" s="127">
        <v>0</v>
      </c>
      <c r="AL238" s="127">
        <v>0</v>
      </c>
      <c r="AM238" s="127">
        <v>0</v>
      </c>
      <c r="AN238" s="127">
        <v>0</v>
      </c>
      <c r="AO238" s="127">
        <v>0</v>
      </c>
      <c r="AP238" s="127">
        <v>0</v>
      </c>
      <c r="AQ238" s="127">
        <v>0</v>
      </c>
      <c r="AR238" s="127">
        <v>0</v>
      </c>
      <c r="AS238" s="127">
        <v>0</v>
      </c>
      <c r="AT238" s="127">
        <v>0</v>
      </c>
      <c r="AU238" s="127">
        <v>0</v>
      </c>
      <c r="AV238" s="127">
        <v>0</v>
      </c>
      <c r="AW238" s="127">
        <v>0</v>
      </c>
      <c r="AX238" s="127">
        <v>0</v>
      </c>
      <c r="AY238" s="127">
        <v>0</v>
      </c>
    </row>
    <row r="239" spans="1:51" x14ac:dyDescent="0.2">
      <c r="A239" s="126"/>
      <c r="B239" s="143">
        <v>31</v>
      </c>
      <c r="C239" s="123">
        <v>0</v>
      </c>
      <c r="D239" s="127">
        <v>0</v>
      </c>
      <c r="E239" s="127">
        <v>0</v>
      </c>
      <c r="F239" s="127">
        <v>0</v>
      </c>
      <c r="G239" s="127">
        <v>0</v>
      </c>
      <c r="H239" s="127">
        <v>0</v>
      </c>
      <c r="I239" s="127">
        <v>0</v>
      </c>
      <c r="J239" s="127">
        <v>0</v>
      </c>
      <c r="K239" s="127">
        <v>0</v>
      </c>
      <c r="L239" s="127">
        <v>0</v>
      </c>
      <c r="M239" s="127">
        <v>0</v>
      </c>
      <c r="N239" s="127">
        <v>0</v>
      </c>
      <c r="O239" s="127">
        <v>0</v>
      </c>
      <c r="P239" s="127">
        <v>0</v>
      </c>
      <c r="Q239" s="127">
        <v>0</v>
      </c>
      <c r="R239" s="127">
        <v>0</v>
      </c>
      <c r="S239" s="127">
        <v>0</v>
      </c>
      <c r="T239" s="127">
        <v>0</v>
      </c>
      <c r="U239" s="127">
        <v>0</v>
      </c>
      <c r="V239" s="127">
        <v>0</v>
      </c>
      <c r="W239" s="127">
        <v>0</v>
      </c>
      <c r="X239" s="127">
        <v>0</v>
      </c>
      <c r="Y239" s="127">
        <v>0</v>
      </c>
      <c r="Z239" s="127">
        <v>0</v>
      </c>
      <c r="AA239" s="127">
        <v>0</v>
      </c>
      <c r="AB239" s="127">
        <v>0</v>
      </c>
      <c r="AC239" s="127">
        <v>0</v>
      </c>
      <c r="AD239" s="127">
        <v>0</v>
      </c>
      <c r="AE239" s="127">
        <v>0</v>
      </c>
      <c r="AF239" s="127">
        <v>0</v>
      </c>
      <c r="AG239" s="127">
        <v>0</v>
      </c>
      <c r="AH239" s="127">
        <v>0</v>
      </c>
      <c r="AI239" s="127">
        <v>0</v>
      </c>
      <c r="AJ239" s="127">
        <v>0</v>
      </c>
      <c r="AK239" s="127">
        <v>0</v>
      </c>
      <c r="AL239" s="127">
        <v>0</v>
      </c>
      <c r="AM239" s="127">
        <v>0</v>
      </c>
      <c r="AN239" s="127">
        <v>0</v>
      </c>
      <c r="AO239" s="127">
        <v>0</v>
      </c>
      <c r="AP239" s="127">
        <v>0</v>
      </c>
      <c r="AQ239" s="127">
        <v>0</v>
      </c>
      <c r="AR239" s="127">
        <v>0</v>
      </c>
      <c r="AS239" s="127">
        <v>0</v>
      </c>
      <c r="AT239" s="127">
        <v>0</v>
      </c>
      <c r="AU239" s="127">
        <v>0</v>
      </c>
      <c r="AV239" s="127">
        <v>0</v>
      </c>
      <c r="AW239" s="127">
        <v>0</v>
      </c>
      <c r="AX239" s="127">
        <v>0</v>
      </c>
      <c r="AY239" s="127">
        <v>0</v>
      </c>
    </row>
    <row r="240" spans="1:51" x14ac:dyDescent="0.2">
      <c r="A240" s="126"/>
      <c r="B240" s="143">
        <v>32</v>
      </c>
      <c r="C240" s="123">
        <v>0</v>
      </c>
      <c r="D240" s="127">
        <v>0</v>
      </c>
      <c r="E240" s="127">
        <v>0</v>
      </c>
      <c r="F240" s="127">
        <v>0</v>
      </c>
      <c r="G240" s="127">
        <v>0</v>
      </c>
      <c r="H240" s="127">
        <v>0</v>
      </c>
      <c r="I240" s="127">
        <v>0</v>
      </c>
      <c r="J240" s="127">
        <v>0</v>
      </c>
      <c r="K240" s="127">
        <v>0</v>
      </c>
      <c r="L240" s="127">
        <v>0</v>
      </c>
      <c r="M240" s="127">
        <v>0</v>
      </c>
      <c r="N240" s="127">
        <v>0</v>
      </c>
      <c r="O240" s="127">
        <v>0</v>
      </c>
      <c r="P240" s="127">
        <v>0</v>
      </c>
      <c r="Q240" s="127">
        <v>0</v>
      </c>
      <c r="R240" s="127">
        <v>0</v>
      </c>
      <c r="S240" s="127">
        <v>0</v>
      </c>
      <c r="T240" s="127">
        <v>0</v>
      </c>
      <c r="U240" s="127">
        <v>0</v>
      </c>
      <c r="V240" s="127">
        <v>0</v>
      </c>
      <c r="W240" s="127">
        <v>0</v>
      </c>
      <c r="X240" s="127">
        <v>0</v>
      </c>
      <c r="Y240" s="127">
        <v>0</v>
      </c>
      <c r="Z240" s="127">
        <v>0</v>
      </c>
      <c r="AA240" s="127">
        <v>0</v>
      </c>
      <c r="AB240" s="127">
        <v>0</v>
      </c>
      <c r="AC240" s="127">
        <v>0</v>
      </c>
      <c r="AD240" s="127">
        <v>0</v>
      </c>
      <c r="AE240" s="127">
        <v>0</v>
      </c>
      <c r="AF240" s="127">
        <v>0</v>
      </c>
      <c r="AG240" s="127">
        <v>0</v>
      </c>
      <c r="AH240" s="127">
        <v>0</v>
      </c>
      <c r="AI240" s="127">
        <v>0</v>
      </c>
      <c r="AJ240" s="127">
        <v>0</v>
      </c>
      <c r="AK240" s="127">
        <v>0</v>
      </c>
      <c r="AL240" s="127">
        <v>0</v>
      </c>
      <c r="AM240" s="127">
        <v>0</v>
      </c>
      <c r="AN240" s="127">
        <v>0</v>
      </c>
      <c r="AO240" s="127">
        <v>0</v>
      </c>
      <c r="AP240" s="127">
        <v>0</v>
      </c>
      <c r="AQ240" s="127">
        <v>0</v>
      </c>
      <c r="AR240" s="127">
        <v>0</v>
      </c>
      <c r="AS240" s="127">
        <v>0</v>
      </c>
      <c r="AT240" s="127">
        <v>0</v>
      </c>
      <c r="AU240" s="127">
        <v>0</v>
      </c>
      <c r="AV240" s="127">
        <v>0</v>
      </c>
      <c r="AW240" s="127">
        <v>0</v>
      </c>
      <c r="AX240" s="127">
        <v>0</v>
      </c>
      <c r="AY240" s="127">
        <v>0</v>
      </c>
    </row>
    <row r="241" spans="1:51" x14ac:dyDescent="0.2">
      <c r="A241" s="126"/>
      <c r="B241" s="143">
        <v>33</v>
      </c>
      <c r="C241" s="123">
        <v>0</v>
      </c>
      <c r="D241" s="127">
        <v>0</v>
      </c>
      <c r="E241" s="127">
        <v>0</v>
      </c>
      <c r="F241" s="127">
        <v>0</v>
      </c>
      <c r="G241" s="127">
        <v>0</v>
      </c>
      <c r="H241" s="127">
        <v>0</v>
      </c>
      <c r="I241" s="127">
        <v>0</v>
      </c>
      <c r="J241" s="127">
        <v>0</v>
      </c>
      <c r="K241" s="127">
        <v>0</v>
      </c>
      <c r="L241" s="127">
        <v>0</v>
      </c>
      <c r="M241" s="127">
        <v>0</v>
      </c>
      <c r="N241" s="127">
        <v>0</v>
      </c>
      <c r="O241" s="127">
        <v>0</v>
      </c>
      <c r="P241" s="127">
        <v>0</v>
      </c>
      <c r="Q241" s="127">
        <v>0</v>
      </c>
      <c r="R241" s="127">
        <v>0</v>
      </c>
      <c r="S241" s="127">
        <v>0</v>
      </c>
      <c r="T241" s="127">
        <v>0</v>
      </c>
      <c r="U241" s="127">
        <v>0</v>
      </c>
      <c r="V241" s="127">
        <v>0</v>
      </c>
      <c r="W241" s="127">
        <v>0</v>
      </c>
      <c r="X241" s="127">
        <v>0</v>
      </c>
      <c r="Y241" s="127">
        <v>0</v>
      </c>
      <c r="Z241" s="127">
        <v>0</v>
      </c>
      <c r="AA241" s="127">
        <v>0</v>
      </c>
      <c r="AB241" s="127">
        <v>0</v>
      </c>
      <c r="AC241" s="127">
        <v>0</v>
      </c>
      <c r="AD241" s="127">
        <v>0</v>
      </c>
      <c r="AE241" s="127">
        <v>0</v>
      </c>
      <c r="AF241" s="127">
        <v>0</v>
      </c>
      <c r="AG241" s="127">
        <v>0</v>
      </c>
      <c r="AH241" s="127">
        <v>0</v>
      </c>
      <c r="AI241" s="127">
        <v>0</v>
      </c>
      <c r="AJ241" s="127">
        <v>0</v>
      </c>
      <c r="AK241" s="127">
        <v>0</v>
      </c>
      <c r="AL241" s="127">
        <v>0</v>
      </c>
      <c r="AM241" s="127">
        <v>0</v>
      </c>
      <c r="AN241" s="127">
        <v>0</v>
      </c>
      <c r="AO241" s="127">
        <v>0</v>
      </c>
      <c r="AP241" s="127">
        <v>0</v>
      </c>
      <c r="AQ241" s="127">
        <v>0</v>
      </c>
      <c r="AR241" s="127">
        <v>0</v>
      </c>
      <c r="AS241" s="127">
        <v>0</v>
      </c>
      <c r="AT241" s="127">
        <v>0</v>
      </c>
      <c r="AU241" s="127">
        <v>0</v>
      </c>
      <c r="AV241" s="127">
        <v>0</v>
      </c>
      <c r="AW241" s="127">
        <v>0</v>
      </c>
      <c r="AX241" s="127">
        <v>0</v>
      </c>
      <c r="AY241" s="127">
        <v>0</v>
      </c>
    </row>
    <row r="242" spans="1:51" x14ac:dyDescent="0.2">
      <c r="A242" s="126"/>
      <c r="B242" s="143">
        <v>34</v>
      </c>
      <c r="C242" s="123">
        <v>0</v>
      </c>
      <c r="D242" s="127">
        <v>0</v>
      </c>
      <c r="E242" s="127">
        <v>0</v>
      </c>
      <c r="F242" s="127">
        <v>0</v>
      </c>
      <c r="G242" s="127">
        <v>0</v>
      </c>
      <c r="H242" s="127">
        <v>0</v>
      </c>
      <c r="I242" s="127">
        <v>0</v>
      </c>
      <c r="J242" s="127">
        <v>0</v>
      </c>
      <c r="K242" s="127">
        <v>0</v>
      </c>
      <c r="L242" s="127">
        <v>0</v>
      </c>
      <c r="M242" s="127">
        <v>0</v>
      </c>
      <c r="N242" s="127">
        <v>0</v>
      </c>
      <c r="O242" s="127">
        <v>0</v>
      </c>
      <c r="P242" s="127">
        <v>0</v>
      </c>
      <c r="Q242" s="127">
        <v>0</v>
      </c>
      <c r="R242" s="127">
        <v>0</v>
      </c>
      <c r="S242" s="127">
        <v>0</v>
      </c>
      <c r="T242" s="127">
        <v>0</v>
      </c>
      <c r="U242" s="127">
        <v>0</v>
      </c>
      <c r="V242" s="127">
        <v>0</v>
      </c>
      <c r="W242" s="127">
        <v>0</v>
      </c>
      <c r="X242" s="127">
        <v>0</v>
      </c>
      <c r="Y242" s="127">
        <v>0</v>
      </c>
      <c r="Z242" s="127">
        <v>0</v>
      </c>
      <c r="AA242" s="127">
        <v>0</v>
      </c>
      <c r="AB242" s="127">
        <v>0</v>
      </c>
      <c r="AC242" s="127">
        <v>0</v>
      </c>
      <c r="AD242" s="127">
        <v>0</v>
      </c>
      <c r="AE242" s="127">
        <v>0</v>
      </c>
      <c r="AF242" s="127">
        <v>0</v>
      </c>
      <c r="AG242" s="127">
        <v>0</v>
      </c>
      <c r="AH242" s="127">
        <v>0</v>
      </c>
      <c r="AI242" s="127">
        <v>0</v>
      </c>
      <c r="AJ242" s="127">
        <v>0</v>
      </c>
      <c r="AK242" s="127">
        <v>0</v>
      </c>
      <c r="AL242" s="127">
        <v>0</v>
      </c>
      <c r="AM242" s="127">
        <v>0</v>
      </c>
      <c r="AN242" s="127">
        <v>0</v>
      </c>
      <c r="AO242" s="127">
        <v>0</v>
      </c>
      <c r="AP242" s="127">
        <v>0</v>
      </c>
      <c r="AQ242" s="127">
        <v>0</v>
      </c>
      <c r="AR242" s="127">
        <v>0</v>
      </c>
      <c r="AS242" s="127">
        <v>0</v>
      </c>
      <c r="AT242" s="127">
        <v>0</v>
      </c>
      <c r="AU242" s="127">
        <v>0</v>
      </c>
      <c r="AV242" s="127">
        <v>0</v>
      </c>
      <c r="AW242" s="127">
        <v>0</v>
      </c>
      <c r="AX242" s="127">
        <v>0</v>
      </c>
      <c r="AY242" s="127">
        <v>0</v>
      </c>
    </row>
    <row r="243" spans="1:51" x14ac:dyDescent="0.2">
      <c r="A243" s="126"/>
      <c r="B243" s="143">
        <v>35</v>
      </c>
      <c r="C243" s="123">
        <v>0</v>
      </c>
      <c r="D243" s="127">
        <v>0</v>
      </c>
      <c r="E243" s="127">
        <v>0</v>
      </c>
      <c r="F243" s="127">
        <v>0</v>
      </c>
      <c r="G243" s="127">
        <v>0</v>
      </c>
      <c r="H243" s="127">
        <v>0</v>
      </c>
      <c r="I243" s="127">
        <v>0</v>
      </c>
      <c r="J243" s="127">
        <v>0</v>
      </c>
      <c r="K243" s="127">
        <v>0</v>
      </c>
      <c r="L243" s="127">
        <v>0</v>
      </c>
      <c r="M243" s="127">
        <v>0</v>
      </c>
      <c r="N243" s="127">
        <v>0</v>
      </c>
      <c r="O243" s="127">
        <v>0</v>
      </c>
      <c r="P243" s="127">
        <v>0</v>
      </c>
      <c r="Q243" s="127">
        <v>0</v>
      </c>
      <c r="R243" s="127">
        <v>0</v>
      </c>
      <c r="S243" s="127">
        <v>0</v>
      </c>
      <c r="T243" s="127">
        <v>0</v>
      </c>
      <c r="U243" s="127">
        <v>0</v>
      </c>
      <c r="V243" s="127">
        <v>0</v>
      </c>
      <c r="W243" s="127">
        <v>0</v>
      </c>
      <c r="X243" s="127">
        <v>0</v>
      </c>
      <c r="Y243" s="127">
        <v>0</v>
      </c>
      <c r="Z243" s="127">
        <v>0</v>
      </c>
      <c r="AA243" s="127">
        <v>0</v>
      </c>
      <c r="AB243" s="127">
        <v>0</v>
      </c>
      <c r="AC243" s="127">
        <v>0</v>
      </c>
      <c r="AD243" s="127">
        <v>0</v>
      </c>
      <c r="AE243" s="127">
        <v>0</v>
      </c>
      <c r="AF243" s="127">
        <v>0</v>
      </c>
      <c r="AG243" s="127">
        <v>0</v>
      </c>
      <c r="AH243" s="127">
        <v>0</v>
      </c>
      <c r="AI243" s="127">
        <v>0</v>
      </c>
      <c r="AJ243" s="127">
        <v>0</v>
      </c>
      <c r="AK243" s="127">
        <v>0</v>
      </c>
      <c r="AL243" s="127">
        <v>0</v>
      </c>
      <c r="AM243" s="127">
        <v>0</v>
      </c>
      <c r="AN243" s="127">
        <v>0</v>
      </c>
      <c r="AO243" s="127">
        <v>0</v>
      </c>
      <c r="AP243" s="127">
        <v>0</v>
      </c>
      <c r="AQ243" s="127">
        <v>0</v>
      </c>
      <c r="AR243" s="127">
        <v>0</v>
      </c>
      <c r="AS243" s="127">
        <v>0</v>
      </c>
      <c r="AT243" s="127">
        <v>0</v>
      </c>
      <c r="AU243" s="127">
        <v>0</v>
      </c>
      <c r="AV243" s="127">
        <v>0</v>
      </c>
      <c r="AW243" s="127">
        <v>0</v>
      </c>
      <c r="AX243" s="127">
        <v>0</v>
      </c>
      <c r="AY243" s="127">
        <v>0</v>
      </c>
    </row>
    <row r="244" spans="1:51" x14ac:dyDescent="0.2">
      <c r="A244" s="126"/>
      <c r="B244" s="143">
        <v>36</v>
      </c>
      <c r="C244" s="123">
        <v>0</v>
      </c>
      <c r="D244" s="127">
        <v>0</v>
      </c>
      <c r="E244" s="127">
        <v>0</v>
      </c>
      <c r="F244" s="127">
        <v>0</v>
      </c>
      <c r="G244" s="127">
        <v>0</v>
      </c>
      <c r="H244" s="127">
        <v>0</v>
      </c>
      <c r="I244" s="127">
        <v>0</v>
      </c>
      <c r="J244" s="127">
        <v>0</v>
      </c>
      <c r="K244" s="127">
        <v>0</v>
      </c>
      <c r="L244" s="127">
        <v>0</v>
      </c>
      <c r="M244" s="127">
        <v>0</v>
      </c>
      <c r="N244" s="127">
        <v>0</v>
      </c>
      <c r="O244" s="127">
        <v>0</v>
      </c>
      <c r="P244" s="127">
        <v>0</v>
      </c>
      <c r="Q244" s="127">
        <v>0</v>
      </c>
      <c r="R244" s="127">
        <v>0</v>
      </c>
      <c r="S244" s="127">
        <v>0</v>
      </c>
      <c r="T244" s="127">
        <v>0</v>
      </c>
      <c r="U244" s="127">
        <v>0</v>
      </c>
      <c r="V244" s="127">
        <v>0</v>
      </c>
      <c r="W244" s="127">
        <v>0</v>
      </c>
      <c r="X244" s="127">
        <v>0</v>
      </c>
      <c r="Y244" s="127">
        <v>0</v>
      </c>
      <c r="Z244" s="127">
        <v>0</v>
      </c>
      <c r="AA244" s="127">
        <v>0</v>
      </c>
      <c r="AB244" s="127">
        <v>0</v>
      </c>
      <c r="AC244" s="127">
        <v>0</v>
      </c>
      <c r="AD244" s="127">
        <v>0</v>
      </c>
      <c r="AE244" s="127">
        <v>0</v>
      </c>
      <c r="AF244" s="127">
        <v>0</v>
      </c>
      <c r="AG244" s="127">
        <v>0</v>
      </c>
      <c r="AH244" s="127">
        <v>0</v>
      </c>
      <c r="AI244" s="127">
        <v>0</v>
      </c>
      <c r="AJ244" s="127">
        <v>0</v>
      </c>
      <c r="AK244" s="127">
        <v>0</v>
      </c>
      <c r="AL244" s="127">
        <v>0</v>
      </c>
      <c r="AM244" s="127">
        <v>0</v>
      </c>
      <c r="AN244" s="127">
        <v>0</v>
      </c>
      <c r="AO244" s="127">
        <v>0</v>
      </c>
      <c r="AP244" s="127">
        <v>0</v>
      </c>
      <c r="AQ244" s="127">
        <v>0</v>
      </c>
      <c r="AR244" s="127">
        <v>0</v>
      </c>
      <c r="AS244" s="127">
        <v>0</v>
      </c>
      <c r="AT244" s="127">
        <v>0</v>
      </c>
      <c r="AU244" s="127">
        <v>0</v>
      </c>
      <c r="AV244" s="127">
        <v>0</v>
      </c>
      <c r="AW244" s="127">
        <v>0</v>
      </c>
      <c r="AX244" s="127">
        <v>0</v>
      </c>
      <c r="AY244" s="127">
        <v>0</v>
      </c>
    </row>
    <row r="245" spans="1:51" x14ac:dyDescent="0.2">
      <c r="A245" s="126"/>
      <c r="B245" s="146">
        <v>37</v>
      </c>
      <c r="C245" s="123">
        <v>0</v>
      </c>
      <c r="D245" s="127">
        <v>0</v>
      </c>
      <c r="E245" s="127">
        <v>0</v>
      </c>
      <c r="F245" s="127">
        <v>0</v>
      </c>
      <c r="G245" s="127">
        <v>0</v>
      </c>
      <c r="H245" s="127">
        <v>0</v>
      </c>
      <c r="I245" s="127">
        <v>0</v>
      </c>
      <c r="J245" s="127">
        <v>0</v>
      </c>
      <c r="K245" s="127">
        <v>0</v>
      </c>
      <c r="L245" s="127">
        <v>0</v>
      </c>
      <c r="M245" s="127">
        <v>0</v>
      </c>
      <c r="N245" s="127">
        <v>0</v>
      </c>
      <c r="O245" s="127">
        <v>0</v>
      </c>
      <c r="P245" s="127">
        <v>0</v>
      </c>
      <c r="Q245" s="127">
        <v>0</v>
      </c>
      <c r="R245" s="127">
        <v>0</v>
      </c>
      <c r="S245" s="127">
        <v>0</v>
      </c>
      <c r="T245" s="127">
        <v>0</v>
      </c>
      <c r="U245" s="127">
        <v>0</v>
      </c>
      <c r="V245" s="127">
        <v>0</v>
      </c>
      <c r="W245" s="127">
        <v>0</v>
      </c>
      <c r="X245" s="127">
        <v>0</v>
      </c>
      <c r="Y245" s="127">
        <v>0</v>
      </c>
      <c r="Z245" s="127">
        <v>0</v>
      </c>
      <c r="AA245" s="127">
        <v>0</v>
      </c>
      <c r="AB245" s="127">
        <v>0</v>
      </c>
      <c r="AC245" s="127">
        <v>0</v>
      </c>
      <c r="AD245" s="127">
        <v>0</v>
      </c>
      <c r="AE245" s="127">
        <v>0</v>
      </c>
      <c r="AF245" s="127">
        <v>0</v>
      </c>
      <c r="AG245" s="127">
        <v>0</v>
      </c>
      <c r="AH245" s="127">
        <v>0</v>
      </c>
      <c r="AI245" s="127">
        <v>0</v>
      </c>
      <c r="AJ245" s="127">
        <v>0</v>
      </c>
      <c r="AK245" s="127">
        <v>0</v>
      </c>
      <c r="AL245" s="127">
        <v>0</v>
      </c>
      <c r="AM245" s="127">
        <v>0</v>
      </c>
      <c r="AN245" s="127">
        <v>0</v>
      </c>
      <c r="AO245" s="127">
        <v>0</v>
      </c>
      <c r="AP245" s="127">
        <v>0</v>
      </c>
      <c r="AQ245" s="127">
        <v>0</v>
      </c>
      <c r="AR245" s="127">
        <v>0</v>
      </c>
      <c r="AS245" s="127">
        <v>0</v>
      </c>
      <c r="AT245" s="127">
        <v>0</v>
      </c>
      <c r="AU245" s="127">
        <v>0</v>
      </c>
      <c r="AV245" s="127">
        <v>0</v>
      </c>
      <c r="AW245" s="127">
        <v>0</v>
      </c>
      <c r="AX245" s="127">
        <v>0</v>
      </c>
      <c r="AY245" s="127">
        <v>0</v>
      </c>
    </row>
    <row r="246" spans="1:51" x14ac:dyDescent="0.2">
      <c r="A246" s="126"/>
      <c r="B246" s="146">
        <v>38</v>
      </c>
      <c r="C246" s="123">
        <v>0</v>
      </c>
      <c r="D246" s="127">
        <v>0</v>
      </c>
      <c r="E246" s="127">
        <v>0</v>
      </c>
      <c r="F246" s="127">
        <v>0</v>
      </c>
      <c r="G246" s="127">
        <v>0</v>
      </c>
      <c r="H246" s="127">
        <v>0</v>
      </c>
      <c r="I246" s="127">
        <v>0</v>
      </c>
      <c r="J246" s="127">
        <v>0</v>
      </c>
      <c r="K246" s="127">
        <v>0</v>
      </c>
      <c r="L246" s="127">
        <v>0</v>
      </c>
      <c r="M246" s="127">
        <v>0</v>
      </c>
      <c r="N246" s="127">
        <v>0</v>
      </c>
      <c r="O246" s="127">
        <v>0</v>
      </c>
      <c r="P246" s="127">
        <v>0</v>
      </c>
      <c r="Q246" s="127">
        <v>0</v>
      </c>
      <c r="R246" s="127">
        <v>0</v>
      </c>
      <c r="S246" s="127">
        <v>0</v>
      </c>
      <c r="T246" s="127">
        <v>0</v>
      </c>
      <c r="U246" s="127">
        <v>0</v>
      </c>
      <c r="V246" s="127">
        <v>0</v>
      </c>
      <c r="W246" s="127">
        <v>0</v>
      </c>
      <c r="X246" s="127">
        <v>0</v>
      </c>
      <c r="Y246" s="127">
        <v>0</v>
      </c>
      <c r="Z246" s="127">
        <v>0</v>
      </c>
      <c r="AA246" s="127">
        <v>0</v>
      </c>
      <c r="AB246" s="127">
        <v>0</v>
      </c>
      <c r="AC246" s="127">
        <v>0</v>
      </c>
      <c r="AD246" s="127">
        <v>0</v>
      </c>
      <c r="AE246" s="127">
        <v>0</v>
      </c>
      <c r="AF246" s="127">
        <v>0</v>
      </c>
      <c r="AG246" s="127">
        <v>0</v>
      </c>
      <c r="AH246" s="127">
        <v>0</v>
      </c>
      <c r="AI246" s="127">
        <v>0</v>
      </c>
      <c r="AJ246" s="127">
        <v>0</v>
      </c>
      <c r="AK246" s="127">
        <v>0</v>
      </c>
      <c r="AL246" s="127">
        <v>0</v>
      </c>
      <c r="AM246" s="127">
        <v>0</v>
      </c>
      <c r="AN246" s="127">
        <v>0</v>
      </c>
      <c r="AO246" s="127">
        <v>0</v>
      </c>
      <c r="AP246" s="127">
        <v>0</v>
      </c>
      <c r="AQ246" s="127">
        <v>0</v>
      </c>
      <c r="AR246" s="127">
        <v>0</v>
      </c>
      <c r="AS246" s="127">
        <v>0</v>
      </c>
      <c r="AT246" s="127">
        <v>0</v>
      </c>
      <c r="AU246" s="127">
        <v>0</v>
      </c>
      <c r="AV246" s="127">
        <v>0</v>
      </c>
      <c r="AW246" s="127">
        <v>0</v>
      </c>
      <c r="AX246" s="127">
        <v>0</v>
      </c>
      <c r="AY246" s="127">
        <v>0</v>
      </c>
    </row>
    <row r="247" spans="1:51" x14ac:dyDescent="0.2">
      <c r="A247" s="126"/>
      <c r="B247" s="146">
        <v>39</v>
      </c>
      <c r="C247" s="123">
        <v>0</v>
      </c>
      <c r="D247" s="127">
        <v>0</v>
      </c>
      <c r="E247" s="127">
        <v>0</v>
      </c>
      <c r="F247" s="127">
        <v>0</v>
      </c>
      <c r="G247" s="127">
        <v>0</v>
      </c>
      <c r="H247" s="127">
        <v>0</v>
      </c>
      <c r="I247" s="127">
        <v>0</v>
      </c>
      <c r="J247" s="127">
        <v>0</v>
      </c>
      <c r="K247" s="127">
        <v>0</v>
      </c>
      <c r="L247" s="127">
        <v>0</v>
      </c>
      <c r="M247" s="127">
        <v>0</v>
      </c>
      <c r="N247" s="127">
        <v>0</v>
      </c>
      <c r="O247" s="127">
        <v>0</v>
      </c>
      <c r="P247" s="127">
        <v>0</v>
      </c>
      <c r="Q247" s="127">
        <v>0</v>
      </c>
      <c r="R247" s="127">
        <v>0</v>
      </c>
      <c r="S247" s="127">
        <v>0</v>
      </c>
      <c r="T247" s="127">
        <v>0</v>
      </c>
      <c r="U247" s="127">
        <v>0</v>
      </c>
      <c r="V247" s="127">
        <v>0</v>
      </c>
      <c r="W247" s="127">
        <v>0</v>
      </c>
      <c r="X247" s="127">
        <v>0</v>
      </c>
      <c r="Y247" s="127">
        <v>0</v>
      </c>
      <c r="Z247" s="127">
        <v>0</v>
      </c>
      <c r="AA247" s="127">
        <v>0</v>
      </c>
      <c r="AB247" s="127">
        <v>0</v>
      </c>
      <c r="AC247" s="127">
        <v>0</v>
      </c>
      <c r="AD247" s="127">
        <v>0</v>
      </c>
      <c r="AE247" s="127">
        <v>0</v>
      </c>
      <c r="AF247" s="127">
        <v>0</v>
      </c>
      <c r="AG247" s="127">
        <v>0</v>
      </c>
      <c r="AH247" s="127">
        <v>0</v>
      </c>
      <c r="AI247" s="127">
        <v>0</v>
      </c>
      <c r="AJ247" s="127">
        <v>0</v>
      </c>
      <c r="AK247" s="127">
        <v>0</v>
      </c>
      <c r="AL247" s="127">
        <v>0</v>
      </c>
      <c r="AM247" s="127">
        <v>0</v>
      </c>
      <c r="AN247" s="127">
        <v>0</v>
      </c>
      <c r="AO247" s="127">
        <v>0</v>
      </c>
      <c r="AP247" s="127">
        <v>0</v>
      </c>
      <c r="AQ247" s="127">
        <v>0</v>
      </c>
      <c r="AR247" s="127">
        <v>0</v>
      </c>
      <c r="AS247" s="127">
        <v>0</v>
      </c>
      <c r="AT247" s="127">
        <v>0</v>
      </c>
      <c r="AU247" s="127">
        <v>0</v>
      </c>
      <c r="AV247" s="127">
        <v>0</v>
      </c>
      <c r="AW247" s="127">
        <v>0</v>
      </c>
      <c r="AX247" s="127">
        <v>0</v>
      </c>
      <c r="AY247" s="127">
        <v>0</v>
      </c>
    </row>
    <row r="248" spans="1:51" x14ac:dyDescent="0.2">
      <c r="A248" s="126"/>
      <c r="B248" s="146">
        <v>40</v>
      </c>
      <c r="C248" s="123">
        <v>0</v>
      </c>
      <c r="D248" s="127">
        <v>0</v>
      </c>
      <c r="E248" s="127">
        <v>0</v>
      </c>
      <c r="F248" s="127">
        <v>0</v>
      </c>
      <c r="G248" s="127">
        <v>0</v>
      </c>
      <c r="H248" s="127">
        <v>0</v>
      </c>
      <c r="I248" s="127">
        <v>0</v>
      </c>
      <c r="J248" s="127">
        <v>0</v>
      </c>
      <c r="K248" s="127">
        <v>0</v>
      </c>
      <c r="L248" s="127">
        <v>0</v>
      </c>
      <c r="M248" s="127">
        <v>0</v>
      </c>
      <c r="N248" s="127">
        <v>0</v>
      </c>
      <c r="O248" s="127">
        <v>0</v>
      </c>
      <c r="P248" s="127">
        <v>0</v>
      </c>
      <c r="Q248" s="127">
        <v>0</v>
      </c>
      <c r="R248" s="127">
        <v>0</v>
      </c>
      <c r="S248" s="127">
        <v>0</v>
      </c>
      <c r="T248" s="127">
        <v>0</v>
      </c>
      <c r="U248" s="127">
        <v>0</v>
      </c>
      <c r="V248" s="127">
        <v>0</v>
      </c>
      <c r="W248" s="127">
        <v>0</v>
      </c>
      <c r="X248" s="127">
        <v>0</v>
      </c>
      <c r="Y248" s="127">
        <v>0</v>
      </c>
      <c r="Z248" s="127">
        <v>0</v>
      </c>
      <c r="AA248" s="127">
        <v>0</v>
      </c>
      <c r="AB248" s="127">
        <v>0</v>
      </c>
      <c r="AC248" s="127">
        <v>0</v>
      </c>
      <c r="AD248" s="127">
        <v>0</v>
      </c>
      <c r="AE248" s="127">
        <v>0</v>
      </c>
      <c r="AF248" s="127">
        <v>0</v>
      </c>
      <c r="AG248" s="127">
        <v>0</v>
      </c>
      <c r="AH248" s="127">
        <v>0</v>
      </c>
      <c r="AI248" s="127">
        <v>0</v>
      </c>
      <c r="AJ248" s="127">
        <v>0</v>
      </c>
      <c r="AK248" s="127">
        <v>0</v>
      </c>
      <c r="AL248" s="127">
        <v>0</v>
      </c>
      <c r="AM248" s="127">
        <v>0</v>
      </c>
      <c r="AN248" s="127">
        <v>0</v>
      </c>
      <c r="AO248" s="127">
        <v>0</v>
      </c>
      <c r="AP248" s="127">
        <v>0</v>
      </c>
      <c r="AQ248" s="127">
        <v>0</v>
      </c>
      <c r="AR248" s="127">
        <v>0</v>
      </c>
      <c r="AS248" s="127">
        <v>0</v>
      </c>
      <c r="AT248" s="127">
        <v>0</v>
      </c>
      <c r="AU248" s="127">
        <v>0</v>
      </c>
      <c r="AV248" s="127">
        <v>0</v>
      </c>
      <c r="AW248" s="127">
        <v>0</v>
      </c>
      <c r="AX248" s="127">
        <v>0</v>
      </c>
      <c r="AY248" s="127">
        <v>0</v>
      </c>
    </row>
    <row r="249" spans="1:51" x14ac:dyDescent="0.2">
      <c r="A249" s="126"/>
      <c r="B249" s="146">
        <v>41</v>
      </c>
      <c r="C249" s="123">
        <v>0</v>
      </c>
      <c r="D249" s="127">
        <v>0</v>
      </c>
      <c r="E249" s="127">
        <v>0</v>
      </c>
      <c r="F249" s="127">
        <v>0</v>
      </c>
      <c r="G249" s="127">
        <v>0</v>
      </c>
      <c r="H249" s="127">
        <v>0</v>
      </c>
      <c r="I249" s="127">
        <v>0</v>
      </c>
      <c r="J249" s="127">
        <v>0</v>
      </c>
      <c r="K249" s="127">
        <v>0</v>
      </c>
      <c r="L249" s="127">
        <v>0</v>
      </c>
      <c r="M249" s="127">
        <v>0</v>
      </c>
      <c r="N249" s="127">
        <v>0</v>
      </c>
      <c r="O249" s="127">
        <v>0</v>
      </c>
      <c r="P249" s="127">
        <v>0</v>
      </c>
      <c r="Q249" s="127">
        <v>0</v>
      </c>
      <c r="R249" s="127">
        <v>0</v>
      </c>
      <c r="S249" s="127">
        <v>0</v>
      </c>
      <c r="T249" s="127">
        <v>0</v>
      </c>
      <c r="U249" s="127">
        <v>0</v>
      </c>
      <c r="V249" s="127">
        <v>0</v>
      </c>
      <c r="W249" s="127">
        <v>0</v>
      </c>
      <c r="X249" s="127">
        <v>0</v>
      </c>
      <c r="Y249" s="127">
        <v>0</v>
      </c>
      <c r="Z249" s="127">
        <v>0</v>
      </c>
      <c r="AA249" s="127">
        <v>0</v>
      </c>
      <c r="AB249" s="127">
        <v>0</v>
      </c>
      <c r="AC249" s="127">
        <v>0</v>
      </c>
      <c r="AD249" s="127">
        <v>0</v>
      </c>
      <c r="AE249" s="127">
        <v>0</v>
      </c>
      <c r="AF249" s="127">
        <v>0</v>
      </c>
      <c r="AG249" s="127">
        <v>0</v>
      </c>
      <c r="AH249" s="127">
        <v>0</v>
      </c>
      <c r="AI249" s="127">
        <v>0</v>
      </c>
      <c r="AJ249" s="127">
        <v>0</v>
      </c>
      <c r="AK249" s="127">
        <v>0</v>
      </c>
      <c r="AL249" s="127">
        <v>0</v>
      </c>
      <c r="AM249" s="127">
        <v>0</v>
      </c>
      <c r="AN249" s="127">
        <v>0</v>
      </c>
      <c r="AO249" s="127">
        <v>0</v>
      </c>
      <c r="AP249" s="127">
        <v>0</v>
      </c>
      <c r="AQ249" s="127">
        <v>0</v>
      </c>
      <c r="AR249" s="127">
        <v>0</v>
      </c>
      <c r="AS249" s="127">
        <v>0</v>
      </c>
      <c r="AT249" s="127">
        <v>0</v>
      </c>
      <c r="AU249" s="127">
        <v>0</v>
      </c>
      <c r="AV249" s="127">
        <v>0</v>
      </c>
      <c r="AW249" s="127">
        <v>0</v>
      </c>
      <c r="AX249" s="127">
        <v>0</v>
      </c>
      <c r="AY249" s="127">
        <v>0</v>
      </c>
    </row>
    <row r="250" spans="1:51" x14ac:dyDescent="0.2">
      <c r="A250" s="126"/>
      <c r="B250" s="146">
        <v>42</v>
      </c>
      <c r="C250" s="123">
        <v>0</v>
      </c>
      <c r="D250" s="127">
        <v>0</v>
      </c>
      <c r="E250" s="127">
        <v>0</v>
      </c>
      <c r="F250" s="127">
        <v>0</v>
      </c>
      <c r="G250" s="127">
        <v>0</v>
      </c>
      <c r="H250" s="127">
        <v>0</v>
      </c>
      <c r="I250" s="127">
        <v>0</v>
      </c>
      <c r="J250" s="127">
        <v>0</v>
      </c>
      <c r="K250" s="127">
        <v>0</v>
      </c>
      <c r="L250" s="127">
        <v>0</v>
      </c>
      <c r="M250" s="127">
        <v>0</v>
      </c>
      <c r="N250" s="127">
        <v>0</v>
      </c>
      <c r="O250" s="127">
        <v>0</v>
      </c>
      <c r="P250" s="127">
        <v>0</v>
      </c>
      <c r="Q250" s="127">
        <v>0</v>
      </c>
      <c r="R250" s="127">
        <v>0</v>
      </c>
      <c r="S250" s="127">
        <v>0</v>
      </c>
      <c r="T250" s="127">
        <v>0</v>
      </c>
      <c r="U250" s="127">
        <v>0</v>
      </c>
      <c r="V250" s="127">
        <v>0</v>
      </c>
      <c r="W250" s="127">
        <v>0</v>
      </c>
      <c r="X250" s="127">
        <v>0</v>
      </c>
      <c r="Y250" s="127">
        <v>0</v>
      </c>
      <c r="Z250" s="127">
        <v>0</v>
      </c>
      <c r="AA250" s="127">
        <v>0</v>
      </c>
      <c r="AB250" s="127">
        <v>0</v>
      </c>
      <c r="AC250" s="127">
        <v>0</v>
      </c>
      <c r="AD250" s="127">
        <v>0</v>
      </c>
      <c r="AE250" s="127">
        <v>0</v>
      </c>
      <c r="AF250" s="127">
        <v>0</v>
      </c>
      <c r="AG250" s="127">
        <v>0</v>
      </c>
      <c r="AH250" s="127">
        <v>0</v>
      </c>
      <c r="AI250" s="127">
        <v>0</v>
      </c>
      <c r="AJ250" s="127">
        <v>0</v>
      </c>
      <c r="AK250" s="127">
        <v>0</v>
      </c>
      <c r="AL250" s="127">
        <v>0</v>
      </c>
      <c r="AM250" s="127">
        <v>0</v>
      </c>
      <c r="AN250" s="127">
        <v>0</v>
      </c>
      <c r="AO250" s="127">
        <v>0</v>
      </c>
      <c r="AP250" s="127">
        <v>0</v>
      </c>
      <c r="AQ250" s="127">
        <v>0</v>
      </c>
      <c r="AR250" s="127">
        <v>0</v>
      </c>
      <c r="AS250" s="127">
        <v>0</v>
      </c>
      <c r="AT250" s="127">
        <v>0</v>
      </c>
      <c r="AU250" s="127">
        <v>0</v>
      </c>
      <c r="AV250" s="127">
        <v>0</v>
      </c>
      <c r="AW250" s="127">
        <v>0</v>
      </c>
      <c r="AX250" s="127">
        <v>0</v>
      </c>
      <c r="AY250" s="127">
        <v>0</v>
      </c>
    </row>
    <row r="251" spans="1:51" x14ac:dyDescent="0.2">
      <c r="A251" s="126"/>
      <c r="B251" s="146">
        <v>43</v>
      </c>
      <c r="C251" s="123">
        <v>0</v>
      </c>
      <c r="D251" s="127">
        <v>0</v>
      </c>
      <c r="E251" s="127">
        <v>0</v>
      </c>
      <c r="F251" s="127">
        <v>0</v>
      </c>
      <c r="G251" s="127">
        <v>0</v>
      </c>
      <c r="H251" s="127">
        <v>0</v>
      </c>
      <c r="I251" s="127">
        <v>0</v>
      </c>
      <c r="J251" s="127">
        <v>0</v>
      </c>
      <c r="K251" s="127">
        <v>0</v>
      </c>
      <c r="L251" s="127">
        <v>0</v>
      </c>
      <c r="M251" s="127">
        <v>0</v>
      </c>
      <c r="N251" s="127">
        <v>0</v>
      </c>
      <c r="O251" s="127">
        <v>0</v>
      </c>
      <c r="P251" s="127">
        <v>0</v>
      </c>
      <c r="Q251" s="127">
        <v>0</v>
      </c>
      <c r="R251" s="127">
        <v>0</v>
      </c>
      <c r="S251" s="127">
        <v>0</v>
      </c>
      <c r="T251" s="127">
        <v>0</v>
      </c>
      <c r="U251" s="127">
        <v>0</v>
      </c>
      <c r="V251" s="127">
        <v>0</v>
      </c>
      <c r="W251" s="127">
        <v>0</v>
      </c>
      <c r="X251" s="127">
        <v>0</v>
      </c>
      <c r="Y251" s="127">
        <v>0</v>
      </c>
      <c r="Z251" s="127">
        <v>0</v>
      </c>
      <c r="AA251" s="127">
        <v>0</v>
      </c>
      <c r="AB251" s="127">
        <v>0</v>
      </c>
      <c r="AC251" s="127">
        <v>0</v>
      </c>
      <c r="AD251" s="127">
        <v>0</v>
      </c>
      <c r="AE251" s="127">
        <v>0</v>
      </c>
      <c r="AF251" s="127">
        <v>0</v>
      </c>
      <c r="AG251" s="127">
        <v>0</v>
      </c>
      <c r="AH251" s="127">
        <v>0</v>
      </c>
      <c r="AI251" s="127">
        <v>0</v>
      </c>
      <c r="AJ251" s="127">
        <v>0</v>
      </c>
      <c r="AK251" s="127">
        <v>0</v>
      </c>
      <c r="AL251" s="127">
        <v>0</v>
      </c>
      <c r="AM251" s="127">
        <v>0</v>
      </c>
      <c r="AN251" s="127">
        <v>0</v>
      </c>
      <c r="AO251" s="127">
        <v>0</v>
      </c>
      <c r="AP251" s="127">
        <v>0</v>
      </c>
      <c r="AQ251" s="127">
        <v>0</v>
      </c>
      <c r="AR251" s="127">
        <v>0</v>
      </c>
      <c r="AS251" s="127">
        <v>0</v>
      </c>
      <c r="AT251" s="127">
        <v>0</v>
      </c>
      <c r="AU251" s="127">
        <v>0</v>
      </c>
      <c r="AV251" s="127">
        <v>0</v>
      </c>
      <c r="AW251" s="127">
        <v>0</v>
      </c>
      <c r="AX251" s="127">
        <v>0</v>
      </c>
      <c r="AY251" s="127">
        <v>0</v>
      </c>
    </row>
    <row r="252" spans="1:51" x14ac:dyDescent="0.2">
      <c r="A252" s="126"/>
      <c r="B252" s="146">
        <v>44</v>
      </c>
      <c r="C252" s="123">
        <v>0</v>
      </c>
      <c r="D252" s="127">
        <v>0</v>
      </c>
      <c r="E252" s="127">
        <v>0</v>
      </c>
      <c r="F252" s="127">
        <v>0</v>
      </c>
      <c r="G252" s="127">
        <v>0</v>
      </c>
      <c r="H252" s="127">
        <v>0</v>
      </c>
      <c r="I252" s="127">
        <v>0</v>
      </c>
      <c r="J252" s="127">
        <v>0</v>
      </c>
      <c r="K252" s="127">
        <v>0</v>
      </c>
      <c r="L252" s="127">
        <v>0</v>
      </c>
      <c r="M252" s="127">
        <v>0</v>
      </c>
      <c r="N252" s="127">
        <v>0</v>
      </c>
      <c r="O252" s="127">
        <v>0</v>
      </c>
      <c r="P252" s="127">
        <v>0</v>
      </c>
      <c r="Q252" s="127">
        <v>0</v>
      </c>
      <c r="R252" s="127">
        <v>0</v>
      </c>
      <c r="S252" s="127">
        <v>0</v>
      </c>
      <c r="T252" s="127">
        <v>0</v>
      </c>
      <c r="U252" s="127">
        <v>0</v>
      </c>
      <c r="V252" s="127">
        <v>0</v>
      </c>
      <c r="W252" s="127">
        <v>0</v>
      </c>
      <c r="X252" s="127">
        <v>0</v>
      </c>
      <c r="Y252" s="127">
        <v>0</v>
      </c>
      <c r="Z252" s="127">
        <v>0</v>
      </c>
      <c r="AA252" s="127">
        <v>0</v>
      </c>
      <c r="AB252" s="127">
        <v>0</v>
      </c>
      <c r="AC252" s="127">
        <v>0</v>
      </c>
      <c r="AD252" s="127">
        <v>0</v>
      </c>
      <c r="AE252" s="127">
        <v>0</v>
      </c>
      <c r="AF252" s="127">
        <v>0</v>
      </c>
      <c r="AG252" s="127">
        <v>0</v>
      </c>
      <c r="AH252" s="127">
        <v>0</v>
      </c>
      <c r="AI252" s="127">
        <v>0</v>
      </c>
      <c r="AJ252" s="127">
        <v>0</v>
      </c>
      <c r="AK252" s="127">
        <v>0</v>
      </c>
      <c r="AL252" s="127">
        <v>0</v>
      </c>
      <c r="AM252" s="127">
        <v>0</v>
      </c>
      <c r="AN252" s="127">
        <v>0</v>
      </c>
      <c r="AO252" s="127">
        <v>0</v>
      </c>
      <c r="AP252" s="127">
        <v>0</v>
      </c>
      <c r="AQ252" s="127">
        <v>0</v>
      </c>
      <c r="AR252" s="127">
        <v>0</v>
      </c>
      <c r="AS252" s="127">
        <v>0</v>
      </c>
      <c r="AT252" s="127">
        <v>0</v>
      </c>
      <c r="AU252" s="127">
        <v>0</v>
      </c>
      <c r="AV252" s="127">
        <v>0</v>
      </c>
      <c r="AW252" s="127">
        <v>0</v>
      </c>
      <c r="AX252" s="127">
        <v>0</v>
      </c>
      <c r="AY252" s="127">
        <v>0</v>
      </c>
    </row>
    <row r="253" spans="1:51" x14ac:dyDescent="0.2">
      <c r="A253" s="126"/>
      <c r="B253" s="146">
        <v>45</v>
      </c>
      <c r="C253" s="123">
        <v>0</v>
      </c>
      <c r="D253" s="127">
        <v>0</v>
      </c>
      <c r="E253" s="127">
        <v>0</v>
      </c>
      <c r="F253" s="127">
        <v>0</v>
      </c>
      <c r="G253" s="127">
        <v>0</v>
      </c>
      <c r="H253" s="127">
        <v>0</v>
      </c>
      <c r="I253" s="127">
        <v>0</v>
      </c>
      <c r="J253" s="127">
        <v>0</v>
      </c>
      <c r="K253" s="127">
        <v>0</v>
      </c>
      <c r="L253" s="127">
        <v>0</v>
      </c>
      <c r="M253" s="127">
        <v>0</v>
      </c>
      <c r="N253" s="127">
        <v>0</v>
      </c>
      <c r="O253" s="127">
        <v>0</v>
      </c>
      <c r="P253" s="127">
        <v>0</v>
      </c>
      <c r="Q253" s="127">
        <v>0</v>
      </c>
      <c r="R253" s="127">
        <v>0</v>
      </c>
      <c r="S253" s="127">
        <v>0</v>
      </c>
      <c r="T253" s="127">
        <v>0</v>
      </c>
      <c r="U253" s="127">
        <v>0</v>
      </c>
      <c r="V253" s="127">
        <v>0</v>
      </c>
      <c r="W253" s="127">
        <v>0</v>
      </c>
      <c r="X253" s="127">
        <v>0</v>
      </c>
      <c r="Y253" s="127">
        <v>0</v>
      </c>
      <c r="Z253" s="127">
        <v>0</v>
      </c>
      <c r="AA253" s="127">
        <v>0</v>
      </c>
      <c r="AB253" s="127">
        <v>0</v>
      </c>
      <c r="AC253" s="127">
        <v>0</v>
      </c>
      <c r="AD253" s="127">
        <v>0</v>
      </c>
      <c r="AE253" s="127">
        <v>0</v>
      </c>
      <c r="AF253" s="127">
        <v>0</v>
      </c>
      <c r="AG253" s="127">
        <v>0</v>
      </c>
      <c r="AH253" s="127">
        <v>0</v>
      </c>
      <c r="AI253" s="127">
        <v>0</v>
      </c>
      <c r="AJ253" s="127">
        <v>0</v>
      </c>
      <c r="AK253" s="127">
        <v>0</v>
      </c>
      <c r="AL253" s="127">
        <v>0</v>
      </c>
      <c r="AM253" s="127">
        <v>0</v>
      </c>
      <c r="AN253" s="127">
        <v>0</v>
      </c>
      <c r="AO253" s="127">
        <v>0</v>
      </c>
      <c r="AP253" s="127">
        <v>0</v>
      </c>
      <c r="AQ253" s="127">
        <v>0</v>
      </c>
      <c r="AR253" s="127">
        <v>0</v>
      </c>
      <c r="AS253" s="127">
        <v>0</v>
      </c>
      <c r="AT253" s="127">
        <v>0</v>
      </c>
      <c r="AU253" s="127">
        <v>0</v>
      </c>
      <c r="AV253" s="127">
        <v>0</v>
      </c>
      <c r="AW253" s="127">
        <v>0</v>
      </c>
      <c r="AX253" s="127">
        <v>0</v>
      </c>
      <c r="AY253" s="127">
        <v>0</v>
      </c>
    </row>
    <row r="254" spans="1:51" x14ac:dyDescent="0.2">
      <c r="A254" s="126"/>
      <c r="B254" s="146">
        <v>46</v>
      </c>
      <c r="C254" s="123">
        <v>0</v>
      </c>
      <c r="D254" s="127">
        <v>0</v>
      </c>
      <c r="E254" s="127">
        <v>0</v>
      </c>
      <c r="F254" s="127">
        <v>0</v>
      </c>
      <c r="G254" s="127">
        <v>0</v>
      </c>
      <c r="H254" s="127">
        <v>0</v>
      </c>
      <c r="I254" s="127">
        <v>0</v>
      </c>
      <c r="J254" s="127">
        <v>0</v>
      </c>
      <c r="K254" s="127">
        <v>0</v>
      </c>
      <c r="L254" s="127">
        <v>0</v>
      </c>
      <c r="M254" s="127">
        <v>0</v>
      </c>
      <c r="N254" s="127">
        <v>0</v>
      </c>
      <c r="O254" s="127">
        <v>0</v>
      </c>
      <c r="P254" s="127">
        <v>0</v>
      </c>
      <c r="Q254" s="127">
        <v>0</v>
      </c>
      <c r="R254" s="127">
        <v>0</v>
      </c>
      <c r="S254" s="127">
        <v>0</v>
      </c>
      <c r="T254" s="127">
        <v>0</v>
      </c>
      <c r="U254" s="127">
        <v>0</v>
      </c>
      <c r="V254" s="127">
        <v>0</v>
      </c>
      <c r="W254" s="127">
        <v>0</v>
      </c>
      <c r="X254" s="127">
        <v>0</v>
      </c>
      <c r="Y254" s="127">
        <v>0</v>
      </c>
      <c r="Z254" s="127">
        <v>0</v>
      </c>
      <c r="AA254" s="127">
        <v>0</v>
      </c>
      <c r="AB254" s="127">
        <v>0</v>
      </c>
      <c r="AC254" s="127">
        <v>0</v>
      </c>
      <c r="AD254" s="127">
        <v>0</v>
      </c>
      <c r="AE254" s="127">
        <v>0</v>
      </c>
      <c r="AF254" s="127">
        <v>0</v>
      </c>
      <c r="AG254" s="127">
        <v>0</v>
      </c>
      <c r="AH254" s="127">
        <v>0</v>
      </c>
      <c r="AI254" s="127">
        <v>0</v>
      </c>
      <c r="AJ254" s="127">
        <v>0</v>
      </c>
      <c r="AK254" s="127">
        <v>0</v>
      </c>
      <c r="AL254" s="127">
        <v>0</v>
      </c>
      <c r="AM254" s="127">
        <v>0</v>
      </c>
      <c r="AN254" s="127">
        <v>0</v>
      </c>
      <c r="AO254" s="127">
        <v>0</v>
      </c>
      <c r="AP254" s="127">
        <v>0</v>
      </c>
      <c r="AQ254" s="127">
        <v>0</v>
      </c>
      <c r="AR254" s="127">
        <v>0</v>
      </c>
      <c r="AS254" s="127">
        <v>0</v>
      </c>
      <c r="AT254" s="127">
        <v>0</v>
      </c>
      <c r="AU254" s="127">
        <v>0</v>
      </c>
      <c r="AV254" s="127">
        <v>0</v>
      </c>
      <c r="AW254" s="127">
        <v>0</v>
      </c>
      <c r="AX254" s="127">
        <v>0</v>
      </c>
      <c r="AY254" s="127">
        <v>0</v>
      </c>
    </row>
    <row r="255" spans="1:51" x14ac:dyDescent="0.2">
      <c r="A255" s="126"/>
      <c r="B255" s="146">
        <v>47</v>
      </c>
      <c r="C255" s="123">
        <v>0</v>
      </c>
      <c r="D255" s="127">
        <v>0</v>
      </c>
      <c r="E255" s="127">
        <v>0</v>
      </c>
      <c r="F255" s="127">
        <v>0</v>
      </c>
      <c r="G255" s="127">
        <v>0</v>
      </c>
      <c r="H255" s="127">
        <v>0</v>
      </c>
      <c r="I255" s="127">
        <v>0</v>
      </c>
      <c r="J255" s="127">
        <v>0</v>
      </c>
      <c r="K255" s="127">
        <v>0</v>
      </c>
      <c r="L255" s="127">
        <v>0</v>
      </c>
      <c r="M255" s="127">
        <v>0</v>
      </c>
      <c r="N255" s="127">
        <v>0</v>
      </c>
      <c r="O255" s="127">
        <v>0</v>
      </c>
      <c r="P255" s="127">
        <v>0</v>
      </c>
      <c r="Q255" s="127">
        <v>0</v>
      </c>
      <c r="R255" s="127">
        <v>0</v>
      </c>
      <c r="S255" s="127">
        <v>0</v>
      </c>
      <c r="T255" s="127">
        <v>0</v>
      </c>
      <c r="U255" s="127">
        <v>0</v>
      </c>
      <c r="V255" s="127">
        <v>0</v>
      </c>
      <c r="W255" s="127">
        <v>0</v>
      </c>
      <c r="X255" s="127">
        <v>0</v>
      </c>
      <c r="Y255" s="127">
        <v>0</v>
      </c>
      <c r="Z255" s="127">
        <v>0</v>
      </c>
      <c r="AA255" s="127">
        <v>0</v>
      </c>
      <c r="AB255" s="127">
        <v>0</v>
      </c>
      <c r="AC255" s="127">
        <v>0</v>
      </c>
      <c r="AD255" s="127">
        <v>0</v>
      </c>
      <c r="AE255" s="127">
        <v>0</v>
      </c>
      <c r="AF255" s="127">
        <v>0</v>
      </c>
      <c r="AG255" s="127">
        <v>0</v>
      </c>
      <c r="AH255" s="127">
        <v>0</v>
      </c>
      <c r="AI255" s="127">
        <v>0</v>
      </c>
      <c r="AJ255" s="127">
        <v>0</v>
      </c>
      <c r="AK255" s="127">
        <v>0</v>
      </c>
      <c r="AL255" s="127">
        <v>0</v>
      </c>
      <c r="AM255" s="127">
        <v>0</v>
      </c>
      <c r="AN255" s="127">
        <v>0</v>
      </c>
      <c r="AO255" s="127">
        <v>0</v>
      </c>
      <c r="AP255" s="127">
        <v>0</v>
      </c>
      <c r="AQ255" s="127">
        <v>0</v>
      </c>
      <c r="AR255" s="127">
        <v>0</v>
      </c>
      <c r="AS255" s="127">
        <v>0</v>
      </c>
      <c r="AT255" s="127">
        <v>0</v>
      </c>
      <c r="AU255" s="127">
        <v>0</v>
      </c>
      <c r="AV255" s="127">
        <v>0</v>
      </c>
      <c r="AW255" s="127">
        <v>0</v>
      </c>
      <c r="AX255" s="127">
        <v>0</v>
      </c>
      <c r="AY255" s="127">
        <v>0</v>
      </c>
    </row>
    <row r="256" spans="1:51" x14ac:dyDescent="0.2">
      <c r="A256" s="144"/>
      <c r="B256" s="145">
        <v>48</v>
      </c>
      <c r="C256" s="130">
        <v>0</v>
      </c>
      <c r="D256" s="141">
        <v>0</v>
      </c>
      <c r="E256" s="141">
        <v>0</v>
      </c>
      <c r="F256" s="141">
        <v>0</v>
      </c>
      <c r="G256" s="141">
        <v>0</v>
      </c>
      <c r="H256" s="141">
        <v>0</v>
      </c>
      <c r="I256" s="141">
        <v>0</v>
      </c>
      <c r="J256" s="141">
        <v>0</v>
      </c>
      <c r="K256" s="141">
        <v>0</v>
      </c>
      <c r="L256" s="141">
        <v>0</v>
      </c>
      <c r="M256" s="141">
        <v>0</v>
      </c>
      <c r="N256" s="141">
        <v>0</v>
      </c>
      <c r="O256" s="141">
        <v>0</v>
      </c>
      <c r="P256" s="141">
        <v>0</v>
      </c>
      <c r="Q256" s="141">
        <v>0</v>
      </c>
      <c r="R256" s="141">
        <v>0</v>
      </c>
      <c r="S256" s="141">
        <v>0</v>
      </c>
      <c r="T256" s="141">
        <v>0</v>
      </c>
      <c r="U256" s="141">
        <v>0</v>
      </c>
      <c r="V256" s="141">
        <v>0</v>
      </c>
      <c r="W256" s="141">
        <v>0</v>
      </c>
      <c r="X256" s="141">
        <v>0</v>
      </c>
      <c r="Y256" s="141">
        <v>0</v>
      </c>
      <c r="Z256" s="141">
        <v>0</v>
      </c>
      <c r="AA256" s="141">
        <v>0</v>
      </c>
      <c r="AB256" s="141">
        <v>0</v>
      </c>
      <c r="AC256" s="141">
        <v>0</v>
      </c>
      <c r="AD256" s="141">
        <v>0</v>
      </c>
      <c r="AE256" s="141">
        <v>0</v>
      </c>
      <c r="AF256" s="141">
        <v>0</v>
      </c>
      <c r="AG256" s="141">
        <v>0</v>
      </c>
      <c r="AH256" s="141">
        <v>0</v>
      </c>
      <c r="AI256" s="141">
        <v>0</v>
      </c>
      <c r="AJ256" s="141">
        <v>0</v>
      </c>
      <c r="AK256" s="141">
        <v>0</v>
      </c>
      <c r="AL256" s="141">
        <v>0</v>
      </c>
      <c r="AM256" s="141">
        <v>0</v>
      </c>
      <c r="AN256" s="141">
        <v>0</v>
      </c>
      <c r="AO256" s="141">
        <v>0</v>
      </c>
      <c r="AP256" s="141">
        <v>0</v>
      </c>
      <c r="AQ256" s="141">
        <v>0</v>
      </c>
      <c r="AR256" s="141">
        <v>0</v>
      </c>
      <c r="AS256" s="141">
        <v>0</v>
      </c>
      <c r="AT256" s="141">
        <v>0</v>
      </c>
      <c r="AU256" s="141">
        <v>0</v>
      </c>
      <c r="AV256" s="141">
        <v>0</v>
      </c>
      <c r="AW256" s="141">
        <v>0</v>
      </c>
      <c r="AX256" s="141">
        <v>0</v>
      </c>
      <c r="AY256" s="141">
        <v>0</v>
      </c>
    </row>
    <row r="258" spans="1:52" x14ac:dyDescent="0.2">
      <c r="A258" s="1" t="s">
        <v>301</v>
      </c>
    </row>
    <row r="259" spans="1:52" x14ac:dyDescent="0.2">
      <c r="A259" s="153" t="s">
        <v>124</v>
      </c>
      <c r="B259" s="154">
        <v>650</v>
      </c>
      <c r="C259" s="140" t="s">
        <v>293</v>
      </c>
      <c r="D259" s="140">
        <f>E$14*$B$259</f>
        <v>2076971.1481930993</v>
      </c>
      <c r="E259" s="140">
        <f t="shared" ref="E259:AX259" si="5">F$14*$B$259</f>
        <v>1551580.17424013</v>
      </c>
      <c r="F259" s="140">
        <f t="shared" si="5"/>
        <v>1216292.157834457</v>
      </c>
      <c r="G259" s="140">
        <f t="shared" si="5"/>
        <v>983097.17421755393</v>
      </c>
      <c r="H259" s="140">
        <f t="shared" si="5"/>
        <v>840776.8068532896</v>
      </c>
      <c r="I259" s="140">
        <f t="shared" si="5"/>
        <v>722578.6361513295</v>
      </c>
      <c r="J259" s="140">
        <f t="shared" si="5"/>
        <v>638256.35674274177</v>
      </c>
      <c r="K259" s="140">
        <f t="shared" si="5"/>
        <v>577345.91180513124</v>
      </c>
      <c r="L259" s="140">
        <f t="shared" si="5"/>
        <v>544767.54770222376</v>
      </c>
      <c r="M259" s="140">
        <f t="shared" si="5"/>
        <v>537137.76828743436</v>
      </c>
      <c r="N259" s="140">
        <f t="shared" si="5"/>
        <v>516086.77996495704</v>
      </c>
      <c r="O259" s="140">
        <f t="shared" si="5"/>
        <v>491191.26015737711</v>
      </c>
      <c r="P259" s="140">
        <f t="shared" si="5"/>
        <v>475393.63426021725</v>
      </c>
      <c r="Q259" s="140">
        <f t="shared" si="5"/>
        <v>469178.67379667214</v>
      </c>
      <c r="R259" s="140">
        <f t="shared" si="5"/>
        <v>479603.83208937239</v>
      </c>
      <c r="S259" s="140">
        <f t="shared" si="5"/>
        <v>497806.0030542622</v>
      </c>
      <c r="T259" s="140">
        <f t="shared" si="5"/>
        <v>486902.68560661405</v>
      </c>
      <c r="U259" s="140">
        <f t="shared" si="5"/>
        <v>504322.52632136032</v>
      </c>
      <c r="V259" s="140">
        <f t="shared" si="5"/>
        <v>504844.39282794646</v>
      </c>
      <c r="W259" s="140">
        <f t="shared" si="5"/>
        <v>505264.13418878836</v>
      </c>
      <c r="X259" s="140">
        <f t="shared" si="5"/>
        <v>490605.10775980691</v>
      </c>
      <c r="Y259" s="140">
        <f t="shared" si="5"/>
        <v>488795.63697776938</v>
      </c>
      <c r="Z259" s="140">
        <f t="shared" si="5"/>
        <v>491942.99511565699</v>
      </c>
      <c r="AA259" s="140">
        <f t="shared" si="5"/>
        <v>479893.98154837085</v>
      </c>
      <c r="AB259" s="140">
        <f t="shared" si="5"/>
        <v>492688.13801671559</v>
      </c>
      <c r="AC259" s="140">
        <f t="shared" si="5"/>
        <v>496854.20415285812</v>
      </c>
      <c r="AD259" s="140">
        <f t="shared" si="5"/>
        <v>471969.49803819938</v>
      </c>
      <c r="AE259" s="140">
        <f t="shared" si="5"/>
        <v>490825.52347972657</v>
      </c>
      <c r="AF259" s="140">
        <f t="shared" si="5"/>
        <v>476535.79064461577</v>
      </c>
      <c r="AG259" s="140">
        <f t="shared" si="5"/>
        <v>498206.0254400617</v>
      </c>
      <c r="AH259" s="140">
        <f t="shared" si="5"/>
        <v>482491.82810513297</v>
      </c>
      <c r="AI259" s="140">
        <f t="shared" si="5"/>
        <v>481189.82857105613</v>
      </c>
      <c r="AJ259" s="140">
        <f t="shared" si="5"/>
        <v>482469.91456423904</v>
      </c>
      <c r="AK259" s="140">
        <f t="shared" si="5"/>
        <v>467078.52975148329</v>
      </c>
      <c r="AL259" s="140">
        <f t="shared" si="5"/>
        <v>475571.61598545994</v>
      </c>
      <c r="AM259" s="140">
        <f t="shared" si="5"/>
        <v>487944.78830627759</v>
      </c>
      <c r="AN259" s="140">
        <f t="shared" si="5"/>
        <v>470725.68059073697</v>
      </c>
      <c r="AO259" s="140">
        <f t="shared" si="5"/>
        <v>473370.97597906902</v>
      </c>
      <c r="AP259" s="140">
        <f t="shared" si="5"/>
        <v>474119.07251499715</v>
      </c>
      <c r="AQ259" s="140">
        <f t="shared" si="5"/>
        <v>469427.44098218752</v>
      </c>
      <c r="AR259" s="140">
        <f t="shared" si="5"/>
        <v>456630.76817552355</v>
      </c>
      <c r="AS259" s="140">
        <f t="shared" si="5"/>
        <v>456650.89930075221</v>
      </c>
      <c r="AT259" s="140">
        <f t="shared" si="5"/>
        <v>448461.73010548612</v>
      </c>
      <c r="AU259" s="140">
        <f t="shared" si="5"/>
        <v>462654.58070527873</v>
      </c>
      <c r="AV259" s="140">
        <f t="shared" si="5"/>
        <v>463465.7597981533</v>
      </c>
      <c r="AW259" s="140">
        <f t="shared" si="5"/>
        <v>469892.44568553707</v>
      </c>
      <c r="AX259" s="140">
        <f t="shared" si="5"/>
        <v>472302.93546692777</v>
      </c>
      <c r="AY259" s="140">
        <f>AZ$14*$B$259</f>
        <v>471295.26040640433</v>
      </c>
      <c r="AZ259" s="155">
        <f>SUM($D259:$AY259)</f>
        <v>27963458.560463443</v>
      </c>
    </row>
    <row r="260" spans="1:52" x14ac:dyDescent="0.2">
      <c r="A260" s="156" t="s">
        <v>302</v>
      </c>
      <c r="B260" s="130">
        <v>60</v>
      </c>
      <c r="C260" s="141" t="s">
        <v>293</v>
      </c>
      <c r="D260" s="141">
        <f>(D$175-D$176+D$177-D$178+D$179-D$180+D$181-D$182)*$B$260</f>
        <v>2087259.5863206373</v>
      </c>
      <c r="E260" s="141">
        <f t="shared" ref="E260:AY260" si="6">(E$175-E$176+E$177-E$178+E$179-E$180+E$181-E$182)*$B$260</f>
        <v>2155677.2146855267</v>
      </c>
      <c r="F260" s="141">
        <f t="shared" si="6"/>
        <v>2163194.5356353577</v>
      </c>
      <c r="G260" s="141">
        <f t="shared" si="6"/>
        <v>2167472.5685337642</v>
      </c>
      <c r="H260" s="141">
        <f t="shared" si="6"/>
        <v>2188084.8323676488</v>
      </c>
      <c r="I260" s="141">
        <f t="shared" si="6"/>
        <v>2218928.8618856445</v>
      </c>
      <c r="J260" s="141">
        <f t="shared" si="6"/>
        <v>2238956.3882883936</v>
      </c>
      <c r="K260" s="141">
        <f t="shared" si="6"/>
        <v>2230186.7349108555</v>
      </c>
      <c r="L260" s="141">
        <f t="shared" si="6"/>
        <v>2243308.375467089</v>
      </c>
      <c r="M260" s="141">
        <f t="shared" si="6"/>
        <v>2233138.1412491607</v>
      </c>
      <c r="N260" s="141">
        <f t="shared" si="6"/>
        <v>2242559.4071328538</v>
      </c>
      <c r="O260" s="141">
        <f t="shared" si="6"/>
        <v>2236808.3074290301</v>
      </c>
      <c r="P260" s="141">
        <f t="shared" si="6"/>
        <v>2077239.8323867377</v>
      </c>
      <c r="Q260" s="141">
        <f t="shared" si="6"/>
        <v>1930365.0383424421</v>
      </c>
      <c r="R260" s="141">
        <f t="shared" si="6"/>
        <v>1832647.752489761</v>
      </c>
      <c r="S260" s="141">
        <f t="shared" si="6"/>
        <v>1764424.7734429317</v>
      </c>
      <c r="T260" s="141">
        <f t="shared" si="6"/>
        <v>1727760.1758142405</v>
      </c>
      <c r="U260" s="141">
        <f t="shared" si="6"/>
        <v>1701262.6323799014</v>
      </c>
      <c r="V260" s="141">
        <f t="shared" si="6"/>
        <v>1669072.5328580043</v>
      </c>
      <c r="W260" s="141">
        <f t="shared" si="6"/>
        <v>1657755.2976770387</v>
      </c>
      <c r="X260" s="141">
        <f t="shared" si="6"/>
        <v>1643282.7667846724</v>
      </c>
      <c r="Y260" s="141">
        <f t="shared" si="6"/>
        <v>1642652.8872524793</v>
      </c>
      <c r="Z260" s="141">
        <f t="shared" si="6"/>
        <v>1631914.0886469381</v>
      </c>
      <c r="AA260" s="141">
        <f t="shared" si="6"/>
        <v>1641214.0135038001</v>
      </c>
      <c r="AB260" s="141">
        <f t="shared" si="6"/>
        <v>1642449.6549993202</v>
      </c>
      <c r="AC260" s="141">
        <f t="shared" si="6"/>
        <v>1636911.3151159256</v>
      </c>
      <c r="AD260" s="141">
        <f t="shared" si="6"/>
        <v>1644340.1358957808</v>
      </c>
      <c r="AE260" s="141">
        <f t="shared" si="6"/>
        <v>1626646.7085152867</v>
      </c>
      <c r="AF260" s="141">
        <f t="shared" si="6"/>
        <v>1640191.483016548</v>
      </c>
      <c r="AG260" s="141">
        <f t="shared" si="6"/>
        <v>1636828.5884728818</v>
      </c>
      <c r="AH260" s="141">
        <f t="shared" si="6"/>
        <v>1636544.2204094492</v>
      </c>
      <c r="AI260" s="141">
        <f t="shared" si="6"/>
        <v>1638256.2141209687</v>
      </c>
      <c r="AJ260" s="141">
        <f t="shared" si="6"/>
        <v>1514360.0307507312</v>
      </c>
      <c r="AK260" s="141">
        <f t="shared" si="6"/>
        <v>1514544.4667167729</v>
      </c>
      <c r="AL260" s="141">
        <f t="shared" si="6"/>
        <v>1516169.8034656125</v>
      </c>
      <c r="AM260" s="141">
        <f t="shared" si="6"/>
        <v>1506965.2553442493</v>
      </c>
      <c r="AN260" s="141">
        <f t="shared" si="6"/>
        <v>1623090.8017317867</v>
      </c>
      <c r="AO260" s="141">
        <f t="shared" si="6"/>
        <v>1615947.6906287023</v>
      </c>
      <c r="AP260" s="141">
        <f t="shared" si="6"/>
        <v>1614927.8016231284</v>
      </c>
      <c r="AQ260" s="141">
        <f t="shared" si="6"/>
        <v>1573351.976455732</v>
      </c>
      <c r="AR260" s="141">
        <f t="shared" si="6"/>
        <v>1519995.6863735914</v>
      </c>
      <c r="AS260" s="141">
        <f t="shared" si="6"/>
        <v>1487644.2341527829</v>
      </c>
      <c r="AT260" s="141">
        <f t="shared" si="6"/>
        <v>1454431.827144532</v>
      </c>
      <c r="AU260" s="141">
        <f t="shared" si="6"/>
        <v>1435358.0913638601</v>
      </c>
      <c r="AV260" s="141">
        <f t="shared" si="6"/>
        <v>1430228.6136841141</v>
      </c>
      <c r="AW260" s="141">
        <f t="shared" si="6"/>
        <v>1371889.3761227739</v>
      </c>
      <c r="AX260" s="141">
        <f t="shared" si="6"/>
        <v>1415764.7375050338</v>
      </c>
      <c r="AY260" s="141">
        <f t="shared" si="6"/>
        <v>1449807.9342615178</v>
      </c>
      <c r="AZ260" s="157">
        <f>SUM($D260:$AY260)</f>
        <v>84471813.39335601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75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customWidth="1"/>
    <col min="2" max="2" width="12.7109375" customWidth="1"/>
  </cols>
  <sheetData>
    <row r="1" spans="1:54" x14ac:dyDescent="0.2">
      <c r="A1" s="1" t="s">
        <v>284</v>
      </c>
    </row>
    <row r="2" spans="1:54" x14ac:dyDescent="0.2">
      <c r="A2" t="s">
        <v>285</v>
      </c>
      <c r="B2" s="124" t="s">
        <v>59</v>
      </c>
    </row>
    <row r="3" spans="1:54" x14ac:dyDescent="0.2">
      <c r="A3" t="s">
        <v>286</v>
      </c>
      <c r="B3" s="125">
        <v>43000</v>
      </c>
      <c r="C3" s="126"/>
    </row>
    <row r="4" spans="1:54" x14ac:dyDescent="0.2">
      <c r="B4" s="127"/>
      <c r="C4" s="127"/>
    </row>
    <row r="5" spans="1:54" x14ac:dyDescent="0.2">
      <c r="C5" s="9" t="s">
        <v>287</v>
      </c>
    </row>
    <row r="6" spans="1:54" x14ac:dyDescent="0.2">
      <c r="C6" s="128">
        <v>0</v>
      </c>
      <c r="D6" s="128">
        <v>1</v>
      </c>
      <c r="E6" s="128">
        <v>2</v>
      </c>
      <c r="F6" s="128">
        <v>3</v>
      </c>
      <c r="G6" s="128">
        <v>4</v>
      </c>
      <c r="H6" s="128">
        <v>5</v>
      </c>
      <c r="I6" s="128">
        <v>6</v>
      </c>
      <c r="J6" s="128">
        <v>7</v>
      </c>
      <c r="K6" s="128">
        <v>8</v>
      </c>
      <c r="L6" s="128">
        <v>9</v>
      </c>
      <c r="M6" s="128">
        <v>10</v>
      </c>
      <c r="N6" s="128">
        <v>11</v>
      </c>
      <c r="O6" s="128">
        <v>12</v>
      </c>
      <c r="P6" s="128">
        <v>13</v>
      </c>
      <c r="Q6" s="128">
        <v>14</v>
      </c>
      <c r="R6" s="128">
        <v>15</v>
      </c>
      <c r="S6" s="128">
        <v>16</v>
      </c>
      <c r="T6" s="128">
        <v>17</v>
      </c>
      <c r="U6" s="128">
        <v>18</v>
      </c>
      <c r="V6" s="128">
        <v>19</v>
      </c>
      <c r="W6" s="128">
        <v>20</v>
      </c>
      <c r="X6" s="128">
        <v>21</v>
      </c>
      <c r="Y6" s="128">
        <v>22</v>
      </c>
      <c r="Z6" s="128">
        <v>23</v>
      </c>
      <c r="AA6" s="128">
        <v>24</v>
      </c>
      <c r="AB6" s="128">
        <v>25</v>
      </c>
      <c r="AC6" s="128">
        <v>26</v>
      </c>
      <c r="AD6" s="128">
        <v>27</v>
      </c>
      <c r="AE6" s="128">
        <v>28</v>
      </c>
      <c r="AF6" s="128">
        <v>29</v>
      </c>
      <c r="AG6" s="128">
        <v>30</v>
      </c>
      <c r="AH6" s="128">
        <v>31</v>
      </c>
      <c r="AI6" s="128">
        <v>32</v>
      </c>
      <c r="AJ6" s="128">
        <v>33</v>
      </c>
      <c r="AK6" s="128">
        <v>34</v>
      </c>
      <c r="AL6" s="128">
        <v>35</v>
      </c>
      <c r="AM6" s="128">
        <v>36</v>
      </c>
      <c r="AN6" s="128">
        <v>37</v>
      </c>
      <c r="AO6" s="128">
        <v>38</v>
      </c>
      <c r="AP6" s="128">
        <v>39</v>
      </c>
      <c r="AQ6" s="128">
        <v>40</v>
      </c>
      <c r="AR6" s="128">
        <v>41</v>
      </c>
      <c r="AS6" s="128">
        <v>42</v>
      </c>
      <c r="AT6" s="128">
        <v>43</v>
      </c>
      <c r="AU6" s="128">
        <v>44</v>
      </c>
      <c r="AV6" s="128">
        <v>45</v>
      </c>
      <c r="AW6" s="128">
        <v>46</v>
      </c>
      <c r="AX6" s="128">
        <v>47</v>
      </c>
      <c r="AY6" s="128">
        <v>48</v>
      </c>
    </row>
    <row r="7" spans="1:54" x14ac:dyDescent="0.2">
      <c r="B7" s="127"/>
      <c r="C7" s="129" t="s">
        <v>288</v>
      </c>
      <c r="D7" s="128" t="s">
        <v>289</v>
      </c>
      <c r="E7" s="128" t="s">
        <v>289</v>
      </c>
      <c r="F7" s="128" t="s">
        <v>289</v>
      </c>
      <c r="G7" s="128" t="s">
        <v>289</v>
      </c>
      <c r="H7" s="128" t="s">
        <v>289</v>
      </c>
      <c r="I7" s="128" t="s">
        <v>289</v>
      </c>
      <c r="J7" s="128" t="s">
        <v>289</v>
      </c>
      <c r="K7" s="128" t="s">
        <v>289</v>
      </c>
      <c r="L7" s="128" t="s">
        <v>289</v>
      </c>
      <c r="M7" s="128" t="s">
        <v>289</v>
      </c>
      <c r="N7" s="128" t="s">
        <v>289</v>
      </c>
      <c r="O7" s="128" t="s">
        <v>289</v>
      </c>
      <c r="P7" s="128" t="s">
        <v>289</v>
      </c>
      <c r="Q7" s="128" t="s">
        <v>289</v>
      </c>
      <c r="R7" s="128" t="s">
        <v>289</v>
      </c>
      <c r="S7" s="128" t="s">
        <v>289</v>
      </c>
      <c r="T7" s="128" t="s">
        <v>289</v>
      </c>
      <c r="U7" s="128" t="s">
        <v>289</v>
      </c>
      <c r="V7" s="128" t="s">
        <v>289</v>
      </c>
      <c r="W7" s="128" t="s">
        <v>289</v>
      </c>
      <c r="X7" s="128" t="s">
        <v>289</v>
      </c>
      <c r="Y7" s="128" t="s">
        <v>289</v>
      </c>
      <c r="Z7" s="128" t="s">
        <v>289</v>
      </c>
      <c r="AA7" s="128" t="s">
        <v>289</v>
      </c>
      <c r="AB7" s="128" t="s">
        <v>289</v>
      </c>
      <c r="AC7" s="128" t="s">
        <v>289</v>
      </c>
      <c r="AD7" s="128" t="s">
        <v>289</v>
      </c>
      <c r="AE7" s="128" t="s">
        <v>289</v>
      </c>
      <c r="AF7" s="128" t="s">
        <v>289</v>
      </c>
      <c r="AG7" s="128" t="s">
        <v>289</v>
      </c>
      <c r="AH7" s="128" t="s">
        <v>289</v>
      </c>
      <c r="AI7" s="128" t="s">
        <v>289</v>
      </c>
      <c r="AJ7" s="128" t="s">
        <v>289</v>
      </c>
      <c r="AK7" s="128" t="s">
        <v>289</v>
      </c>
      <c r="AL7" s="128" t="s">
        <v>289</v>
      </c>
      <c r="AM7" s="128" t="s">
        <v>289</v>
      </c>
      <c r="AN7" s="128" t="s">
        <v>289</v>
      </c>
      <c r="AO7" s="128" t="s">
        <v>289</v>
      </c>
      <c r="AP7" s="128" t="s">
        <v>289</v>
      </c>
      <c r="AQ7" s="128" t="s">
        <v>289</v>
      </c>
      <c r="AR7" s="128" t="s">
        <v>289</v>
      </c>
      <c r="AS7" s="128" t="s">
        <v>289</v>
      </c>
      <c r="AT7" s="128" t="s">
        <v>289</v>
      </c>
      <c r="AU7" s="128" t="s">
        <v>289</v>
      </c>
      <c r="AV7" s="128" t="s">
        <v>289</v>
      </c>
      <c r="AW7" s="128" t="s">
        <v>289</v>
      </c>
      <c r="AX7" s="128" t="s">
        <v>289</v>
      </c>
      <c r="AY7" s="9" t="s">
        <v>290</v>
      </c>
      <c r="AZ7" s="9" t="s">
        <v>291</v>
      </c>
    </row>
    <row r="8" spans="1:54" x14ac:dyDescent="0.2">
      <c r="A8" s="1" t="s">
        <v>292</v>
      </c>
      <c r="B8" s="130"/>
      <c r="AY8" s="127"/>
    </row>
    <row r="9" spans="1:54" x14ac:dyDescent="0.2">
      <c r="A9" s="131" t="s">
        <v>125</v>
      </c>
      <c r="B9" s="132">
        <v>1</v>
      </c>
      <c r="C9" s="133" t="s">
        <v>293</v>
      </c>
      <c r="D9" s="133">
        <v>6914.5976299545891</v>
      </c>
      <c r="E9" s="133">
        <v>6914.5976299545891</v>
      </c>
      <c r="F9" s="133">
        <v>6914.5976299545891</v>
      </c>
      <c r="G9" s="133">
        <v>6914.5976299545891</v>
      </c>
      <c r="H9" s="133">
        <v>6789.1594911426091</v>
      </c>
      <c r="I9" s="133">
        <v>6914.5976299545891</v>
      </c>
      <c r="J9" s="133">
        <v>6620.048184983807</v>
      </c>
      <c r="K9" s="133">
        <v>6914.5976299545891</v>
      </c>
      <c r="L9" s="133">
        <v>6914.5976299545891</v>
      </c>
      <c r="M9" s="133">
        <v>6914.5976299545891</v>
      </c>
      <c r="N9" s="133">
        <v>6914.5976299545891</v>
      </c>
      <c r="O9" s="133">
        <v>6914.5976299545891</v>
      </c>
      <c r="P9" s="133">
        <v>6914.5976299545891</v>
      </c>
      <c r="Q9" s="133">
        <v>6914.5976299545891</v>
      </c>
      <c r="R9" s="133">
        <v>6914.5976299545891</v>
      </c>
      <c r="S9" s="133">
        <v>6914.5976299545891</v>
      </c>
      <c r="T9" s="133">
        <v>6914.5976299545891</v>
      </c>
      <c r="U9" s="133">
        <v>6914.5976299545891</v>
      </c>
      <c r="V9" s="133">
        <v>6914.5976299545891</v>
      </c>
      <c r="W9" s="133">
        <v>6914.5976299545891</v>
      </c>
      <c r="X9" s="133">
        <v>6914.5976299545891</v>
      </c>
      <c r="Y9" s="133">
        <v>6914.5976299545891</v>
      </c>
      <c r="Z9" s="133">
        <v>6914.5976299545891</v>
      </c>
      <c r="AA9" s="133">
        <v>6914.5976299545891</v>
      </c>
      <c r="AB9" s="133">
        <v>6914.5976299545891</v>
      </c>
      <c r="AC9" s="133">
        <v>6914.5976299545891</v>
      </c>
      <c r="AD9" s="133">
        <v>6914.5976299545891</v>
      </c>
      <c r="AE9" s="133">
        <v>6914.5976299545891</v>
      </c>
      <c r="AF9" s="133">
        <v>6914.5976299545891</v>
      </c>
      <c r="AG9" s="133">
        <v>6914.5976299545891</v>
      </c>
      <c r="AH9" s="133">
        <v>6914.5976299545891</v>
      </c>
      <c r="AI9" s="133">
        <v>6914.5976299545891</v>
      </c>
      <c r="AJ9" s="133">
        <v>6623.143607624882</v>
      </c>
      <c r="AK9" s="133">
        <v>6914.5976299545891</v>
      </c>
      <c r="AL9" s="133">
        <v>6914.5976299545891</v>
      </c>
      <c r="AM9" s="133">
        <v>6914.5976299545891</v>
      </c>
      <c r="AN9" s="133">
        <v>6914.5976299545891</v>
      </c>
      <c r="AO9" s="133">
        <v>6914.5976299545891</v>
      </c>
      <c r="AP9" s="133">
        <v>6914.5976299545891</v>
      </c>
      <c r="AQ9" s="133">
        <v>6805.6372033494536</v>
      </c>
      <c r="AR9" s="133">
        <v>6806.071422128688</v>
      </c>
      <c r="AS9" s="133">
        <v>6806.5027042444235</v>
      </c>
      <c r="AT9" s="133">
        <v>6806.9309801032441</v>
      </c>
      <c r="AU9" s="133">
        <v>6807.3561806090702</v>
      </c>
      <c r="AV9" s="133">
        <v>6807.7782371755593</v>
      </c>
      <c r="AW9" s="133">
        <v>6624.5625306090878</v>
      </c>
      <c r="AX9" s="133">
        <v>6914.5976299545891</v>
      </c>
      <c r="AY9" s="133">
        <v>6914.5976299545891</v>
      </c>
    </row>
    <row r="10" spans="1:54" x14ac:dyDescent="0.2">
      <c r="A10" s="134" t="s">
        <v>133</v>
      </c>
      <c r="B10" s="135">
        <v>1</v>
      </c>
      <c r="C10" s="123" t="s">
        <v>293</v>
      </c>
      <c r="D10">
        <v>0</v>
      </c>
      <c r="E10">
        <v>977.22131413173645</v>
      </c>
      <c r="F10">
        <v>1354.0485352401029</v>
      </c>
      <c r="G10">
        <v>98.018131694884701</v>
      </c>
      <c r="H10">
        <v>1402.9553092401027</v>
      </c>
      <c r="I10">
        <v>1452.739242285196</v>
      </c>
      <c r="J10">
        <v>1526.882983276379</v>
      </c>
      <c r="K10">
        <v>48.906773999999999</v>
      </c>
      <c r="L10">
        <v>1532.7696458304144</v>
      </c>
      <c r="M10">
        <v>1452.739242285196</v>
      </c>
      <c r="N10">
        <v>1532.7696458304144</v>
      </c>
      <c r="O10">
        <v>1452.739242285196</v>
      </c>
      <c r="P10">
        <v>1581.6764198304143</v>
      </c>
      <c r="Q10">
        <v>1452.739242285196</v>
      </c>
      <c r="R10">
        <v>1581.6764198304143</v>
      </c>
      <c r="S10">
        <v>98.018131694884701</v>
      </c>
      <c r="T10">
        <v>1175.9999999999998</v>
      </c>
      <c r="U10">
        <v>1581.6764198304143</v>
      </c>
      <c r="V10">
        <v>1452.739242285196</v>
      </c>
      <c r="W10">
        <v>1581.6764198304143</v>
      </c>
      <c r="X10">
        <v>1225.1113576948844</v>
      </c>
      <c r="Y10">
        <v>226.95530924010296</v>
      </c>
      <c r="Z10">
        <v>1403.832468285196</v>
      </c>
      <c r="AA10">
        <v>1581.6764198304143</v>
      </c>
      <c r="AB10">
        <v>1452.739242285196</v>
      </c>
      <c r="AC10">
        <v>1581.6764198304143</v>
      </c>
      <c r="AD10">
        <v>1452.739242285196</v>
      </c>
      <c r="AE10">
        <v>1581.6764198304143</v>
      </c>
      <c r="AF10">
        <v>1452.739242285196</v>
      </c>
      <c r="AG10">
        <v>1403.6278845903114</v>
      </c>
      <c r="AH10">
        <v>1402.9553092401027</v>
      </c>
      <c r="AI10">
        <v>98.018131694884701</v>
      </c>
      <c r="AJ10">
        <v>1581.6764198304143</v>
      </c>
      <c r="AK10">
        <v>98.018131694884701</v>
      </c>
      <c r="AL10">
        <v>1257.5439103932752</v>
      </c>
      <c r="AM10">
        <v>226.95530924010296</v>
      </c>
      <c r="AN10">
        <v>1225.1113576948844</v>
      </c>
      <c r="AO10">
        <v>226.95530924010296</v>
      </c>
      <c r="AP10">
        <v>1274.0181316948845</v>
      </c>
      <c r="AQ10">
        <v>1581.6764198304143</v>
      </c>
      <c r="AR10">
        <v>1452.739242285196</v>
      </c>
      <c r="AS10">
        <v>181.15605247050917</v>
      </c>
      <c r="AT10">
        <v>159.40732881349061</v>
      </c>
      <c r="AU10">
        <v>181.62847670970183</v>
      </c>
      <c r="AV10">
        <v>2654.3005548134906</v>
      </c>
      <c r="AW10">
        <v>1536.8154480802625</v>
      </c>
      <c r="AX10">
        <v>1335.4073288134905</v>
      </c>
      <c r="AY10">
        <v>82.318414053736518</v>
      </c>
      <c r="AZ10">
        <v>1402.9553092401027</v>
      </c>
    </row>
    <row r="11" spans="1:54" x14ac:dyDescent="0.2">
      <c r="B11" s="135">
        <v>2</v>
      </c>
      <c r="C11" s="123" t="s">
        <v>293</v>
      </c>
      <c r="D11">
        <v>0</v>
      </c>
      <c r="E11">
        <v>0</v>
      </c>
      <c r="F11">
        <v>22.08233508106828</v>
      </c>
      <c r="G11">
        <v>178.72111059031158</v>
      </c>
      <c r="H11">
        <v>1483.6582881355296</v>
      </c>
      <c r="I11">
        <v>178.72111059031158</v>
      </c>
      <c r="J11">
        <v>0</v>
      </c>
      <c r="L11">
        <v>1354.7211105903114</v>
      </c>
      <c r="M11">
        <v>48.906773999999999</v>
      </c>
      <c r="O11">
        <v>48.906773999999999</v>
      </c>
      <c r="P11">
        <v>128.93717754521825</v>
      </c>
      <c r="Q11">
        <v>0</v>
      </c>
      <c r="S11">
        <v>0</v>
      </c>
      <c r="T11">
        <v>1354.7211105903114</v>
      </c>
      <c r="U11">
        <v>227.62788459031157</v>
      </c>
      <c r="W11">
        <v>128.93717754521825</v>
      </c>
      <c r="Y11">
        <v>356.56506213552984</v>
      </c>
      <c r="Z11">
        <v>1354.7211105903114</v>
      </c>
      <c r="AA11">
        <v>177.84395154521826</v>
      </c>
      <c r="AB11">
        <v>0</v>
      </c>
      <c r="AD11">
        <v>0</v>
      </c>
      <c r="AE11">
        <v>128.93717754521825</v>
      </c>
      <c r="AG11">
        <v>128.93717754521825</v>
      </c>
      <c r="AH11">
        <v>0</v>
      </c>
      <c r="AI11">
        <v>178.72111059031158</v>
      </c>
      <c r="AJ11">
        <v>1483.6582881355296</v>
      </c>
      <c r="AK11">
        <v>0</v>
      </c>
      <c r="AL11">
        <v>1354.7211105903114</v>
      </c>
      <c r="AM11">
        <v>178.72111059031158</v>
      </c>
      <c r="AN11">
        <v>0</v>
      </c>
      <c r="AO11">
        <v>177.84395154521826</v>
      </c>
      <c r="AP11">
        <v>1354.7211105903114</v>
      </c>
      <c r="AQ11">
        <v>178.72111059031158</v>
      </c>
      <c r="AR11">
        <v>0</v>
      </c>
      <c r="AS11">
        <v>128.93717754521825</v>
      </c>
      <c r="AU11">
        <v>0</v>
      </c>
      <c r="AW11">
        <v>48.906773999999999</v>
      </c>
      <c r="AX11">
        <v>0</v>
      </c>
      <c r="AY11">
        <v>201.63849424787117</v>
      </c>
      <c r="AZ11">
        <v>1354.7211105903114</v>
      </c>
      <c r="BA11">
        <v>0</v>
      </c>
    </row>
    <row r="12" spans="1:54" x14ac:dyDescent="0.2">
      <c r="B12" s="136">
        <v>3</v>
      </c>
      <c r="C12" s="123" t="s">
        <v>293</v>
      </c>
      <c r="G12">
        <v>0</v>
      </c>
      <c r="K12">
        <v>128.93717754521825</v>
      </c>
      <c r="L12">
        <v>0</v>
      </c>
      <c r="O12">
        <v>128.93717754521825</v>
      </c>
      <c r="U12">
        <v>128.93717754521825</v>
      </c>
      <c r="V12">
        <v>0</v>
      </c>
      <c r="W12">
        <v>0</v>
      </c>
      <c r="Y12">
        <v>0</v>
      </c>
      <c r="AA12">
        <v>0</v>
      </c>
      <c r="AG12">
        <v>0</v>
      </c>
      <c r="AM12">
        <v>128.93717754521825</v>
      </c>
      <c r="AO12">
        <v>0</v>
      </c>
      <c r="AP12">
        <v>1367.8</v>
      </c>
      <c r="AQ12">
        <v>0</v>
      </c>
      <c r="AR12">
        <v>128.93717754521825</v>
      </c>
      <c r="AU12">
        <v>0</v>
      </c>
      <c r="AV12">
        <v>21.985737249511971</v>
      </c>
      <c r="AW12">
        <v>0</v>
      </c>
      <c r="AY12">
        <v>0</v>
      </c>
      <c r="BB12">
        <v>178.72111059031158</v>
      </c>
    </row>
    <row r="13" spans="1:54" x14ac:dyDescent="0.2">
      <c r="B13" s="136">
        <v>4</v>
      </c>
      <c r="C13" s="123" t="s">
        <v>293</v>
      </c>
      <c r="Q13">
        <v>0</v>
      </c>
      <c r="T13">
        <v>128.93717754521825</v>
      </c>
      <c r="AE13">
        <v>128.93717754521825</v>
      </c>
      <c r="AH13">
        <v>0</v>
      </c>
      <c r="AY13">
        <v>22.454917610308442</v>
      </c>
      <c r="BB13">
        <v>0</v>
      </c>
    </row>
    <row r="14" spans="1:54" x14ac:dyDescent="0.2">
      <c r="A14" s="131" t="s">
        <v>134</v>
      </c>
      <c r="B14" s="137">
        <v>1</v>
      </c>
      <c r="C14" s="133" t="s">
        <v>293</v>
      </c>
      <c r="D14" s="133">
        <v>409.14105870760847</v>
      </c>
      <c r="E14" s="133">
        <f t="shared" ref="E14:AZ14" si="0">D$172*SUM(D$122:D$169)</f>
        <v>2022.6823531696978</v>
      </c>
      <c r="F14" s="133">
        <f t="shared" si="0"/>
        <v>3035.5184977971267</v>
      </c>
      <c r="G14" s="133">
        <f t="shared" si="0"/>
        <v>3728.5790959430797</v>
      </c>
      <c r="H14" s="133">
        <f t="shared" si="0"/>
        <v>3949.1114387198545</v>
      </c>
      <c r="I14" s="133">
        <f t="shared" si="0"/>
        <v>4563.0578835541473</v>
      </c>
      <c r="J14" s="133">
        <f t="shared" si="0"/>
        <v>4586.6520007361232</v>
      </c>
      <c r="K14" s="133">
        <f t="shared" si="0"/>
        <v>4660.1350579616283</v>
      </c>
      <c r="L14" s="133">
        <f t="shared" si="0"/>
        <v>4457.4827995117294</v>
      </c>
      <c r="M14" s="133">
        <f t="shared" si="0"/>
        <v>4736.4212581656857</v>
      </c>
      <c r="N14" s="133">
        <f t="shared" si="0"/>
        <v>4829.4849378400368</v>
      </c>
      <c r="O14" s="133">
        <f t="shared" si="0"/>
        <v>4732.4872935164713</v>
      </c>
      <c r="P14" s="133">
        <f t="shared" si="0"/>
        <v>4773.5815004374099</v>
      </c>
      <c r="Q14" s="133">
        <f t="shared" si="0"/>
        <v>4780.9717818680201</v>
      </c>
      <c r="R14" s="133">
        <f t="shared" si="0"/>
        <v>4738.1559873042834</v>
      </c>
      <c r="S14" s="133">
        <f t="shared" si="0"/>
        <v>4806.1910069727082</v>
      </c>
      <c r="T14" s="133">
        <f t="shared" si="0"/>
        <v>4567.6838995377257</v>
      </c>
      <c r="U14" s="133">
        <f t="shared" si="0"/>
        <v>4698.0976522896572</v>
      </c>
      <c r="V14" s="133">
        <f t="shared" si="0"/>
        <v>4949.6192074528917</v>
      </c>
      <c r="W14" s="133">
        <f t="shared" si="0"/>
        <v>4848.0540917975131</v>
      </c>
      <c r="X14" s="133">
        <f t="shared" si="0"/>
        <v>4853.2216511456654</v>
      </c>
      <c r="Y14" s="133">
        <f t="shared" si="0"/>
        <v>4680.0931035651674</v>
      </c>
      <c r="Z14" s="133">
        <f t="shared" si="0"/>
        <v>4709.6141371379081</v>
      </c>
      <c r="AA14" s="133">
        <f t="shared" si="0"/>
        <v>4857.2658561823691</v>
      </c>
      <c r="AB14" s="133">
        <f t="shared" si="0"/>
        <v>5041.0557460836544</v>
      </c>
      <c r="AC14" s="133">
        <f t="shared" si="0"/>
        <v>4889.762379183685</v>
      </c>
      <c r="AD14" s="133">
        <f t="shared" si="0"/>
        <v>4793.4643612184309</v>
      </c>
      <c r="AE14" s="133">
        <f t="shared" si="0"/>
        <v>4719.174543469916</v>
      </c>
      <c r="AF14" s="133">
        <f t="shared" si="0"/>
        <v>4832.375723756606</v>
      </c>
      <c r="AG14" s="133">
        <f t="shared" si="0"/>
        <v>4765.8388576206908</v>
      </c>
      <c r="AH14" s="133">
        <f t="shared" si="0"/>
        <v>4766.6261269797042</v>
      </c>
      <c r="AI14" s="133">
        <f t="shared" si="0"/>
        <v>4802.5485165192586</v>
      </c>
      <c r="AJ14" s="133">
        <f t="shared" si="0"/>
        <v>4463.0050961954303</v>
      </c>
      <c r="AK14" s="133">
        <f t="shared" si="0"/>
        <v>4893.272583292659</v>
      </c>
      <c r="AL14" s="133">
        <f t="shared" si="0"/>
        <v>4512.1718266919106</v>
      </c>
      <c r="AM14" s="133">
        <f t="shared" si="0"/>
        <v>4802.4117696621643</v>
      </c>
      <c r="AN14" s="133">
        <f t="shared" si="0"/>
        <v>4614.1041250225444</v>
      </c>
      <c r="AO14" s="133">
        <f t="shared" si="0"/>
        <v>4544.5929173131826</v>
      </c>
      <c r="AP14" s="133">
        <f t="shared" si="0"/>
        <v>4610.629517164487</v>
      </c>
      <c r="AQ14" s="133">
        <f t="shared" si="0"/>
        <v>5000.9955349525326</v>
      </c>
      <c r="AR14" s="133">
        <f t="shared" si="0"/>
        <v>4933.6814127077141</v>
      </c>
      <c r="AS14" s="133">
        <f t="shared" si="0"/>
        <v>4858.5363562271741</v>
      </c>
      <c r="AT14" s="133">
        <f t="shared" si="0"/>
        <v>4569.5723700125318</v>
      </c>
      <c r="AU14" s="133">
        <f t="shared" si="0"/>
        <v>4424.1680185405849</v>
      </c>
      <c r="AV14" s="133">
        <f t="shared" si="0"/>
        <v>4345.5676666275103</v>
      </c>
      <c r="AW14" s="133">
        <f t="shared" si="0"/>
        <v>4605.0755954543592</v>
      </c>
      <c r="AX14" s="133">
        <f t="shared" si="0"/>
        <v>4660.2464048934116</v>
      </c>
      <c r="AY14" s="133">
        <f t="shared" si="0"/>
        <v>4704.2428239320889</v>
      </c>
      <c r="AZ14" s="127">
        <f t="shared" si="0"/>
        <v>4456.9518533497421</v>
      </c>
      <c r="BA14" s="124">
        <f>SUM($E14:$AZ14)</f>
        <v>220174.23461947887</v>
      </c>
    </row>
    <row r="15" spans="1:54" x14ac:dyDescent="0.2">
      <c r="A15" s="138" t="s">
        <v>123</v>
      </c>
      <c r="B15" s="139">
        <v>1</v>
      </c>
      <c r="C15" s="140" t="s">
        <v>293</v>
      </c>
      <c r="D15" s="140">
        <v>4980.0710838098994</v>
      </c>
      <c r="E15" s="140">
        <v>5568.3986742678835</v>
      </c>
      <c r="F15" s="140">
        <v>5741.0710838098994</v>
      </c>
      <c r="G15" s="140">
        <v>5239.9597261150147</v>
      </c>
      <c r="H15" s="140">
        <v>5930.0710838098994</v>
      </c>
      <c r="I15" s="140">
        <v>5820.5544877965767</v>
      </c>
      <c r="J15" s="140">
        <v>5927.5755391578696</v>
      </c>
      <c r="K15" s="140">
        <v>5169.0710838098994</v>
      </c>
      <c r="L15" s="140">
        <v>5817.6658454914614</v>
      </c>
      <c r="M15" s="140">
        <v>5820.5544877965767</v>
      </c>
      <c r="N15" s="140">
        <v>5817.6658454914614</v>
      </c>
      <c r="O15" s="140">
        <v>5820.5544877965767</v>
      </c>
      <c r="P15" s="140">
        <v>6006.6658454914614</v>
      </c>
      <c r="Q15" s="140">
        <v>5820.5544877965767</v>
      </c>
      <c r="R15" s="140">
        <v>6006.6658454914614</v>
      </c>
      <c r="S15" s="140">
        <v>5239.9597261150147</v>
      </c>
      <c r="T15" s="140">
        <v>5484.0710838098994</v>
      </c>
      <c r="U15" s="140">
        <v>6006.6658454914614</v>
      </c>
      <c r="V15" s="140">
        <v>5820.5544877965767</v>
      </c>
      <c r="W15" s="140">
        <v>6006.6658454914614</v>
      </c>
      <c r="X15" s="140">
        <v>5554.9597261150147</v>
      </c>
      <c r="Y15" s="140">
        <v>5426.0710838098994</v>
      </c>
      <c r="Z15" s="140">
        <v>5631.5544877965767</v>
      </c>
      <c r="AA15" s="140">
        <v>6006.6658454914614</v>
      </c>
      <c r="AB15" s="140">
        <v>5820.5544877965767</v>
      </c>
      <c r="AC15" s="140">
        <v>6006.6658454914614</v>
      </c>
      <c r="AD15" s="140">
        <v>5820.5544877965767</v>
      </c>
      <c r="AE15" s="140">
        <v>6006.6658454914614</v>
      </c>
      <c r="AF15" s="140">
        <v>5820.5544877965767</v>
      </c>
      <c r="AG15" s="140">
        <v>5749.6658454914614</v>
      </c>
      <c r="AH15" s="140">
        <v>5930.0710838098994</v>
      </c>
      <c r="AI15" s="140">
        <v>5239.9597261150147</v>
      </c>
      <c r="AJ15" s="140">
        <v>6006.6658454914614</v>
      </c>
      <c r="AK15" s="140">
        <v>5239.9597261150147</v>
      </c>
      <c r="AL15" s="140">
        <v>5720.1803961205042</v>
      </c>
      <c r="AM15" s="140">
        <v>5426.0710838098994</v>
      </c>
      <c r="AN15" s="140">
        <v>5554.9597261150147</v>
      </c>
      <c r="AO15" s="140">
        <v>5426.0710838098994</v>
      </c>
      <c r="AP15" s="140">
        <v>5743.9597261150147</v>
      </c>
      <c r="AQ15" s="140">
        <v>6006.6658454914614</v>
      </c>
      <c r="AR15" s="140">
        <v>5820.5544877965767</v>
      </c>
      <c r="AS15" s="140">
        <v>5359.9632162337193</v>
      </c>
      <c r="AT15" s="140">
        <v>5328.5705289964089</v>
      </c>
      <c r="AU15" s="140">
        <v>5360.6451259686619</v>
      </c>
      <c r="AV15" s="140">
        <v>6229.7705289964088</v>
      </c>
      <c r="AW15" s="140">
        <v>5941.9123235136394</v>
      </c>
      <c r="AX15" s="140">
        <v>5832.5705289964089</v>
      </c>
      <c r="AY15" s="140">
        <v>5217.2983353412346</v>
      </c>
      <c r="AZ15">
        <v>950.00000000000023</v>
      </c>
    </row>
    <row r="16" spans="1:54" x14ac:dyDescent="0.2">
      <c r="A16" s="127"/>
      <c r="B16" s="135">
        <v>2</v>
      </c>
      <c r="C16" s="126" t="s">
        <v>293</v>
      </c>
      <c r="D16" s="123">
        <v>0</v>
      </c>
      <c r="E16" s="127">
        <v>0</v>
      </c>
      <c r="F16" s="127">
        <v>85.337080918931747</v>
      </c>
      <c r="G16" s="127">
        <v>76.59476168156209</v>
      </c>
      <c r="H16" s="127">
        <v>766.70611937644685</v>
      </c>
      <c r="I16" s="127">
        <v>76.59476168156209</v>
      </c>
      <c r="J16" s="127">
        <v>0</v>
      </c>
      <c r="K16" s="127"/>
      <c r="L16" s="127">
        <v>580.59476168156209</v>
      </c>
      <c r="M16" s="127">
        <v>189</v>
      </c>
      <c r="N16" s="127"/>
      <c r="O16" s="127">
        <v>189</v>
      </c>
      <c r="P16" s="127">
        <v>186.1113576948847</v>
      </c>
      <c r="Q16" s="127">
        <v>0</v>
      </c>
      <c r="R16" s="127"/>
      <c r="S16" s="127">
        <v>0</v>
      </c>
      <c r="T16" s="127">
        <v>580.59476168156209</v>
      </c>
      <c r="U16" s="127">
        <v>265.59476168156209</v>
      </c>
      <c r="V16" s="127"/>
      <c r="W16" s="127">
        <v>186.1113576948847</v>
      </c>
      <c r="X16" s="127"/>
      <c r="Y16" s="127">
        <v>451.70611937644679</v>
      </c>
      <c r="Z16" s="127">
        <v>580.59476168156209</v>
      </c>
      <c r="AA16" s="127">
        <v>375.1113576948847</v>
      </c>
      <c r="AB16" s="127">
        <v>0</v>
      </c>
      <c r="AC16" s="127"/>
      <c r="AD16" s="127">
        <v>0</v>
      </c>
      <c r="AE16" s="127">
        <v>186.1113576948847</v>
      </c>
      <c r="AF16" s="127"/>
      <c r="AG16" s="127">
        <v>186.1113576948847</v>
      </c>
      <c r="AH16" s="127">
        <v>0</v>
      </c>
      <c r="AI16" s="127">
        <v>76.59476168156209</v>
      </c>
      <c r="AJ16" s="127">
        <v>766.70611937644685</v>
      </c>
      <c r="AK16" s="127">
        <v>0</v>
      </c>
      <c r="AL16" s="127">
        <v>580.59476168156209</v>
      </c>
      <c r="AM16" s="127">
        <v>76.59476168156209</v>
      </c>
      <c r="AN16" s="127">
        <v>0</v>
      </c>
      <c r="AO16" s="127">
        <v>375.1113576948847</v>
      </c>
      <c r="AP16" s="127">
        <v>580.59476168156209</v>
      </c>
      <c r="AQ16" s="127">
        <v>76.59476168156209</v>
      </c>
      <c r="AR16" s="127">
        <v>0</v>
      </c>
      <c r="AS16" s="127">
        <v>186.1113576948847</v>
      </c>
      <c r="AT16" s="127"/>
      <c r="AU16" s="127">
        <v>0</v>
      </c>
      <c r="AV16" s="127"/>
      <c r="AW16" s="127">
        <v>189</v>
      </c>
      <c r="AX16" s="127">
        <v>0</v>
      </c>
      <c r="AY16" s="127">
        <v>109.67432390346019</v>
      </c>
      <c r="AZ16">
        <v>580.59476168156209</v>
      </c>
      <c r="BA16">
        <v>0</v>
      </c>
    </row>
    <row r="17" spans="1:54" x14ac:dyDescent="0.2">
      <c r="A17" s="127"/>
      <c r="B17" s="135">
        <v>3</v>
      </c>
      <c r="C17" s="126" t="s">
        <v>293</v>
      </c>
      <c r="D17" s="123"/>
      <c r="E17" s="127"/>
      <c r="F17" s="127"/>
      <c r="G17" s="127">
        <v>0</v>
      </c>
      <c r="H17" s="127"/>
      <c r="I17" s="127"/>
      <c r="J17" s="127"/>
      <c r="K17" s="127">
        <v>186.1113576948847</v>
      </c>
      <c r="L17" s="127">
        <v>0</v>
      </c>
      <c r="M17" s="127"/>
      <c r="N17" s="127"/>
      <c r="O17" s="127">
        <v>186.1113576948847</v>
      </c>
      <c r="P17" s="127"/>
      <c r="Q17" s="127"/>
      <c r="R17" s="127"/>
      <c r="S17" s="127"/>
      <c r="T17" s="127"/>
      <c r="U17" s="127">
        <v>186.1113576948847</v>
      </c>
      <c r="V17" s="127">
        <v>0</v>
      </c>
      <c r="W17" s="127">
        <v>0</v>
      </c>
      <c r="X17" s="127"/>
      <c r="Y17" s="127">
        <v>0</v>
      </c>
      <c r="Z17" s="127"/>
      <c r="AA17" s="127">
        <v>0</v>
      </c>
      <c r="AB17" s="127"/>
      <c r="AC17" s="127"/>
      <c r="AD17" s="127"/>
      <c r="AE17" s="127"/>
      <c r="AF17" s="127"/>
      <c r="AG17" s="127">
        <v>0</v>
      </c>
      <c r="AH17" s="127"/>
      <c r="AI17" s="127"/>
      <c r="AJ17" s="127"/>
      <c r="AK17" s="127"/>
      <c r="AL17" s="127"/>
      <c r="AM17" s="127">
        <v>186.1113576948847</v>
      </c>
      <c r="AN17" s="127"/>
      <c r="AO17" s="127">
        <v>0</v>
      </c>
      <c r="AP17" s="127">
        <v>586.20000000000027</v>
      </c>
      <c r="AQ17" s="127">
        <v>0</v>
      </c>
      <c r="AR17" s="127">
        <v>186.1113576948847</v>
      </c>
      <c r="AS17" s="127"/>
      <c r="AT17" s="127"/>
      <c r="AU17" s="127">
        <v>0</v>
      </c>
      <c r="AV17" s="127">
        <v>31.73479897211709</v>
      </c>
      <c r="AW17" s="127">
        <v>0</v>
      </c>
      <c r="AX17" s="127"/>
      <c r="AY17" s="127">
        <v>0</v>
      </c>
      <c r="BB17">
        <v>76.59476168156209</v>
      </c>
    </row>
    <row r="18" spans="1:54" x14ac:dyDescent="0.2">
      <c r="A18" s="141"/>
      <c r="B18" s="132">
        <v>4</v>
      </c>
      <c r="C18" s="141" t="s">
        <v>293</v>
      </c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>
        <v>0</v>
      </c>
      <c r="R18" s="141"/>
      <c r="S18" s="141"/>
      <c r="T18" s="141">
        <v>186.1113576948847</v>
      </c>
      <c r="U18" s="141"/>
      <c r="V18" s="141"/>
      <c r="W18" s="141"/>
      <c r="X18" s="141"/>
      <c r="Y18" s="141"/>
      <c r="Z18" s="141"/>
      <c r="AA18" s="141"/>
      <c r="AB18" s="141"/>
      <c r="AC18" s="141"/>
      <c r="AD18" s="141"/>
      <c r="AE18" s="141">
        <v>186.1113576948847</v>
      </c>
      <c r="AF18" s="141"/>
      <c r="AG18" s="141"/>
      <c r="AH18" s="141">
        <v>0</v>
      </c>
      <c r="AI18" s="141"/>
      <c r="AJ18" s="141"/>
      <c r="AK18" s="141"/>
      <c r="AL18" s="141"/>
      <c r="AM18" s="141"/>
      <c r="AN18" s="141"/>
      <c r="AO18" s="141"/>
      <c r="AP18" s="141"/>
      <c r="AQ18" s="141"/>
      <c r="AR18" s="141"/>
      <c r="AS18" s="141"/>
      <c r="AT18" s="141"/>
      <c r="AU18" s="141"/>
      <c r="AV18" s="141"/>
      <c r="AW18" s="141"/>
      <c r="AX18" s="141"/>
      <c r="AY18" s="141">
        <v>32.41202640654717</v>
      </c>
      <c r="BB18">
        <v>0</v>
      </c>
    </row>
    <row r="20" spans="1:54" x14ac:dyDescent="0.2">
      <c r="A20" s="1" t="s">
        <v>294</v>
      </c>
    </row>
    <row r="21" spans="1:54" x14ac:dyDescent="0.2">
      <c r="A21" s="142" t="s">
        <v>125</v>
      </c>
      <c r="B21" s="139">
        <v>1</v>
      </c>
      <c r="C21" s="140" t="s">
        <v>293</v>
      </c>
      <c r="D21" s="140"/>
      <c r="E21" s="140"/>
      <c r="F21" s="140"/>
      <c r="G21" s="140"/>
      <c r="H21" s="140"/>
      <c r="I21" s="140"/>
      <c r="J21" s="140"/>
      <c r="K21" s="140"/>
      <c r="L21" s="140">
        <v>3779.1520713022401</v>
      </c>
      <c r="M21" s="140">
        <v>6914.5976299545891</v>
      </c>
      <c r="N21" s="140">
        <v>6914.5976299545891</v>
      </c>
      <c r="O21" s="140">
        <v>6914.5976299545891</v>
      </c>
      <c r="P21" s="140">
        <v>6914.5976299545891</v>
      </c>
      <c r="Q21" s="140">
        <v>6914.5976299545891</v>
      </c>
      <c r="R21" s="140">
        <v>6914.5976299545891</v>
      </c>
      <c r="S21" s="140">
        <v>6914.5976299545891</v>
      </c>
      <c r="T21" s="140">
        <v>6914.5976299545891</v>
      </c>
      <c r="U21" s="140">
        <v>6914.5976299545891</v>
      </c>
      <c r="V21" s="140">
        <v>6914.5976299545891</v>
      </c>
      <c r="W21" s="140">
        <v>6914.5976299545891</v>
      </c>
      <c r="X21" s="140">
        <v>6914.5976299545891</v>
      </c>
      <c r="Y21" s="140">
        <v>6914.5976299545891</v>
      </c>
      <c r="Z21" s="140">
        <v>6914.5976299545891</v>
      </c>
      <c r="AA21" s="140">
        <v>6914.5976299545891</v>
      </c>
      <c r="AB21" s="140">
        <v>6914.5976299545891</v>
      </c>
      <c r="AC21" s="140">
        <v>6914.5976299545891</v>
      </c>
      <c r="AD21" s="140">
        <v>6914.5976299545891</v>
      </c>
      <c r="AE21" s="140">
        <v>6914.5976299545891</v>
      </c>
      <c r="AF21" s="140">
        <v>6914.5976299545891</v>
      </c>
      <c r="AG21" s="140">
        <v>6914.5976299545891</v>
      </c>
      <c r="AH21" s="140">
        <v>6914.5976299545891</v>
      </c>
      <c r="AI21" s="140">
        <v>6914.5976299545891</v>
      </c>
      <c r="AJ21" s="140">
        <v>6623.143607624882</v>
      </c>
      <c r="AK21" s="140">
        <v>6914.5976299545891</v>
      </c>
      <c r="AL21" s="140">
        <v>6914.5976299545891</v>
      </c>
      <c r="AM21" s="140">
        <v>6914.5976299545891</v>
      </c>
      <c r="AN21" s="140">
        <v>6914.5976299545891</v>
      </c>
      <c r="AO21" s="140">
        <v>6914.5976299545891</v>
      </c>
      <c r="AP21" s="140">
        <v>6914.5976299545891</v>
      </c>
      <c r="AQ21" s="140">
        <v>6805.6372033494536</v>
      </c>
      <c r="AR21" s="140">
        <v>6806.071422128688</v>
      </c>
      <c r="AS21" s="140">
        <v>6806.5027042444235</v>
      </c>
      <c r="AT21" s="140">
        <v>6806.9309801032441</v>
      </c>
      <c r="AU21" s="140">
        <v>6807.3561806090702</v>
      </c>
      <c r="AV21" s="140">
        <v>6807.7782371755593</v>
      </c>
      <c r="AW21" s="140">
        <v>6624.5625306090878</v>
      </c>
      <c r="AX21" s="140">
        <v>6914.5976299545891</v>
      </c>
      <c r="AY21" s="140">
        <v>6914.5976299545891</v>
      </c>
    </row>
    <row r="22" spans="1:54" x14ac:dyDescent="0.2">
      <c r="A22" s="126"/>
      <c r="B22" s="136">
        <v>2</v>
      </c>
      <c r="C22" s="127" t="s">
        <v>293</v>
      </c>
      <c r="D22" s="127"/>
      <c r="E22" s="127"/>
      <c r="F22" s="127"/>
      <c r="G22" s="127"/>
      <c r="H22" s="127"/>
      <c r="I22" s="127"/>
      <c r="J22" s="127">
        <v>2591.4224996423</v>
      </c>
      <c r="K22" s="127">
        <v>4647.4488926922986</v>
      </c>
      <c r="L22" s="127">
        <v>6914.5976299545891</v>
      </c>
      <c r="M22" s="127">
        <v>1983.4455586523491</v>
      </c>
      <c r="N22" s="127">
        <v>0</v>
      </c>
      <c r="O22" s="127">
        <v>0</v>
      </c>
      <c r="P22" s="127">
        <v>0</v>
      </c>
      <c r="Q22" s="127">
        <v>0</v>
      </c>
      <c r="R22" s="127">
        <v>0</v>
      </c>
      <c r="S22" s="127">
        <v>0</v>
      </c>
      <c r="T22" s="127">
        <v>0</v>
      </c>
      <c r="U22" s="127">
        <v>0</v>
      </c>
      <c r="V22" s="127">
        <v>0</v>
      </c>
      <c r="W22" s="127">
        <v>0</v>
      </c>
      <c r="X22" s="127">
        <v>0</v>
      </c>
      <c r="Y22" s="127">
        <v>0</v>
      </c>
      <c r="Z22" s="127">
        <v>0</v>
      </c>
      <c r="AA22" s="127">
        <v>0</v>
      </c>
      <c r="AB22" s="127">
        <v>0</v>
      </c>
      <c r="AC22" s="127">
        <v>0</v>
      </c>
      <c r="AD22" s="127">
        <v>0</v>
      </c>
      <c r="AE22" s="127">
        <v>0</v>
      </c>
      <c r="AF22" s="127">
        <v>0</v>
      </c>
      <c r="AG22" s="127">
        <v>0</v>
      </c>
      <c r="AH22" s="127">
        <v>0</v>
      </c>
      <c r="AI22" s="127">
        <v>0</v>
      </c>
      <c r="AJ22" s="127">
        <v>0</v>
      </c>
      <c r="AK22" s="127">
        <v>0</v>
      </c>
      <c r="AL22" s="127">
        <v>0</v>
      </c>
      <c r="AM22" s="127">
        <v>0</v>
      </c>
      <c r="AN22" s="127">
        <v>0</v>
      </c>
      <c r="AO22" s="127">
        <v>0</v>
      </c>
      <c r="AP22" s="127">
        <v>0</v>
      </c>
      <c r="AQ22" s="127">
        <v>0</v>
      </c>
      <c r="AR22" s="127">
        <v>0</v>
      </c>
      <c r="AS22" s="127">
        <v>0</v>
      </c>
      <c r="AT22" s="127">
        <v>0</v>
      </c>
      <c r="AU22" s="127">
        <v>0</v>
      </c>
      <c r="AV22" s="127">
        <v>0</v>
      </c>
      <c r="AW22" s="127">
        <v>0</v>
      </c>
      <c r="AX22" s="127">
        <v>0</v>
      </c>
      <c r="AY22" s="127">
        <v>0</v>
      </c>
    </row>
    <row r="23" spans="1:54" x14ac:dyDescent="0.2">
      <c r="A23" s="126"/>
      <c r="B23" s="143">
        <v>3</v>
      </c>
      <c r="C23" s="127" t="s">
        <v>293</v>
      </c>
      <c r="D23" s="127"/>
      <c r="E23" s="127"/>
      <c r="F23" s="127"/>
      <c r="G23" s="127"/>
      <c r="H23" s="127">
        <v>1919.0633109677929</v>
      </c>
      <c r="I23" s="127">
        <v>5991.672913321443</v>
      </c>
      <c r="J23" s="127">
        <v>6768.0842077757552</v>
      </c>
      <c r="K23" s="127">
        <v>3004.1751303122892</v>
      </c>
      <c r="L23" s="127">
        <v>881.59929229150839</v>
      </c>
      <c r="M23" s="127">
        <v>0</v>
      </c>
      <c r="N23" s="127">
        <v>0</v>
      </c>
      <c r="O23" s="127">
        <v>0</v>
      </c>
      <c r="P23" s="127">
        <v>0</v>
      </c>
      <c r="Q23" s="127">
        <v>0</v>
      </c>
      <c r="R23" s="127">
        <v>0</v>
      </c>
      <c r="S23" s="127">
        <v>0</v>
      </c>
      <c r="T23" s="127">
        <v>0</v>
      </c>
      <c r="U23" s="127">
        <v>0</v>
      </c>
      <c r="V23" s="127">
        <v>0</v>
      </c>
      <c r="W23" s="127">
        <v>0</v>
      </c>
      <c r="X23" s="127">
        <v>0</v>
      </c>
      <c r="Y23" s="127">
        <v>0</v>
      </c>
      <c r="Z23" s="127">
        <v>0</v>
      </c>
      <c r="AA23" s="127">
        <v>0</v>
      </c>
      <c r="AB23" s="127">
        <v>0</v>
      </c>
      <c r="AC23" s="127">
        <v>0</v>
      </c>
      <c r="AD23" s="127">
        <v>0</v>
      </c>
      <c r="AE23" s="127">
        <v>0</v>
      </c>
      <c r="AF23" s="127">
        <v>0</v>
      </c>
      <c r="AG23" s="127">
        <v>0</v>
      </c>
      <c r="AH23" s="127">
        <v>0</v>
      </c>
      <c r="AI23" s="127">
        <v>0</v>
      </c>
      <c r="AJ23" s="127">
        <v>0</v>
      </c>
      <c r="AK23" s="127">
        <v>0</v>
      </c>
      <c r="AL23" s="127">
        <v>0</v>
      </c>
      <c r="AM23" s="127">
        <v>0</v>
      </c>
      <c r="AN23" s="127">
        <v>0</v>
      </c>
      <c r="AO23" s="127">
        <v>0</v>
      </c>
      <c r="AP23" s="127">
        <v>0</v>
      </c>
      <c r="AQ23" s="127">
        <v>0</v>
      </c>
      <c r="AR23" s="127">
        <v>0</v>
      </c>
      <c r="AS23" s="127">
        <v>0</v>
      </c>
      <c r="AT23" s="127">
        <v>0</v>
      </c>
      <c r="AU23" s="127">
        <v>0</v>
      </c>
      <c r="AV23" s="127">
        <v>0</v>
      </c>
      <c r="AW23" s="127">
        <v>0</v>
      </c>
      <c r="AX23" s="127">
        <v>0</v>
      </c>
      <c r="AY23" s="127">
        <v>0</v>
      </c>
    </row>
    <row r="24" spans="1:54" x14ac:dyDescent="0.2">
      <c r="A24" s="144"/>
      <c r="B24" s="145">
        <v>4</v>
      </c>
      <c r="C24" s="144" t="s">
        <v>293</v>
      </c>
      <c r="D24" s="141">
        <v>0</v>
      </c>
      <c r="E24" s="141">
        <v>0</v>
      </c>
      <c r="F24" s="141">
        <v>0</v>
      </c>
      <c r="G24" s="141">
        <v>1904.6997442489592</v>
      </c>
      <c r="H24" s="141">
        <v>6914.5976299545891</v>
      </c>
      <c r="I24" s="141">
        <v>3987.5343189867963</v>
      </c>
      <c r="J24" s="141">
        <v>0</v>
      </c>
      <c r="K24" s="141">
        <v>0</v>
      </c>
      <c r="L24" s="141">
        <v>0</v>
      </c>
      <c r="M24" s="141">
        <v>0</v>
      </c>
      <c r="N24" s="141">
        <v>0</v>
      </c>
      <c r="O24" s="141">
        <v>0</v>
      </c>
      <c r="P24" s="141">
        <v>0</v>
      </c>
      <c r="Q24" s="141">
        <v>0</v>
      </c>
      <c r="R24" s="141">
        <v>0</v>
      </c>
      <c r="S24" s="141">
        <v>0</v>
      </c>
      <c r="T24" s="141">
        <v>0</v>
      </c>
      <c r="U24" s="141">
        <v>0</v>
      </c>
      <c r="V24" s="141">
        <v>0</v>
      </c>
      <c r="W24" s="141">
        <v>0</v>
      </c>
      <c r="X24" s="141">
        <v>0</v>
      </c>
      <c r="Y24" s="141">
        <v>0</v>
      </c>
      <c r="Z24" s="141">
        <v>0</v>
      </c>
      <c r="AA24" s="141">
        <v>0</v>
      </c>
      <c r="AB24" s="141">
        <v>0</v>
      </c>
      <c r="AC24" s="141">
        <v>0</v>
      </c>
      <c r="AD24" s="141">
        <v>0</v>
      </c>
      <c r="AE24" s="141">
        <v>0</v>
      </c>
      <c r="AF24" s="141">
        <v>0</v>
      </c>
      <c r="AG24" s="141">
        <v>0</v>
      </c>
      <c r="AH24" s="141">
        <v>0</v>
      </c>
      <c r="AI24" s="141">
        <v>0</v>
      </c>
      <c r="AJ24" s="141">
        <v>0</v>
      </c>
      <c r="AK24" s="141">
        <v>0</v>
      </c>
      <c r="AL24" s="141">
        <v>0</v>
      </c>
      <c r="AM24" s="141">
        <v>0</v>
      </c>
      <c r="AN24" s="141">
        <v>0</v>
      </c>
      <c r="AO24" s="141">
        <v>0</v>
      </c>
      <c r="AP24" s="141">
        <v>0</v>
      </c>
      <c r="AQ24" s="141">
        <v>0</v>
      </c>
      <c r="AR24" s="141">
        <v>0</v>
      </c>
      <c r="AS24" s="141">
        <v>0</v>
      </c>
      <c r="AT24" s="141">
        <v>0</v>
      </c>
      <c r="AU24" s="141">
        <v>0</v>
      </c>
      <c r="AV24" s="141">
        <v>0</v>
      </c>
      <c r="AW24" s="141">
        <v>0</v>
      </c>
      <c r="AX24" s="141">
        <v>0</v>
      </c>
      <c r="AY24" s="141">
        <v>0</v>
      </c>
    </row>
    <row r="25" spans="1:54" x14ac:dyDescent="0.2">
      <c r="A25" s="142" t="s">
        <v>133</v>
      </c>
      <c r="B25" s="139">
        <v>1</v>
      </c>
      <c r="C25" s="126" t="s">
        <v>293</v>
      </c>
      <c r="D25" s="127"/>
      <c r="E25" s="127"/>
      <c r="F25" s="127"/>
      <c r="G25" s="127"/>
      <c r="H25" s="127"/>
      <c r="I25" s="127"/>
      <c r="J25" s="127"/>
      <c r="K25" s="127"/>
      <c r="L25" s="127"/>
      <c r="M25" s="127"/>
      <c r="N25" s="127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7"/>
      <c r="Z25" s="127"/>
      <c r="AA25" s="127"/>
      <c r="AB25" s="127"/>
      <c r="AC25" s="127"/>
      <c r="AD25" s="127"/>
      <c r="AE25" s="127"/>
      <c r="AF25" s="127"/>
      <c r="AG25" s="127"/>
      <c r="AH25" s="127"/>
      <c r="AI25" s="127"/>
      <c r="AJ25" s="127"/>
      <c r="AK25" s="127"/>
      <c r="AL25" s="127"/>
      <c r="AM25" s="127"/>
      <c r="AN25" s="127"/>
      <c r="AO25" s="127"/>
      <c r="AP25" s="127"/>
      <c r="AQ25" s="127"/>
      <c r="AR25" s="127"/>
      <c r="AS25" s="127"/>
      <c r="AT25" s="127"/>
      <c r="AU25" s="127"/>
      <c r="AV25" s="127"/>
      <c r="AW25" s="127"/>
      <c r="AX25" s="127"/>
      <c r="AY25" s="127"/>
    </row>
    <row r="26" spans="1:54" x14ac:dyDescent="0.2">
      <c r="A26" s="126"/>
      <c r="B26" s="135">
        <v>2</v>
      </c>
      <c r="C26" s="126" t="s">
        <v>293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27"/>
      <c r="Q26" s="127"/>
      <c r="R26" s="127">
        <v>7.6662058268348998</v>
      </c>
      <c r="S26" s="127"/>
      <c r="T26" s="127"/>
      <c r="U26" s="127">
        <v>79.285837007429024</v>
      </c>
      <c r="V26" s="127">
        <v>41.66108848938844</v>
      </c>
      <c r="W26" s="127">
        <v>110.56639938467795</v>
      </c>
      <c r="X26" s="127"/>
      <c r="Y26" s="127"/>
      <c r="Z26" s="127">
        <v>120.84514982752431</v>
      </c>
      <c r="AA26" s="127">
        <v>356.68232989355027</v>
      </c>
      <c r="AB26" s="127">
        <v>176.12011047235325</v>
      </c>
      <c r="AC26" s="127">
        <v>74.397302247169407</v>
      </c>
      <c r="AD26" s="127"/>
      <c r="AE26" s="127">
        <v>38.573854170918899</v>
      </c>
      <c r="AF26" s="127"/>
      <c r="AG26" s="127"/>
      <c r="AH26" s="127"/>
      <c r="AI26" s="127"/>
      <c r="AJ26" s="127">
        <v>110.67105769350543</v>
      </c>
      <c r="AK26" s="127"/>
      <c r="AL26" s="127"/>
      <c r="AM26" s="127"/>
      <c r="AN26" s="127"/>
      <c r="AO26" s="127"/>
      <c r="AP26" s="127"/>
      <c r="AQ26" s="127">
        <v>8.1828704824824854</v>
      </c>
      <c r="AR26" s="127">
        <v>31.315252786657965</v>
      </c>
      <c r="AS26" s="127"/>
      <c r="AT26" s="127"/>
      <c r="AU26" s="127"/>
      <c r="AV26" s="127"/>
      <c r="AW26" s="127"/>
      <c r="AX26" s="127"/>
      <c r="AY26" s="127"/>
    </row>
    <row r="27" spans="1:54" x14ac:dyDescent="0.2">
      <c r="A27" s="126"/>
      <c r="B27" s="136">
        <v>3</v>
      </c>
      <c r="C27" s="126" t="s">
        <v>293</v>
      </c>
      <c r="D27" s="127"/>
      <c r="E27" s="127"/>
      <c r="F27" s="127"/>
      <c r="G27" s="127"/>
      <c r="H27" s="127"/>
      <c r="I27" s="127"/>
      <c r="J27" s="127"/>
      <c r="K27" s="127"/>
      <c r="L27" s="127"/>
      <c r="M27" s="127">
        <v>0</v>
      </c>
      <c r="N27" s="127">
        <v>0</v>
      </c>
      <c r="O27" s="127">
        <v>116.10774496724618</v>
      </c>
      <c r="P27" s="127">
        <v>0</v>
      </c>
      <c r="Q27" s="127">
        <v>0</v>
      </c>
      <c r="R27" s="127">
        <v>0</v>
      </c>
      <c r="S27" s="127">
        <v>0</v>
      </c>
      <c r="T27" s="127">
        <v>0</v>
      </c>
      <c r="U27" s="127">
        <v>128.93717754521822</v>
      </c>
      <c r="V27" s="127">
        <v>0</v>
      </c>
      <c r="W27" s="127">
        <v>0</v>
      </c>
      <c r="X27" s="127">
        <v>0</v>
      </c>
      <c r="Y27" s="127">
        <v>0</v>
      </c>
      <c r="Z27" s="127">
        <v>0</v>
      </c>
      <c r="AA27" s="127">
        <v>3.3726196236743817</v>
      </c>
      <c r="AB27" s="127">
        <v>0</v>
      </c>
      <c r="AC27" s="127">
        <v>0</v>
      </c>
      <c r="AD27" s="127">
        <v>0</v>
      </c>
      <c r="AE27" s="127">
        <v>0</v>
      </c>
      <c r="AF27" s="127">
        <v>0</v>
      </c>
      <c r="AG27" s="127">
        <v>0</v>
      </c>
      <c r="AH27" s="127">
        <v>0</v>
      </c>
      <c r="AI27" s="127">
        <v>0</v>
      </c>
      <c r="AJ27" s="127">
        <v>0</v>
      </c>
      <c r="AK27" s="127">
        <v>0</v>
      </c>
      <c r="AL27" s="127">
        <v>0</v>
      </c>
      <c r="AM27" s="127">
        <v>74.750412045385815</v>
      </c>
      <c r="AN27" s="127">
        <v>0</v>
      </c>
      <c r="AO27" s="127">
        <v>0</v>
      </c>
      <c r="AP27" s="127">
        <v>1348.7835332976754</v>
      </c>
      <c r="AQ27" s="127">
        <v>0</v>
      </c>
      <c r="AR27" s="127">
        <v>128.93717754521822</v>
      </c>
      <c r="AS27" s="127">
        <v>0</v>
      </c>
      <c r="AT27" s="127">
        <v>0</v>
      </c>
      <c r="AU27" s="127">
        <v>0</v>
      </c>
      <c r="AV27" s="127">
        <v>17.833277693012089</v>
      </c>
      <c r="AW27" s="127">
        <v>0</v>
      </c>
      <c r="AX27" s="127">
        <v>0</v>
      </c>
      <c r="AY27" s="127">
        <v>2.9707157281247789</v>
      </c>
    </row>
    <row r="28" spans="1:54" x14ac:dyDescent="0.2">
      <c r="A28" s="126"/>
      <c r="B28" s="136">
        <v>4</v>
      </c>
      <c r="C28" s="126" t="s">
        <v>293</v>
      </c>
      <c r="D28" s="127"/>
      <c r="E28" s="127"/>
      <c r="F28" s="127"/>
      <c r="G28" s="127"/>
      <c r="H28" s="127"/>
      <c r="I28" s="127"/>
      <c r="J28" s="127"/>
      <c r="K28" s="127"/>
      <c r="L28" s="127"/>
      <c r="M28" s="127">
        <v>0</v>
      </c>
      <c r="N28" s="127">
        <v>0</v>
      </c>
      <c r="O28" s="127">
        <v>0</v>
      </c>
      <c r="P28" s="127">
        <v>0</v>
      </c>
      <c r="Q28" s="127">
        <v>0</v>
      </c>
      <c r="R28" s="127">
        <v>0</v>
      </c>
      <c r="S28" s="127">
        <v>0</v>
      </c>
      <c r="T28" s="127">
        <v>128.93717754521825</v>
      </c>
      <c r="U28" s="127">
        <v>0</v>
      </c>
      <c r="V28" s="127">
        <v>0</v>
      </c>
      <c r="W28" s="127">
        <v>0</v>
      </c>
      <c r="X28" s="127">
        <v>0</v>
      </c>
      <c r="Y28" s="127">
        <v>0</v>
      </c>
      <c r="Z28" s="127">
        <v>0</v>
      </c>
      <c r="AA28" s="127">
        <v>0</v>
      </c>
      <c r="AB28" s="127">
        <v>0</v>
      </c>
      <c r="AC28" s="127">
        <v>0</v>
      </c>
      <c r="AD28" s="127">
        <v>0</v>
      </c>
      <c r="AE28" s="127">
        <v>128.93717754521825</v>
      </c>
      <c r="AF28" s="127">
        <v>0</v>
      </c>
      <c r="AG28" s="127">
        <v>0</v>
      </c>
      <c r="AH28" s="127">
        <v>0</v>
      </c>
      <c r="AI28" s="127">
        <v>0</v>
      </c>
      <c r="AJ28" s="127">
        <v>0</v>
      </c>
      <c r="AK28" s="127">
        <v>0</v>
      </c>
      <c r="AL28" s="127">
        <v>0</v>
      </c>
      <c r="AM28" s="127">
        <v>0</v>
      </c>
      <c r="AN28" s="127">
        <v>0</v>
      </c>
      <c r="AO28" s="127">
        <v>0</v>
      </c>
      <c r="AP28" s="127">
        <v>0</v>
      </c>
      <c r="AQ28" s="127">
        <v>0</v>
      </c>
      <c r="AR28" s="127">
        <v>0</v>
      </c>
      <c r="AS28" s="127">
        <v>0</v>
      </c>
      <c r="AT28" s="127">
        <v>0</v>
      </c>
      <c r="AU28" s="127">
        <v>0</v>
      </c>
      <c r="AV28" s="127">
        <v>0</v>
      </c>
      <c r="AW28" s="127">
        <v>0</v>
      </c>
      <c r="AX28" s="127">
        <v>0</v>
      </c>
      <c r="AY28" s="127">
        <v>22.454917610308442</v>
      </c>
    </row>
    <row r="29" spans="1:54" x14ac:dyDescent="0.2">
      <c r="A29" s="126"/>
      <c r="B29" s="143">
        <v>5</v>
      </c>
      <c r="C29" s="126" t="s">
        <v>293</v>
      </c>
      <c r="D29" s="127"/>
      <c r="E29" s="127"/>
      <c r="F29" s="127"/>
      <c r="G29" s="127"/>
      <c r="H29" s="127"/>
      <c r="I29" s="127"/>
      <c r="J29" s="127"/>
      <c r="K29" s="127"/>
      <c r="L29" s="127">
        <v>0</v>
      </c>
      <c r="M29" s="127">
        <v>0</v>
      </c>
      <c r="N29" s="127">
        <v>0</v>
      </c>
      <c r="O29" s="127">
        <v>0</v>
      </c>
      <c r="P29" s="127">
        <v>0</v>
      </c>
      <c r="Q29" s="127">
        <v>0</v>
      </c>
      <c r="R29" s="127">
        <v>0</v>
      </c>
      <c r="S29" s="127">
        <v>0</v>
      </c>
      <c r="T29" s="127">
        <v>0</v>
      </c>
      <c r="U29" s="127">
        <v>0</v>
      </c>
      <c r="V29" s="127">
        <v>0</v>
      </c>
      <c r="W29" s="127">
        <v>0</v>
      </c>
      <c r="X29" s="127">
        <v>0</v>
      </c>
      <c r="Y29" s="127">
        <v>0</v>
      </c>
      <c r="Z29" s="127">
        <v>0</v>
      </c>
      <c r="AA29" s="127">
        <v>0</v>
      </c>
      <c r="AB29" s="127">
        <v>0</v>
      </c>
      <c r="AC29" s="127">
        <v>0</v>
      </c>
      <c r="AD29" s="127">
        <v>0</v>
      </c>
      <c r="AE29" s="127">
        <v>0</v>
      </c>
      <c r="AF29" s="127">
        <v>0</v>
      </c>
      <c r="AG29" s="127">
        <v>0</v>
      </c>
      <c r="AH29" s="127">
        <v>0</v>
      </c>
      <c r="AI29" s="127">
        <v>0</v>
      </c>
      <c r="AJ29" s="127">
        <v>0</v>
      </c>
      <c r="AK29" s="127">
        <v>0</v>
      </c>
      <c r="AL29" s="127">
        <v>0</v>
      </c>
      <c r="AM29" s="127">
        <v>0</v>
      </c>
      <c r="AN29" s="127">
        <v>0</v>
      </c>
      <c r="AO29" s="127">
        <v>0</v>
      </c>
      <c r="AP29" s="127">
        <v>0</v>
      </c>
      <c r="AQ29" s="127">
        <v>0</v>
      </c>
      <c r="AR29" s="127">
        <v>0</v>
      </c>
      <c r="AS29" s="127">
        <v>0</v>
      </c>
      <c r="AT29" s="127">
        <v>0</v>
      </c>
      <c r="AU29" s="127">
        <v>0</v>
      </c>
      <c r="AV29" s="127">
        <v>0</v>
      </c>
      <c r="AW29" s="127">
        <v>0</v>
      </c>
      <c r="AX29" s="127">
        <v>0</v>
      </c>
      <c r="AY29" s="127">
        <v>0</v>
      </c>
    </row>
    <row r="30" spans="1:54" x14ac:dyDescent="0.2">
      <c r="A30" s="126"/>
      <c r="B30" s="143">
        <v>6</v>
      </c>
      <c r="C30" s="126" t="s">
        <v>293</v>
      </c>
      <c r="D30" s="127"/>
      <c r="E30" s="127"/>
      <c r="F30" s="127"/>
      <c r="G30" s="127"/>
      <c r="H30" s="127"/>
      <c r="I30" s="127"/>
      <c r="J30" s="127">
        <v>0</v>
      </c>
      <c r="K30" s="127">
        <v>0</v>
      </c>
      <c r="L30" s="127">
        <v>0</v>
      </c>
      <c r="M30" s="127">
        <v>0</v>
      </c>
      <c r="N30" s="127">
        <v>0</v>
      </c>
      <c r="O30" s="127">
        <v>0</v>
      </c>
      <c r="P30" s="127">
        <v>0</v>
      </c>
      <c r="Q30" s="127">
        <v>0</v>
      </c>
      <c r="R30" s="127">
        <v>0</v>
      </c>
      <c r="S30" s="127">
        <v>0</v>
      </c>
      <c r="T30" s="127">
        <v>0</v>
      </c>
      <c r="U30" s="127">
        <v>0</v>
      </c>
      <c r="V30" s="127">
        <v>0</v>
      </c>
      <c r="W30" s="127">
        <v>0</v>
      </c>
      <c r="X30" s="127">
        <v>0</v>
      </c>
      <c r="Y30" s="127">
        <v>0</v>
      </c>
      <c r="Z30" s="127">
        <v>0</v>
      </c>
      <c r="AA30" s="127">
        <v>0</v>
      </c>
      <c r="AB30" s="127">
        <v>0</v>
      </c>
      <c r="AC30" s="127">
        <v>0</v>
      </c>
      <c r="AD30" s="127">
        <v>0</v>
      </c>
      <c r="AE30" s="127">
        <v>0</v>
      </c>
      <c r="AF30" s="127">
        <v>0</v>
      </c>
      <c r="AG30" s="127">
        <v>0</v>
      </c>
      <c r="AH30" s="127">
        <v>0</v>
      </c>
      <c r="AI30" s="127">
        <v>0</v>
      </c>
      <c r="AJ30" s="127">
        <v>0</v>
      </c>
      <c r="AK30" s="127">
        <v>0</v>
      </c>
      <c r="AL30" s="127">
        <v>0</v>
      </c>
      <c r="AM30" s="127">
        <v>0</v>
      </c>
      <c r="AN30" s="127">
        <v>0</v>
      </c>
      <c r="AO30" s="127">
        <v>0</v>
      </c>
      <c r="AP30" s="127">
        <v>0</v>
      </c>
      <c r="AQ30" s="127">
        <v>0</v>
      </c>
      <c r="AR30" s="127">
        <v>0</v>
      </c>
      <c r="AS30" s="127">
        <v>0</v>
      </c>
      <c r="AT30" s="127">
        <v>0</v>
      </c>
      <c r="AU30" s="127">
        <v>0</v>
      </c>
      <c r="AV30" s="127">
        <v>0</v>
      </c>
      <c r="AW30" s="127">
        <v>0</v>
      </c>
      <c r="AX30" s="127">
        <v>0</v>
      </c>
      <c r="AY30" s="127">
        <v>0</v>
      </c>
    </row>
    <row r="31" spans="1:54" x14ac:dyDescent="0.2">
      <c r="A31" s="126"/>
      <c r="B31" s="146">
        <v>7</v>
      </c>
      <c r="C31" s="126" t="s">
        <v>293</v>
      </c>
      <c r="D31" s="127"/>
      <c r="E31" s="127"/>
      <c r="F31" s="127"/>
      <c r="G31" s="127"/>
      <c r="H31" s="127">
        <v>0</v>
      </c>
      <c r="I31" s="127">
        <v>0</v>
      </c>
      <c r="J31" s="127">
        <v>0</v>
      </c>
      <c r="K31" s="127">
        <v>0</v>
      </c>
      <c r="L31" s="127">
        <v>0</v>
      </c>
      <c r="M31" s="127">
        <v>0</v>
      </c>
      <c r="N31" s="127">
        <v>0</v>
      </c>
      <c r="O31" s="127">
        <v>0</v>
      </c>
      <c r="P31" s="127">
        <v>0</v>
      </c>
      <c r="Q31" s="127">
        <v>0</v>
      </c>
      <c r="R31" s="127">
        <v>0</v>
      </c>
      <c r="S31" s="127">
        <v>0</v>
      </c>
      <c r="T31" s="127">
        <v>0</v>
      </c>
      <c r="U31" s="127">
        <v>0</v>
      </c>
      <c r="V31" s="127">
        <v>0</v>
      </c>
      <c r="W31" s="127">
        <v>0</v>
      </c>
      <c r="X31" s="127">
        <v>0</v>
      </c>
      <c r="Y31" s="127">
        <v>0</v>
      </c>
      <c r="Z31" s="127">
        <v>0</v>
      </c>
      <c r="AA31" s="127">
        <v>0</v>
      </c>
      <c r="AB31" s="127">
        <v>0</v>
      </c>
      <c r="AC31" s="127">
        <v>0</v>
      </c>
      <c r="AD31" s="127">
        <v>0</v>
      </c>
      <c r="AE31" s="127">
        <v>0</v>
      </c>
      <c r="AF31" s="127">
        <v>0</v>
      </c>
      <c r="AG31" s="127">
        <v>0</v>
      </c>
      <c r="AH31" s="127">
        <v>0</v>
      </c>
      <c r="AI31" s="127">
        <v>0</v>
      </c>
      <c r="AJ31" s="127">
        <v>0</v>
      </c>
      <c r="AK31" s="127">
        <v>0</v>
      </c>
      <c r="AL31" s="127">
        <v>0</v>
      </c>
      <c r="AM31" s="127">
        <v>0</v>
      </c>
      <c r="AN31" s="127">
        <v>0</v>
      </c>
      <c r="AO31" s="127">
        <v>0</v>
      </c>
      <c r="AP31" s="127">
        <v>0</v>
      </c>
      <c r="AQ31" s="127">
        <v>0</v>
      </c>
      <c r="AR31" s="127">
        <v>0</v>
      </c>
      <c r="AS31" s="127">
        <v>0</v>
      </c>
      <c r="AT31" s="127">
        <v>0</v>
      </c>
      <c r="AU31" s="127">
        <v>0</v>
      </c>
      <c r="AV31" s="127">
        <v>0</v>
      </c>
      <c r="AW31" s="127">
        <v>0</v>
      </c>
      <c r="AX31" s="127">
        <v>0</v>
      </c>
      <c r="AY31" s="127">
        <v>0</v>
      </c>
    </row>
    <row r="32" spans="1:54" x14ac:dyDescent="0.2">
      <c r="A32" s="144"/>
      <c r="B32" s="145">
        <v>8</v>
      </c>
      <c r="C32" s="144" t="s">
        <v>293</v>
      </c>
      <c r="D32" s="141">
        <v>0</v>
      </c>
      <c r="E32" s="141">
        <v>0</v>
      </c>
      <c r="F32" s="141">
        <v>0</v>
      </c>
      <c r="G32" s="141">
        <v>0</v>
      </c>
      <c r="H32" s="141">
        <v>0</v>
      </c>
      <c r="I32" s="141">
        <v>0</v>
      </c>
      <c r="J32" s="141">
        <v>0</v>
      </c>
      <c r="K32" s="141">
        <v>0</v>
      </c>
      <c r="L32" s="141">
        <v>0</v>
      </c>
      <c r="M32" s="141">
        <v>0</v>
      </c>
      <c r="N32" s="141">
        <v>0</v>
      </c>
      <c r="O32" s="141">
        <v>0</v>
      </c>
      <c r="P32" s="141">
        <v>0</v>
      </c>
      <c r="Q32" s="141">
        <v>0</v>
      </c>
      <c r="R32" s="141">
        <v>0</v>
      </c>
      <c r="S32" s="141">
        <v>0</v>
      </c>
      <c r="T32" s="141">
        <v>0</v>
      </c>
      <c r="U32" s="141">
        <v>0</v>
      </c>
      <c r="V32" s="141">
        <v>0</v>
      </c>
      <c r="W32" s="141">
        <v>0</v>
      </c>
      <c r="X32" s="141">
        <v>0</v>
      </c>
      <c r="Y32" s="141">
        <v>0</v>
      </c>
      <c r="Z32" s="141">
        <v>0</v>
      </c>
      <c r="AA32" s="141">
        <v>0</v>
      </c>
      <c r="AB32" s="141">
        <v>0</v>
      </c>
      <c r="AC32" s="141">
        <v>0</v>
      </c>
      <c r="AD32" s="141">
        <v>0</v>
      </c>
      <c r="AE32" s="141">
        <v>0</v>
      </c>
      <c r="AF32" s="141">
        <v>0</v>
      </c>
      <c r="AG32" s="141">
        <v>0</v>
      </c>
      <c r="AH32" s="141">
        <v>0</v>
      </c>
      <c r="AI32" s="141">
        <v>0</v>
      </c>
      <c r="AJ32" s="141">
        <v>0</v>
      </c>
      <c r="AK32" s="141">
        <v>0</v>
      </c>
      <c r="AL32" s="141">
        <v>0</v>
      </c>
      <c r="AM32" s="141">
        <v>0</v>
      </c>
      <c r="AN32" s="141">
        <v>0</v>
      </c>
      <c r="AO32" s="141">
        <v>0</v>
      </c>
      <c r="AP32" s="141">
        <v>0</v>
      </c>
      <c r="AQ32" s="141">
        <v>0</v>
      </c>
      <c r="AR32" s="141">
        <v>0</v>
      </c>
      <c r="AS32" s="141">
        <v>0</v>
      </c>
      <c r="AT32" s="141">
        <v>0</v>
      </c>
      <c r="AU32" s="141">
        <v>0</v>
      </c>
      <c r="AV32" s="141">
        <v>0</v>
      </c>
      <c r="AW32" s="141">
        <v>0</v>
      </c>
      <c r="AX32" s="141">
        <v>0</v>
      </c>
      <c r="AY32" s="141">
        <v>0</v>
      </c>
    </row>
    <row r="33" spans="1:51" x14ac:dyDescent="0.2">
      <c r="A33" s="147" t="s">
        <v>134</v>
      </c>
      <c r="B33" s="135">
        <v>1</v>
      </c>
      <c r="C33" s="126" t="s">
        <v>293</v>
      </c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  <c r="AS33" s="123"/>
      <c r="AT33" s="123"/>
      <c r="AU33" s="123"/>
      <c r="AV33" s="123"/>
      <c r="AW33" s="123"/>
      <c r="AX33" s="123"/>
      <c r="AY33" s="123"/>
    </row>
    <row r="34" spans="1:51" x14ac:dyDescent="0.2">
      <c r="A34" s="126"/>
      <c r="B34" s="135">
        <v>2</v>
      </c>
      <c r="C34" s="126" t="s">
        <v>293</v>
      </c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</row>
    <row r="35" spans="1:51" x14ac:dyDescent="0.2">
      <c r="A35" s="126"/>
      <c r="B35" s="135">
        <v>3</v>
      </c>
      <c r="C35" s="126" t="s">
        <v>293</v>
      </c>
      <c r="D35" s="123"/>
      <c r="E35" s="123"/>
      <c r="F35" s="123"/>
      <c r="G35" s="123"/>
      <c r="H35" s="123"/>
      <c r="I35" s="123"/>
      <c r="J35" s="123"/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123"/>
      <c r="AG35" s="123"/>
      <c r="AH35" s="123"/>
      <c r="AI35" s="123"/>
      <c r="AJ35" s="123"/>
      <c r="AK35" s="123"/>
      <c r="AL35" s="123"/>
      <c r="AM35" s="123"/>
      <c r="AN35" s="123"/>
      <c r="AO35" s="123"/>
      <c r="AP35" s="123"/>
      <c r="AQ35" s="123"/>
      <c r="AR35" s="123"/>
      <c r="AS35" s="123"/>
      <c r="AT35" s="123"/>
      <c r="AU35" s="123"/>
      <c r="AV35" s="123"/>
      <c r="AW35" s="123"/>
      <c r="AX35" s="123"/>
      <c r="AY35" s="123"/>
    </row>
    <row r="36" spans="1:51" x14ac:dyDescent="0.2">
      <c r="A36" s="126"/>
      <c r="B36" s="136">
        <v>4</v>
      </c>
      <c r="C36" s="126" t="s">
        <v>293</v>
      </c>
      <c r="D36" s="123"/>
      <c r="E36" s="123"/>
      <c r="F36" s="123"/>
      <c r="G36" s="123"/>
      <c r="H36" s="123"/>
      <c r="I36" s="123"/>
      <c r="J36" s="123"/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  <c r="AS36" s="123"/>
      <c r="AT36" s="123"/>
      <c r="AU36" s="123"/>
      <c r="AV36" s="123"/>
      <c r="AW36" s="123"/>
      <c r="AX36" s="123"/>
      <c r="AY36" s="123"/>
    </row>
    <row r="37" spans="1:51" x14ac:dyDescent="0.2">
      <c r="A37" s="126"/>
      <c r="B37" s="136">
        <v>5</v>
      </c>
      <c r="C37" s="126" t="s">
        <v>293</v>
      </c>
      <c r="D37" s="123"/>
      <c r="E37" s="123"/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  <c r="AS37" s="123"/>
      <c r="AT37" s="123"/>
      <c r="AU37" s="123"/>
      <c r="AV37" s="123"/>
      <c r="AW37" s="123"/>
      <c r="AX37" s="123"/>
      <c r="AY37" s="123"/>
    </row>
    <row r="38" spans="1:51" x14ac:dyDescent="0.2">
      <c r="A38" s="126"/>
      <c r="B38" s="136">
        <v>6</v>
      </c>
      <c r="C38" s="126" t="s">
        <v>293</v>
      </c>
      <c r="D38" s="123"/>
      <c r="E38" s="123"/>
      <c r="F38" s="123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>
        <v>35.030519475912939</v>
      </c>
      <c r="S38" s="123"/>
      <c r="T38" s="123"/>
      <c r="U38" s="123">
        <v>302.93969598994323</v>
      </c>
      <c r="V38" s="123">
        <v>156.9908371449151</v>
      </c>
      <c r="W38" s="123">
        <v>385.84345645419711</v>
      </c>
      <c r="X38" s="123"/>
      <c r="Y38" s="123"/>
      <c r="Z38" s="123">
        <v>400.0388995374725</v>
      </c>
      <c r="AA38" s="123">
        <v>1116.1838722925729</v>
      </c>
      <c r="AB38" s="123">
        <v>639.73828444909839</v>
      </c>
      <c r="AC38" s="123">
        <v>355.62915572629453</v>
      </c>
      <c r="AD38" s="123"/>
      <c r="AE38" s="123">
        <v>232.53643518317577</v>
      </c>
      <c r="AF38" s="123"/>
      <c r="AG38" s="123"/>
      <c r="AH38" s="123"/>
      <c r="AI38" s="123"/>
      <c r="AJ38" s="123">
        <v>352.01908845358889</v>
      </c>
      <c r="AK38" s="123"/>
      <c r="AL38" s="123"/>
      <c r="AM38" s="123"/>
      <c r="AN38" s="123"/>
      <c r="AO38" s="123"/>
      <c r="AP38" s="123"/>
      <c r="AQ38" s="123">
        <v>30.15370896547984</v>
      </c>
      <c r="AR38" s="123">
        <v>122.07171726356209</v>
      </c>
      <c r="AS38" s="123"/>
      <c r="AT38" s="123"/>
      <c r="AU38" s="123"/>
      <c r="AV38" s="123"/>
      <c r="AW38" s="123"/>
      <c r="AX38" s="123"/>
      <c r="AY38" s="123"/>
    </row>
    <row r="39" spans="1:51" x14ac:dyDescent="0.2">
      <c r="A39" s="126"/>
      <c r="B39" s="143">
        <v>7</v>
      </c>
      <c r="C39" s="126" t="s">
        <v>293</v>
      </c>
      <c r="D39" s="123"/>
      <c r="E39" s="123"/>
      <c r="F39" s="123"/>
      <c r="G39" s="123"/>
      <c r="H39" s="123"/>
      <c r="I39" s="123"/>
      <c r="J39" s="123"/>
      <c r="K39" s="123"/>
      <c r="L39" s="123"/>
      <c r="M39" s="123">
        <v>1086.7549454294167</v>
      </c>
      <c r="N39" s="123">
        <v>3315.967815465975</v>
      </c>
      <c r="O39" s="123">
        <v>3901.1412943546352</v>
      </c>
      <c r="P39" s="123">
        <v>4007.3908005619724</v>
      </c>
      <c r="Q39" s="123">
        <v>3747.2937300817703</v>
      </c>
      <c r="R39" s="123">
        <v>4010.6455400191307</v>
      </c>
      <c r="S39" s="123">
        <v>2037.9778578098976</v>
      </c>
      <c r="T39" s="123">
        <v>4326.5214950652435</v>
      </c>
      <c r="U39" s="123">
        <v>4393.4507362912645</v>
      </c>
      <c r="V39" s="123">
        <v>3692.6418044474667</v>
      </c>
      <c r="W39" s="123">
        <v>3919.9809447231046</v>
      </c>
      <c r="X39" s="123">
        <v>3356.0710838098948</v>
      </c>
      <c r="Y39" s="123">
        <v>2867.2975745619824</v>
      </c>
      <c r="Z39" s="123">
        <v>4567.6838995377257</v>
      </c>
      <c r="AA39" s="123">
        <v>3629.0587527521848</v>
      </c>
      <c r="AB39" s="123">
        <v>3209.4353351603186</v>
      </c>
      <c r="AC39" s="123">
        <v>3369.3158073484146</v>
      </c>
      <c r="AD39" s="123">
        <v>3708.2937300817703</v>
      </c>
      <c r="AE39" s="123">
        <v>3998.3918689027678</v>
      </c>
      <c r="AF39" s="123">
        <v>3461.2937300817703</v>
      </c>
      <c r="AG39" s="123">
        <v>3718.3422653218713</v>
      </c>
      <c r="AH39" s="123">
        <v>3892.0263930500059</v>
      </c>
      <c r="AI39" s="123">
        <v>1944.2937300817703</v>
      </c>
      <c r="AJ39" s="123">
        <v>4793.4643612184309</v>
      </c>
      <c r="AK39" s="123">
        <v>1646.9778578099049</v>
      </c>
      <c r="AL39" s="123">
        <v>4472.1807996118987</v>
      </c>
      <c r="AM39" s="123">
        <v>2523.6403885165937</v>
      </c>
      <c r="AN39" s="123">
        <v>2268.5494842472772</v>
      </c>
      <c r="AO39" s="123">
        <v>1388.7937018627763</v>
      </c>
      <c r="AP39" s="123">
        <v>4400.956121342304</v>
      </c>
      <c r="AQ39" s="123">
        <v>4129.3215581457853</v>
      </c>
      <c r="AR39" s="123">
        <v>3756.0181177264303</v>
      </c>
      <c r="AS39" s="123">
        <v>1910.1678039443323</v>
      </c>
      <c r="AT39" s="123">
        <v>1184.3180209155971</v>
      </c>
      <c r="AU39" s="123">
        <v>823.08016975793362</v>
      </c>
      <c r="AV39" s="123">
        <v>3739.8171180735676</v>
      </c>
      <c r="AW39" s="123">
        <v>4021.6345455938936</v>
      </c>
      <c r="AX39" s="123">
        <v>3611.9778578098976</v>
      </c>
      <c r="AY39" s="123">
        <v>1765.4939348773491</v>
      </c>
    </row>
    <row r="40" spans="1:51" x14ac:dyDescent="0.2">
      <c r="A40" s="126"/>
      <c r="B40" s="143">
        <v>8</v>
      </c>
      <c r="C40" s="126" t="s">
        <v>293</v>
      </c>
      <c r="D40" s="123"/>
      <c r="E40" s="123"/>
      <c r="F40" s="123"/>
      <c r="G40" s="123"/>
      <c r="H40" s="123"/>
      <c r="I40" s="123"/>
      <c r="J40" s="123"/>
      <c r="K40" s="123"/>
      <c r="L40" s="123"/>
      <c r="M40" s="123">
        <v>0</v>
      </c>
      <c r="N40" s="123">
        <v>549.46767585590806</v>
      </c>
      <c r="O40" s="123">
        <v>0</v>
      </c>
      <c r="P40" s="123">
        <v>0</v>
      </c>
      <c r="Q40" s="123">
        <v>0</v>
      </c>
      <c r="R40" s="123">
        <v>0</v>
      </c>
      <c r="S40" s="123">
        <v>0</v>
      </c>
      <c r="T40" s="123">
        <v>1117.412880879875</v>
      </c>
      <c r="U40" s="123">
        <v>0</v>
      </c>
      <c r="V40" s="123">
        <v>0</v>
      </c>
      <c r="W40" s="123">
        <v>0</v>
      </c>
      <c r="X40" s="123">
        <v>0</v>
      </c>
      <c r="Y40" s="123">
        <v>0</v>
      </c>
      <c r="Z40" s="123">
        <v>396.13487945091765</v>
      </c>
      <c r="AA40" s="123">
        <v>0</v>
      </c>
      <c r="AB40" s="123">
        <v>0</v>
      </c>
      <c r="AC40" s="123">
        <v>0</v>
      </c>
      <c r="AD40" s="123">
        <v>0</v>
      </c>
      <c r="AE40" s="123">
        <v>0</v>
      </c>
      <c r="AF40" s="123">
        <v>0</v>
      </c>
      <c r="AG40" s="123">
        <v>0</v>
      </c>
      <c r="AH40" s="123">
        <v>0</v>
      </c>
      <c r="AI40" s="123">
        <v>0</v>
      </c>
      <c r="AJ40" s="123">
        <v>2199.205564869023</v>
      </c>
      <c r="AK40" s="123">
        <v>0</v>
      </c>
      <c r="AL40" s="123">
        <v>1134.1775972064224</v>
      </c>
      <c r="AM40" s="123">
        <v>0</v>
      </c>
      <c r="AN40" s="123">
        <v>978.39339324880439</v>
      </c>
      <c r="AO40" s="123">
        <v>1753.076642732427</v>
      </c>
      <c r="AP40" s="123">
        <v>2772.7548146564823</v>
      </c>
      <c r="AQ40" s="123">
        <v>0</v>
      </c>
      <c r="AR40" s="123">
        <v>0</v>
      </c>
      <c r="AS40" s="123">
        <v>0</v>
      </c>
      <c r="AT40" s="123">
        <v>1095.1722484542697</v>
      </c>
      <c r="AU40" s="123">
        <v>2547.7861041069473</v>
      </c>
      <c r="AV40" s="123">
        <v>2690.512747555249</v>
      </c>
      <c r="AW40" s="123">
        <v>0</v>
      </c>
      <c r="AX40" s="123">
        <v>0</v>
      </c>
      <c r="AY40" s="123">
        <v>391.87694334737535</v>
      </c>
    </row>
    <row r="41" spans="1:51" x14ac:dyDescent="0.2">
      <c r="A41" s="126"/>
      <c r="B41" s="143">
        <v>9</v>
      </c>
      <c r="C41" s="126" t="s">
        <v>293</v>
      </c>
      <c r="D41" s="123"/>
      <c r="E41" s="123"/>
      <c r="F41" s="123"/>
      <c r="G41" s="123"/>
      <c r="H41" s="123"/>
      <c r="I41" s="123"/>
      <c r="J41" s="123"/>
      <c r="K41" s="123"/>
      <c r="L41" s="123">
        <v>0</v>
      </c>
      <c r="M41" s="123">
        <v>0</v>
      </c>
      <c r="N41" s="123">
        <v>0</v>
      </c>
      <c r="O41" s="123">
        <v>0</v>
      </c>
      <c r="P41" s="123">
        <v>0</v>
      </c>
      <c r="Q41" s="123">
        <v>0</v>
      </c>
      <c r="R41" s="123">
        <v>0</v>
      </c>
      <c r="S41" s="123">
        <v>0</v>
      </c>
      <c r="T41" s="123">
        <v>0</v>
      </c>
      <c r="U41" s="123">
        <v>0</v>
      </c>
      <c r="V41" s="123">
        <v>0</v>
      </c>
      <c r="W41" s="123">
        <v>0</v>
      </c>
      <c r="X41" s="123">
        <v>0</v>
      </c>
      <c r="Y41" s="123">
        <v>0</v>
      </c>
      <c r="Z41" s="123">
        <v>0</v>
      </c>
      <c r="AA41" s="123">
        <v>0</v>
      </c>
      <c r="AB41" s="123">
        <v>0</v>
      </c>
      <c r="AC41" s="123">
        <v>0</v>
      </c>
      <c r="AD41" s="123">
        <v>0</v>
      </c>
      <c r="AE41" s="123">
        <v>0</v>
      </c>
      <c r="AF41" s="123">
        <v>0</v>
      </c>
      <c r="AG41" s="123">
        <v>0</v>
      </c>
      <c r="AH41" s="123">
        <v>0</v>
      </c>
      <c r="AI41" s="123">
        <v>0</v>
      </c>
      <c r="AJ41" s="123">
        <v>0</v>
      </c>
      <c r="AK41" s="123">
        <v>0</v>
      </c>
      <c r="AL41" s="123">
        <v>0</v>
      </c>
      <c r="AM41" s="123">
        <v>0</v>
      </c>
      <c r="AN41" s="123">
        <v>0</v>
      </c>
      <c r="AO41" s="123">
        <v>0</v>
      </c>
      <c r="AP41" s="123">
        <v>0</v>
      </c>
      <c r="AQ41" s="123">
        <v>0</v>
      </c>
      <c r="AR41" s="123">
        <v>0</v>
      </c>
      <c r="AS41" s="123">
        <v>0</v>
      </c>
      <c r="AT41" s="123">
        <v>0</v>
      </c>
      <c r="AU41" s="123">
        <v>0</v>
      </c>
      <c r="AV41" s="123">
        <v>0</v>
      </c>
      <c r="AW41" s="123">
        <v>0</v>
      </c>
      <c r="AX41" s="123">
        <v>0</v>
      </c>
      <c r="AY41" s="123">
        <v>0</v>
      </c>
    </row>
    <row r="42" spans="1:51" x14ac:dyDescent="0.2">
      <c r="A42" s="126"/>
      <c r="B42" s="146">
        <v>10</v>
      </c>
      <c r="C42" s="126" t="s">
        <v>293</v>
      </c>
      <c r="D42" s="123"/>
      <c r="E42" s="123"/>
      <c r="F42" s="123"/>
      <c r="G42" s="123"/>
      <c r="H42" s="123"/>
      <c r="I42" s="123"/>
      <c r="J42" s="123">
        <v>0</v>
      </c>
      <c r="K42" s="123">
        <v>0</v>
      </c>
      <c r="L42" s="123">
        <v>0</v>
      </c>
      <c r="M42" s="123">
        <v>0</v>
      </c>
      <c r="N42" s="123">
        <v>0</v>
      </c>
      <c r="O42" s="123">
        <v>0</v>
      </c>
      <c r="P42" s="123">
        <v>0</v>
      </c>
      <c r="Q42" s="123">
        <v>0</v>
      </c>
      <c r="R42" s="123">
        <v>0</v>
      </c>
      <c r="S42" s="123">
        <v>0</v>
      </c>
      <c r="T42" s="123">
        <v>0</v>
      </c>
      <c r="U42" s="123">
        <v>0</v>
      </c>
      <c r="V42" s="123">
        <v>0</v>
      </c>
      <c r="W42" s="123">
        <v>0</v>
      </c>
      <c r="X42" s="123">
        <v>0</v>
      </c>
      <c r="Y42" s="123">
        <v>0</v>
      </c>
      <c r="Z42" s="123">
        <v>0</v>
      </c>
      <c r="AA42" s="123">
        <v>0</v>
      </c>
      <c r="AB42" s="123">
        <v>0</v>
      </c>
      <c r="AC42" s="123">
        <v>0</v>
      </c>
      <c r="AD42" s="123">
        <v>0</v>
      </c>
      <c r="AE42" s="123">
        <v>0</v>
      </c>
      <c r="AF42" s="123">
        <v>0</v>
      </c>
      <c r="AG42" s="123">
        <v>0</v>
      </c>
      <c r="AH42" s="123">
        <v>0</v>
      </c>
      <c r="AI42" s="123">
        <v>0</v>
      </c>
      <c r="AJ42" s="123">
        <v>0</v>
      </c>
      <c r="AK42" s="123">
        <v>0</v>
      </c>
      <c r="AL42" s="123">
        <v>0</v>
      </c>
      <c r="AM42" s="123">
        <v>0</v>
      </c>
      <c r="AN42" s="123">
        <v>0</v>
      </c>
      <c r="AO42" s="123">
        <v>0</v>
      </c>
      <c r="AP42" s="123">
        <v>0</v>
      </c>
      <c r="AQ42" s="123">
        <v>0</v>
      </c>
      <c r="AR42" s="123">
        <v>0</v>
      </c>
      <c r="AS42" s="123">
        <v>0</v>
      </c>
      <c r="AT42" s="123">
        <v>0</v>
      </c>
      <c r="AU42" s="123">
        <v>0</v>
      </c>
      <c r="AV42" s="123">
        <v>0</v>
      </c>
      <c r="AW42" s="123">
        <v>0</v>
      </c>
      <c r="AX42" s="123">
        <v>0</v>
      </c>
      <c r="AY42" s="123">
        <v>0</v>
      </c>
    </row>
    <row r="43" spans="1:51" x14ac:dyDescent="0.2">
      <c r="A43" s="126"/>
      <c r="B43" s="146">
        <v>11</v>
      </c>
      <c r="C43" s="126" t="s">
        <v>293</v>
      </c>
      <c r="D43" s="123"/>
      <c r="E43" s="123"/>
      <c r="F43" s="123"/>
      <c r="G43" s="123"/>
      <c r="H43" s="123">
        <v>0</v>
      </c>
      <c r="I43" s="123">
        <v>0</v>
      </c>
      <c r="J43" s="123">
        <v>0</v>
      </c>
      <c r="K43" s="123">
        <v>0</v>
      </c>
      <c r="L43" s="123">
        <v>0</v>
      </c>
      <c r="M43" s="123">
        <v>0</v>
      </c>
      <c r="N43" s="123">
        <v>0</v>
      </c>
      <c r="O43" s="123">
        <v>0</v>
      </c>
      <c r="P43" s="123">
        <v>0</v>
      </c>
      <c r="Q43" s="123">
        <v>0</v>
      </c>
      <c r="R43" s="123">
        <v>0</v>
      </c>
      <c r="S43" s="123">
        <v>0</v>
      </c>
      <c r="T43" s="123">
        <v>0</v>
      </c>
      <c r="U43" s="123">
        <v>0</v>
      </c>
      <c r="V43" s="123">
        <v>0</v>
      </c>
      <c r="W43" s="123">
        <v>0</v>
      </c>
      <c r="X43" s="123">
        <v>0</v>
      </c>
      <c r="Y43" s="123">
        <v>0</v>
      </c>
      <c r="Z43" s="123">
        <v>0</v>
      </c>
      <c r="AA43" s="123">
        <v>0</v>
      </c>
      <c r="AB43" s="123">
        <v>0</v>
      </c>
      <c r="AC43" s="123">
        <v>0</v>
      </c>
      <c r="AD43" s="123">
        <v>0</v>
      </c>
      <c r="AE43" s="123">
        <v>0</v>
      </c>
      <c r="AF43" s="123">
        <v>0</v>
      </c>
      <c r="AG43" s="123">
        <v>0</v>
      </c>
      <c r="AH43" s="123">
        <v>0</v>
      </c>
      <c r="AI43" s="123">
        <v>0</v>
      </c>
      <c r="AJ43" s="123">
        <v>0</v>
      </c>
      <c r="AK43" s="123">
        <v>0</v>
      </c>
      <c r="AL43" s="123">
        <v>0</v>
      </c>
      <c r="AM43" s="123">
        <v>0</v>
      </c>
      <c r="AN43" s="123">
        <v>0</v>
      </c>
      <c r="AO43" s="123">
        <v>0</v>
      </c>
      <c r="AP43" s="123">
        <v>0</v>
      </c>
      <c r="AQ43" s="123">
        <v>0</v>
      </c>
      <c r="AR43" s="123">
        <v>0</v>
      </c>
      <c r="AS43" s="123">
        <v>0</v>
      </c>
      <c r="AT43" s="123">
        <v>0</v>
      </c>
      <c r="AU43" s="123">
        <v>0</v>
      </c>
      <c r="AV43" s="123">
        <v>0</v>
      </c>
      <c r="AW43" s="123">
        <v>0</v>
      </c>
      <c r="AX43" s="123">
        <v>0</v>
      </c>
      <c r="AY43" s="123">
        <v>0</v>
      </c>
    </row>
    <row r="44" spans="1:51" x14ac:dyDescent="0.2">
      <c r="A44" s="126"/>
      <c r="B44" s="146">
        <v>12</v>
      </c>
      <c r="C44" s="144" t="s">
        <v>293</v>
      </c>
      <c r="D44" s="123">
        <v>0</v>
      </c>
      <c r="E44" s="123">
        <v>0</v>
      </c>
      <c r="F44" s="123">
        <v>0</v>
      </c>
      <c r="G44" s="123">
        <v>0</v>
      </c>
      <c r="H44" s="123">
        <v>0</v>
      </c>
      <c r="I44" s="123">
        <v>0</v>
      </c>
      <c r="J44" s="123">
        <v>0</v>
      </c>
      <c r="K44" s="123">
        <v>0</v>
      </c>
      <c r="L44" s="123">
        <v>0</v>
      </c>
      <c r="M44" s="123">
        <v>0</v>
      </c>
      <c r="N44" s="123">
        <v>0</v>
      </c>
      <c r="O44" s="123">
        <v>0</v>
      </c>
      <c r="P44" s="123">
        <v>0</v>
      </c>
      <c r="Q44" s="123">
        <v>0</v>
      </c>
      <c r="R44" s="123">
        <v>0</v>
      </c>
      <c r="S44" s="123">
        <v>0</v>
      </c>
      <c r="T44" s="123">
        <v>0</v>
      </c>
      <c r="U44" s="123">
        <v>0</v>
      </c>
      <c r="V44" s="123">
        <v>0</v>
      </c>
      <c r="W44" s="123">
        <v>0</v>
      </c>
      <c r="X44" s="123">
        <v>0</v>
      </c>
      <c r="Y44" s="123">
        <v>0</v>
      </c>
      <c r="Z44" s="123">
        <v>0</v>
      </c>
      <c r="AA44" s="123">
        <v>0</v>
      </c>
      <c r="AB44" s="123">
        <v>0</v>
      </c>
      <c r="AC44" s="123">
        <v>0</v>
      </c>
      <c r="AD44" s="123">
        <v>0</v>
      </c>
      <c r="AE44" s="123">
        <v>0</v>
      </c>
      <c r="AF44" s="123">
        <v>0</v>
      </c>
      <c r="AG44" s="123">
        <v>0</v>
      </c>
      <c r="AH44" s="123">
        <v>0</v>
      </c>
      <c r="AI44" s="123">
        <v>0</v>
      </c>
      <c r="AJ44" s="123">
        <v>0</v>
      </c>
      <c r="AK44" s="123">
        <v>0</v>
      </c>
      <c r="AL44" s="123">
        <v>0</v>
      </c>
      <c r="AM44" s="123">
        <v>0</v>
      </c>
      <c r="AN44" s="123">
        <v>0</v>
      </c>
      <c r="AO44" s="123">
        <v>0</v>
      </c>
      <c r="AP44" s="123">
        <v>0</v>
      </c>
      <c r="AQ44" s="123">
        <v>0</v>
      </c>
      <c r="AR44" s="123">
        <v>0</v>
      </c>
      <c r="AS44" s="123">
        <v>0</v>
      </c>
      <c r="AT44" s="123">
        <v>0</v>
      </c>
      <c r="AU44" s="123">
        <v>0</v>
      </c>
      <c r="AV44" s="123">
        <v>0</v>
      </c>
      <c r="AW44" s="123">
        <v>0</v>
      </c>
      <c r="AX44" s="123">
        <v>0</v>
      </c>
      <c r="AY44" s="123">
        <v>0</v>
      </c>
    </row>
    <row r="45" spans="1:51" x14ac:dyDescent="0.2">
      <c r="A45" s="142" t="s">
        <v>123</v>
      </c>
      <c r="B45" s="139">
        <v>1</v>
      </c>
      <c r="C45" s="126" t="s">
        <v>293</v>
      </c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</row>
    <row r="46" spans="1:51" x14ac:dyDescent="0.2">
      <c r="A46" s="126"/>
      <c r="B46" s="135">
        <v>2</v>
      </c>
      <c r="C46" s="126" t="s">
        <v>293</v>
      </c>
      <c r="D46" s="127"/>
      <c r="E46" s="127"/>
      <c r="F46" s="127"/>
      <c r="G46" s="127"/>
      <c r="H46" s="127"/>
      <c r="I46" s="127"/>
      <c r="J46" s="127"/>
      <c r="K46" s="127"/>
      <c r="L46" s="127"/>
      <c r="M46" s="127"/>
      <c r="N46" s="127"/>
      <c r="O46" s="127"/>
      <c r="P46" s="127"/>
      <c r="Q46" s="127"/>
      <c r="R46" s="127"/>
      <c r="S46" s="127"/>
      <c r="T46" s="127"/>
      <c r="U46" s="127"/>
      <c r="V46" s="127"/>
      <c r="W46" s="127"/>
      <c r="X46" s="127"/>
      <c r="Y46" s="127"/>
      <c r="Z46" s="127"/>
      <c r="AA46" s="127"/>
      <c r="AB46" s="127"/>
      <c r="AC46" s="127"/>
      <c r="AD46" s="127"/>
      <c r="AE46" s="127"/>
      <c r="AF46" s="127"/>
      <c r="AG46" s="127"/>
      <c r="AH46" s="127"/>
      <c r="AI46" s="127"/>
      <c r="AJ46" s="127"/>
      <c r="AK46" s="127"/>
      <c r="AL46" s="127"/>
      <c r="AM46" s="127"/>
      <c r="AN46" s="127"/>
      <c r="AO46" s="127"/>
      <c r="AP46" s="127"/>
      <c r="AQ46" s="127"/>
      <c r="AR46" s="127"/>
      <c r="AS46" s="127"/>
      <c r="AT46" s="127"/>
      <c r="AU46" s="127"/>
      <c r="AV46" s="127"/>
      <c r="AW46" s="127"/>
      <c r="AX46" s="127"/>
      <c r="AY46" s="127"/>
    </row>
    <row r="47" spans="1:51" x14ac:dyDescent="0.2">
      <c r="A47" s="126"/>
      <c r="B47" s="135">
        <v>3</v>
      </c>
      <c r="C47" s="126" t="s">
        <v>293</v>
      </c>
      <c r="D47" s="127"/>
      <c r="E47" s="127"/>
      <c r="F47" s="127"/>
      <c r="G47" s="127"/>
      <c r="H47" s="127"/>
      <c r="I47" s="127"/>
      <c r="J47" s="127"/>
      <c r="K47" s="127"/>
      <c r="L47" s="127"/>
      <c r="M47" s="127"/>
      <c r="N47" s="127"/>
      <c r="O47" s="127"/>
      <c r="P47" s="127"/>
      <c r="Q47" s="127"/>
      <c r="R47" s="127"/>
      <c r="S47" s="127"/>
      <c r="T47" s="127"/>
      <c r="U47" s="127"/>
      <c r="V47" s="127"/>
      <c r="W47" s="127"/>
      <c r="X47" s="127"/>
      <c r="Y47" s="127"/>
      <c r="Z47" s="127"/>
      <c r="AA47" s="127"/>
      <c r="AB47" s="127"/>
      <c r="AC47" s="127"/>
      <c r="AD47" s="127"/>
      <c r="AE47" s="127"/>
      <c r="AF47" s="127"/>
      <c r="AG47" s="127"/>
      <c r="AH47" s="127"/>
      <c r="AI47" s="127"/>
      <c r="AJ47" s="127"/>
      <c r="AK47" s="127"/>
      <c r="AL47" s="127"/>
      <c r="AM47" s="127"/>
      <c r="AN47" s="127"/>
      <c r="AO47" s="127"/>
      <c r="AP47" s="127"/>
      <c r="AQ47" s="127"/>
      <c r="AR47" s="127"/>
      <c r="AS47" s="127"/>
      <c r="AT47" s="127"/>
      <c r="AU47" s="127"/>
      <c r="AV47" s="127"/>
      <c r="AW47" s="127"/>
      <c r="AX47" s="127"/>
      <c r="AY47" s="127"/>
    </row>
    <row r="48" spans="1:51" x14ac:dyDescent="0.2">
      <c r="A48" s="126"/>
      <c r="B48" s="135">
        <v>4</v>
      </c>
      <c r="C48" s="126" t="s">
        <v>293</v>
      </c>
      <c r="D48" s="127"/>
      <c r="E48" s="127"/>
      <c r="F48" s="127"/>
      <c r="G48" s="127"/>
      <c r="H48" s="127"/>
      <c r="I48" s="127"/>
      <c r="J48" s="127"/>
      <c r="K48" s="127"/>
      <c r="L48" s="127"/>
      <c r="M48" s="127"/>
      <c r="N48" s="127"/>
      <c r="O48" s="127"/>
      <c r="P48" s="127"/>
      <c r="Q48" s="127"/>
      <c r="R48" s="127"/>
      <c r="S48" s="127"/>
      <c r="T48" s="127"/>
      <c r="U48" s="127"/>
      <c r="V48" s="127"/>
      <c r="W48" s="127"/>
      <c r="X48" s="127"/>
      <c r="Y48" s="127"/>
      <c r="Z48" s="127"/>
      <c r="AA48" s="127"/>
      <c r="AB48" s="127"/>
      <c r="AC48" s="127"/>
      <c r="AD48" s="127"/>
      <c r="AE48" s="127"/>
      <c r="AF48" s="127"/>
      <c r="AG48" s="127"/>
      <c r="AH48" s="127"/>
      <c r="AI48" s="127"/>
      <c r="AJ48" s="127"/>
      <c r="AK48" s="127"/>
      <c r="AL48" s="127"/>
      <c r="AM48" s="127"/>
      <c r="AN48" s="127"/>
      <c r="AO48" s="127"/>
      <c r="AP48" s="127"/>
      <c r="AQ48" s="127"/>
      <c r="AR48" s="127"/>
      <c r="AS48" s="127"/>
      <c r="AT48" s="127"/>
      <c r="AU48" s="127"/>
      <c r="AV48" s="127"/>
      <c r="AW48" s="127"/>
      <c r="AX48" s="127"/>
      <c r="AY48" s="127"/>
    </row>
    <row r="49" spans="1:51" x14ac:dyDescent="0.2">
      <c r="A49" s="126"/>
      <c r="B49" s="135">
        <v>5</v>
      </c>
      <c r="C49" s="126" t="s">
        <v>293</v>
      </c>
      <c r="D49" s="127"/>
      <c r="E49" s="127"/>
      <c r="F49" s="127"/>
      <c r="G49" s="127"/>
      <c r="H49" s="127"/>
      <c r="I49" s="127"/>
      <c r="J49" s="127"/>
      <c r="K49" s="127"/>
      <c r="L49" s="127"/>
      <c r="M49" s="127"/>
      <c r="N49" s="127"/>
      <c r="O49" s="127"/>
      <c r="P49" s="127"/>
      <c r="Q49" s="127"/>
      <c r="R49" s="127"/>
      <c r="S49" s="127"/>
      <c r="T49" s="127"/>
      <c r="U49" s="127"/>
      <c r="V49" s="127"/>
      <c r="W49" s="127"/>
      <c r="X49" s="127"/>
      <c r="Y49" s="127"/>
      <c r="Z49" s="127"/>
      <c r="AA49" s="127"/>
      <c r="AB49" s="127"/>
      <c r="AC49" s="127"/>
      <c r="AD49" s="127"/>
      <c r="AE49" s="127"/>
      <c r="AF49" s="127"/>
      <c r="AG49" s="127"/>
      <c r="AH49" s="127"/>
      <c r="AI49" s="127"/>
      <c r="AJ49" s="127"/>
      <c r="AK49" s="127"/>
      <c r="AL49" s="127"/>
      <c r="AM49" s="127"/>
      <c r="AN49" s="127"/>
      <c r="AO49" s="127"/>
      <c r="AP49" s="127"/>
      <c r="AQ49" s="127"/>
      <c r="AR49" s="127"/>
      <c r="AS49" s="127"/>
      <c r="AT49" s="127"/>
      <c r="AU49" s="127"/>
      <c r="AV49" s="127"/>
      <c r="AW49" s="127"/>
      <c r="AX49" s="127"/>
      <c r="AY49" s="127"/>
    </row>
    <row r="50" spans="1:51" x14ac:dyDescent="0.2">
      <c r="A50" s="126"/>
      <c r="B50" s="135">
        <v>6</v>
      </c>
      <c r="C50" s="126" t="s">
        <v>293</v>
      </c>
      <c r="D50" s="127"/>
      <c r="E50" s="127"/>
      <c r="F50" s="127"/>
      <c r="G50" s="127"/>
      <c r="H50" s="127"/>
      <c r="I50" s="127"/>
      <c r="J50" s="127"/>
      <c r="K50" s="127"/>
      <c r="L50" s="127"/>
      <c r="M50" s="127"/>
      <c r="N50" s="127"/>
      <c r="O50" s="127"/>
      <c r="P50" s="127"/>
      <c r="Q50" s="127"/>
      <c r="R50" s="127"/>
      <c r="S50" s="127"/>
      <c r="T50" s="127"/>
      <c r="U50" s="127"/>
      <c r="V50" s="127"/>
      <c r="W50" s="127"/>
      <c r="X50" s="127"/>
      <c r="Y50" s="127"/>
      <c r="Z50" s="127"/>
      <c r="AA50" s="127"/>
      <c r="AB50" s="127"/>
      <c r="AC50" s="127"/>
      <c r="AD50" s="127"/>
      <c r="AE50" s="127"/>
      <c r="AF50" s="127"/>
      <c r="AG50" s="127"/>
      <c r="AH50" s="127"/>
      <c r="AI50" s="127"/>
      <c r="AJ50" s="127"/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7"/>
      <c r="AW50" s="127"/>
      <c r="AX50" s="127"/>
      <c r="AY50" s="127"/>
    </row>
    <row r="51" spans="1:51" x14ac:dyDescent="0.2">
      <c r="A51" s="126"/>
      <c r="B51" s="135">
        <v>7</v>
      </c>
      <c r="C51" s="126" t="s">
        <v>293</v>
      </c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  <c r="Q51" s="127"/>
      <c r="R51" s="127"/>
      <c r="S51" s="127"/>
      <c r="T51" s="127"/>
      <c r="U51" s="127"/>
      <c r="V51" s="127"/>
      <c r="W51" s="127"/>
      <c r="X51" s="127"/>
      <c r="Y51" s="127"/>
      <c r="Z51" s="127"/>
      <c r="AA51" s="127"/>
      <c r="AB51" s="127"/>
      <c r="AC51" s="127"/>
      <c r="AD51" s="127"/>
      <c r="AE51" s="127"/>
      <c r="AF51" s="127"/>
      <c r="AG51" s="127"/>
      <c r="AH51" s="127"/>
      <c r="AI51" s="127"/>
      <c r="AJ51" s="127"/>
      <c r="AK51" s="127"/>
      <c r="AL51" s="127"/>
      <c r="AM51" s="127"/>
      <c r="AN51" s="127"/>
      <c r="AO51" s="127"/>
      <c r="AP51" s="127"/>
      <c r="AQ51" s="127"/>
      <c r="AR51" s="127"/>
      <c r="AS51" s="127"/>
      <c r="AT51" s="127"/>
      <c r="AU51" s="127"/>
      <c r="AV51" s="127"/>
      <c r="AW51" s="127"/>
      <c r="AX51" s="127"/>
      <c r="AY51" s="127"/>
    </row>
    <row r="52" spans="1:51" x14ac:dyDescent="0.2">
      <c r="A52" s="126"/>
      <c r="B52" s="135">
        <v>8</v>
      </c>
      <c r="C52" s="126" t="s">
        <v>293</v>
      </c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</row>
    <row r="53" spans="1:51" x14ac:dyDescent="0.2">
      <c r="A53" s="126"/>
      <c r="B53" s="135">
        <v>9</v>
      </c>
      <c r="C53" s="126" t="s">
        <v>293</v>
      </c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  <c r="Q53" s="127"/>
      <c r="R53" s="127"/>
      <c r="S53" s="127"/>
      <c r="T53" s="127"/>
      <c r="U53" s="127"/>
      <c r="V53" s="127"/>
      <c r="W53" s="127"/>
      <c r="X53" s="127"/>
      <c r="Y53" s="127"/>
      <c r="Z53" s="127"/>
      <c r="AA53" s="127"/>
      <c r="AB53" s="127"/>
      <c r="AC53" s="127"/>
      <c r="AD53" s="127"/>
      <c r="AE53" s="127"/>
      <c r="AF53" s="127"/>
      <c r="AG53" s="127"/>
      <c r="AH53" s="127"/>
      <c r="AI53" s="127"/>
      <c r="AJ53" s="127"/>
      <c r="AK53" s="127"/>
      <c r="AL53" s="127"/>
      <c r="AM53" s="127"/>
      <c r="AN53" s="127"/>
      <c r="AO53" s="127"/>
      <c r="AP53" s="127"/>
      <c r="AQ53" s="127"/>
      <c r="AR53" s="127"/>
      <c r="AS53" s="127"/>
      <c r="AT53" s="127"/>
      <c r="AU53" s="127"/>
      <c r="AV53" s="127"/>
      <c r="AW53" s="127"/>
      <c r="AX53" s="127"/>
      <c r="AY53" s="127"/>
    </row>
    <row r="54" spans="1:51" x14ac:dyDescent="0.2">
      <c r="A54" s="126"/>
      <c r="B54" s="135">
        <v>10</v>
      </c>
      <c r="C54" s="126" t="s">
        <v>293</v>
      </c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  <c r="Q54" s="127"/>
      <c r="R54" s="127"/>
      <c r="S54" s="127"/>
      <c r="T54" s="127"/>
      <c r="U54" s="127"/>
      <c r="V54" s="127"/>
      <c r="W54" s="127"/>
      <c r="X54" s="127"/>
      <c r="Y54" s="127"/>
      <c r="Z54" s="127"/>
      <c r="AA54" s="127"/>
      <c r="AB54" s="127"/>
      <c r="AC54" s="127"/>
      <c r="AD54" s="127"/>
      <c r="AE54" s="127"/>
      <c r="AF54" s="127"/>
      <c r="AG54" s="127"/>
      <c r="AH54" s="127"/>
      <c r="AI54" s="127"/>
      <c r="AJ54" s="127"/>
      <c r="AK54" s="127"/>
      <c r="AL54" s="127"/>
      <c r="AM54" s="127"/>
      <c r="AN54" s="127"/>
      <c r="AO54" s="127"/>
      <c r="AP54" s="127"/>
      <c r="AQ54" s="127"/>
      <c r="AR54" s="127"/>
      <c r="AS54" s="127"/>
      <c r="AT54" s="127"/>
      <c r="AU54" s="127"/>
      <c r="AV54" s="127"/>
      <c r="AW54" s="127"/>
      <c r="AX54" s="127"/>
      <c r="AY54" s="127"/>
    </row>
    <row r="55" spans="1:51" x14ac:dyDescent="0.2">
      <c r="A55" s="126"/>
      <c r="B55" s="135">
        <v>11</v>
      </c>
      <c r="C55" s="126" t="s">
        <v>293</v>
      </c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  <c r="Q55" s="127"/>
      <c r="R55" s="127"/>
      <c r="S55" s="127"/>
      <c r="T55" s="127"/>
      <c r="U55" s="127"/>
      <c r="V55" s="127"/>
      <c r="W55" s="127"/>
      <c r="X55" s="127"/>
      <c r="Y55" s="127"/>
      <c r="Z55" s="127"/>
      <c r="AA55" s="127"/>
      <c r="AB55" s="127"/>
      <c r="AC55" s="127"/>
      <c r="AD55" s="127"/>
      <c r="AE55" s="127"/>
      <c r="AF55" s="127"/>
      <c r="AG55" s="127"/>
      <c r="AH55" s="127"/>
      <c r="AI55" s="127"/>
      <c r="AJ55" s="127"/>
      <c r="AK55" s="127"/>
      <c r="AL55" s="127"/>
      <c r="AM55" s="127"/>
      <c r="AN55" s="127"/>
      <c r="AO55" s="127"/>
      <c r="AP55" s="127"/>
      <c r="AQ55" s="127"/>
      <c r="AR55" s="127"/>
      <c r="AS55" s="127"/>
      <c r="AT55" s="127"/>
      <c r="AU55" s="127"/>
      <c r="AV55" s="127"/>
      <c r="AW55" s="127"/>
      <c r="AX55" s="127"/>
      <c r="AY55" s="127"/>
    </row>
    <row r="56" spans="1:51" x14ac:dyDescent="0.2">
      <c r="A56" s="126"/>
      <c r="B56" s="135">
        <v>12</v>
      </c>
      <c r="C56" s="126" t="s">
        <v>293</v>
      </c>
      <c r="D56" s="127"/>
      <c r="E56" s="127"/>
      <c r="F56" s="127"/>
      <c r="G56" s="127"/>
      <c r="H56" s="127"/>
      <c r="I56" s="127"/>
      <c r="J56" s="127"/>
      <c r="K56" s="127"/>
      <c r="L56" s="127"/>
      <c r="M56" s="127"/>
      <c r="N56" s="127"/>
      <c r="O56" s="127"/>
      <c r="P56" s="127"/>
      <c r="Q56" s="127"/>
      <c r="R56" s="127"/>
      <c r="S56" s="127"/>
      <c r="T56" s="127"/>
      <c r="U56" s="127"/>
      <c r="V56" s="127"/>
      <c r="W56" s="127"/>
      <c r="X56" s="127"/>
      <c r="Y56" s="127"/>
      <c r="Z56" s="127"/>
      <c r="AA56" s="127"/>
      <c r="AB56" s="127"/>
      <c r="AC56" s="127"/>
      <c r="AD56" s="127"/>
      <c r="AE56" s="127"/>
      <c r="AF56" s="127"/>
      <c r="AG56" s="127"/>
      <c r="AH56" s="127"/>
      <c r="AI56" s="127"/>
      <c r="AJ56" s="127"/>
      <c r="AK56" s="127"/>
      <c r="AL56" s="127"/>
      <c r="AM56" s="127"/>
      <c r="AN56" s="127"/>
      <c r="AO56" s="127"/>
      <c r="AP56" s="127"/>
      <c r="AQ56" s="127"/>
      <c r="AR56" s="127"/>
      <c r="AS56" s="127"/>
      <c r="AT56" s="127"/>
      <c r="AU56" s="127"/>
      <c r="AV56" s="127"/>
      <c r="AW56" s="127"/>
      <c r="AX56" s="127"/>
      <c r="AY56" s="127"/>
    </row>
    <row r="57" spans="1:51" x14ac:dyDescent="0.2">
      <c r="A57" s="126"/>
      <c r="B57" s="136">
        <v>13</v>
      </c>
      <c r="C57" s="126" t="s">
        <v>293</v>
      </c>
      <c r="D57" s="127"/>
      <c r="E57" s="127"/>
      <c r="F57" s="127"/>
      <c r="G57" s="127"/>
      <c r="H57" s="127"/>
      <c r="I57" s="127"/>
      <c r="J57" s="127"/>
      <c r="K57" s="127"/>
      <c r="L57" s="127"/>
      <c r="M57" s="127"/>
      <c r="N57" s="127"/>
      <c r="O57" s="127"/>
      <c r="P57" s="127"/>
      <c r="Q57" s="127"/>
      <c r="R57" s="127"/>
      <c r="S57" s="127"/>
      <c r="T57" s="127"/>
      <c r="U57" s="127"/>
      <c r="V57" s="127"/>
      <c r="W57" s="127"/>
      <c r="X57" s="127"/>
      <c r="Y57" s="127"/>
      <c r="Z57" s="127"/>
      <c r="AA57" s="127"/>
      <c r="AB57" s="127"/>
      <c r="AC57" s="127"/>
      <c r="AD57" s="127"/>
      <c r="AE57" s="127"/>
      <c r="AF57" s="127"/>
      <c r="AG57" s="127"/>
      <c r="AH57" s="127"/>
      <c r="AI57" s="127"/>
      <c r="AJ57" s="127"/>
      <c r="AK57" s="127"/>
      <c r="AL57" s="127"/>
      <c r="AM57" s="127"/>
      <c r="AN57" s="127"/>
      <c r="AO57" s="127"/>
      <c r="AP57" s="127"/>
      <c r="AQ57" s="127"/>
      <c r="AR57" s="127"/>
      <c r="AS57" s="127"/>
      <c r="AT57" s="127"/>
      <c r="AU57" s="127"/>
      <c r="AV57" s="127"/>
      <c r="AW57" s="127"/>
      <c r="AX57" s="127"/>
      <c r="AY57" s="127"/>
    </row>
    <row r="58" spans="1:51" x14ac:dyDescent="0.2">
      <c r="A58" s="126"/>
      <c r="B58" s="136">
        <v>14</v>
      </c>
      <c r="C58" s="126" t="s">
        <v>293</v>
      </c>
      <c r="D58" s="127"/>
      <c r="E58" s="127"/>
      <c r="F58" s="127"/>
      <c r="G58" s="127"/>
      <c r="H58" s="127"/>
      <c r="I58" s="127"/>
      <c r="J58" s="127"/>
      <c r="K58" s="127"/>
      <c r="L58" s="127"/>
      <c r="M58" s="127"/>
      <c r="N58" s="127"/>
      <c r="O58" s="127"/>
      <c r="P58" s="127"/>
      <c r="Q58" s="127"/>
      <c r="R58" s="127"/>
      <c r="S58" s="127"/>
      <c r="T58" s="127"/>
      <c r="U58" s="127"/>
      <c r="V58" s="127"/>
      <c r="W58" s="127"/>
      <c r="X58" s="127"/>
      <c r="Y58" s="127"/>
      <c r="Z58" s="127"/>
      <c r="AA58" s="127"/>
      <c r="AB58" s="127"/>
      <c r="AC58" s="127"/>
      <c r="AD58" s="127"/>
      <c r="AE58" s="127"/>
      <c r="AF58" s="127"/>
      <c r="AG58" s="127"/>
      <c r="AH58" s="127"/>
      <c r="AI58" s="127"/>
      <c r="AJ58" s="127"/>
      <c r="AK58" s="127"/>
      <c r="AL58" s="127"/>
      <c r="AM58" s="127"/>
      <c r="AN58" s="127"/>
      <c r="AO58" s="127"/>
      <c r="AP58" s="127"/>
      <c r="AQ58" s="127"/>
      <c r="AR58" s="127"/>
      <c r="AS58" s="127"/>
      <c r="AT58" s="127"/>
      <c r="AU58" s="127"/>
      <c r="AV58" s="127"/>
      <c r="AW58" s="127"/>
      <c r="AX58" s="127"/>
      <c r="AY58" s="127"/>
    </row>
    <row r="59" spans="1:51" x14ac:dyDescent="0.2">
      <c r="A59" s="126"/>
      <c r="B59" s="136">
        <v>15</v>
      </c>
      <c r="C59" s="126" t="s">
        <v>293</v>
      </c>
      <c r="D59" s="127"/>
      <c r="E59" s="127"/>
      <c r="F59" s="127"/>
      <c r="G59" s="127"/>
      <c r="H59" s="127"/>
      <c r="I59" s="127"/>
      <c r="J59" s="127"/>
      <c r="K59" s="127"/>
      <c r="L59" s="127"/>
      <c r="M59" s="127"/>
      <c r="N59" s="127"/>
      <c r="O59" s="127"/>
      <c r="P59" s="127"/>
      <c r="Q59" s="127"/>
      <c r="R59" s="127"/>
      <c r="S59" s="127"/>
      <c r="T59" s="127"/>
      <c r="U59" s="127"/>
      <c r="V59" s="127"/>
      <c r="W59" s="127"/>
      <c r="X59" s="127"/>
      <c r="Y59" s="127"/>
      <c r="Z59" s="127"/>
      <c r="AA59" s="127"/>
      <c r="AB59" s="127"/>
      <c r="AC59" s="127"/>
      <c r="AD59" s="127"/>
      <c r="AE59" s="127"/>
      <c r="AF59" s="127"/>
      <c r="AG59" s="127"/>
      <c r="AH59" s="127"/>
      <c r="AI59" s="127"/>
      <c r="AJ59" s="127"/>
      <c r="AK59" s="127"/>
      <c r="AL59" s="127"/>
      <c r="AM59" s="127"/>
      <c r="AN59" s="127"/>
      <c r="AO59" s="127"/>
      <c r="AP59" s="127"/>
      <c r="AQ59" s="127"/>
      <c r="AR59" s="127"/>
      <c r="AS59" s="127"/>
      <c r="AT59" s="127"/>
      <c r="AU59" s="127"/>
      <c r="AV59" s="127"/>
      <c r="AW59" s="127"/>
      <c r="AX59" s="127"/>
      <c r="AY59" s="127"/>
    </row>
    <row r="60" spans="1:51" x14ac:dyDescent="0.2">
      <c r="A60" s="126"/>
      <c r="B60" s="136">
        <v>16</v>
      </c>
      <c r="C60" s="126" t="s">
        <v>293</v>
      </c>
      <c r="D60" s="127"/>
      <c r="E60" s="127"/>
      <c r="F60" s="127"/>
      <c r="G60" s="127"/>
      <c r="H60" s="127"/>
      <c r="I60" s="127"/>
      <c r="J60" s="127"/>
      <c r="K60" s="127"/>
      <c r="L60" s="127"/>
      <c r="M60" s="127"/>
      <c r="N60" s="127"/>
      <c r="O60" s="127"/>
      <c r="P60" s="127"/>
      <c r="Q60" s="127"/>
      <c r="R60" s="127"/>
      <c r="S60" s="127"/>
      <c r="T60" s="127"/>
      <c r="U60" s="127"/>
      <c r="V60" s="127"/>
      <c r="W60" s="127"/>
      <c r="X60" s="127"/>
      <c r="Y60" s="127"/>
      <c r="Z60" s="127"/>
      <c r="AA60" s="127"/>
      <c r="AB60" s="127"/>
      <c r="AC60" s="127"/>
      <c r="AD60" s="127"/>
      <c r="AE60" s="127"/>
      <c r="AF60" s="127"/>
      <c r="AG60" s="127"/>
      <c r="AH60" s="127"/>
      <c r="AI60" s="127"/>
      <c r="AJ60" s="127"/>
      <c r="AK60" s="127"/>
      <c r="AL60" s="127"/>
      <c r="AM60" s="127"/>
      <c r="AN60" s="127"/>
      <c r="AO60" s="127"/>
      <c r="AP60" s="127"/>
      <c r="AQ60" s="127"/>
      <c r="AR60" s="127"/>
      <c r="AS60" s="127"/>
      <c r="AT60" s="127"/>
      <c r="AU60" s="127"/>
      <c r="AV60" s="127"/>
      <c r="AW60" s="127"/>
      <c r="AX60" s="127"/>
      <c r="AY60" s="127"/>
    </row>
    <row r="61" spans="1:51" x14ac:dyDescent="0.2">
      <c r="A61" s="126"/>
      <c r="B61" s="136">
        <v>17</v>
      </c>
      <c r="C61" s="126" t="s">
        <v>293</v>
      </c>
      <c r="D61" s="127"/>
      <c r="E61" s="127"/>
      <c r="F61" s="127"/>
      <c r="G61" s="127"/>
      <c r="H61" s="127"/>
      <c r="I61" s="127"/>
      <c r="J61" s="127"/>
      <c r="K61" s="127"/>
      <c r="L61" s="127"/>
      <c r="M61" s="127"/>
      <c r="N61" s="127"/>
      <c r="O61" s="127"/>
      <c r="P61" s="127"/>
      <c r="Q61" s="127"/>
      <c r="R61" s="127"/>
      <c r="S61" s="127"/>
      <c r="T61" s="127"/>
      <c r="U61" s="127"/>
      <c r="V61" s="127"/>
      <c r="W61" s="127"/>
      <c r="X61" s="127"/>
      <c r="Y61" s="127"/>
      <c r="Z61" s="127"/>
      <c r="AA61" s="127"/>
      <c r="AB61" s="127"/>
      <c r="AC61" s="127"/>
      <c r="AD61" s="127"/>
      <c r="AE61" s="127"/>
      <c r="AF61" s="127"/>
      <c r="AG61" s="127"/>
      <c r="AH61" s="127"/>
      <c r="AI61" s="127"/>
      <c r="AJ61" s="127"/>
      <c r="AK61" s="127"/>
      <c r="AL61" s="127"/>
      <c r="AM61" s="127"/>
      <c r="AN61" s="127"/>
      <c r="AO61" s="127"/>
      <c r="AP61" s="127"/>
      <c r="AQ61" s="127"/>
      <c r="AR61" s="127"/>
      <c r="AS61" s="127"/>
      <c r="AT61" s="127"/>
      <c r="AU61" s="127"/>
      <c r="AV61" s="127"/>
      <c r="AW61" s="127"/>
      <c r="AX61" s="127"/>
      <c r="AY61" s="127"/>
    </row>
    <row r="62" spans="1:51" x14ac:dyDescent="0.2">
      <c r="A62" s="126"/>
      <c r="B62" s="136">
        <v>18</v>
      </c>
      <c r="C62" s="126" t="s">
        <v>293</v>
      </c>
      <c r="D62" s="127"/>
      <c r="E62" s="127"/>
      <c r="F62" s="127"/>
      <c r="G62" s="127"/>
      <c r="H62" s="127"/>
      <c r="I62" s="127"/>
      <c r="J62" s="127"/>
      <c r="K62" s="127"/>
      <c r="L62" s="127"/>
      <c r="M62" s="127"/>
      <c r="N62" s="127"/>
      <c r="O62" s="127"/>
      <c r="P62" s="127"/>
      <c r="Q62" s="127"/>
      <c r="R62" s="127"/>
      <c r="S62" s="127"/>
      <c r="T62" s="127"/>
      <c r="U62" s="127"/>
      <c r="V62" s="127"/>
      <c r="W62" s="127"/>
      <c r="X62" s="127"/>
      <c r="Y62" s="127"/>
      <c r="Z62" s="127"/>
      <c r="AA62" s="127"/>
      <c r="AB62" s="127"/>
      <c r="AC62" s="127"/>
      <c r="AD62" s="127"/>
      <c r="AE62" s="127"/>
      <c r="AF62" s="127"/>
      <c r="AG62" s="127"/>
      <c r="AH62" s="127"/>
      <c r="AI62" s="127"/>
      <c r="AJ62" s="127"/>
      <c r="AK62" s="127"/>
      <c r="AL62" s="127"/>
      <c r="AM62" s="127"/>
      <c r="AN62" s="127"/>
      <c r="AO62" s="127"/>
      <c r="AP62" s="127"/>
      <c r="AQ62" s="127"/>
      <c r="AR62" s="127"/>
      <c r="AS62" s="127"/>
      <c r="AT62" s="127"/>
      <c r="AU62" s="127"/>
      <c r="AV62" s="127"/>
      <c r="AW62" s="127"/>
      <c r="AX62" s="127"/>
      <c r="AY62" s="127"/>
    </row>
    <row r="63" spans="1:51" x14ac:dyDescent="0.2">
      <c r="A63" s="126"/>
      <c r="B63" s="136">
        <v>19</v>
      </c>
      <c r="C63" s="126" t="s">
        <v>293</v>
      </c>
      <c r="D63" s="127"/>
      <c r="E63" s="127"/>
      <c r="F63" s="127"/>
      <c r="G63" s="127"/>
      <c r="H63" s="127"/>
      <c r="I63" s="127"/>
      <c r="J63" s="127"/>
      <c r="K63" s="127"/>
      <c r="L63" s="127"/>
      <c r="M63" s="127"/>
      <c r="N63" s="127"/>
      <c r="O63" s="127"/>
      <c r="P63" s="127"/>
      <c r="Q63" s="127"/>
      <c r="R63" s="127"/>
      <c r="S63" s="127"/>
      <c r="T63" s="127"/>
      <c r="U63" s="127"/>
      <c r="V63" s="127"/>
      <c r="W63" s="127"/>
      <c r="X63" s="127"/>
      <c r="Y63" s="127"/>
      <c r="Z63" s="127"/>
      <c r="AA63" s="127"/>
      <c r="AB63" s="127"/>
      <c r="AC63" s="127"/>
      <c r="AD63" s="127"/>
      <c r="AE63" s="127"/>
      <c r="AF63" s="127"/>
      <c r="AG63" s="127"/>
      <c r="AH63" s="127"/>
      <c r="AI63" s="127"/>
      <c r="AJ63" s="127"/>
      <c r="AK63" s="127"/>
      <c r="AL63" s="127"/>
      <c r="AM63" s="127"/>
      <c r="AN63" s="127"/>
      <c r="AO63" s="127"/>
      <c r="AP63" s="127"/>
      <c r="AQ63" s="127"/>
      <c r="AR63" s="127"/>
      <c r="AS63" s="127"/>
      <c r="AT63" s="127"/>
      <c r="AU63" s="127"/>
      <c r="AV63" s="127"/>
      <c r="AW63" s="127"/>
      <c r="AX63" s="127"/>
      <c r="AY63" s="127"/>
    </row>
    <row r="64" spans="1:51" x14ac:dyDescent="0.2">
      <c r="A64" s="126"/>
      <c r="B64" s="136">
        <v>20</v>
      </c>
      <c r="C64" s="126" t="s">
        <v>293</v>
      </c>
      <c r="D64" s="127"/>
      <c r="E64" s="127"/>
      <c r="F64" s="127"/>
      <c r="G64" s="127"/>
      <c r="H64" s="127"/>
      <c r="I64" s="127"/>
      <c r="J64" s="127"/>
      <c r="K64" s="127"/>
      <c r="L64" s="127"/>
      <c r="M64" s="127"/>
      <c r="N64" s="127"/>
      <c r="O64" s="127"/>
      <c r="P64" s="127"/>
      <c r="Q64" s="127"/>
      <c r="R64" s="127"/>
      <c r="S64" s="127"/>
      <c r="T64" s="127"/>
      <c r="U64" s="127"/>
      <c r="V64" s="127"/>
      <c r="W64" s="127"/>
      <c r="X64" s="127"/>
      <c r="Y64" s="127"/>
      <c r="Z64" s="127"/>
      <c r="AA64" s="127"/>
      <c r="AB64" s="127"/>
      <c r="AC64" s="127"/>
      <c r="AD64" s="127"/>
      <c r="AE64" s="127"/>
      <c r="AF64" s="127"/>
      <c r="AG64" s="127"/>
      <c r="AH64" s="127"/>
      <c r="AI64" s="127"/>
      <c r="AJ64" s="127"/>
      <c r="AK64" s="127"/>
      <c r="AL64" s="127"/>
      <c r="AM64" s="127"/>
      <c r="AN64" s="127"/>
      <c r="AO64" s="127"/>
      <c r="AP64" s="127"/>
      <c r="AQ64" s="127"/>
      <c r="AR64" s="127"/>
      <c r="AS64" s="127"/>
      <c r="AT64" s="127"/>
      <c r="AU64" s="127"/>
      <c r="AV64" s="127"/>
      <c r="AW64" s="127"/>
      <c r="AX64" s="127"/>
      <c r="AY64" s="127"/>
    </row>
    <row r="65" spans="1:51" x14ac:dyDescent="0.2">
      <c r="A65" s="126"/>
      <c r="B65" s="136">
        <v>21</v>
      </c>
      <c r="C65" s="126" t="s">
        <v>293</v>
      </c>
      <c r="D65" s="127"/>
      <c r="E65" s="127"/>
      <c r="F65" s="127"/>
      <c r="G65" s="127"/>
      <c r="H65" s="127"/>
      <c r="I65" s="127"/>
      <c r="J65" s="127"/>
      <c r="K65" s="127"/>
      <c r="L65" s="127"/>
      <c r="M65" s="127"/>
      <c r="N65" s="127"/>
      <c r="O65" s="127"/>
      <c r="P65" s="127"/>
      <c r="Q65" s="127"/>
      <c r="R65" s="127"/>
      <c r="S65" s="127"/>
      <c r="T65" s="127"/>
      <c r="U65" s="127"/>
      <c r="V65" s="127"/>
      <c r="W65" s="127"/>
      <c r="X65" s="127"/>
      <c r="Y65" s="127"/>
      <c r="Z65" s="127"/>
      <c r="AA65" s="127"/>
      <c r="AB65" s="127"/>
      <c r="AC65" s="127"/>
      <c r="AD65" s="127"/>
      <c r="AE65" s="127"/>
      <c r="AF65" s="127"/>
      <c r="AG65" s="127"/>
      <c r="AH65" s="127"/>
      <c r="AI65" s="127"/>
      <c r="AJ65" s="127"/>
      <c r="AK65" s="127"/>
      <c r="AL65" s="127"/>
      <c r="AM65" s="127"/>
      <c r="AN65" s="127"/>
      <c r="AO65" s="127"/>
      <c r="AP65" s="127"/>
      <c r="AQ65" s="127"/>
      <c r="AR65" s="127"/>
      <c r="AS65" s="127"/>
      <c r="AT65" s="127"/>
      <c r="AU65" s="127"/>
      <c r="AV65" s="127"/>
      <c r="AW65" s="127"/>
      <c r="AX65" s="127"/>
      <c r="AY65" s="127"/>
    </row>
    <row r="66" spans="1:51" x14ac:dyDescent="0.2">
      <c r="A66" s="126"/>
      <c r="B66" s="136">
        <v>22</v>
      </c>
      <c r="C66" s="126" t="s">
        <v>293</v>
      </c>
      <c r="D66" s="127"/>
      <c r="E66" s="127"/>
      <c r="F66" s="127"/>
      <c r="G66" s="127"/>
      <c r="H66" s="127"/>
      <c r="I66" s="127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</row>
    <row r="67" spans="1:51" x14ac:dyDescent="0.2">
      <c r="A67" s="126"/>
      <c r="B67" s="136">
        <v>23</v>
      </c>
      <c r="C67" s="126" t="s">
        <v>293</v>
      </c>
      <c r="D67" s="127"/>
      <c r="E67" s="127"/>
      <c r="F67" s="127"/>
      <c r="G67" s="127"/>
      <c r="H67" s="127"/>
      <c r="I67" s="127"/>
      <c r="J67" s="127"/>
      <c r="K67" s="127"/>
      <c r="L67" s="127"/>
      <c r="M67" s="127"/>
      <c r="N67" s="127"/>
      <c r="O67" s="127"/>
      <c r="P67" s="127"/>
      <c r="Q67" s="127"/>
      <c r="R67" s="127"/>
      <c r="S67" s="127"/>
      <c r="T67" s="127"/>
      <c r="U67" s="127"/>
      <c r="V67" s="127"/>
      <c r="W67" s="127"/>
      <c r="X67" s="127"/>
      <c r="Y67" s="127"/>
      <c r="Z67" s="127"/>
      <c r="AA67" s="127"/>
      <c r="AB67" s="127"/>
      <c r="AC67" s="127"/>
      <c r="AD67" s="127"/>
      <c r="AE67" s="127"/>
      <c r="AF67" s="127"/>
      <c r="AG67" s="127"/>
      <c r="AH67" s="127"/>
      <c r="AI67" s="127"/>
      <c r="AJ67" s="127"/>
      <c r="AK67" s="127"/>
      <c r="AL67" s="127"/>
      <c r="AM67" s="127"/>
      <c r="AN67" s="127"/>
      <c r="AO67" s="127"/>
      <c r="AP67" s="127"/>
      <c r="AQ67" s="127"/>
      <c r="AR67" s="127"/>
      <c r="AS67" s="127"/>
      <c r="AT67" s="127"/>
      <c r="AU67" s="127"/>
      <c r="AV67" s="127"/>
      <c r="AW67" s="127"/>
      <c r="AX67" s="127"/>
      <c r="AY67" s="127"/>
    </row>
    <row r="68" spans="1:51" x14ac:dyDescent="0.2">
      <c r="A68" s="126"/>
      <c r="B68" s="136">
        <v>24</v>
      </c>
      <c r="C68" s="126" t="s">
        <v>293</v>
      </c>
      <c r="D68" s="127"/>
      <c r="E68" s="127"/>
      <c r="F68" s="127"/>
      <c r="G68" s="127"/>
      <c r="H68" s="127"/>
      <c r="I68" s="127"/>
      <c r="J68" s="127"/>
      <c r="K68" s="127"/>
      <c r="L68" s="127"/>
      <c r="M68" s="127"/>
      <c r="N68" s="127"/>
      <c r="O68" s="127"/>
      <c r="P68" s="127"/>
      <c r="Q68" s="127"/>
      <c r="R68" s="127"/>
      <c r="S68" s="127"/>
      <c r="T68" s="127"/>
      <c r="U68" s="127"/>
      <c r="V68" s="127"/>
      <c r="W68" s="127"/>
      <c r="X68" s="127"/>
      <c r="Y68" s="127"/>
      <c r="Z68" s="127"/>
      <c r="AA68" s="127"/>
      <c r="AB68" s="127"/>
      <c r="AC68" s="127"/>
      <c r="AD68" s="127"/>
      <c r="AE68" s="127"/>
      <c r="AF68" s="127"/>
      <c r="AG68" s="127"/>
      <c r="AH68" s="127"/>
      <c r="AI68" s="127"/>
      <c r="AJ68" s="127"/>
      <c r="AK68" s="127"/>
      <c r="AL68" s="127"/>
      <c r="AM68" s="127"/>
      <c r="AN68" s="127"/>
      <c r="AO68" s="127"/>
      <c r="AP68" s="127"/>
      <c r="AQ68" s="127"/>
      <c r="AR68" s="127"/>
      <c r="AS68" s="127"/>
      <c r="AT68" s="127"/>
      <c r="AU68" s="127"/>
      <c r="AV68" s="127"/>
      <c r="AW68" s="127"/>
      <c r="AX68" s="127"/>
      <c r="AY68" s="127"/>
    </row>
    <row r="69" spans="1:51" x14ac:dyDescent="0.2">
      <c r="A69" s="126"/>
      <c r="B69" s="143">
        <v>25</v>
      </c>
      <c r="C69" s="126" t="s">
        <v>293</v>
      </c>
      <c r="D69" s="127"/>
      <c r="E69" s="127"/>
      <c r="F69" s="127"/>
      <c r="G69" s="127"/>
      <c r="H69" s="127"/>
      <c r="I69" s="127"/>
      <c r="J69" s="127"/>
      <c r="K69" s="127"/>
      <c r="L69" s="127"/>
      <c r="M69" s="127"/>
      <c r="N69" s="127"/>
      <c r="O69" s="127"/>
      <c r="P69" s="127"/>
      <c r="Q69" s="127"/>
      <c r="R69" s="127"/>
      <c r="S69" s="127"/>
      <c r="T69" s="127"/>
      <c r="U69" s="127"/>
      <c r="V69" s="127"/>
      <c r="W69" s="127"/>
      <c r="X69" s="127"/>
      <c r="Y69" s="127"/>
      <c r="Z69" s="127"/>
      <c r="AA69" s="127"/>
      <c r="AB69" s="127"/>
      <c r="AC69" s="127"/>
      <c r="AD69" s="127"/>
      <c r="AE69" s="127"/>
      <c r="AF69" s="127"/>
      <c r="AG69" s="127"/>
      <c r="AH69" s="127"/>
      <c r="AI69" s="127"/>
      <c r="AJ69" s="127"/>
      <c r="AK69" s="127"/>
      <c r="AL69" s="127"/>
      <c r="AM69" s="127"/>
      <c r="AN69" s="127"/>
      <c r="AO69" s="127"/>
      <c r="AP69" s="127"/>
      <c r="AQ69" s="127"/>
      <c r="AR69" s="127"/>
      <c r="AS69" s="127"/>
      <c r="AT69" s="127"/>
      <c r="AU69" s="127"/>
      <c r="AV69" s="127"/>
      <c r="AW69" s="127"/>
      <c r="AX69" s="127"/>
      <c r="AY69" s="127"/>
    </row>
    <row r="70" spans="1:51" x14ac:dyDescent="0.2">
      <c r="A70" s="126"/>
      <c r="B70" s="143">
        <v>26</v>
      </c>
      <c r="C70" s="126" t="s">
        <v>293</v>
      </c>
      <c r="D70" s="127"/>
      <c r="E70" s="127"/>
      <c r="F70" s="127"/>
      <c r="G70" s="127"/>
      <c r="H70" s="127"/>
      <c r="I70" s="127"/>
      <c r="J70" s="127"/>
      <c r="K70" s="127"/>
      <c r="L70" s="127"/>
      <c r="M70" s="127"/>
      <c r="N70" s="127"/>
      <c r="O70" s="127"/>
      <c r="P70" s="127"/>
      <c r="Q70" s="127"/>
      <c r="R70" s="127"/>
      <c r="S70" s="127"/>
      <c r="T70" s="127"/>
      <c r="U70" s="127"/>
      <c r="V70" s="127"/>
      <c r="W70" s="127"/>
      <c r="X70" s="127"/>
      <c r="Y70" s="127"/>
      <c r="Z70" s="127"/>
      <c r="AA70" s="127"/>
      <c r="AB70" s="127"/>
      <c r="AC70" s="127"/>
      <c r="AD70" s="127"/>
      <c r="AE70" s="127"/>
      <c r="AF70" s="127"/>
      <c r="AG70" s="127"/>
      <c r="AH70" s="127"/>
      <c r="AI70" s="127"/>
      <c r="AJ70" s="127"/>
      <c r="AK70" s="127"/>
      <c r="AL70" s="127"/>
      <c r="AM70" s="127"/>
      <c r="AN70" s="127"/>
      <c r="AO70" s="127"/>
      <c r="AP70" s="127"/>
      <c r="AQ70" s="127"/>
      <c r="AR70" s="127"/>
      <c r="AS70" s="127"/>
      <c r="AT70" s="127"/>
      <c r="AU70" s="127"/>
      <c r="AV70" s="127"/>
      <c r="AW70" s="127"/>
      <c r="AX70" s="127"/>
      <c r="AY70" s="127"/>
    </row>
    <row r="71" spans="1:51" x14ac:dyDescent="0.2">
      <c r="A71" s="126"/>
      <c r="B71" s="143">
        <v>27</v>
      </c>
      <c r="C71" s="126" t="s">
        <v>293</v>
      </c>
      <c r="D71" s="127"/>
      <c r="E71" s="127"/>
      <c r="F71" s="127"/>
      <c r="G71" s="127"/>
      <c r="H71" s="127"/>
      <c r="I71" s="127"/>
      <c r="J71" s="127"/>
      <c r="K71" s="127"/>
      <c r="L71" s="127"/>
      <c r="M71" s="127"/>
      <c r="N71" s="127"/>
      <c r="O71" s="127"/>
      <c r="P71" s="127"/>
      <c r="Q71" s="127"/>
      <c r="R71" s="127"/>
      <c r="S71" s="127"/>
      <c r="T71" s="127"/>
      <c r="U71" s="127"/>
      <c r="V71" s="127"/>
      <c r="W71" s="127"/>
      <c r="X71" s="127"/>
      <c r="Y71" s="127"/>
      <c r="Z71" s="127"/>
      <c r="AA71" s="127"/>
      <c r="AB71" s="127"/>
      <c r="AC71" s="127"/>
      <c r="AD71" s="127"/>
      <c r="AE71" s="127"/>
      <c r="AF71" s="127"/>
      <c r="AG71" s="127"/>
      <c r="AH71" s="127"/>
      <c r="AI71" s="127"/>
      <c r="AJ71" s="127"/>
      <c r="AK71" s="127"/>
      <c r="AL71" s="127"/>
      <c r="AM71" s="127"/>
      <c r="AN71" s="127"/>
      <c r="AO71" s="127"/>
      <c r="AP71" s="127"/>
      <c r="AQ71" s="127"/>
      <c r="AR71" s="127"/>
      <c r="AS71" s="127"/>
      <c r="AT71" s="127"/>
      <c r="AU71" s="127"/>
      <c r="AV71" s="127"/>
      <c r="AW71" s="127"/>
      <c r="AX71" s="127"/>
      <c r="AY71" s="127"/>
    </row>
    <row r="72" spans="1:51" x14ac:dyDescent="0.2">
      <c r="A72" s="126"/>
      <c r="B72" s="143">
        <v>28</v>
      </c>
      <c r="C72" s="126" t="s">
        <v>293</v>
      </c>
      <c r="D72" s="127"/>
      <c r="E72" s="127"/>
      <c r="F72" s="127"/>
      <c r="G72" s="127"/>
      <c r="H72" s="127"/>
      <c r="I72" s="127"/>
      <c r="J72" s="127"/>
      <c r="K72" s="127"/>
      <c r="L72" s="127"/>
      <c r="M72" s="127"/>
      <c r="N72" s="127"/>
      <c r="O72" s="127"/>
      <c r="P72" s="127"/>
      <c r="Q72" s="127"/>
      <c r="R72" s="127"/>
      <c r="S72" s="127"/>
      <c r="T72" s="127"/>
      <c r="U72" s="127"/>
      <c r="V72" s="127"/>
      <c r="W72" s="127"/>
      <c r="X72" s="127"/>
      <c r="Y72" s="127"/>
      <c r="Z72" s="127"/>
      <c r="AA72" s="127"/>
      <c r="AB72" s="127"/>
      <c r="AC72" s="127"/>
      <c r="AD72" s="127"/>
      <c r="AE72" s="127"/>
      <c r="AF72" s="127"/>
      <c r="AG72" s="127"/>
      <c r="AH72" s="127"/>
      <c r="AI72" s="127"/>
      <c r="AJ72" s="127"/>
      <c r="AK72" s="127"/>
      <c r="AL72" s="127"/>
      <c r="AM72" s="127"/>
      <c r="AN72" s="127"/>
      <c r="AO72" s="127"/>
      <c r="AP72" s="127"/>
      <c r="AQ72" s="127"/>
      <c r="AR72" s="127"/>
      <c r="AS72" s="127"/>
      <c r="AT72" s="127"/>
      <c r="AU72" s="127"/>
      <c r="AV72" s="127"/>
      <c r="AW72" s="127"/>
      <c r="AX72" s="127"/>
      <c r="AY72" s="127"/>
    </row>
    <row r="73" spans="1:51" x14ac:dyDescent="0.2">
      <c r="A73" s="126"/>
      <c r="B73" s="143">
        <v>29</v>
      </c>
      <c r="C73" s="126" t="s">
        <v>293</v>
      </c>
      <c r="D73" s="127"/>
      <c r="E73" s="127"/>
      <c r="F73" s="127"/>
      <c r="G73" s="127"/>
      <c r="H73" s="127"/>
      <c r="I73" s="127"/>
      <c r="J73" s="127"/>
      <c r="K73" s="127"/>
      <c r="L73" s="127"/>
      <c r="M73" s="127"/>
      <c r="N73" s="127"/>
      <c r="O73" s="127"/>
      <c r="P73" s="127"/>
      <c r="Q73" s="127"/>
      <c r="R73" s="127"/>
      <c r="S73" s="127"/>
      <c r="T73" s="127"/>
      <c r="U73" s="127"/>
      <c r="V73" s="127"/>
      <c r="W73" s="127"/>
      <c r="X73" s="127"/>
      <c r="Y73" s="127"/>
      <c r="Z73" s="127"/>
      <c r="AA73" s="127"/>
      <c r="AB73" s="127"/>
      <c r="AC73" s="127"/>
      <c r="AD73" s="127"/>
      <c r="AE73" s="127"/>
      <c r="AF73" s="127"/>
      <c r="AG73" s="127"/>
      <c r="AH73" s="127"/>
      <c r="AI73" s="127"/>
      <c r="AJ73" s="127"/>
      <c r="AK73" s="127"/>
      <c r="AL73" s="127"/>
      <c r="AM73" s="127"/>
      <c r="AN73" s="127"/>
      <c r="AO73" s="127"/>
      <c r="AP73" s="127"/>
      <c r="AQ73" s="127"/>
      <c r="AR73" s="127"/>
      <c r="AS73" s="127"/>
      <c r="AT73" s="127"/>
      <c r="AU73" s="127"/>
      <c r="AV73" s="127"/>
      <c r="AW73" s="127"/>
      <c r="AX73" s="127"/>
      <c r="AY73" s="127"/>
    </row>
    <row r="74" spans="1:51" x14ac:dyDescent="0.2">
      <c r="A74" s="126"/>
      <c r="B74" s="143">
        <v>30</v>
      </c>
      <c r="C74" s="126" t="s">
        <v>293</v>
      </c>
      <c r="D74" s="127"/>
      <c r="E74" s="127"/>
      <c r="F74" s="127"/>
      <c r="G74" s="127"/>
      <c r="H74" s="127"/>
      <c r="I74" s="127"/>
      <c r="J74" s="127"/>
      <c r="K74" s="127"/>
      <c r="L74" s="127"/>
      <c r="M74" s="127"/>
      <c r="N74" s="127"/>
      <c r="O74" s="127"/>
      <c r="P74" s="127"/>
      <c r="Q74" s="127"/>
      <c r="R74" s="127"/>
      <c r="S74" s="127"/>
      <c r="T74" s="127"/>
      <c r="U74" s="127"/>
      <c r="V74" s="127"/>
      <c r="W74" s="127"/>
      <c r="X74" s="127"/>
      <c r="Y74" s="127"/>
      <c r="Z74" s="127"/>
      <c r="AA74" s="127"/>
      <c r="AB74" s="127"/>
      <c r="AC74" s="127"/>
      <c r="AD74" s="127"/>
      <c r="AE74" s="127"/>
      <c r="AF74" s="127"/>
      <c r="AG74" s="127"/>
      <c r="AH74" s="127"/>
      <c r="AI74" s="127"/>
      <c r="AJ74" s="127"/>
      <c r="AK74" s="127"/>
      <c r="AL74" s="127"/>
      <c r="AM74" s="127"/>
      <c r="AN74" s="127"/>
      <c r="AO74" s="127"/>
      <c r="AP74" s="127"/>
      <c r="AQ74" s="127"/>
      <c r="AR74" s="127"/>
      <c r="AS74" s="127"/>
      <c r="AT74" s="127"/>
      <c r="AU74" s="127"/>
      <c r="AV74" s="127"/>
      <c r="AW74" s="127"/>
      <c r="AX74" s="127"/>
      <c r="AY74" s="127"/>
    </row>
    <row r="75" spans="1:51" x14ac:dyDescent="0.2">
      <c r="A75" s="126"/>
      <c r="B75" s="143">
        <v>31</v>
      </c>
      <c r="C75" s="126" t="s">
        <v>293</v>
      </c>
      <c r="D75" s="127"/>
      <c r="E75" s="127"/>
      <c r="F75" s="127"/>
      <c r="G75" s="127"/>
      <c r="H75" s="127"/>
      <c r="I75" s="127"/>
      <c r="J75" s="127"/>
      <c r="K75" s="127"/>
      <c r="L75" s="127"/>
      <c r="M75" s="127"/>
      <c r="N75" s="127"/>
      <c r="O75" s="127"/>
      <c r="P75" s="127"/>
      <c r="Q75" s="127"/>
      <c r="R75" s="127"/>
      <c r="S75" s="127"/>
      <c r="T75" s="127"/>
      <c r="U75" s="127"/>
      <c r="V75" s="127"/>
      <c r="W75" s="127"/>
      <c r="X75" s="127"/>
      <c r="Y75" s="127"/>
      <c r="Z75" s="127"/>
      <c r="AA75" s="127"/>
      <c r="AB75" s="127"/>
      <c r="AC75" s="127"/>
      <c r="AD75" s="127"/>
      <c r="AE75" s="127"/>
      <c r="AF75" s="127"/>
      <c r="AG75" s="127"/>
      <c r="AH75" s="127"/>
      <c r="AI75" s="127"/>
      <c r="AJ75" s="127"/>
      <c r="AK75" s="127"/>
      <c r="AL75" s="127"/>
      <c r="AM75" s="127"/>
      <c r="AN75" s="127"/>
      <c r="AO75" s="127"/>
      <c r="AP75" s="127"/>
      <c r="AQ75" s="127"/>
      <c r="AR75" s="127"/>
      <c r="AS75" s="127"/>
      <c r="AT75" s="127"/>
      <c r="AU75" s="127"/>
      <c r="AV75" s="127"/>
      <c r="AW75" s="127"/>
      <c r="AX75" s="127"/>
      <c r="AY75" s="127"/>
    </row>
    <row r="76" spans="1:51" x14ac:dyDescent="0.2">
      <c r="A76" s="126"/>
      <c r="B76" s="143">
        <v>32</v>
      </c>
      <c r="C76" s="126" t="s">
        <v>293</v>
      </c>
      <c r="D76" s="127"/>
      <c r="E76" s="127"/>
      <c r="F76" s="127"/>
      <c r="G76" s="127"/>
      <c r="H76" s="127"/>
      <c r="I76" s="127"/>
      <c r="J76" s="127"/>
      <c r="K76" s="127"/>
      <c r="L76" s="127"/>
      <c r="M76" s="127"/>
      <c r="N76" s="127"/>
      <c r="O76" s="127"/>
      <c r="P76" s="127"/>
      <c r="Q76" s="127"/>
      <c r="R76" s="127"/>
      <c r="S76" s="127"/>
      <c r="T76" s="127"/>
      <c r="U76" s="127"/>
      <c r="V76" s="127"/>
      <c r="W76" s="127"/>
      <c r="X76" s="127"/>
      <c r="Y76" s="127"/>
      <c r="Z76" s="127"/>
      <c r="AA76" s="127"/>
      <c r="AB76" s="127"/>
      <c r="AC76" s="127"/>
      <c r="AD76" s="127"/>
      <c r="AE76" s="127"/>
      <c r="AF76" s="127"/>
      <c r="AG76" s="127"/>
      <c r="AH76" s="127"/>
      <c r="AI76" s="127"/>
      <c r="AJ76" s="127"/>
      <c r="AK76" s="127"/>
      <c r="AL76" s="127"/>
      <c r="AM76" s="127"/>
      <c r="AN76" s="127"/>
      <c r="AO76" s="127"/>
      <c r="AP76" s="127"/>
      <c r="AQ76" s="127"/>
      <c r="AR76" s="127"/>
      <c r="AS76" s="127"/>
      <c r="AT76" s="127"/>
      <c r="AU76" s="127"/>
      <c r="AV76" s="127"/>
      <c r="AW76" s="127"/>
      <c r="AX76" s="127"/>
      <c r="AY76" s="127"/>
    </row>
    <row r="77" spans="1:51" x14ac:dyDescent="0.2">
      <c r="A77" s="126"/>
      <c r="B77" s="143">
        <v>33</v>
      </c>
      <c r="C77" s="126" t="s">
        <v>293</v>
      </c>
      <c r="D77" s="127"/>
      <c r="E77" s="127"/>
      <c r="F77" s="127"/>
      <c r="G77" s="127"/>
      <c r="H77" s="127"/>
      <c r="I77" s="127"/>
      <c r="J77" s="127"/>
      <c r="K77" s="127"/>
      <c r="L77" s="127"/>
      <c r="M77" s="127"/>
      <c r="N77" s="127"/>
      <c r="O77" s="127"/>
      <c r="P77" s="127"/>
      <c r="Q77" s="127"/>
      <c r="R77" s="127"/>
      <c r="S77" s="127"/>
      <c r="T77" s="127"/>
      <c r="U77" s="127"/>
      <c r="V77" s="127"/>
      <c r="W77" s="127"/>
      <c r="X77" s="127"/>
      <c r="Y77" s="127"/>
      <c r="Z77" s="127"/>
      <c r="AA77" s="127"/>
      <c r="AB77" s="127"/>
      <c r="AC77" s="127"/>
      <c r="AD77" s="127"/>
      <c r="AE77" s="127"/>
      <c r="AF77" s="127"/>
      <c r="AG77" s="127"/>
      <c r="AH77" s="127"/>
      <c r="AI77" s="127"/>
      <c r="AJ77" s="127"/>
      <c r="AK77" s="127"/>
      <c r="AL77" s="127"/>
      <c r="AM77" s="127"/>
      <c r="AN77" s="127"/>
      <c r="AO77" s="127"/>
      <c r="AP77" s="127"/>
      <c r="AQ77" s="127"/>
      <c r="AR77" s="127"/>
      <c r="AS77" s="127"/>
      <c r="AT77" s="127"/>
      <c r="AU77" s="127"/>
      <c r="AV77" s="127"/>
      <c r="AW77" s="127"/>
      <c r="AX77" s="127"/>
      <c r="AY77" s="127"/>
    </row>
    <row r="78" spans="1:51" x14ac:dyDescent="0.2">
      <c r="A78" s="126"/>
      <c r="B78" s="143">
        <v>34</v>
      </c>
      <c r="C78" s="126" t="s">
        <v>293</v>
      </c>
      <c r="D78" s="127"/>
      <c r="E78" s="127"/>
      <c r="F78" s="127"/>
      <c r="G78" s="127"/>
      <c r="H78" s="127"/>
      <c r="I78" s="127"/>
      <c r="J78" s="127"/>
      <c r="K78" s="127"/>
      <c r="L78" s="127"/>
      <c r="M78" s="127"/>
      <c r="N78" s="127"/>
      <c r="O78" s="127"/>
      <c r="P78" s="127"/>
      <c r="Q78" s="127"/>
      <c r="R78" s="127"/>
      <c r="S78" s="127"/>
      <c r="T78" s="127"/>
      <c r="U78" s="127"/>
      <c r="V78" s="127"/>
      <c r="W78" s="127"/>
      <c r="X78" s="127"/>
      <c r="Y78" s="127"/>
      <c r="Z78" s="127"/>
      <c r="AA78" s="127"/>
      <c r="AB78" s="127"/>
      <c r="AC78" s="127"/>
      <c r="AD78" s="127"/>
      <c r="AE78" s="127"/>
      <c r="AF78" s="127"/>
      <c r="AG78" s="127"/>
      <c r="AH78" s="127"/>
      <c r="AI78" s="127"/>
      <c r="AJ78" s="127"/>
      <c r="AK78" s="127"/>
      <c r="AL78" s="127"/>
      <c r="AM78" s="127"/>
      <c r="AN78" s="127"/>
      <c r="AO78" s="127"/>
      <c r="AP78" s="127"/>
      <c r="AQ78" s="127"/>
      <c r="AR78" s="127"/>
      <c r="AS78" s="127"/>
      <c r="AT78" s="127"/>
      <c r="AU78" s="127"/>
      <c r="AV78" s="127"/>
      <c r="AW78" s="127"/>
      <c r="AX78" s="127"/>
      <c r="AY78" s="127"/>
    </row>
    <row r="79" spans="1:51" x14ac:dyDescent="0.2">
      <c r="A79" s="126"/>
      <c r="B79" s="143">
        <v>35</v>
      </c>
      <c r="C79" s="126" t="s">
        <v>293</v>
      </c>
      <c r="D79" s="127"/>
      <c r="E79" s="127"/>
      <c r="F79" s="127"/>
      <c r="G79" s="127"/>
      <c r="H79" s="127"/>
      <c r="I79" s="127"/>
      <c r="J79" s="127"/>
      <c r="K79" s="127"/>
      <c r="L79" s="127"/>
      <c r="M79" s="127"/>
      <c r="N79" s="127"/>
      <c r="O79" s="127"/>
      <c r="P79" s="127"/>
      <c r="Q79" s="127"/>
      <c r="R79" s="127"/>
      <c r="S79" s="127"/>
      <c r="T79" s="127"/>
      <c r="U79" s="127"/>
      <c r="V79" s="127"/>
      <c r="W79" s="127"/>
      <c r="X79" s="127"/>
      <c r="Y79" s="127"/>
      <c r="Z79" s="127"/>
      <c r="AA79" s="127"/>
      <c r="AB79" s="127"/>
      <c r="AC79" s="127"/>
      <c r="AD79" s="127"/>
      <c r="AE79" s="127"/>
      <c r="AF79" s="127"/>
      <c r="AG79" s="127"/>
      <c r="AH79" s="127"/>
      <c r="AI79" s="127"/>
      <c r="AJ79" s="127"/>
      <c r="AK79" s="127"/>
      <c r="AL79" s="127"/>
      <c r="AM79" s="127"/>
      <c r="AN79" s="127"/>
      <c r="AO79" s="127"/>
      <c r="AP79" s="127"/>
      <c r="AQ79" s="127"/>
      <c r="AR79" s="127"/>
      <c r="AS79" s="127"/>
      <c r="AT79" s="127"/>
      <c r="AU79" s="127"/>
      <c r="AV79" s="127"/>
      <c r="AW79" s="127"/>
      <c r="AX79" s="127"/>
      <c r="AY79" s="127"/>
    </row>
    <row r="80" spans="1:51" x14ac:dyDescent="0.2">
      <c r="A80" s="126"/>
      <c r="B80" s="143">
        <v>36</v>
      </c>
      <c r="C80" s="126" t="s">
        <v>293</v>
      </c>
      <c r="D80" s="127"/>
      <c r="E80" s="127"/>
      <c r="F80" s="127"/>
      <c r="G80" s="127"/>
      <c r="H80" s="127"/>
      <c r="I80" s="127"/>
      <c r="J80" s="127"/>
      <c r="K80" s="127"/>
      <c r="L80" s="127"/>
      <c r="M80" s="127"/>
      <c r="N80" s="127"/>
      <c r="O80" s="127"/>
      <c r="P80" s="127"/>
      <c r="Q80" s="127"/>
      <c r="R80" s="127"/>
      <c r="S80" s="127"/>
      <c r="T80" s="127"/>
      <c r="U80" s="127"/>
      <c r="V80" s="127"/>
      <c r="W80" s="127"/>
      <c r="X80" s="127"/>
      <c r="Y80" s="127"/>
      <c r="Z80" s="127"/>
      <c r="AA80" s="127"/>
      <c r="AB80" s="127"/>
      <c r="AC80" s="127"/>
      <c r="AD80" s="127"/>
      <c r="AE80" s="127"/>
      <c r="AF80" s="127"/>
      <c r="AG80" s="127"/>
      <c r="AH80" s="127"/>
      <c r="AI80" s="127"/>
      <c r="AJ80" s="127"/>
      <c r="AK80" s="127"/>
      <c r="AL80" s="127"/>
      <c r="AM80" s="127"/>
      <c r="AN80" s="127"/>
      <c r="AO80" s="127"/>
      <c r="AP80" s="127"/>
      <c r="AQ80" s="127"/>
      <c r="AR80" s="127"/>
      <c r="AS80" s="127"/>
      <c r="AT80" s="127"/>
      <c r="AU80" s="127"/>
      <c r="AV80" s="127"/>
      <c r="AW80" s="127"/>
      <c r="AX80" s="127"/>
      <c r="AY80" s="127"/>
    </row>
    <row r="81" spans="1:52" x14ac:dyDescent="0.2">
      <c r="A81" s="126"/>
      <c r="B81" s="146">
        <v>37</v>
      </c>
      <c r="C81" s="126" t="s">
        <v>293</v>
      </c>
      <c r="D81" s="127"/>
      <c r="E81" s="127"/>
      <c r="F81" s="127"/>
      <c r="G81" s="127"/>
      <c r="H81" s="127"/>
      <c r="I81" s="127"/>
      <c r="J81" s="127"/>
      <c r="K81" s="127"/>
      <c r="L81" s="127"/>
      <c r="M81" s="127"/>
      <c r="N81" s="127"/>
      <c r="O81" s="127"/>
      <c r="P81" s="127"/>
      <c r="Q81" s="127"/>
      <c r="R81" s="127"/>
      <c r="S81" s="127"/>
      <c r="T81" s="127"/>
      <c r="U81" s="127"/>
      <c r="V81" s="127"/>
      <c r="W81" s="127"/>
      <c r="X81" s="127"/>
      <c r="Y81" s="127"/>
      <c r="Z81" s="127"/>
      <c r="AA81" s="127"/>
      <c r="AB81" s="127"/>
      <c r="AC81" s="127"/>
      <c r="AD81" s="127"/>
      <c r="AE81" s="127"/>
      <c r="AF81" s="127"/>
      <c r="AG81" s="127"/>
      <c r="AH81" s="127"/>
      <c r="AI81" s="127"/>
      <c r="AJ81" s="127"/>
      <c r="AK81" s="127"/>
      <c r="AL81" s="127"/>
      <c r="AM81" s="127"/>
      <c r="AN81" s="127"/>
      <c r="AO81" s="127"/>
      <c r="AP81" s="127"/>
      <c r="AQ81" s="127"/>
      <c r="AR81" s="127"/>
      <c r="AS81" s="127"/>
      <c r="AT81" s="127"/>
      <c r="AU81" s="127"/>
      <c r="AV81" s="127"/>
      <c r="AW81" s="127"/>
      <c r="AX81" s="127"/>
      <c r="AY81" s="127"/>
    </row>
    <row r="82" spans="1:52" x14ac:dyDescent="0.2">
      <c r="A82" s="126"/>
      <c r="B82" s="146">
        <v>38</v>
      </c>
      <c r="C82" s="126" t="s">
        <v>293</v>
      </c>
      <c r="D82" s="127"/>
      <c r="E82" s="127"/>
      <c r="F82" s="127"/>
      <c r="G82" s="127"/>
      <c r="H82" s="127"/>
      <c r="I82" s="127"/>
      <c r="J82" s="127"/>
      <c r="K82" s="127"/>
      <c r="L82" s="127"/>
      <c r="M82" s="127"/>
      <c r="N82" s="127"/>
      <c r="O82" s="127"/>
      <c r="P82" s="127"/>
      <c r="Q82" s="127"/>
      <c r="R82" s="127"/>
      <c r="S82" s="127"/>
      <c r="T82" s="127"/>
      <c r="U82" s="127"/>
      <c r="V82" s="127"/>
      <c r="W82" s="127"/>
      <c r="X82" s="127"/>
      <c r="Y82" s="127"/>
      <c r="Z82" s="127"/>
      <c r="AA82" s="127"/>
      <c r="AB82" s="127"/>
      <c r="AC82" s="127"/>
      <c r="AD82" s="127"/>
      <c r="AE82" s="127"/>
      <c r="AF82" s="127"/>
      <c r="AG82" s="127"/>
      <c r="AH82" s="127"/>
      <c r="AI82" s="127"/>
      <c r="AJ82" s="127"/>
      <c r="AK82" s="127"/>
      <c r="AL82" s="127"/>
      <c r="AM82" s="127"/>
      <c r="AN82" s="127"/>
      <c r="AO82" s="127"/>
      <c r="AP82" s="127"/>
      <c r="AQ82" s="127"/>
      <c r="AR82" s="127"/>
      <c r="AS82" s="127"/>
      <c r="AT82" s="127"/>
      <c r="AU82" s="127"/>
      <c r="AV82" s="127"/>
      <c r="AW82" s="127"/>
      <c r="AX82" s="127"/>
      <c r="AY82" s="127"/>
    </row>
    <row r="83" spans="1:52" x14ac:dyDescent="0.2">
      <c r="A83" s="126"/>
      <c r="B83" s="146">
        <v>39</v>
      </c>
      <c r="C83" s="126" t="s">
        <v>293</v>
      </c>
      <c r="D83" s="127"/>
      <c r="E83" s="127"/>
      <c r="F83" s="127"/>
      <c r="G83" s="127"/>
      <c r="H83" s="127"/>
      <c r="I83" s="127"/>
      <c r="J83" s="127"/>
      <c r="K83" s="127"/>
      <c r="L83" s="127"/>
      <c r="M83" s="127"/>
      <c r="N83" s="127"/>
      <c r="O83" s="127"/>
      <c r="P83" s="127"/>
      <c r="Q83" s="127"/>
      <c r="R83" s="127"/>
      <c r="S83" s="127"/>
      <c r="T83" s="127"/>
      <c r="U83" s="127"/>
      <c r="V83" s="127"/>
      <c r="W83" s="127"/>
      <c r="X83" s="127"/>
      <c r="Y83" s="127"/>
      <c r="Z83" s="127"/>
      <c r="AA83" s="127"/>
      <c r="AB83" s="127"/>
      <c r="AC83" s="127"/>
      <c r="AD83" s="127"/>
      <c r="AE83" s="127"/>
      <c r="AF83" s="127"/>
      <c r="AG83" s="127"/>
      <c r="AH83" s="127"/>
      <c r="AI83" s="127"/>
      <c r="AJ83" s="127"/>
      <c r="AK83" s="127"/>
      <c r="AL83" s="127"/>
      <c r="AM83" s="127"/>
      <c r="AN83" s="127"/>
      <c r="AO83" s="127"/>
      <c r="AP83" s="127"/>
      <c r="AQ83" s="127"/>
      <c r="AR83" s="127"/>
      <c r="AS83" s="127"/>
      <c r="AT83" s="127"/>
      <c r="AU83" s="127"/>
      <c r="AV83" s="127"/>
      <c r="AW83" s="127"/>
      <c r="AX83" s="127"/>
      <c r="AY83" s="127"/>
    </row>
    <row r="84" spans="1:52" x14ac:dyDescent="0.2">
      <c r="A84" s="126"/>
      <c r="B84" s="146">
        <v>40</v>
      </c>
      <c r="C84" s="126" t="s">
        <v>293</v>
      </c>
      <c r="D84" s="127"/>
      <c r="E84" s="127"/>
      <c r="F84" s="127"/>
      <c r="G84" s="127"/>
      <c r="H84" s="127"/>
      <c r="I84" s="127"/>
      <c r="J84" s="127"/>
      <c r="K84" s="127"/>
      <c r="L84" s="127"/>
      <c r="M84" s="127"/>
      <c r="N84" s="127"/>
      <c r="O84" s="127"/>
      <c r="P84" s="127"/>
      <c r="Q84" s="127"/>
      <c r="R84" s="127"/>
      <c r="S84" s="127"/>
      <c r="T84" s="127"/>
      <c r="U84" s="127"/>
      <c r="V84" s="127"/>
      <c r="W84" s="127"/>
      <c r="X84" s="127"/>
      <c r="Y84" s="127"/>
      <c r="Z84" s="127"/>
      <c r="AA84" s="127"/>
      <c r="AB84" s="127"/>
      <c r="AC84" s="127"/>
      <c r="AD84" s="127"/>
      <c r="AE84" s="127"/>
      <c r="AF84" s="127"/>
      <c r="AG84" s="127"/>
      <c r="AH84" s="127"/>
      <c r="AI84" s="127"/>
      <c r="AJ84" s="127"/>
      <c r="AK84" s="127"/>
      <c r="AL84" s="127"/>
      <c r="AM84" s="127"/>
      <c r="AN84" s="127"/>
      <c r="AO84" s="127"/>
      <c r="AP84" s="127"/>
      <c r="AQ84" s="127"/>
      <c r="AR84" s="127"/>
      <c r="AS84" s="127"/>
      <c r="AT84" s="127"/>
      <c r="AU84" s="127"/>
      <c r="AV84" s="127"/>
      <c r="AW84" s="127"/>
      <c r="AX84" s="127"/>
      <c r="AY84" s="127"/>
    </row>
    <row r="85" spans="1:52" x14ac:dyDescent="0.2">
      <c r="A85" s="126"/>
      <c r="B85" s="146">
        <v>41</v>
      </c>
      <c r="C85" s="126" t="s">
        <v>293</v>
      </c>
      <c r="D85" s="127"/>
      <c r="E85" s="127"/>
      <c r="F85" s="127"/>
      <c r="G85" s="127"/>
      <c r="H85" s="127"/>
      <c r="I85" s="127"/>
      <c r="J85" s="127"/>
      <c r="K85" s="127"/>
      <c r="L85" s="127"/>
      <c r="M85" s="127"/>
      <c r="N85" s="127"/>
      <c r="O85" s="127"/>
      <c r="P85" s="127"/>
      <c r="Q85" s="127"/>
      <c r="R85" s="127"/>
      <c r="S85" s="127"/>
      <c r="T85" s="127"/>
      <c r="U85" s="127"/>
      <c r="V85" s="127"/>
      <c r="W85" s="127"/>
      <c r="X85" s="127"/>
      <c r="Y85" s="127"/>
      <c r="Z85" s="127"/>
      <c r="AA85" s="127"/>
      <c r="AB85" s="127"/>
      <c r="AC85" s="127"/>
      <c r="AD85" s="127"/>
      <c r="AE85" s="127"/>
      <c r="AF85" s="127"/>
      <c r="AG85" s="127"/>
      <c r="AH85" s="127"/>
      <c r="AI85" s="127"/>
      <c r="AJ85" s="127"/>
      <c r="AK85" s="127"/>
      <c r="AL85" s="127"/>
      <c r="AM85" s="127"/>
      <c r="AN85" s="127"/>
      <c r="AO85" s="127"/>
      <c r="AP85" s="127"/>
      <c r="AQ85" s="127"/>
      <c r="AR85" s="127"/>
      <c r="AS85" s="127"/>
      <c r="AT85" s="127"/>
      <c r="AU85" s="127"/>
      <c r="AV85" s="127"/>
      <c r="AW85" s="127"/>
      <c r="AX85" s="127"/>
      <c r="AY85" s="127"/>
    </row>
    <row r="86" spans="1:52" x14ac:dyDescent="0.2">
      <c r="A86" s="126"/>
      <c r="B86" s="146">
        <v>42</v>
      </c>
      <c r="C86" s="126" t="s">
        <v>293</v>
      </c>
      <c r="D86" s="127"/>
      <c r="E86" s="127"/>
      <c r="F86" s="127"/>
      <c r="G86" s="127"/>
      <c r="H86" s="127"/>
      <c r="I86" s="127"/>
      <c r="J86" s="127"/>
      <c r="K86" s="127"/>
      <c r="L86" s="127"/>
      <c r="M86" s="127"/>
      <c r="N86" s="127"/>
      <c r="O86" s="127"/>
      <c r="P86" s="127"/>
      <c r="Q86" s="127"/>
      <c r="R86" s="127">
        <v>0</v>
      </c>
      <c r="S86" s="127"/>
      <c r="T86" s="127"/>
      <c r="U86" s="127">
        <v>0</v>
      </c>
      <c r="V86" s="127">
        <v>0</v>
      </c>
      <c r="W86" s="127">
        <v>0</v>
      </c>
      <c r="X86" s="127"/>
      <c r="Y86" s="127"/>
      <c r="Z86" s="127">
        <v>0</v>
      </c>
      <c r="AA86" s="127">
        <v>0</v>
      </c>
      <c r="AB86" s="127">
        <v>0</v>
      </c>
      <c r="AC86" s="127">
        <v>0</v>
      </c>
      <c r="AD86" s="127"/>
      <c r="AE86" s="127">
        <v>0</v>
      </c>
      <c r="AF86" s="127"/>
      <c r="AG86" s="127"/>
      <c r="AH86" s="127"/>
      <c r="AI86" s="127"/>
      <c r="AJ86" s="127">
        <v>0</v>
      </c>
      <c r="AK86" s="127"/>
      <c r="AL86" s="127"/>
      <c r="AM86" s="127"/>
      <c r="AN86" s="127"/>
      <c r="AO86" s="127"/>
      <c r="AP86" s="127"/>
      <c r="AQ86" s="127">
        <v>0</v>
      </c>
      <c r="AR86" s="127">
        <v>0</v>
      </c>
      <c r="AS86" s="127"/>
      <c r="AT86" s="127"/>
      <c r="AU86" s="127"/>
      <c r="AV86" s="127"/>
      <c r="AW86" s="127"/>
      <c r="AX86" s="127"/>
      <c r="AY86" s="127"/>
    </row>
    <row r="87" spans="1:52" x14ac:dyDescent="0.2">
      <c r="A87" s="126"/>
      <c r="B87" s="146">
        <v>43</v>
      </c>
      <c r="C87" s="126" t="s">
        <v>293</v>
      </c>
      <c r="D87" s="127"/>
      <c r="E87" s="127"/>
      <c r="F87" s="127"/>
      <c r="G87" s="127"/>
      <c r="H87" s="127"/>
      <c r="I87" s="127"/>
      <c r="J87" s="127"/>
      <c r="K87" s="127"/>
      <c r="L87" s="127"/>
      <c r="M87" s="127">
        <v>0</v>
      </c>
      <c r="N87" s="127">
        <v>0</v>
      </c>
      <c r="O87" s="127">
        <v>0</v>
      </c>
      <c r="P87" s="127">
        <v>0</v>
      </c>
      <c r="Q87" s="127">
        <v>0</v>
      </c>
      <c r="R87" s="127">
        <v>0</v>
      </c>
      <c r="S87" s="127">
        <v>0</v>
      </c>
      <c r="T87" s="127">
        <v>0</v>
      </c>
      <c r="U87" s="127">
        <v>0</v>
      </c>
      <c r="V87" s="127">
        <v>0</v>
      </c>
      <c r="W87" s="127">
        <v>0</v>
      </c>
      <c r="X87" s="127">
        <v>0</v>
      </c>
      <c r="Y87" s="127">
        <v>0</v>
      </c>
      <c r="Z87" s="127">
        <v>0</v>
      </c>
      <c r="AA87" s="127">
        <v>0</v>
      </c>
      <c r="AB87" s="127">
        <v>0</v>
      </c>
      <c r="AC87" s="127">
        <v>0</v>
      </c>
      <c r="AD87" s="127">
        <v>0</v>
      </c>
      <c r="AE87" s="127">
        <v>0</v>
      </c>
      <c r="AF87" s="127">
        <v>0</v>
      </c>
      <c r="AG87" s="127">
        <v>0</v>
      </c>
      <c r="AH87" s="127">
        <v>0</v>
      </c>
      <c r="AI87" s="127">
        <v>0</v>
      </c>
      <c r="AJ87" s="127">
        <v>0</v>
      </c>
      <c r="AK87" s="127">
        <v>0</v>
      </c>
      <c r="AL87" s="127">
        <v>0</v>
      </c>
      <c r="AM87" s="127">
        <v>0</v>
      </c>
      <c r="AN87" s="127">
        <v>0</v>
      </c>
      <c r="AO87" s="127">
        <v>0</v>
      </c>
      <c r="AP87" s="127">
        <v>0</v>
      </c>
      <c r="AQ87" s="127">
        <v>0</v>
      </c>
      <c r="AR87" s="127">
        <v>0</v>
      </c>
      <c r="AS87" s="127">
        <v>0</v>
      </c>
      <c r="AT87" s="127">
        <v>0</v>
      </c>
      <c r="AU87" s="127">
        <v>0</v>
      </c>
      <c r="AV87" s="127">
        <v>0</v>
      </c>
      <c r="AW87" s="127">
        <v>0</v>
      </c>
      <c r="AX87" s="127">
        <v>0</v>
      </c>
      <c r="AY87" s="127">
        <v>0</v>
      </c>
    </row>
    <row r="88" spans="1:52" x14ac:dyDescent="0.2">
      <c r="A88" s="126"/>
      <c r="B88" s="146">
        <v>44</v>
      </c>
      <c r="C88" s="126" t="s">
        <v>293</v>
      </c>
      <c r="D88" s="127"/>
      <c r="E88" s="127"/>
      <c r="F88" s="127"/>
      <c r="G88" s="127"/>
      <c r="H88" s="127"/>
      <c r="I88" s="127"/>
      <c r="J88" s="127"/>
      <c r="K88" s="127"/>
      <c r="L88" s="127"/>
      <c r="M88" s="127">
        <v>0</v>
      </c>
      <c r="N88" s="127">
        <v>0</v>
      </c>
      <c r="O88" s="127">
        <v>0</v>
      </c>
      <c r="P88" s="127">
        <v>0</v>
      </c>
      <c r="Q88" s="127">
        <v>0</v>
      </c>
      <c r="R88" s="127">
        <v>0</v>
      </c>
      <c r="S88" s="127">
        <v>0</v>
      </c>
      <c r="T88" s="127">
        <v>0</v>
      </c>
      <c r="U88" s="127">
        <v>0</v>
      </c>
      <c r="V88" s="127">
        <v>0</v>
      </c>
      <c r="W88" s="127">
        <v>0</v>
      </c>
      <c r="X88" s="127">
        <v>0</v>
      </c>
      <c r="Y88" s="127">
        <v>0</v>
      </c>
      <c r="Z88" s="127">
        <v>0</v>
      </c>
      <c r="AA88" s="127">
        <v>0</v>
      </c>
      <c r="AB88" s="127">
        <v>0</v>
      </c>
      <c r="AC88" s="127">
        <v>0</v>
      </c>
      <c r="AD88" s="127">
        <v>0</v>
      </c>
      <c r="AE88" s="127">
        <v>0</v>
      </c>
      <c r="AF88" s="127">
        <v>0</v>
      </c>
      <c r="AG88" s="127">
        <v>0</v>
      </c>
      <c r="AH88" s="127">
        <v>0</v>
      </c>
      <c r="AI88" s="127">
        <v>0</v>
      </c>
      <c r="AJ88" s="127">
        <v>0</v>
      </c>
      <c r="AK88" s="127">
        <v>0</v>
      </c>
      <c r="AL88" s="127">
        <v>0</v>
      </c>
      <c r="AM88" s="127">
        <v>0</v>
      </c>
      <c r="AN88" s="127">
        <v>0</v>
      </c>
      <c r="AO88" s="127">
        <v>0</v>
      </c>
      <c r="AP88" s="127">
        <v>0</v>
      </c>
      <c r="AQ88" s="127">
        <v>0</v>
      </c>
      <c r="AR88" s="127">
        <v>0</v>
      </c>
      <c r="AS88" s="127">
        <v>0</v>
      </c>
      <c r="AT88" s="127">
        <v>0</v>
      </c>
      <c r="AU88" s="127">
        <v>0</v>
      </c>
      <c r="AV88" s="127">
        <v>0</v>
      </c>
      <c r="AW88" s="127">
        <v>0</v>
      </c>
      <c r="AX88" s="127">
        <v>0</v>
      </c>
      <c r="AY88" s="127">
        <v>0</v>
      </c>
    </row>
    <row r="89" spans="1:52" x14ac:dyDescent="0.2">
      <c r="A89" s="126"/>
      <c r="B89" s="146">
        <v>45</v>
      </c>
      <c r="C89" s="126" t="s">
        <v>293</v>
      </c>
      <c r="D89" s="127"/>
      <c r="E89" s="127"/>
      <c r="F89" s="127"/>
      <c r="G89" s="127"/>
      <c r="H89" s="127"/>
      <c r="I89" s="127"/>
      <c r="J89" s="127"/>
      <c r="K89" s="127"/>
      <c r="L89" s="127">
        <v>0</v>
      </c>
      <c r="M89" s="127">
        <v>0</v>
      </c>
      <c r="N89" s="127">
        <v>0</v>
      </c>
      <c r="O89" s="127">
        <v>0</v>
      </c>
      <c r="P89" s="127">
        <v>0</v>
      </c>
      <c r="Q89" s="127">
        <v>0</v>
      </c>
      <c r="R89" s="127">
        <v>0</v>
      </c>
      <c r="S89" s="127">
        <v>0</v>
      </c>
      <c r="T89" s="127">
        <v>0</v>
      </c>
      <c r="U89" s="127">
        <v>0</v>
      </c>
      <c r="V89" s="127">
        <v>0</v>
      </c>
      <c r="W89" s="127">
        <v>0</v>
      </c>
      <c r="X89" s="127">
        <v>0</v>
      </c>
      <c r="Y89" s="127">
        <v>0</v>
      </c>
      <c r="Z89" s="127">
        <v>0</v>
      </c>
      <c r="AA89" s="127">
        <v>0</v>
      </c>
      <c r="AB89" s="127">
        <v>0</v>
      </c>
      <c r="AC89" s="127">
        <v>0</v>
      </c>
      <c r="AD89" s="127">
        <v>0</v>
      </c>
      <c r="AE89" s="127">
        <v>0</v>
      </c>
      <c r="AF89" s="127">
        <v>0</v>
      </c>
      <c r="AG89" s="127">
        <v>0</v>
      </c>
      <c r="AH89" s="127">
        <v>0</v>
      </c>
      <c r="AI89" s="127">
        <v>0</v>
      </c>
      <c r="AJ89" s="127">
        <v>0</v>
      </c>
      <c r="AK89" s="127">
        <v>0</v>
      </c>
      <c r="AL89" s="127">
        <v>0</v>
      </c>
      <c r="AM89" s="127">
        <v>0</v>
      </c>
      <c r="AN89" s="127">
        <v>0</v>
      </c>
      <c r="AO89" s="127">
        <v>0</v>
      </c>
      <c r="AP89" s="127">
        <v>0</v>
      </c>
      <c r="AQ89" s="127">
        <v>0</v>
      </c>
      <c r="AR89" s="127">
        <v>0</v>
      </c>
      <c r="AS89" s="127">
        <v>0</v>
      </c>
      <c r="AT89" s="127">
        <v>0</v>
      </c>
      <c r="AU89" s="127">
        <v>0</v>
      </c>
      <c r="AV89" s="127">
        <v>0</v>
      </c>
      <c r="AW89" s="127">
        <v>0</v>
      </c>
      <c r="AX89" s="127">
        <v>0</v>
      </c>
      <c r="AY89" s="127">
        <v>0</v>
      </c>
    </row>
    <row r="90" spans="1:52" x14ac:dyDescent="0.2">
      <c r="A90" s="126"/>
      <c r="B90" s="146">
        <v>46</v>
      </c>
      <c r="C90" s="126" t="s">
        <v>293</v>
      </c>
      <c r="D90" s="127"/>
      <c r="E90" s="127"/>
      <c r="F90" s="127"/>
      <c r="G90" s="127"/>
      <c r="H90" s="127"/>
      <c r="I90" s="127"/>
      <c r="J90" s="127">
        <v>0</v>
      </c>
      <c r="K90" s="127">
        <v>0</v>
      </c>
      <c r="L90" s="127">
        <v>0</v>
      </c>
      <c r="M90" s="127">
        <v>0</v>
      </c>
      <c r="N90" s="127">
        <v>0</v>
      </c>
      <c r="O90" s="127">
        <v>0</v>
      </c>
      <c r="P90" s="127">
        <v>0</v>
      </c>
      <c r="Q90" s="127">
        <v>0</v>
      </c>
      <c r="R90" s="127">
        <v>0</v>
      </c>
      <c r="S90" s="127">
        <v>0</v>
      </c>
      <c r="T90" s="127">
        <v>0</v>
      </c>
      <c r="U90" s="127">
        <v>0</v>
      </c>
      <c r="V90" s="127">
        <v>0</v>
      </c>
      <c r="W90" s="127">
        <v>0</v>
      </c>
      <c r="X90" s="127">
        <v>0</v>
      </c>
      <c r="Y90" s="127">
        <v>0</v>
      </c>
      <c r="Z90" s="127">
        <v>0</v>
      </c>
      <c r="AA90" s="127">
        <v>0</v>
      </c>
      <c r="AB90" s="127">
        <v>0</v>
      </c>
      <c r="AC90" s="127">
        <v>0</v>
      </c>
      <c r="AD90" s="127">
        <v>0</v>
      </c>
      <c r="AE90" s="127">
        <v>0</v>
      </c>
      <c r="AF90" s="127">
        <v>0</v>
      </c>
      <c r="AG90" s="127">
        <v>0</v>
      </c>
      <c r="AH90" s="127">
        <v>0</v>
      </c>
      <c r="AI90" s="127">
        <v>0</v>
      </c>
      <c r="AJ90" s="127">
        <v>0</v>
      </c>
      <c r="AK90" s="127">
        <v>0</v>
      </c>
      <c r="AL90" s="127">
        <v>0</v>
      </c>
      <c r="AM90" s="127">
        <v>0</v>
      </c>
      <c r="AN90" s="127">
        <v>0</v>
      </c>
      <c r="AO90" s="127">
        <v>0</v>
      </c>
      <c r="AP90" s="127">
        <v>0</v>
      </c>
      <c r="AQ90" s="127">
        <v>0</v>
      </c>
      <c r="AR90" s="127">
        <v>0</v>
      </c>
      <c r="AS90" s="127">
        <v>0</v>
      </c>
      <c r="AT90" s="127">
        <v>0</v>
      </c>
      <c r="AU90" s="127">
        <v>0</v>
      </c>
      <c r="AV90" s="127">
        <v>0</v>
      </c>
      <c r="AW90" s="127">
        <v>0</v>
      </c>
      <c r="AX90" s="127">
        <v>0</v>
      </c>
      <c r="AY90" s="127">
        <v>0</v>
      </c>
    </row>
    <row r="91" spans="1:52" x14ac:dyDescent="0.2">
      <c r="A91" s="126"/>
      <c r="B91" s="146">
        <v>47</v>
      </c>
      <c r="C91" s="126" t="s">
        <v>293</v>
      </c>
      <c r="D91" s="127"/>
      <c r="E91" s="127"/>
      <c r="F91" s="127"/>
      <c r="G91" s="127"/>
      <c r="H91" s="127">
        <v>0</v>
      </c>
      <c r="I91" s="127">
        <v>0</v>
      </c>
      <c r="J91" s="127">
        <v>0</v>
      </c>
      <c r="K91" s="127">
        <v>0</v>
      </c>
      <c r="L91" s="127">
        <v>0</v>
      </c>
      <c r="M91" s="127">
        <v>0</v>
      </c>
      <c r="N91" s="127">
        <v>0</v>
      </c>
      <c r="O91" s="127">
        <v>0</v>
      </c>
      <c r="P91" s="127">
        <v>0</v>
      </c>
      <c r="Q91" s="127">
        <v>0</v>
      </c>
      <c r="R91" s="127">
        <v>0</v>
      </c>
      <c r="S91" s="127">
        <v>0</v>
      </c>
      <c r="T91" s="127">
        <v>0</v>
      </c>
      <c r="U91" s="127">
        <v>0</v>
      </c>
      <c r="V91" s="127">
        <v>0</v>
      </c>
      <c r="W91" s="127">
        <v>0</v>
      </c>
      <c r="X91" s="127">
        <v>0</v>
      </c>
      <c r="Y91" s="127">
        <v>0</v>
      </c>
      <c r="Z91" s="127">
        <v>0</v>
      </c>
      <c r="AA91" s="127">
        <v>0</v>
      </c>
      <c r="AB91" s="127">
        <v>0</v>
      </c>
      <c r="AC91" s="127">
        <v>0</v>
      </c>
      <c r="AD91" s="127">
        <v>0</v>
      </c>
      <c r="AE91" s="127">
        <v>0</v>
      </c>
      <c r="AF91" s="127">
        <v>0</v>
      </c>
      <c r="AG91" s="127">
        <v>0</v>
      </c>
      <c r="AH91" s="127">
        <v>0</v>
      </c>
      <c r="AI91" s="127">
        <v>0</v>
      </c>
      <c r="AJ91" s="127">
        <v>0</v>
      </c>
      <c r="AK91" s="127">
        <v>0</v>
      </c>
      <c r="AL91" s="127">
        <v>0</v>
      </c>
      <c r="AM91" s="127">
        <v>0</v>
      </c>
      <c r="AN91" s="127">
        <v>0</v>
      </c>
      <c r="AO91" s="127">
        <v>0</v>
      </c>
      <c r="AP91" s="127">
        <v>0</v>
      </c>
      <c r="AQ91" s="127">
        <v>0</v>
      </c>
      <c r="AR91" s="127">
        <v>0</v>
      </c>
      <c r="AS91" s="127">
        <v>0</v>
      </c>
      <c r="AT91" s="127">
        <v>0</v>
      </c>
      <c r="AU91" s="127">
        <v>0</v>
      </c>
      <c r="AV91" s="127">
        <v>0</v>
      </c>
      <c r="AW91" s="127">
        <v>0</v>
      </c>
      <c r="AX91" s="127">
        <v>0</v>
      </c>
      <c r="AY91" s="127">
        <v>0</v>
      </c>
    </row>
    <row r="92" spans="1:52" x14ac:dyDescent="0.2">
      <c r="A92" s="144"/>
      <c r="B92" s="145">
        <v>48</v>
      </c>
      <c r="C92" s="144" t="s">
        <v>293</v>
      </c>
      <c r="D92" s="141">
        <v>0</v>
      </c>
      <c r="E92" s="141">
        <v>0</v>
      </c>
      <c r="F92" s="141">
        <v>0</v>
      </c>
      <c r="G92" s="141">
        <v>0</v>
      </c>
      <c r="H92" s="141">
        <v>0</v>
      </c>
      <c r="I92" s="141">
        <v>0</v>
      </c>
      <c r="J92" s="141">
        <v>0</v>
      </c>
      <c r="K92" s="141">
        <v>0</v>
      </c>
      <c r="L92" s="141">
        <v>0</v>
      </c>
      <c r="M92" s="141">
        <v>0</v>
      </c>
      <c r="N92" s="141">
        <v>0</v>
      </c>
      <c r="O92" s="141">
        <v>0</v>
      </c>
      <c r="P92" s="141">
        <v>0</v>
      </c>
      <c r="Q92" s="141">
        <v>0</v>
      </c>
      <c r="R92" s="141">
        <v>0</v>
      </c>
      <c r="S92" s="141">
        <v>0</v>
      </c>
      <c r="T92" s="141">
        <v>0</v>
      </c>
      <c r="U92" s="141">
        <v>0</v>
      </c>
      <c r="V92" s="141">
        <v>0</v>
      </c>
      <c r="W92" s="141">
        <v>0</v>
      </c>
      <c r="X92" s="141">
        <v>0</v>
      </c>
      <c r="Y92" s="141">
        <v>0</v>
      </c>
      <c r="Z92" s="141">
        <v>0</v>
      </c>
      <c r="AA92" s="141">
        <v>0</v>
      </c>
      <c r="AB92" s="141">
        <v>0</v>
      </c>
      <c r="AC92" s="141">
        <v>0</v>
      </c>
      <c r="AD92" s="141">
        <v>0</v>
      </c>
      <c r="AE92" s="141">
        <v>0</v>
      </c>
      <c r="AF92" s="141">
        <v>0</v>
      </c>
      <c r="AG92" s="141">
        <v>0</v>
      </c>
      <c r="AH92" s="141">
        <v>0</v>
      </c>
      <c r="AI92" s="141">
        <v>0</v>
      </c>
      <c r="AJ92" s="141">
        <v>0</v>
      </c>
      <c r="AK92" s="141">
        <v>0</v>
      </c>
      <c r="AL92" s="141">
        <v>0</v>
      </c>
      <c r="AM92" s="141">
        <v>0</v>
      </c>
      <c r="AN92" s="141">
        <v>0</v>
      </c>
      <c r="AO92" s="141">
        <v>0</v>
      </c>
      <c r="AP92" s="141">
        <v>0</v>
      </c>
      <c r="AQ92" s="141">
        <v>0</v>
      </c>
      <c r="AR92" s="141">
        <v>0</v>
      </c>
      <c r="AS92" s="141">
        <v>0</v>
      </c>
      <c r="AT92" s="141">
        <v>0</v>
      </c>
      <c r="AU92" s="141">
        <v>0</v>
      </c>
      <c r="AV92" s="141">
        <v>0</v>
      </c>
      <c r="AW92" s="141">
        <v>0</v>
      </c>
      <c r="AX92" s="141">
        <v>0</v>
      </c>
      <c r="AY92" s="141">
        <v>0</v>
      </c>
      <c r="AZ92" s="124">
        <f>SUM(D21:AY92)</f>
        <v>471338.8021236629</v>
      </c>
    </row>
    <row r="94" spans="1:52" x14ac:dyDescent="0.2">
      <c r="A94" s="1" t="s">
        <v>295</v>
      </c>
      <c r="B94" s="123"/>
      <c r="C94" s="123"/>
      <c r="D94" s="130"/>
      <c r="E94" s="130"/>
      <c r="F94" s="130"/>
      <c r="G94" s="130"/>
      <c r="H94" s="130"/>
      <c r="I94" s="130"/>
      <c r="J94" s="130"/>
      <c r="K94" s="130"/>
      <c r="L94" s="130"/>
      <c r="M94" s="130"/>
      <c r="N94" s="130"/>
      <c r="O94" s="130"/>
      <c r="P94" s="130"/>
      <c r="Q94" s="130"/>
      <c r="R94" s="130"/>
      <c r="S94" s="130"/>
      <c r="T94" s="130"/>
      <c r="U94" s="130"/>
      <c r="V94" s="130"/>
      <c r="W94" s="130"/>
      <c r="X94" s="130"/>
      <c r="Y94" s="130"/>
      <c r="Z94" s="130"/>
      <c r="AA94" s="130"/>
      <c r="AB94" s="130"/>
      <c r="AC94" s="130"/>
      <c r="AD94" s="130"/>
      <c r="AE94" s="130"/>
      <c r="AF94" s="130"/>
      <c r="AG94" s="130"/>
      <c r="AH94" s="130"/>
      <c r="AI94" s="130"/>
      <c r="AJ94" s="130"/>
      <c r="AK94" s="130"/>
      <c r="AL94" s="130"/>
      <c r="AM94" s="130"/>
      <c r="AN94" s="130"/>
      <c r="AO94" s="130"/>
      <c r="AP94" s="130"/>
      <c r="AQ94" s="130"/>
      <c r="AR94" s="130"/>
      <c r="AS94" s="130"/>
      <c r="AT94" s="130"/>
      <c r="AU94" s="130"/>
      <c r="AV94" s="130"/>
      <c r="AW94" s="130"/>
      <c r="AX94" s="130"/>
      <c r="AY94" s="130"/>
    </row>
    <row r="95" spans="1:52" x14ac:dyDescent="0.2">
      <c r="A95" s="142" t="s">
        <v>125</v>
      </c>
      <c r="B95" s="139">
        <v>1</v>
      </c>
      <c r="C95" s="140">
        <v>4790.2482433845389</v>
      </c>
      <c r="D95" s="127">
        <v>6914.5976299545891</v>
      </c>
      <c r="E95" s="127">
        <v>6914.5976299545891</v>
      </c>
      <c r="F95" s="127">
        <v>6914.5976299545891</v>
      </c>
      <c r="G95" s="127">
        <v>6914.5976299545891</v>
      </c>
      <c r="H95" s="127">
        <v>6789.1594911426091</v>
      </c>
      <c r="I95" s="127">
        <v>6914.5976299545891</v>
      </c>
      <c r="J95" s="127">
        <v>6620.048184983807</v>
      </c>
      <c r="K95" s="127">
        <v>6914.5976299545891</v>
      </c>
      <c r="L95" s="127">
        <v>3135.4455586523491</v>
      </c>
      <c r="M95" s="127">
        <v>0</v>
      </c>
      <c r="N95" s="127">
        <v>0</v>
      </c>
      <c r="O95" s="127">
        <v>0</v>
      </c>
      <c r="P95" s="127">
        <v>0</v>
      </c>
      <c r="Q95" s="127">
        <v>0</v>
      </c>
      <c r="R95" s="127">
        <v>0</v>
      </c>
      <c r="S95" s="127">
        <v>0</v>
      </c>
      <c r="T95" s="127">
        <v>0</v>
      </c>
      <c r="U95" s="127">
        <v>0</v>
      </c>
      <c r="V95" s="127">
        <v>0</v>
      </c>
      <c r="W95" s="127">
        <v>0</v>
      </c>
      <c r="X95" s="127">
        <v>0</v>
      </c>
      <c r="Y95" s="127">
        <v>0</v>
      </c>
      <c r="Z95" s="127">
        <v>0</v>
      </c>
      <c r="AA95" s="127">
        <v>0</v>
      </c>
      <c r="AB95" s="127">
        <v>0</v>
      </c>
      <c r="AC95" s="127">
        <v>0</v>
      </c>
      <c r="AD95" s="127">
        <v>0</v>
      </c>
      <c r="AE95" s="127">
        <v>0</v>
      </c>
      <c r="AF95" s="127">
        <v>0</v>
      </c>
      <c r="AG95" s="127">
        <v>0</v>
      </c>
      <c r="AH95" s="127">
        <v>0</v>
      </c>
      <c r="AI95" s="127">
        <v>0</v>
      </c>
      <c r="AJ95" s="127">
        <v>0</v>
      </c>
      <c r="AK95" s="127">
        <v>0</v>
      </c>
      <c r="AL95" s="127">
        <v>0</v>
      </c>
      <c r="AM95" s="127">
        <v>0</v>
      </c>
      <c r="AN95" s="127">
        <v>0</v>
      </c>
      <c r="AO95" s="127">
        <v>0</v>
      </c>
      <c r="AP95" s="127">
        <v>0</v>
      </c>
      <c r="AQ95" s="127">
        <v>0</v>
      </c>
      <c r="AR95" s="127">
        <v>0</v>
      </c>
      <c r="AS95" s="127">
        <v>0</v>
      </c>
      <c r="AT95" s="127">
        <v>0</v>
      </c>
      <c r="AU95" s="127">
        <v>0</v>
      </c>
      <c r="AV95" s="127">
        <v>0</v>
      </c>
      <c r="AW95" s="127">
        <v>0</v>
      </c>
      <c r="AX95" s="127">
        <v>0</v>
      </c>
      <c r="AY95" s="127">
        <v>0</v>
      </c>
    </row>
    <row r="96" spans="1:52" x14ac:dyDescent="0.2">
      <c r="A96" s="126"/>
      <c r="B96" s="136">
        <v>2</v>
      </c>
      <c r="C96" s="127">
        <v>4790.2482433845389</v>
      </c>
      <c r="D96" s="127">
        <v>4790.2482433845389</v>
      </c>
      <c r="E96" s="127">
        <v>6914.5976299545891</v>
      </c>
      <c r="F96" s="127">
        <v>6914.5976299545891</v>
      </c>
      <c r="G96" s="127">
        <v>6914.5976299545891</v>
      </c>
      <c r="H96" s="127">
        <v>6914.5976299545891</v>
      </c>
      <c r="I96" s="127">
        <v>6789.1594911426091</v>
      </c>
      <c r="J96" s="127">
        <v>4323.1751303122892</v>
      </c>
      <c r="K96" s="127">
        <v>1972.5992922915084</v>
      </c>
      <c r="L96" s="127">
        <v>0</v>
      </c>
      <c r="M96" s="127">
        <v>0</v>
      </c>
      <c r="N96" s="127">
        <v>0</v>
      </c>
      <c r="O96" s="127">
        <v>0</v>
      </c>
      <c r="P96" s="127">
        <v>0</v>
      </c>
      <c r="Q96" s="127">
        <v>0</v>
      </c>
      <c r="R96" s="127">
        <v>0</v>
      </c>
      <c r="S96" s="127">
        <v>0</v>
      </c>
      <c r="T96" s="127">
        <v>0</v>
      </c>
      <c r="U96" s="127">
        <v>0</v>
      </c>
      <c r="V96" s="127">
        <v>0</v>
      </c>
      <c r="W96" s="127">
        <v>0</v>
      </c>
      <c r="X96" s="127">
        <v>0</v>
      </c>
      <c r="Y96" s="127">
        <v>0</v>
      </c>
      <c r="Z96" s="127">
        <v>0</v>
      </c>
      <c r="AA96" s="127">
        <v>0</v>
      </c>
      <c r="AB96" s="127">
        <v>0</v>
      </c>
      <c r="AC96" s="127">
        <v>0</v>
      </c>
      <c r="AD96" s="127">
        <v>0</v>
      </c>
      <c r="AE96" s="127">
        <v>0</v>
      </c>
      <c r="AF96" s="127">
        <v>0</v>
      </c>
      <c r="AG96" s="127">
        <v>0</v>
      </c>
      <c r="AH96" s="127">
        <v>0</v>
      </c>
      <c r="AI96" s="127">
        <v>0</v>
      </c>
      <c r="AJ96" s="127">
        <v>0</v>
      </c>
      <c r="AK96" s="127">
        <v>0</v>
      </c>
      <c r="AL96" s="127">
        <v>0</v>
      </c>
      <c r="AM96" s="127">
        <v>0</v>
      </c>
      <c r="AN96" s="127">
        <v>0</v>
      </c>
      <c r="AO96" s="127">
        <v>0</v>
      </c>
      <c r="AP96" s="127">
        <v>0</v>
      </c>
      <c r="AQ96" s="127">
        <v>0</v>
      </c>
      <c r="AR96" s="127">
        <v>0</v>
      </c>
      <c r="AS96" s="127">
        <v>0</v>
      </c>
      <c r="AT96" s="127">
        <v>0</v>
      </c>
      <c r="AU96" s="127">
        <v>0</v>
      </c>
      <c r="AV96" s="127">
        <v>0</v>
      </c>
      <c r="AW96" s="127">
        <v>0</v>
      </c>
      <c r="AX96" s="127">
        <v>0</v>
      </c>
      <c r="AY96" s="127">
        <v>0</v>
      </c>
    </row>
    <row r="97" spans="1:52" x14ac:dyDescent="0.2">
      <c r="A97" s="126"/>
      <c r="B97" s="143">
        <v>3</v>
      </c>
      <c r="C97" s="127">
        <v>4790.2482433845389</v>
      </c>
      <c r="D97" s="127">
        <v>4790.2482433845389</v>
      </c>
      <c r="E97" s="127">
        <v>4790.2482433845389</v>
      </c>
      <c r="F97" s="127">
        <v>6914.5976299545891</v>
      </c>
      <c r="G97" s="127">
        <v>6914.5976299545891</v>
      </c>
      <c r="H97" s="127">
        <v>4995.5343189867963</v>
      </c>
      <c r="I97" s="127">
        <v>922.92471663314609</v>
      </c>
      <c r="J97" s="127">
        <v>0</v>
      </c>
      <c r="K97" s="127">
        <v>0</v>
      </c>
      <c r="L97" s="127">
        <v>0</v>
      </c>
      <c r="M97" s="127">
        <v>0</v>
      </c>
      <c r="N97" s="127">
        <v>0</v>
      </c>
      <c r="O97" s="127">
        <v>0</v>
      </c>
      <c r="P97" s="127">
        <v>0</v>
      </c>
      <c r="Q97" s="127">
        <v>0</v>
      </c>
      <c r="R97" s="127">
        <v>0</v>
      </c>
      <c r="S97" s="127">
        <v>0</v>
      </c>
      <c r="T97" s="127">
        <v>0</v>
      </c>
      <c r="U97" s="127">
        <v>0</v>
      </c>
      <c r="V97" s="127">
        <v>0</v>
      </c>
      <c r="W97" s="127">
        <v>0</v>
      </c>
      <c r="X97" s="127">
        <v>0</v>
      </c>
      <c r="Y97" s="127">
        <v>0</v>
      </c>
      <c r="Z97" s="127">
        <v>0</v>
      </c>
      <c r="AA97" s="127">
        <v>0</v>
      </c>
      <c r="AB97" s="127">
        <v>0</v>
      </c>
      <c r="AC97" s="127">
        <v>0</v>
      </c>
      <c r="AD97" s="127">
        <v>0</v>
      </c>
      <c r="AE97" s="127">
        <v>0</v>
      </c>
      <c r="AF97" s="127">
        <v>0</v>
      </c>
      <c r="AG97" s="127">
        <v>0</v>
      </c>
      <c r="AH97" s="127">
        <v>0</v>
      </c>
      <c r="AI97" s="127">
        <v>0</v>
      </c>
      <c r="AJ97" s="127">
        <v>0</v>
      </c>
      <c r="AK97" s="127">
        <v>0</v>
      </c>
      <c r="AL97" s="127">
        <v>0</v>
      </c>
      <c r="AM97" s="127">
        <v>0</v>
      </c>
      <c r="AN97" s="127">
        <v>0</v>
      </c>
      <c r="AO97" s="127">
        <v>0</v>
      </c>
      <c r="AP97" s="127">
        <v>0</v>
      </c>
      <c r="AQ97" s="127">
        <v>0</v>
      </c>
      <c r="AR97" s="127">
        <v>0</v>
      </c>
      <c r="AS97" s="127">
        <v>0</v>
      </c>
      <c r="AT97" s="127">
        <v>0</v>
      </c>
      <c r="AU97" s="127">
        <v>0</v>
      </c>
      <c r="AV97" s="127">
        <v>0</v>
      </c>
      <c r="AW97" s="127">
        <v>0</v>
      </c>
      <c r="AX97" s="127">
        <v>0</v>
      </c>
      <c r="AY97" s="127">
        <v>0</v>
      </c>
    </row>
    <row r="98" spans="1:52" x14ac:dyDescent="0.2">
      <c r="A98" s="126"/>
      <c r="B98" s="146">
        <v>4</v>
      </c>
      <c r="C98" s="123">
        <v>4790.2482433845389</v>
      </c>
      <c r="D98" s="127">
        <v>4790.2482433845389</v>
      </c>
      <c r="E98" s="127">
        <v>4790.2482433845389</v>
      </c>
      <c r="F98" s="127">
        <v>4790.2482433845389</v>
      </c>
      <c r="G98" s="127">
        <v>5009.89788570563</v>
      </c>
      <c r="H98" s="127">
        <v>0</v>
      </c>
      <c r="I98" s="127">
        <v>0</v>
      </c>
      <c r="J98" s="127">
        <v>0</v>
      </c>
      <c r="K98" s="127">
        <v>0</v>
      </c>
      <c r="L98" s="127">
        <v>0</v>
      </c>
      <c r="M98" s="127">
        <v>0</v>
      </c>
      <c r="N98" s="127">
        <v>0</v>
      </c>
      <c r="O98" s="127">
        <v>0</v>
      </c>
      <c r="P98" s="127">
        <v>0</v>
      </c>
      <c r="Q98" s="127">
        <v>0</v>
      </c>
      <c r="R98" s="127">
        <v>0</v>
      </c>
      <c r="S98" s="127">
        <v>0</v>
      </c>
      <c r="T98" s="127">
        <v>0</v>
      </c>
      <c r="U98" s="127">
        <v>0</v>
      </c>
      <c r="V98" s="127">
        <v>0</v>
      </c>
      <c r="W98" s="127">
        <v>0</v>
      </c>
      <c r="X98" s="127">
        <v>0</v>
      </c>
      <c r="Y98" s="127">
        <v>0</v>
      </c>
      <c r="Z98" s="127">
        <v>0</v>
      </c>
      <c r="AA98" s="127">
        <v>0</v>
      </c>
      <c r="AB98" s="127">
        <v>0</v>
      </c>
      <c r="AC98" s="127">
        <v>0</v>
      </c>
      <c r="AD98" s="127">
        <v>0</v>
      </c>
      <c r="AE98" s="127">
        <v>0</v>
      </c>
      <c r="AF98" s="127">
        <v>0</v>
      </c>
      <c r="AG98" s="127">
        <v>0</v>
      </c>
      <c r="AH98" s="127">
        <v>0</v>
      </c>
      <c r="AI98" s="127">
        <v>0</v>
      </c>
      <c r="AJ98" s="127">
        <v>0</v>
      </c>
      <c r="AK98" s="127">
        <v>0</v>
      </c>
      <c r="AL98" s="127">
        <v>0</v>
      </c>
      <c r="AM98" s="127">
        <v>0</v>
      </c>
      <c r="AN98" s="127">
        <v>0</v>
      </c>
      <c r="AO98" s="127">
        <v>0</v>
      </c>
      <c r="AP98" s="127">
        <v>0</v>
      </c>
      <c r="AQ98" s="127">
        <v>0</v>
      </c>
      <c r="AR98" s="127">
        <v>0</v>
      </c>
      <c r="AS98" s="127">
        <v>0</v>
      </c>
      <c r="AT98" s="127">
        <v>0</v>
      </c>
      <c r="AU98" s="127">
        <v>0</v>
      </c>
      <c r="AV98" s="127">
        <v>0</v>
      </c>
      <c r="AW98" s="127">
        <v>0</v>
      </c>
      <c r="AX98" s="127">
        <v>0</v>
      </c>
      <c r="AY98" s="127">
        <v>0</v>
      </c>
    </row>
    <row r="99" spans="1:52" x14ac:dyDescent="0.2">
      <c r="A99" s="144"/>
      <c r="B99" s="148" t="s">
        <v>296</v>
      </c>
      <c r="C99" s="141">
        <v>3783.2482433845389</v>
      </c>
      <c r="D99" s="141">
        <v>3784.2482433845389</v>
      </c>
      <c r="E99" s="141">
        <v>3897.2482433845389</v>
      </c>
      <c r="F99" s="141">
        <v>3797.2482433845389</v>
      </c>
      <c r="G99" s="141">
        <v>3630.2482433845389</v>
      </c>
      <c r="H99" s="141">
        <v>3904.89788570563</v>
      </c>
      <c r="I99" s="141">
        <v>0</v>
      </c>
      <c r="J99" s="141">
        <v>0</v>
      </c>
      <c r="K99" s="141">
        <v>0</v>
      </c>
      <c r="L99" s="141">
        <v>0</v>
      </c>
      <c r="M99" s="141">
        <v>0</v>
      </c>
      <c r="N99" s="141">
        <v>0</v>
      </c>
      <c r="O99" s="141">
        <v>0</v>
      </c>
      <c r="P99" s="141">
        <v>0</v>
      </c>
      <c r="Q99" s="141">
        <v>0</v>
      </c>
      <c r="R99" s="141">
        <v>0</v>
      </c>
      <c r="S99" s="141">
        <v>0</v>
      </c>
      <c r="T99" s="141">
        <v>0</v>
      </c>
      <c r="U99" s="141">
        <v>0</v>
      </c>
      <c r="V99" s="141">
        <v>0</v>
      </c>
      <c r="W99" s="141">
        <v>0</v>
      </c>
      <c r="X99" s="141">
        <v>0</v>
      </c>
      <c r="Y99" s="141">
        <v>0</v>
      </c>
      <c r="Z99" s="141">
        <v>0</v>
      </c>
      <c r="AA99" s="141">
        <v>0</v>
      </c>
      <c r="AB99" s="141">
        <v>0</v>
      </c>
      <c r="AC99" s="141">
        <v>0</v>
      </c>
      <c r="AD99" s="141">
        <v>0</v>
      </c>
      <c r="AE99" s="141">
        <v>0</v>
      </c>
      <c r="AF99" s="141">
        <v>0</v>
      </c>
      <c r="AG99" s="141">
        <v>0</v>
      </c>
      <c r="AH99" s="141">
        <v>0</v>
      </c>
      <c r="AI99" s="141">
        <v>0</v>
      </c>
      <c r="AJ99" s="141">
        <v>0</v>
      </c>
      <c r="AK99" s="141">
        <v>0</v>
      </c>
      <c r="AL99" s="141">
        <v>0</v>
      </c>
      <c r="AM99" s="141">
        <v>0</v>
      </c>
      <c r="AN99" s="141">
        <v>0</v>
      </c>
      <c r="AO99" s="141">
        <v>0</v>
      </c>
      <c r="AP99" s="141">
        <v>0</v>
      </c>
      <c r="AQ99" s="141">
        <v>0</v>
      </c>
      <c r="AR99" s="141">
        <v>0</v>
      </c>
      <c r="AS99" s="141">
        <v>0</v>
      </c>
      <c r="AT99" s="141">
        <v>0</v>
      </c>
      <c r="AU99" s="141">
        <v>0</v>
      </c>
      <c r="AV99" s="141">
        <v>0</v>
      </c>
      <c r="AW99" s="141">
        <v>0</v>
      </c>
      <c r="AX99" s="141">
        <v>0</v>
      </c>
      <c r="AY99" s="141">
        <v>0</v>
      </c>
      <c r="AZ99" s="124">
        <f>SUM($D99:$AY99)</f>
        <v>19013.890859243787</v>
      </c>
    </row>
    <row r="100" spans="1:52" x14ac:dyDescent="0.2">
      <c r="A100" s="147" t="s">
        <v>133</v>
      </c>
      <c r="B100" s="135">
        <v>1</v>
      </c>
      <c r="C100" s="123">
        <v>0</v>
      </c>
      <c r="D100" s="123">
        <v>0</v>
      </c>
      <c r="E100" s="123">
        <v>977.22131413173645</v>
      </c>
      <c r="F100" s="123">
        <v>1354.0485352401029</v>
      </c>
      <c r="G100" s="123">
        <v>98.018131694884701</v>
      </c>
      <c r="H100" s="123">
        <v>1402.9553092401027</v>
      </c>
      <c r="I100" s="123">
        <v>1452.739242285196</v>
      </c>
      <c r="J100" s="123">
        <v>1526.882983276379</v>
      </c>
      <c r="K100" s="123">
        <v>48.906773999999999</v>
      </c>
      <c r="L100" s="123">
        <v>1532.7696458304144</v>
      </c>
      <c r="M100" s="123">
        <v>1452.739242285196</v>
      </c>
      <c r="N100" s="123">
        <v>1532.7696458304144</v>
      </c>
      <c r="O100" s="123">
        <v>1452.739242285196</v>
      </c>
      <c r="P100" s="123">
        <v>1581.6764198304143</v>
      </c>
      <c r="Q100" s="123">
        <v>1452.739242285196</v>
      </c>
      <c r="R100" s="123">
        <v>1581.6764198304143</v>
      </c>
      <c r="S100" s="123">
        <v>98.018131694884701</v>
      </c>
      <c r="T100" s="123">
        <v>1175.9999999999998</v>
      </c>
      <c r="U100" s="123">
        <v>1581.6764198304143</v>
      </c>
      <c r="V100" s="123">
        <v>1452.739242285196</v>
      </c>
      <c r="W100" s="123">
        <v>1581.6764198304143</v>
      </c>
      <c r="X100" s="123">
        <v>1225.1113576948844</v>
      </c>
      <c r="Y100" s="123">
        <v>226.95530924010296</v>
      </c>
      <c r="Z100" s="123">
        <v>1403.832468285196</v>
      </c>
      <c r="AA100" s="123">
        <v>1581.6764198304143</v>
      </c>
      <c r="AB100" s="123">
        <v>1452.739242285196</v>
      </c>
      <c r="AC100" s="123">
        <v>1581.6764198304143</v>
      </c>
      <c r="AD100" s="123">
        <v>1452.739242285196</v>
      </c>
      <c r="AE100" s="123">
        <v>1581.6764198304143</v>
      </c>
      <c r="AF100" s="123">
        <v>1452.739242285196</v>
      </c>
      <c r="AG100" s="123">
        <v>1403.6278845903114</v>
      </c>
      <c r="AH100" s="123">
        <v>1402.9553092401027</v>
      </c>
      <c r="AI100" s="123">
        <v>98.018131694884701</v>
      </c>
      <c r="AJ100" s="123">
        <v>1581.6764198304143</v>
      </c>
      <c r="AK100" s="123">
        <v>98.018131694884701</v>
      </c>
      <c r="AL100" s="123">
        <v>1257.5439103932752</v>
      </c>
      <c r="AM100" s="123">
        <v>226.95530924010296</v>
      </c>
      <c r="AN100" s="123">
        <v>1225.1113576948844</v>
      </c>
      <c r="AO100" s="123">
        <v>226.95530924010296</v>
      </c>
      <c r="AP100" s="123">
        <v>1274.0181316948845</v>
      </c>
      <c r="AQ100" s="123">
        <v>1581.6764198304143</v>
      </c>
      <c r="AR100" s="123">
        <v>1452.739242285196</v>
      </c>
      <c r="AS100" s="123">
        <v>181.15605247050917</v>
      </c>
      <c r="AT100" s="123">
        <v>159.40732881349061</v>
      </c>
      <c r="AU100" s="123">
        <v>181.62847670970183</v>
      </c>
      <c r="AV100" s="123">
        <v>2654.3005548134906</v>
      </c>
      <c r="AW100" s="123">
        <v>1536.8154480802625</v>
      </c>
      <c r="AX100" s="123">
        <v>1335.4073288134905</v>
      </c>
      <c r="AY100" s="123">
        <v>82.318414053736518</v>
      </c>
    </row>
    <row r="101" spans="1:52" x14ac:dyDescent="0.2">
      <c r="A101" s="126"/>
      <c r="B101" s="135">
        <v>2</v>
      </c>
      <c r="C101" s="123">
        <v>0</v>
      </c>
      <c r="D101" s="123">
        <v>0</v>
      </c>
      <c r="E101" s="123">
        <v>0</v>
      </c>
      <c r="F101" s="123">
        <v>22.082335081068322</v>
      </c>
      <c r="G101" s="123">
        <v>377.85198091148277</v>
      </c>
      <c r="H101" s="123">
        <v>1483.6582881355296</v>
      </c>
      <c r="I101" s="123">
        <v>1581.6764198304143</v>
      </c>
      <c r="J101" s="123">
        <v>1407.0739502511399</v>
      </c>
      <c r="K101" s="123">
        <v>1481.9569335275189</v>
      </c>
      <c r="L101" s="123">
        <v>1403.6278845903114</v>
      </c>
      <c r="M101" s="123">
        <v>1447.198415493463</v>
      </c>
      <c r="N101" s="123">
        <v>1348.9376577786591</v>
      </c>
      <c r="O101" s="123">
        <v>1347.6140776090735</v>
      </c>
      <c r="P101" s="123">
        <v>1313.1199300174599</v>
      </c>
      <c r="Q101" s="123">
        <v>1373.7963498478741</v>
      </c>
      <c r="R101" s="123">
        <v>1028.8693863062354</v>
      </c>
      <c r="S101" s="123">
        <v>1055.5458061366496</v>
      </c>
      <c r="T101" s="123">
        <v>1354.7211105903114</v>
      </c>
      <c r="U101" s="123">
        <v>1170.0631581731936</v>
      </c>
      <c r="V101" s="123">
        <v>1227.0784895142194</v>
      </c>
      <c r="W101" s="123">
        <v>1247.1885099599558</v>
      </c>
      <c r="X101" s="123">
        <v>1364.8649297903701</v>
      </c>
      <c r="Y101" s="123">
        <v>1324.5413496207843</v>
      </c>
      <c r="Z101" s="123">
        <v>1298.3726196236744</v>
      </c>
      <c r="AA101" s="123">
        <v>1224.9940899368639</v>
      </c>
      <c r="AB101" s="123">
        <v>1158.550399294925</v>
      </c>
      <c r="AC101" s="123">
        <v>940.89233933295168</v>
      </c>
      <c r="AD101" s="123">
        <v>876.56875916336594</v>
      </c>
      <c r="AE101" s="123">
        <v>742.67132482286127</v>
      </c>
      <c r="AF101" s="123">
        <v>568.34774465327553</v>
      </c>
      <c r="AG101" s="123">
        <v>315.0241644836899</v>
      </c>
      <c r="AH101" s="123">
        <v>95.652049074001297</v>
      </c>
      <c r="AI101" s="123">
        <v>345.32846890441556</v>
      </c>
      <c r="AJ101" s="123">
        <v>1372.9872304420242</v>
      </c>
      <c r="AK101" s="123">
        <v>1369.6636502724384</v>
      </c>
      <c r="AL101" s="123">
        <v>1354.7211105903114</v>
      </c>
      <c r="AM101" s="123">
        <v>1288.9861315738981</v>
      </c>
      <c r="AN101" s="123">
        <v>5.6843418860808015E-14</v>
      </c>
      <c r="AO101" s="123">
        <v>177.84395154521826</v>
      </c>
      <c r="AP101" s="123">
        <v>1354.7211105903114</v>
      </c>
      <c r="AQ101" s="123">
        <v>1216.2939490953495</v>
      </c>
      <c r="AR101" s="123">
        <v>1200.6551161391058</v>
      </c>
      <c r="AS101" s="123">
        <v>1056.33153596952</v>
      </c>
      <c r="AT101" s="123">
        <v>0</v>
      </c>
      <c r="AU101" s="123">
        <v>0</v>
      </c>
      <c r="AV101" s="123">
        <v>0</v>
      </c>
      <c r="AW101" s="123">
        <v>1378.3597883699906</v>
      </c>
      <c r="AX101" s="123">
        <v>1440.1752364502531</v>
      </c>
      <c r="AY101" s="123">
        <v>1537.0458230613617</v>
      </c>
    </row>
    <row r="102" spans="1:52" x14ac:dyDescent="0.2">
      <c r="A102" s="126"/>
      <c r="B102" s="136">
        <v>3</v>
      </c>
      <c r="C102" s="123">
        <v>0</v>
      </c>
      <c r="D102" s="123">
        <v>0</v>
      </c>
      <c r="E102" s="123">
        <v>0</v>
      </c>
      <c r="F102" s="123">
        <v>0</v>
      </c>
      <c r="G102" s="123">
        <v>0</v>
      </c>
      <c r="H102" s="123">
        <v>0</v>
      </c>
      <c r="I102" s="123">
        <v>118.65828813552957</v>
      </c>
      <c r="J102" s="123">
        <v>0</v>
      </c>
      <c r="K102" s="123">
        <v>128.93717754521822</v>
      </c>
      <c r="L102" s="123">
        <v>34.894111072737132</v>
      </c>
      <c r="M102" s="123">
        <v>0</v>
      </c>
      <c r="N102" s="123">
        <v>0</v>
      </c>
      <c r="O102" s="123">
        <v>12.829432577972042</v>
      </c>
      <c r="P102" s="123">
        <v>0</v>
      </c>
      <c r="Q102" s="123">
        <v>0</v>
      </c>
      <c r="R102" s="123">
        <v>0</v>
      </c>
      <c r="S102" s="123">
        <v>0</v>
      </c>
      <c r="T102" s="123">
        <v>0</v>
      </c>
      <c r="U102" s="123">
        <v>0</v>
      </c>
      <c r="V102" s="123">
        <v>0</v>
      </c>
      <c r="W102" s="123">
        <v>0</v>
      </c>
      <c r="X102" s="123">
        <v>0</v>
      </c>
      <c r="Y102" s="123">
        <v>0</v>
      </c>
      <c r="Z102" s="123">
        <v>0</v>
      </c>
      <c r="AA102" s="123">
        <v>0</v>
      </c>
      <c r="AB102" s="123">
        <v>0</v>
      </c>
      <c r="AC102" s="123">
        <v>0</v>
      </c>
      <c r="AD102" s="123">
        <v>0</v>
      </c>
      <c r="AE102" s="123">
        <v>0</v>
      </c>
      <c r="AF102" s="123">
        <v>0</v>
      </c>
      <c r="AG102" s="123">
        <v>0</v>
      </c>
      <c r="AH102" s="123">
        <v>0</v>
      </c>
      <c r="AI102" s="123">
        <v>0</v>
      </c>
      <c r="AJ102" s="123">
        <v>0</v>
      </c>
      <c r="AK102" s="123">
        <v>0</v>
      </c>
      <c r="AL102" s="123">
        <v>0</v>
      </c>
      <c r="AM102" s="123">
        <v>54.186765499832404</v>
      </c>
      <c r="AN102" s="123">
        <v>0</v>
      </c>
      <c r="AO102" s="123">
        <v>0</v>
      </c>
      <c r="AP102" s="123">
        <v>19.016466702324578</v>
      </c>
      <c r="AQ102" s="123">
        <v>0</v>
      </c>
      <c r="AR102" s="123">
        <v>0</v>
      </c>
      <c r="AS102" s="123">
        <v>0</v>
      </c>
      <c r="AT102" s="123">
        <v>0</v>
      </c>
      <c r="AU102" s="123">
        <v>0</v>
      </c>
      <c r="AV102" s="123">
        <v>4.1524595564998812</v>
      </c>
      <c r="AW102" s="123">
        <v>0</v>
      </c>
      <c r="AX102" s="123">
        <v>0</v>
      </c>
      <c r="AY102" s="123">
        <v>5.2045207221283452</v>
      </c>
    </row>
    <row r="103" spans="1:52" x14ac:dyDescent="0.2">
      <c r="A103" s="126"/>
      <c r="B103" s="136">
        <v>4</v>
      </c>
      <c r="C103" s="123">
        <v>0</v>
      </c>
      <c r="D103" s="123">
        <v>0</v>
      </c>
      <c r="E103" s="123">
        <v>0</v>
      </c>
      <c r="F103" s="123">
        <v>0</v>
      </c>
      <c r="G103" s="123">
        <v>0</v>
      </c>
      <c r="H103" s="123">
        <v>0</v>
      </c>
      <c r="I103" s="123">
        <v>0</v>
      </c>
      <c r="J103" s="123">
        <v>0</v>
      </c>
      <c r="K103" s="123">
        <v>0</v>
      </c>
      <c r="L103" s="123">
        <v>0</v>
      </c>
      <c r="M103" s="123">
        <v>0</v>
      </c>
      <c r="N103" s="123">
        <v>0</v>
      </c>
      <c r="O103" s="123">
        <v>0</v>
      </c>
      <c r="P103" s="123">
        <v>0</v>
      </c>
      <c r="Q103" s="123">
        <v>0</v>
      </c>
      <c r="R103" s="123">
        <v>0</v>
      </c>
      <c r="S103" s="123">
        <v>0</v>
      </c>
      <c r="T103" s="123">
        <v>0</v>
      </c>
      <c r="U103" s="123">
        <v>0</v>
      </c>
      <c r="V103" s="123">
        <v>0</v>
      </c>
      <c r="W103" s="123">
        <v>0</v>
      </c>
      <c r="X103" s="123">
        <v>0</v>
      </c>
      <c r="Y103" s="123">
        <v>0</v>
      </c>
      <c r="Z103" s="123">
        <v>0</v>
      </c>
      <c r="AA103" s="123">
        <v>0</v>
      </c>
      <c r="AB103" s="123">
        <v>0</v>
      </c>
      <c r="AC103" s="123">
        <v>0</v>
      </c>
      <c r="AD103" s="123">
        <v>0</v>
      </c>
      <c r="AE103" s="123">
        <v>0</v>
      </c>
      <c r="AF103" s="123">
        <v>0</v>
      </c>
      <c r="AG103" s="123">
        <v>0</v>
      </c>
      <c r="AH103" s="123">
        <v>0</v>
      </c>
      <c r="AI103" s="123">
        <v>0</v>
      </c>
      <c r="AJ103" s="123">
        <v>0</v>
      </c>
      <c r="AK103" s="123">
        <v>0</v>
      </c>
      <c r="AL103" s="123">
        <v>0</v>
      </c>
      <c r="AM103" s="123">
        <v>0</v>
      </c>
      <c r="AN103" s="123">
        <v>0</v>
      </c>
      <c r="AO103" s="123">
        <v>0</v>
      </c>
      <c r="AP103" s="123">
        <v>0</v>
      </c>
      <c r="AQ103" s="123">
        <v>0</v>
      </c>
      <c r="AR103" s="123">
        <v>0</v>
      </c>
      <c r="AS103" s="123">
        <v>0</v>
      </c>
      <c r="AT103" s="123">
        <v>0</v>
      </c>
      <c r="AU103" s="123">
        <v>0</v>
      </c>
      <c r="AV103" s="123">
        <v>0</v>
      </c>
      <c r="AW103" s="123">
        <v>0</v>
      </c>
      <c r="AX103" s="123">
        <v>0</v>
      </c>
      <c r="AY103" s="123">
        <v>0</v>
      </c>
    </row>
    <row r="104" spans="1:52" x14ac:dyDescent="0.2">
      <c r="A104" s="126"/>
      <c r="B104" s="143">
        <v>5</v>
      </c>
      <c r="C104" s="123">
        <v>0</v>
      </c>
      <c r="D104" s="123">
        <v>0</v>
      </c>
      <c r="E104" s="123">
        <v>0</v>
      </c>
      <c r="F104" s="123">
        <v>0</v>
      </c>
      <c r="G104" s="123">
        <v>0</v>
      </c>
      <c r="H104" s="123">
        <v>0</v>
      </c>
      <c r="I104" s="123">
        <v>0</v>
      </c>
      <c r="J104" s="123">
        <v>0</v>
      </c>
      <c r="K104" s="123">
        <v>0</v>
      </c>
      <c r="L104" s="123">
        <v>0</v>
      </c>
      <c r="M104" s="123">
        <v>0</v>
      </c>
      <c r="N104" s="123">
        <v>0</v>
      </c>
      <c r="O104" s="123">
        <v>0</v>
      </c>
      <c r="P104" s="123">
        <v>0</v>
      </c>
      <c r="Q104" s="123">
        <v>0</v>
      </c>
      <c r="R104" s="123">
        <v>0</v>
      </c>
      <c r="S104" s="123">
        <v>0</v>
      </c>
      <c r="T104" s="123">
        <v>0</v>
      </c>
      <c r="U104" s="123">
        <v>0</v>
      </c>
      <c r="V104" s="123">
        <v>0</v>
      </c>
      <c r="W104" s="123">
        <v>0</v>
      </c>
      <c r="X104" s="123">
        <v>0</v>
      </c>
      <c r="Y104" s="123">
        <v>0</v>
      </c>
      <c r="Z104" s="123">
        <v>0</v>
      </c>
      <c r="AA104" s="123">
        <v>0</v>
      </c>
      <c r="AB104" s="123">
        <v>0</v>
      </c>
      <c r="AC104" s="123">
        <v>0</v>
      </c>
      <c r="AD104" s="123">
        <v>0</v>
      </c>
      <c r="AE104" s="123">
        <v>0</v>
      </c>
      <c r="AF104" s="123">
        <v>0</v>
      </c>
      <c r="AG104" s="123">
        <v>0</v>
      </c>
      <c r="AH104" s="123">
        <v>0</v>
      </c>
      <c r="AI104" s="123">
        <v>0</v>
      </c>
      <c r="AJ104" s="123">
        <v>0</v>
      </c>
      <c r="AK104" s="123">
        <v>0</v>
      </c>
      <c r="AL104" s="123">
        <v>0</v>
      </c>
      <c r="AM104" s="123">
        <v>0</v>
      </c>
      <c r="AN104" s="123">
        <v>0</v>
      </c>
      <c r="AO104" s="123">
        <v>0</v>
      </c>
      <c r="AP104" s="123">
        <v>0</v>
      </c>
      <c r="AQ104" s="123">
        <v>0</v>
      </c>
      <c r="AR104" s="123">
        <v>0</v>
      </c>
      <c r="AS104" s="123">
        <v>0</v>
      </c>
      <c r="AT104" s="123">
        <v>0</v>
      </c>
      <c r="AU104" s="123">
        <v>0</v>
      </c>
      <c r="AV104" s="123">
        <v>0</v>
      </c>
      <c r="AW104" s="123">
        <v>0</v>
      </c>
      <c r="AX104" s="123">
        <v>0</v>
      </c>
      <c r="AY104" s="123">
        <v>0</v>
      </c>
    </row>
    <row r="105" spans="1:52" x14ac:dyDescent="0.2">
      <c r="A105" s="126"/>
      <c r="B105" s="143">
        <v>6</v>
      </c>
      <c r="C105" s="123">
        <v>0</v>
      </c>
      <c r="D105" s="123">
        <v>0</v>
      </c>
      <c r="E105" s="123">
        <v>0</v>
      </c>
      <c r="F105" s="123">
        <v>0</v>
      </c>
      <c r="G105" s="123">
        <v>0</v>
      </c>
      <c r="H105" s="123">
        <v>0</v>
      </c>
      <c r="I105" s="123">
        <v>0</v>
      </c>
      <c r="J105" s="123">
        <v>0</v>
      </c>
      <c r="K105" s="123">
        <v>0</v>
      </c>
      <c r="L105" s="123">
        <v>0</v>
      </c>
      <c r="M105" s="123">
        <v>0</v>
      </c>
      <c r="N105" s="123">
        <v>0</v>
      </c>
      <c r="O105" s="123">
        <v>0</v>
      </c>
      <c r="P105" s="123">
        <v>0</v>
      </c>
      <c r="Q105" s="123">
        <v>0</v>
      </c>
      <c r="R105" s="123">
        <v>0</v>
      </c>
      <c r="S105" s="123">
        <v>0</v>
      </c>
      <c r="T105" s="123">
        <v>0</v>
      </c>
      <c r="U105" s="123">
        <v>0</v>
      </c>
      <c r="V105" s="123">
        <v>0</v>
      </c>
      <c r="W105" s="123">
        <v>0</v>
      </c>
      <c r="X105" s="123">
        <v>0</v>
      </c>
      <c r="Y105" s="123">
        <v>0</v>
      </c>
      <c r="Z105" s="123">
        <v>0</v>
      </c>
      <c r="AA105" s="123">
        <v>0</v>
      </c>
      <c r="AB105" s="123">
        <v>0</v>
      </c>
      <c r="AC105" s="123">
        <v>0</v>
      </c>
      <c r="AD105" s="123">
        <v>0</v>
      </c>
      <c r="AE105" s="123">
        <v>0</v>
      </c>
      <c r="AF105" s="123">
        <v>0</v>
      </c>
      <c r="AG105" s="123">
        <v>0</v>
      </c>
      <c r="AH105" s="123">
        <v>0</v>
      </c>
      <c r="AI105" s="123">
        <v>0</v>
      </c>
      <c r="AJ105" s="123">
        <v>0</v>
      </c>
      <c r="AK105" s="123">
        <v>0</v>
      </c>
      <c r="AL105" s="123">
        <v>0</v>
      </c>
      <c r="AM105" s="123">
        <v>0</v>
      </c>
      <c r="AN105" s="123">
        <v>0</v>
      </c>
      <c r="AO105" s="123">
        <v>0</v>
      </c>
      <c r="AP105" s="123">
        <v>0</v>
      </c>
      <c r="AQ105" s="123">
        <v>0</v>
      </c>
      <c r="AR105" s="123">
        <v>0</v>
      </c>
      <c r="AS105" s="123">
        <v>0</v>
      </c>
      <c r="AT105" s="123">
        <v>0</v>
      </c>
      <c r="AU105" s="123">
        <v>0</v>
      </c>
      <c r="AV105" s="123">
        <v>0</v>
      </c>
      <c r="AW105" s="123">
        <v>0</v>
      </c>
      <c r="AX105" s="123">
        <v>0</v>
      </c>
      <c r="AY105" s="123">
        <v>0</v>
      </c>
    </row>
    <row r="106" spans="1:52" x14ac:dyDescent="0.2">
      <c r="A106" s="126"/>
      <c r="B106" s="146">
        <v>7</v>
      </c>
      <c r="C106" s="123">
        <v>0</v>
      </c>
      <c r="D106" s="123">
        <v>0</v>
      </c>
      <c r="E106" s="123">
        <v>0</v>
      </c>
      <c r="F106" s="123">
        <v>0</v>
      </c>
      <c r="G106" s="123">
        <v>0</v>
      </c>
      <c r="H106" s="123">
        <v>0</v>
      </c>
      <c r="I106" s="123">
        <v>0</v>
      </c>
      <c r="J106" s="123">
        <v>0</v>
      </c>
      <c r="K106" s="123">
        <v>0</v>
      </c>
      <c r="L106" s="123">
        <v>0</v>
      </c>
      <c r="M106" s="123">
        <v>0</v>
      </c>
      <c r="N106" s="123">
        <v>0</v>
      </c>
      <c r="O106" s="123">
        <v>0</v>
      </c>
      <c r="P106" s="123">
        <v>0</v>
      </c>
      <c r="Q106" s="123">
        <v>0</v>
      </c>
      <c r="R106" s="123">
        <v>0</v>
      </c>
      <c r="S106" s="123">
        <v>0</v>
      </c>
      <c r="T106" s="123">
        <v>0</v>
      </c>
      <c r="U106" s="123">
        <v>0</v>
      </c>
      <c r="V106" s="123">
        <v>0</v>
      </c>
      <c r="W106" s="123">
        <v>0</v>
      </c>
      <c r="X106" s="123">
        <v>0</v>
      </c>
      <c r="Y106" s="123">
        <v>0</v>
      </c>
      <c r="Z106" s="123">
        <v>0</v>
      </c>
      <c r="AA106" s="123">
        <v>0</v>
      </c>
      <c r="AB106" s="123">
        <v>0</v>
      </c>
      <c r="AC106" s="123">
        <v>0</v>
      </c>
      <c r="AD106" s="123">
        <v>0</v>
      </c>
      <c r="AE106" s="123">
        <v>0</v>
      </c>
      <c r="AF106" s="123">
        <v>0</v>
      </c>
      <c r="AG106" s="123">
        <v>0</v>
      </c>
      <c r="AH106" s="123">
        <v>0</v>
      </c>
      <c r="AI106" s="123">
        <v>0</v>
      </c>
      <c r="AJ106" s="123">
        <v>0</v>
      </c>
      <c r="AK106" s="123">
        <v>0</v>
      </c>
      <c r="AL106" s="123">
        <v>0</v>
      </c>
      <c r="AM106" s="123">
        <v>0</v>
      </c>
      <c r="AN106" s="123">
        <v>0</v>
      </c>
      <c r="AO106" s="123">
        <v>0</v>
      </c>
      <c r="AP106" s="123">
        <v>0</v>
      </c>
      <c r="AQ106" s="123">
        <v>0</v>
      </c>
      <c r="AR106" s="123">
        <v>0</v>
      </c>
      <c r="AS106" s="123">
        <v>0</v>
      </c>
      <c r="AT106" s="123">
        <v>0</v>
      </c>
      <c r="AU106" s="123">
        <v>0</v>
      </c>
      <c r="AV106" s="123">
        <v>0</v>
      </c>
      <c r="AW106" s="123">
        <v>0</v>
      </c>
      <c r="AX106" s="123">
        <v>0</v>
      </c>
      <c r="AY106" s="123">
        <v>0</v>
      </c>
    </row>
    <row r="107" spans="1:52" x14ac:dyDescent="0.2">
      <c r="A107" s="126"/>
      <c r="B107" s="146">
        <v>8</v>
      </c>
      <c r="C107" s="123">
        <v>0</v>
      </c>
      <c r="D107" s="123">
        <v>0</v>
      </c>
      <c r="E107" s="123">
        <v>0</v>
      </c>
      <c r="F107" s="123">
        <v>0</v>
      </c>
      <c r="G107" s="123">
        <v>0</v>
      </c>
      <c r="H107" s="123">
        <v>0</v>
      </c>
      <c r="I107" s="123">
        <v>0</v>
      </c>
      <c r="J107" s="123">
        <v>0</v>
      </c>
      <c r="K107" s="123">
        <v>0</v>
      </c>
      <c r="L107" s="123">
        <v>0</v>
      </c>
      <c r="M107" s="123">
        <v>0</v>
      </c>
      <c r="N107" s="123">
        <v>0</v>
      </c>
      <c r="O107" s="123">
        <v>0</v>
      </c>
      <c r="P107" s="123">
        <v>0</v>
      </c>
      <c r="Q107" s="123">
        <v>0</v>
      </c>
      <c r="R107" s="123">
        <v>0</v>
      </c>
      <c r="S107" s="123">
        <v>0</v>
      </c>
      <c r="T107" s="123">
        <v>0</v>
      </c>
      <c r="U107" s="123">
        <v>0</v>
      </c>
      <c r="V107" s="123">
        <v>0</v>
      </c>
      <c r="W107" s="123">
        <v>0</v>
      </c>
      <c r="X107" s="123">
        <v>0</v>
      </c>
      <c r="Y107" s="123">
        <v>0</v>
      </c>
      <c r="Z107" s="123">
        <v>0</v>
      </c>
      <c r="AA107" s="123">
        <v>0</v>
      </c>
      <c r="AB107" s="123">
        <v>0</v>
      </c>
      <c r="AC107" s="123">
        <v>0</v>
      </c>
      <c r="AD107" s="123">
        <v>0</v>
      </c>
      <c r="AE107" s="123">
        <v>0</v>
      </c>
      <c r="AF107" s="123">
        <v>0</v>
      </c>
      <c r="AG107" s="123">
        <v>0</v>
      </c>
      <c r="AH107" s="123">
        <v>0</v>
      </c>
      <c r="AI107" s="123">
        <v>0</v>
      </c>
      <c r="AJ107" s="123">
        <v>0</v>
      </c>
      <c r="AK107" s="123">
        <v>0</v>
      </c>
      <c r="AL107" s="123">
        <v>0</v>
      </c>
      <c r="AM107" s="123">
        <v>0</v>
      </c>
      <c r="AN107" s="123">
        <v>0</v>
      </c>
      <c r="AO107" s="123">
        <v>0</v>
      </c>
      <c r="AP107" s="123">
        <v>0</v>
      </c>
      <c r="AQ107" s="123">
        <v>0</v>
      </c>
      <c r="AR107" s="123">
        <v>0</v>
      </c>
      <c r="AS107" s="123">
        <v>0</v>
      </c>
      <c r="AT107" s="123">
        <v>0</v>
      </c>
      <c r="AU107" s="123">
        <v>0</v>
      </c>
      <c r="AV107" s="123">
        <v>0</v>
      </c>
      <c r="AW107" s="123">
        <v>0</v>
      </c>
      <c r="AX107" s="123">
        <v>0</v>
      </c>
      <c r="AY107" s="123">
        <v>0</v>
      </c>
    </row>
    <row r="108" spans="1:52" x14ac:dyDescent="0.2">
      <c r="A108" s="144"/>
      <c r="B108" s="148" t="s">
        <v>296</v>
      </c>
      <c r="C108" s="130">
        <v>0</v>
      </c>
      <c r="D108" s="141">
        <v>0</v>
      </c>
      <c r="E108" s="141">
        <v>0</v>
      </c>
      <c r="F108" s="141">
        <v>0</v>
      </c>
      <c r="G108" s="141">
        <v>0</v>
      </c>
      <c r="H108" s="141">
        <v>0</v>
      </c>
      <c r="I108" s="141">
        <v>0</v>
      </c>
      <c r="J108" s="141">
        <v>0</v>
      </c>
      <c r="K108" s="141">
        <v>0</v>
      </c>
      <c r="L108" s="141">
        <v>0</v>
      </c>
      <c r="M108" s="141">
        <v>0</v>
      </c>
      <c r="N108" s="141">
        <v>0</v>
      </c>
      <c r="O108" s="141">
        <v>0</v>
      </c>
      <c r="P108" s="141">
        <v>0</v>
      </c>
      <c r="Q108" s="141">
        <v>0</v>
      </c>
      <c r="R108" s="141">
        <v>0</v>
      </c>
      <c r="S108" s="141">
        <v>0</v>
      </c>
      <c r="T108" s="141">
        <v>0</v>
      </c>
      <c r="U108" s="141">
        <v>0</v>
      </c>
      <c r="V108" s="141">
        <v>0</v>
      </c>
      <c r="W108" s="141">
        <v>0</v>
      </c>
      <c r="X108" s="141">
        <v>0</v>
      </c>
      <c r="Y108" s="141">
        <v>0</v>
      </c>
      <c r="Z108" s="141">
        <v>0</v>
      </c>
      <c r="AA108" s="141">
        <v>0</v>
      </c>
      <c r="AB108" s="141">
        <v>0</v>
      </c>
      <c r="AC108" s="141">
        <v>0</v>
      </c>
      <c r="AD108" s="141">
        <v>0</v>
      </c>
      <c r="AE108" s="141">
        <v>0</v>
      </c>
      <c r="AF108" s="141">
        <v>0</v>
      </c>
      <c r="AG108" s="141">
        <v>0</v>
      </c>
      <c r="AH108" s="141">
        <v>0</v>
      </c>
      <c r="AI108" s="141">
        <v>0</v>
      </c>
      <c r="AJ108" s="141">
        <v>0</v>
      </c>
      <c r="AK108" s="141">
        <v>0</v>
      </c>
      <c r="AL108" s="141">
        <v>0</v>
      </c>
      <c r="AM108" s="141">
        <v>0</v>
      </c>
      <c r="AN108" s="141">
        <v>0</v>
      </c>
      <c r="AO108" s="141">
        <v>0</v>
      </c>
      <c r="AP108" s="141">
        <v>0</v>
      </c>
      <c r="AQ108" s="141">
        <v>0</v>
      </c>
      <c r="AR108" s="141">
        <v>0</v>
      </c>
      <c r="AS108" s="141">
        <v>0</v>
      </c>
      <c r="AT108" s="141">
        <v>0</v>
      </c>
      <c r="AU108" s="141">
        <v>0</v>
      </c>
      <c r="AV108" s="141">
        <v>0</v>
      </c>
      <c r="AW108" s="141">
        <v>0</v>
      </c>
      <c r="AX108" s="141">
        <v>0</v>
      </c>
      <c r="AY108" s="141">
        <v>0</v>
      </c>
      <c r="AZ108" s="124">
        <f>SUM($D108:$AY108)</f>
        <v>0</v>
      </c>
    </row>
    <row r="109" spans="1:52" x14ac:dyDescent="0.2">
      <c r="A109" s="147" t="s">
        <v>134</v>
      </c>
      <c r="B109" s="135">
        <v>1</v>
      </c>
      <c r="C109" s="123">
        <v>409.14105870760847</v>
      </c>
      <c r="D109" s="123">
        <v>409.14105870760847</v>
      </c>
      <c r="E109" s="123">
        <v>2022.6823531696978</v>
      </c>
      <c r="F109" s="123">
        <v>3035.5184977971267</v>
      </c>
      <c r="G109" s="123">
        <v>3728.5790959430797</v>
      </c>
      <c r="H109" s="123">
        <v>3949.1114387198545</v>
      </c>
      <c r="I109" s="123">
        <v>4563.0578835541473</v>
      </c>
      <c r="J109" s="123">
        <v>4586.6520007361232</v>
      </c>
      <c r="K109" s="123">
        <v>4660.1350579616283</v>
      </c>
      <c r="L109" s="123">
        <v>4457.4827995117294</v>
      </c>
      <c r="M109" s="123">
        <v>4736.4212581656857</v>
      </c>
      <c r="N109" s="123">
        <v>4829.4849378400368</v>
      </c>
      <c r="O109" s="123">
        <v>4732.4872935164713</v>
      </c>
      <c r="P109" s="123">
        <v>4773.5815004374099</v>
      </c>
      <c r="Q109" s="123">
        <v>4780.9717818680201</v>
      </c>
      <c r="R109" s="123">
        <v>4738.1559873042834</v>
      </c>
      <c r="S109" s="123">
        <v>4806.1910069727082</v>
      </c>
      <c r="T109" s="123">
        <v>4567.6838995377257</v>
      </c>
      <c r="U109" s="123">
        <v>4698.0976522896572</v>
      </c>
      <c r="V109" s="123">
        <v>4949.6192074528917</v>
      </c>
      <c r="W109" s="123">
        <v>4848.0540917975131</v>
      </c>
      <c r="X109" s="123">
        <v>4853.2216511456654</v>
      </c>
      <c r="Y109" s="123">
        <v>4680.0931035651674</v>
      </c>
      <c r="Z109" s="123">
        <v>4709.6141371379081</v>
      </c>
      <c r="AA109" s="123">
        <v>4857.2658561823691</v>
      </c>
      <c r="AB109" s="123">
        <v>5041.0557460836544</v>
      </c>
      <c r="AC109" s="123">
        <v>4889.762379183685</v>
      </c>
      <c r="AD109" s="123">
        <v>4793.4643612184309</v>
      </c>
      <c r="AE109" s="123">
        <v>4719.174543469916</v>
      </c>
      <c r="AF109" s="123">
        <v>4832.375723756606</v>
      </c>
      <c r="AG109" s="123">
        <v>4765.8388576206908</v>
      </c>
      <c r="AH109" s="123">
        <v>4766.6261269797042</v>
      </c>
      <c r="AI109" s="123">
        <v>4802.5485165192586</v>
      </c>
      <c r="AJ109" s="123">
        <v>4463.0050961954303</v>
      </c>
      <c r="AK109" s="123">
        <v>4893.272583292659</v>
      </c>
      <c r="AL109" s="123">
        <v>4512.1718266919106</v>
      </c>
      <c r="AM109" s="123">
        <v>4802.4117696621643</v>
      </c>
      <c r="AN109" s="123">
        <v>4614.1041250225444</v>
      </c>
      <c r="AO109" s="123">
        <v>4544.5929173131826</v>
      </c>
      <c r="AP109" s="123">
        <v>4610.629517164487</v>
      </c>
      <c r="AQ109" s="123">
        <v>5000.9955349525326</v>
      </c>
      <c r="AR109" s="123">
        <v>4933.6814127077141</v>
      </c>
      <c r="AS109" s="123">
        <v>4858.5363562271741</v>
      </c>
      <c r="AT109" s="123">
        <v>4569.5723700125318</v>
      </c>
      <c r="AU109" s="123">
        <v>4424.1680185405849</v>
      </c>
      <c r="AV109" s="123">
        <v>4345.5676666275103</v>
      </c>
      <c r="AW109" s="123">
        <v>4605.0755954543592</v>
      </c>
      <c r="AX109" s="123">
        <v>4660.2464048934116</v>
      </c>
      <c r="AY109" s="123">
        <v>4704.2428239320889</v>
      </c>
    </row>
    <row r="110" spans="1:52" x14ac:dyDescent="0.2">
      <c r="A110" s="126"/>
      <c r="B110" s="135">
        <v>2</v>
      </c>
      <c r="C110" s="123">
        <v>0</v>
      </c>
      <c r="D110" s="123">
        <v>0</v>
      </c>
      <c r="E110" s="123">
        <v>0</v>
      </c>
      <c r="F110" s="123">
        <v>1069.185703780222</v>
      </c>
      <c r="G110" s="123">
        <v>3035.5184977971267</v>
      </c>
      <c r="H110" s="123">
        <v>3728.5790959430797</v>
      </c>
      <c r="I110" s="123">
        <v>3949.1114387198545</v>
      </c>
      <c r="J110" s="123">
        <v>4563.0578835541473</v>
      </c>
      <c r="K110" s="123">
        <v>4586.6520007361232</v>
      </c>
      <c r="L110" s="123">
        <v>4660.1350579616283</v>
      </c>
      <c r="M110" s="123">
        <v>4457.4827995117294</v>
      </c>
      <c r="N110" s="123">
        <v>4736.4212581656857</v>
      </c>
      <c r="O110" s="123">
        <v>4829.4849378400368</v>
      </c>
      <c r="P110" s="123">
        <v>4732.4872935164713</v>
      </c>
      <c r="Q110" s="123">
        <v>4773.5815004374099</v>
      </c>
      <c r="R110" s="123">
        <v>4780.9717818680201</v>
      </c>
      <c r="S110" s="123">
        <v>4738.1559873042834</v>
      </c>
      <c r="T110" s="123">
        <v>4806.1910069727082</v>
      </c>
      <c r="U110" s="123">
        <v>4567.6838995377257</v>
      </c>
      <c r="V110" s="123">
        <v>4698.0976522896572</v>
      </c>
      <c r="W110" s="123">
        <v>4949.6192074528917</v>
      </c>
      <c r="X110" s="123">
        <v>4848.0540917975131</v>
      </c>
      <c r="Y110" s="123">
        <v>4853.2216511456654</v>
      </c>
      <c r="Z110" s="123">
        <v>4680.0931035651674</v>
      </c>
      <c r="AA110" s="123">
        <v>4709.6141371379081</v>
      </c>
      <c r="AB110" s="123">
        <v>4857.2658561823691</v>
      </c>
      <c r="AC110" s="123">
        <v>5041.0557460836544</v>
      </c>
      <c r="AD110" s="123">
        <v>4889.762379183685</v>
      </c>
      <c r="AE110" s="123">
        <v>4793.4643612184309</v>
      </c>
      <c r="AF110" s="123">
        <v>4719.174543469916</v>
      </c>
      <c r="AG110" s="123">
        <v>4832.375723756606</v>
      </c>
      <c r="AH110" s="123">
        <v>4765.8388576206908</v>
      </c>
      <c r="AI110" s="123">
        <v>4766.6261269797042</v>
      </c>
      <c r="AJ110" s="123">
        <v>4802.5485165192586</v>
      </c>
      <c r="AK110" s="123">
        <v>4463.0050961954303</v>
      </c>
      <c r="AL110" s="123">
        <v>4893.272583292659</v>
      </c>
      <c r="AM110" s="123">
        <v>4512.1718266919106</v>
      </c>
      <c r="AN110" s="123">
        <v>4802.4117696621643</v>
      </c>
      <c r="AO110" s="123">
        <v>4614.1041250225444</v>
      </c>
      <c r="AP110" s="123">
        <v>4544.5929173131826</v>
      </c>
      <c r="AQ110" s="123">
        <v>4610.629517164487</v>
      </c>
      <c r="AR110" s="123">
        <v>5000.9955349525326</v>
      </c>
      <c r="AS110" s="123">
        <v>4933.6814127077141</v>
      </c>
      <c r="AT110" s="123">
        <v>4858.5363562271741</v>
      </c>
      <c r="AU110" s="123">
        <v>4569.5723700125318</v>
      </c>
      <c r="AV110" s="123">
        <v>4424.1680185405849</v>
      </c>
      <c r="AW110" s="123">
        <v>4345.5676666275103</v>
      </c>
      <c r="AX110" s="123">
        <v>4605.0755954543592</v>
      </c>
      <c r="AY110" s="123">
        <v>4660.2464048934116</v>
      </c>
    </row>
    <row r="111" spans="1:52" x14ac:dyDescent="0.2">
      <c r="A111" s="126"/>
      <c r="B111" s="135">
        <v>3</v>
      </c>
      <c r="C111" s="123">
        <v>0</v>
      </c>
      <c r="D111" s="123">
        <v>0</v>
      </c>
      <c r="E111" s="123">
        <v>0</v>
      </c>
      <c r="F111" s="123">
        <v>0</v>
      </c>
      <c r="G111" s="123">
        <v>283.18570378022196</v>
      </c>
      <c r="H111" s="123">
        <v>2501.6435253422451</v>
      </c>
      <c r="I111" s="123">
        <v>3728.5790959430797</v>
      </c>
      <c r="J111" s="123">
        <v>3949.1114387198545</v>
      </c>
      <c r="K111" s="123">
        <v>4563.0578835541473</v>
      </c>
      <c r="L111" s="123">
        <v>4586.6520007361232</v>
      </c>
      <c r="M111" s="123">
        <v>4660.1350579616283</v>
      </c>
      <c r="N111" s="123">
        <v>4457.4827995117294</v>
      </c>
      <c r="O111" s="123">
        <v>4736.4212581656857</v>
      </c>
      <c r="P111" s="123">
        <v>4829.4849378400368</v>
      </c>
      <c r="Q111" s="123">
        <v>4732.4872935164713</v>
      </c>
      <c r="R111" s="123">
        <v>4773.5815004374099</v>
      </c>
      <c r="S111" s="123">
        <v>4780.9717818680201</v>
      </c>
      <c r="T111" s="123">
        <v>4738.1559873042834</v>
      </c>
      <c r="U111" s="123">
        <v>4806.1910069727082</v>
      </c>
      <c r="V111" s="123">
        <v>4567.6838995377257</v>
      </c>
      <c r="W111" s="123">
        <v>4698.0976522896572</v>
      </c>
      <c r="X111" s="123">
        <v>4949.6192074528917</v>
      </c>
      <c r="Y111" s="123">
        <v>4848.0540917975131</v>
      </c>
      <c r="Z111" s="123">
        <v>4853.2216511456654</v>
      </c>
      <c r="AA111" s="123">
        <v>4680.0931035651674</v>
      </c>
      <c r="AB111" s="123">
        <v>4709.6141371379081</v>
      </c>
      <c r="AC111" s="123">
        <v>4857.2658561823691</v>
      </c>
      <c r="AD111" s="123">
        <v>5041.0557460836544</v>
      </c>
      <c r="AE111" s="123">
        <v>4889.762379183685</v>
      </c>
      <c r="AF111" s="123">
        <v>4793.4643612184309</v>
      </c>
      <c r="AG111" s="123">
        <v>4719.174543469916</v>
      </c>
      <c r="AH111" s="123">
        <v>4832.375723756606</v>
      </c>
      <c r="AI111" s="123">
        <v>4765.8388576206908</v>
      </c>
      <c r="AJ111" s="123">
        <v>4766.6261269797042</v>
      </c>
      <c r="AK111" s="123">
        <v>4802.5485165192586</v>
      </c>
      <c r="AL111" s="123">
        <v>4463.0050961954303</v>
      </c>
      <c r="AM111" s="123">
        <v>4893.272583292659</v>
      </c>
      <c r="AN111" s="123">
        <v>4512.1718266919106</v>
      </c>
      <c r="AO111" s="123">
        <v>4802.4117696621643</v>
      </c>
      <c r="AP111" s="123">
        <v>4614.1041250225444</v>
      </c>
      <c r="AQ111" s="123">
        <v>4544.5929173131826</v>
      </c>
      <c r="AR111" s="123">
        <v>4610.629517164487</v>
      </c>
      <c r="AS111" s="123">
        <v>5000.9955349525326</v>
      </c>
      <c r="AT111" s="123">
        <v>4933.6814127077141</v>
      </c>
      <c r="AU111" s="123">
        <v>4858.5363562271741</v>
      </c>
      <c r="AV111" s="123">
        <v>4569.5723700125318</v>
      </c>
      <c r="AW111" s="123">
        <v>4424.1680185405849</v>
      </c>
      <c r="AX111" s="123">
        <v>4345.5676666275103</v>
      </c>
      <c r="AY111" s="123">
        <v>4605.0755954543592</v>
      </c>
    </row>
    <row r="112" spans="1:52" x14ac:dyDescent="0.2">
      <c r="A112" s="126"/>
      <c r="B112" s="136">
        <v>4</v>
      </c>
      <c r="C112" s="123">
        <v>0</v>
      </c>
      <c r="D112" s="123">
        <v>0</v>
      </c>
      <c r="E112" s="123">
        <v>0</v>
      </c>
      <c r="F112" s="123">
        <v>0</v>
      </c>
      <c r="G112" s="123">
        <v>0</v>
      </c>
      <c r="H112" s="123">
        <v>0</v>
      </c>
      <c r="I112" s="123">
        <v>1686.6435253422451</v>
      </c>
      <c r="J112" s="123">
        <v>3728.5790959430797</v>
      </c>
      <c r="K112" s="123">
        <v>3949.1114387198545</v>
      </c>
      <c r="L112" s="123">
        <v>4563.0578835541473</v>
      </c>
      <c r="M112" s="123">
        <v>4586.6520007361232</v>
      </c>
      <c r="N112" s="123">
        <v>4660.1350579616283</v>
      </c>
      <c r="O112" s="123">
        <v>4457.4827995117294</v>
      </c>
      <c r="P112" s="123">
        <v>4736.4212581656857</v>
      </c>
      <c r="Q112" s="123">
        <v>4829.4849378400368</v>
      </c>
      <c r="R112" s="123">
        <v>4732.4872935164713</v>
      </c>
      <c r="S112" s="123">
        <v>4773.5815004374099</v>
      </c>
      <c r="T112" s="123">
        <v>4780.9717818680201</v>
      </c>
      <c r="U112" s="123">
        <v>4738.1559873042834</v>
      </c>
      <c r="V112" s="123">
        <v>4806.1910069727082</v>
      </c>
      <c r="W112" s="123">
        <v>4567.6838995377257</v>
      </c>
      <c r="X112" s="123">
        <v>4698.0976522896572</v>
      </c>
      <c r="Y112" s="123">
        <v>4949.6192074528917</v>
      </c>
      <c r="Z112" s="123">
        <v>4848.0540917975131</v>
      </c>
      <c r="AA112" s="123">
        <v>4853.2216511456654</v>
      </c>
      <c r="AB112" s="123">
        <v>4680.0931035651674</v>
      </c>
      <c r="AC112" s="123">
        <v>4709.6141371379081</v>
      </c>
      <c r="AD112" s="123">
        <v>4857.2658561823691</v>
      </c>
      <c r="AE112" s="123">
        <v>5041.0557460836544</v>
      </c>
      <c r="AF112" s="123">
        <v>4889.762379183685</v>
      </c>
      <c r="AG112" s="123">
        <v>4793.4643612184309</v>
      </c>
      <c r="AH112" s="123">
        <v>4719.174543469916</v>
      </c>
      <c r="AI112" s="123">
        <v>4832.375723756606</v>
      </c>
      <c r="AJ112" s="123">
        <v>4765.8388576206908</v>
      </c>
      <c r="AK112" s="123">
        <v>4766.6261269797042</v>
      </c>
      <c r="AL112" s="123">
        <v>4802.5485165192586</v>
      </c>
      <c r="AM112" s="123">
        <v>4463.0050961954303</v>
      </c>
      <c r="AN112" s="123">
        <v>4893.272583292659</v>
      </c>
      <c r="AO112" s="123">
        <v>4512.1718266919106</v>
      </c>
      <c r="AP112" s="123">
        <v>4802.4117696621643</v>
      </c>
      <c r="AQ112" s="123">
        <v>4614.1041250225444</v>
      </c>
      <c r="AR112" s="123">
        <v>4544.5929173131826</v>
      </c>
      <c r="AS112" s="123">
        <v>4610.629517164487</v>
      </c>
      <c r="AT112" s="123">
        <v>5000.9955349525326</v>
      </c>
      <c r="AU112" s="123">
        <v>4933.6814127077141</v>
      </c>
      <c r="AV112" s="123">
        <v>4858.5363562271741</v>
      </c>
      <c r="AW112" s="123">
        <v>4569.5723700125318</v>
      </c>
      <c r="AX112" s="123">
        <v>4424.1680185405849</v>
      </c>
      <c r="AY112" s="123">
        <v>4345.5676666275103</v>
      </c>
    </row>
    <row r="113" spans="1:52" x14ac:dyDescent="0.2">
      <c r="A113" s="126"/>
      <c r="B113" s="136">
        <v>5</v>
      </c>
      <c r="C113" s="123">
        <v>0</v>
      </c>
      <c r="D113" s="123">
        <v>0</v>
      </c>
      <c r="E113" s="123">
        <v>0</v>
      </c>
      <c r="F113" s="123">
        <v>0</v>
      </c>
      <c r="G113" s="123">
        <v>0</v>
      </c>
      <c r="H113" s="123">
        <v>0</v>
      </c>
      <c r="I113" s="123">
        <v>0</v>
      </c>
      <c r="J113" s="123">
        <v>821.64352534224508</v>
      </c>
      <c r="K113" s="123">
        <v>3719.2226212853247</v>
      </c>
      <c r="L113" s="123">
        <v>3949.1114387198545</v>
      </c>
      <c r="M113" s="123">
        <v>4563.0578835541473</v>
      </c>
      <c r="N113" s="123">
        <v>4586.6520007361232</v>
      </c>
      <c r="O113" s="123">
        <v>4660.1350579616283</v>
      </c>
      <c r="P113" s="123">
        <v>4457.4827995117294</v>
      </c>
      <c r="Q113" s="123">
        <v>4736.4212581656857</v>
      </c>
      <c r="R113" s="123">
        <v>4829.4849378400368</v>
      </c>
      <c r="S113" s="123">
        <v>4732.4872935164713</v>
      </c>
      <c r="T113" s="123">
        <v>4773.5815004374099</v>
      </c>
      <c r="U113" s="123">
        <v>4780.9717818680201</v>
      </c>
      <c r="V113" s="123">
        <v>4738.1559873042834</v>
      </c>
      <c r="W113" s="123">
        <v>4806.1910069727082</v>
      </c>
      <c r="X113" s="123">
        <v>4567.6838995377257</v>
      </c>
      <c r="Y113" s="123">
        <v>4698.0976522896572</v>
      </c>
      <c r="Z113" s="123">
        <v>4949.6192074528917</v>
      </c>
      <c r="AA113" s="123">
        <v>4848.0540917975131</v>
      </c>
      <c r="AB113" s="123">
        <v>4853.2216511456654</v>
      </c>
      <c r="AC113" s="123">
        <v>4680.0931035651674</v>
      </c>
      <c r="AD113" s="123">
        <v>4709.6141371379081</v>
      </c>
      <c r="AE113" s="123">
        <v>4857.2658561823691</v>
      </c>
      <c r="AF113" s="123">
        <v>5041.0557460836544</v>
      </c>
      <c r="AG113" s="123">
        <v>4889.762379183685</v>
      </c>
      <c r="AH113" s="123">
        <v>4793.4643612184309</v>
      </c>
      <c r="AI113" s="123">
        <v>4719.174543469916</v>
      </c>
      <c r="AJ113" s="123">
        <v>4832.375723756606</v>
      </c>
      <c r="AK113" s="123">
        <v>4765.8388576206908</v>
      </c>
      <c r="AL113" s="123">
        <v>4766.6261269797042</v>
      </c>
      <c r="AM113" s="123">
        <v>4802.5485165192586</v>
      </c>
      <c r="AN113" s="123">
        <v>4463.0050961954303</v>
      </c>
      <c r="AO113" s="123">
        <v>4893.272583292659</v>
      </c>
      <c r="AP113" s="123">
        <v>4512.1718266919106</v>
      </c>
      <c r="AQ113" s="123">
        <v>4802.4117696621643</v>
      </c>
      <c r="AR113" s="123">
        <v>4614.1041250225444</v>
      </c>
      <c r="AS113" s="123">
        <v>4544.5929173131826</v>
      </c>
      <c r="AT113" s="123">
        <v>4610.629517164487</v>
      </c>
      <c r="AU113" s="123">
        <v>5000.9955349525326</v>
      </c>
      <c r="AV113" s="123">
        <v>4933.6814127077141</v>
      </c>
      <c r="AW113" s="123">
        <v>4858.5363562271741</v>
      </c>
      <c r="AX113" s="123">
        <v>4569.5723700125318</v>
      </c>
      <c r="AY113" s="123">
        <v>4424.1680185405849</v>
      </c>
    </row>
    <row r="114" spans="1:52" x14ac:dyDescent="0.2">
      <c r="A114" s="126"/>
      <c r="B114" s="136">
        <v>6</v>
      </c>
      <c r="C114" s="123">
        <v>0</v>
      </c>
      <c r="D114" s="123">
        <v>0</v>
      </c>
      <c r="E114" s="123">
        <v>0</v>
      </c>
      <c r="F114" s="123">
        <v>0</v>
      </c>
      <c r="G114" s="123">
        <v>0</v>
      </c>
      <c r="H114" s="123">
        <v>0</v>
      </c>
      <c r="I114" s="123">
        <v>0</v>
      </c>
      <c r="J114" s="123">
        <v>0</v>
      </c>
      <c r="K114" s="123">
        <v>0</v>
      </c>
      <c r="L114" s="123">
        <v>3015.2226212853247</v>
      </c>
      <c r="M114" s="123">
        <v>3949.1114387198545</v>
      </c>
      <c r="N114" s="123">
        <v>4563.0578835541473</v>
      </c>
      <c r="O114" s="123">
        <v>4586.6520007361232</v>
      </c>
      <c r="P114" s="123">
        <v>4660.1350579616283</v>
      </c>
      <c r="Q114" s="123">
        <v>4457.4827995117294</v>
      </c>
      <c r="R114" s="123">
        <v>4701.3907386897727</v>
      </c>
      <c r="S114" s="123">
        <v>4829.4849378400368</v>
      </c>
      <c r="T114" s="123">
        <v>4732.4872935164713</v>
      </c>
      <c r="U114" s="123">
        <v>4470.6418044474667</v>
      </c>
      <c r="V114" s="123">
        <v>4623.9809447231046</v>
      </c>
      <c r="W114" s="123">
        <v>4352.3125308500867</v>
      </c>
      <c r="X114" s="123">
        <v>4806.1910069727082</v>
      </c>
      <c r="Y114" s="123">
        <v>4567.6838995377257</v>
      </c>
      <c r="Z114" s="123">
        <v>4298.0587527521848</v>
      </c>
      <c r="AA114" s="123">
        <v>3833.4353351603186</v>
      </c>
      <c r="AB114" s="123">
        <v>4208.3158073484146</v>
      </c>
      <c r="AC114" s="123">
        <v>4497.5924954193706</v>
      </c>
      <c r="AD114" s="123">
        <v>4680.0931035651674</v>
      </c>
      <c r="AE114" s="123">
        <v>4477.0777019547322</v>
      </c>
      <c r="AF114" s="123">
        <v>4857.2658561823691</v>
      </c>
      <c r="AG114" s="123">
        <v>5041.0557460836544</v>
      </c>
      <c r="AH114" s="123">
        <v>4889.762379183685</v>
      </c>
      <c r="AI114" s="123">
        <v>4793.4643612184309</v>
      </c>
      <c r="AJ114" s="123">
        <v>4367.1554550163273</v>
      </c>
      <c r="AK114" s="123">
        <v>4832.375723756606</v>
      </c>
      <c r="AL114" s="123">
        <v>4765.8388576206908</v>
      </c>
      <c r="AM114" s="123">
        <v>4766.6261269797042</v>
      </c>
      <c r="AN114" s="123">
        <v>4802.5485165192586</v>
      </c>
      <c r="AO114" s="123">
        <v>4463.0050961954303</v>
      </c>
      <c r="AP114" s="123">
        <v>4893.272583292659</v>
      </c>
      <c r="AQ114" s="123">
        <v>4482.0181177264303</v>
      </c>
      <c r="AR114" s="123">
        <v>4680.340052398602</v>
      </c>
      <c r="AS114" s="123">
        <v>4614.1041250225444</v>
      </c>
      <c r="AT114" s="123">
        <v>4544.5929173131826</v>
      </c>
      <c r="AU114" s="123">
        <v>4610.629517164487</v>
      </c>
      <c r="AV114" s="123">
        <v>5000.9955349525326</v>
      </c>
      <c r="AW114" s="123">
        <v>4933.6814127077141</v>
      </c>
      <c r="AX114" s="123">
        <v>4858.5363562271741</v>
      </c>
      <c r="AY114" s="123">
        <v>4569.5723700125318</v>
      </c>
    </row>
    <row r="115" spans="1:52" x14ac:dyDescent="0.2">
      <c r="A115" s="126"/>
      <c r="B115" s="143">
        <v>7</v>
      </c>
      <c r="C115" s="123">
        <v>0</v>
      </c>
      <c r="D115" s="123">
        <v>0</v>
      </c>
      <c r="E115" s="123">
        <v>0</v>
      </c>
      <c r="F115" s="123">
        <v>0</v>
      </c>
      <c r="G115" s="123">
        <v>0</v>
      </c>
      <c r="H115" s="123">
        <v>0</v>
      </c>
      <c r="I115" s="123">
        <v>0</v>
      </c>
      <c r="J115" s="123">
        <v>0</v>
      </c>
      <c r="K115" s="123">
        <v>0</v>
      </c>
      <c r="L115" s="123">
        <v>0</v>
      </c>
      <c r="M115" s="123">
        <v>1256.4676758559081</v>
      </c>
      <c r="N115" s="123">
        <v>633.14362325387947</v>
      </c>
      <c r="O115" s="123">
        <v>431.06021245339207</v>
      </c>
      <c r="P115" s="123">
        <v>144.3214126275434</v>
      </c>
      <c r="Q115" s="123">
        <v>197.1627405074014</v>
      </c>
      <c r="R115" s="123">
        <v>0</v>
      </c>
      <c r="S115" s="123">
        <v>1939.412880879875</v>
      </c>
      <c r="T115" s="123">
        <v>502.96344277479329</v>
      </c>
      <c r="U115" s="123">
        <v>0</v>
      </c>
      <c r="V115" s="123">
        <v>0</v>
      </c>
      <c r="W115" s="123">
        <v>0</v>
      </c>
      <c r="X115" s="123">
        <v>164.24144704019182</v>
      </c>
      <c r="Y115" s="123">
        <v>1256.1348794509177</v>
      </c>
      <c r="Z115" s="123">
        <v>0</v>
      </c>
      <c r="AA115" s="123">
        <v>0</v>
      </c>
      <c r="AB115" s="123">
        <v>0</v>
      </c>
      <c r="AC115" s="123">
        <v>0</v>
      </c>
      <c r="AD115" s="123">
        <v>80.298765337600344</v>
      </c>
      <c r="AE115" s="123">
        <v>0</v>
      </c>
      <c r="AF115" s="123">
        <v>111.78397187296196</v>
      </c>
      <c r="AG115" s="123">
        <v>503.70756273345978</v>
      </c>
      <c r="AH115" s="123">
        <v>909.73691576710826</v>
      </c>
      <c r="AI115" s="123">
        <v>2888.205564869023</v>
      </c>
      <c r="AJ115" s="123">
        <v>0</v>
      </c>
      <c r="AK115" s="123">
        <v>1899.1775972064224</v>
      </c>
      <c r="AL115" s="123">
        <v>360.19492414470733</v>
      </c>
      <c r="AM115" s="123">
        <v>1829.3933932488044</v>
      </c>
      <c r="AN115" s="123">
        <v>2498.076642732427</v>
      </c>
      <c r="AO115" s="123">
        <v>3413.7548146564823</v>
      </c>
      <c r="AP115" s="123">
        <v>62.04897485312631</v>
      </c>
      <c r="AQ115" s="123">
        <v>0</v>
      </c>
      <c r="AR115" s="123">
        <v>0</v>
      </c>
      <c r="AS115" s="123">
        <v>1949.1722484542697</v>
      </c>
      <c r="AT115" s="123">
        <v>3429.7861041069473</v>
      </c>
      <c r="AU115" s="123">
        <v>3721.512747555249</v>
      </c>
      <c r="AV115" s="123">
        <v>870.81239909091937</v>
      </c>
      <c r="AW115" s="123">
        <v>874.17338844955884</v>
      </c>
      <c r="AX115" s="123">
        <v>1178.8769433473753</v>
      </c>
      <c r="AY115" s="123">
        <v>3093.042421349825</v>
      </c>
    </row>
    <row r="116" spans="1:52" x14ac:dyDescent="0.2">
      <c r="A116" s="126"/>
      <c r="B116" s="143">
        <v>8</v>
      </c>
      <c r="C116" s="123">
        <v>0</v>
      </c>
      <c r="D116" s="123">
        <v>0</v>
      </c>
      <c r="E116" s="123">
        <v>0</v>
      </c>
      <c r="F116" s="123">
        <v>0</v>
      </c>
      <c r="G116" s="123">
        <v>0</v>
      </c>
      <c r="H116" s="123">
        <v>0</v>
      </c>
      <c r="I116" s="123">
        <v>0</v>
      </c>
      <c r="J116" s="123">
        <v>0</v>
      </c>
      <c r="K116" s="123">
        <v>0</v>
      </c>
      <c r="L116" s="123">
        <v>0</v>
      </c>
      <c r="M116" s="123">
        <v>0</v>
      </c>
      <c r="N116" s="123">
        <v>0</v>
      </c>
      <c r="O116" s="123">
        <v>0</v>
      </c>
      <c r="P116" s="123">
        <v>0</v>
      </c>
      <c r="Q116" s="123">
        <v>0</v>
      </c>
      <c r="R116" s="123">
        <v>0</v>
      </c>
      <c r="S116" s="123">
        <v>0</v>
      </c>
      <c r="T116" s="123">
        <v>0</v>
      </c>
      <c r="U116" s="123">
        <v>0</v>
      </c>
      <c r="V116" s="123">
        <v>0</v>
      </c>
      <c r="W116" s="123">
        <v>0</v>
      </c>
      <c r="X116" s="123">
        <v>0</v>
      </c>
      <c r="Y116" s="123">
        <v>0</v>
      </c>
      <c r="Z116" s="123">
        <v>0</v>
      </c>
      <c r="AA116" s="123">
        <v>0</v>
      </c>
      <c r="AB116" s="123">
        <v>0</v>
      </c>
      <c r="AC116" s="123">
        <v>0</v>
      </c>
      <c r="AD116" s="123">
        <v>0</v>
      </c>
      <c r="AE116" s="123">
        <v>0</v>
      </c>
      <c r="AF116" s="123">
        <v>0</v>
      </c>
      <c r="AG116" s="123">
        <v>0</v>
      </c>
      <c r="AH116" s="123">
        <v>0</v>
      </c>
      <c r="AI116" s="123">
        <v>0</v>
      </c>
      <c r="AJ116" s="123">
        <v>0</v>
      </c>
      <c r="AK116" s="123">
        <v>0</v>
      </c>
      <c r="AL116" s="123">
        <v>0</v>
      </c>
      <c r="AM116" s="123">
        <v>0</v>
      </c>
      <c r="AN116" s="123">
        <v>0</v>
      </c>
      <c r="AO116" s="123">
        <v>0</v>
      </c>
      <c r="AP116" s="123">
        <v>0</v>
      </c>
      <c r="AQ116" s="123">
        <v>0</v>
      </c>
      <c r="AR116" s="123">
        <v>0</v>
      </c>
      <c r="AS116" s="123">
        <v>0</v>
      </c>
      <c r="AT116" s="123">
        <v>0</v>
      </c>
      <c r="AU116" s="123">
        <v>0</v>
      </c>
      <c r="AV116" s="123">
        <v>0</v>
      </c>
      <c r="AW116" s="123">
        <v>0</v>
      </c>
      <c r="AX116" s="123">
        <v>0</v>
      </c>
      <c r="AY116" s="123">
        <v>0</v>
      </c>
    </row>
    <row r="117" spans="1:52" x14ac:dyDescent="0.2">
      <c r="A117" s="126"/>
      <c r="B117" s="143">
        <v>9</v>
      </c>
      <c r="C117" s="123">
        <v>0</v>
      </c>
      <c r="D117" s="123">
        <v>0</v>
      </c>
      <c r="E117" s="123">
        <v>0</v>
      </c>
      <c r="F117" s="123">
        <v>0</v>
      </c>
      <c r="G117" s="123">
        <v>0</v>
      </c>
      <c r="H117" s="123">
        <v>0</v>
      </c>
      <c r="I117" s="123">
        <v>0</v>
      </c>
      <c r="J117" s="123">
        <v>0</v>
      </c>
      <c r="K117" s="123">
        <v>0</v>
      </c>
      <c r="L117" s="123">
        <v>0</v>
      </c>
      <c r="M117" s="123">
        <v>0</v>
      </c>
      <c r="N117" s="123">
        <v>0</v>
      </c>
      <c r="O117" s="123">
        <v>0</v>
      </c>
      <c r="P117" s="123">
        <v>0</v>
      </c>
      <c r="Q117" s="123">
        <v>0</v>
      </c>
      <c r="R117" s="123">
        <v>0</v>
      </c>
      <c r="S117" s="123">
        <v>0</v>
      </c>
      <c r="T117" s="123">
        <v>0</v>
      </c>
      <c r="U117" s="123">
        <v>0</v>
      </c>
      <c r="V117" s="123">
        <v>0</v>
      </c>
      <c r="W117" s="123">
        <v>0</v>
      </c>
      <c r="X117" s="123">
        <v>0</v>
      </c>
      <c r="Y117" s="123">
        <v>0</v>
      </c>
      <c r="Z117" s="123">
        <v>0</v>
      </c>
      <c r="AA117" s="123">
        <v>0</v>
      </c>
      <c r="AB117" s="123">
        <v>0</v>
      </c>
      <c r="AC117" s="123">
        <v>0</v>
      </c>
      <c r="AD117" s="123">
        <v>0</v>
      </c>
      <c r="AE117" s="123">
        <v>0</v>
      </c>
      <c r="AF117" s="123">
        <v>0</v>
      </c>
      <c r="AG117" s="123">
        <v>0</v>
      </c>
      <c r="AH117" s="123">
        <v>0</v>
      </c>
      <c r="AI117" s="123">
        <v>0</v>
      </c>
      <c r="AJ117" s="123">
        <v>0</v>
      </c>
      <c r="AK117" s="123">
        <v>0</v>
      </c>
      <c r="AL117" s="123">
        <v>0</v>
      </c>
      <c r="AM117" s="123">
        <v>0</v>
      </c>
      <c r="AN117" s="123">
        <v>0</v>
      </c>
      <c r="AO117" s="123">
        <v>0</v>
      </c>
      <c r="AP117" s="123">
        <v>0</v>
      </c>
      <c r="AQ117" s="123">
        <v>0</v>
      </c>
      <c r="AR117" s="123">
        <v>0</v>
      </c>
      <c r="AS117" s="123">
        <v>0</v>
      </c>
      <c r="AT117" s="123">
        <v>0</v>
      </c>
      <c r="AU117" s="123">
        <v>0</v>
      </c>
      <c r="AV117" s="123">
        <v>0</v>
      </c>
      <c r="AW117" s="123">
        <v>0</v>
      </c>
      <c r="AX117" s="123">
        <v>0</v>
      </c>
      <c r="AY117" s="123">
        <v>0</v>
      </c>
    </row>
    <row r="118" spans="1:52" x14ac:dyDescent="0.2">
      <c r="A118" s="126"/>
      <c r="B118" s="146">
        <v>10</v>
      </c>
      <c r="C118" s="123">
        <v>0</v>
      </c>
      <c r="D118" s="123">
        <v>0</v>
      </c>
      <c r="E118" s="123">
        <v>0</v>
      </c>
      <c r="F118" s="123">
        <v>0</v>
      </c>
      <c r="G118" s="123">
        <v>0</v>
      </c>
      <c r="H118" s="123">
        <v>0</v>
      </c>
      <c r="I118" s="123">
        <v>0</v>
      </c>
      <c r="J118" s="123">
        <v>0</v>
      </c>
      <c r="K118" s="123">
        <v>0</v>
      </c>
      <c r="L118" s="123">
        <v>0</v>
      </c>
      <c r="M118" s="123">
        <v>0</v>
      </c>
      <c r="N118" s="123">
        <v>0</v>
      </c>
      <c r="O118" s="123">
        <v>0</v>
      </c>
      <c r="P118" s="123">
        <v>0</v>
      </c>
      <c r="Q118" s="123">
        <v>0</v>
      </c>
      <c r="R118" s="123">
        <v>0</v>
      </c>
      <c r="S118" s="123">
        <v>0</v>
      </c>
      <c r="T118" s="123">
        <v>0</v>
      </c>
      <c r="U118" s="123">
        <v>0</v>
      </c>
      <c r="V118" s="123">
        <v>0</v>
      </c>
      <c r="W118" s="123">
        <v>0</v>
      </c>
      <c r="X118" s="123">
        <v>0</v>
      </c>
      <c r="Y118" s="123">
        <v>0</v>
      </c>
      <c r="Z118" s="123">
        <v>0</v>
      </c>
      <c r="AA118" s="123">
        <v>0</v>
      </c>
      <c r="AB118" s="123">
        <v>0</v>
      </c>
      <c r="AC118" s="123">
        <v>0</v>
      </c>
      <c r="AD118" s="123">
        <v>0</v>
      </c>
      <c r="AE118" s="123">
        <v>0</v>
      </c>
      <c r="AF118" s="123">
        <v>0</v>
      </c>
      <c r="AG118" s="123">
        <v>0</v>
      </c>
      <c r="AH118" s="123">
        <v>0</v>
      </c>
      <c r="AI118" s="123">
        <v>0</v>
      </c>
      <c r="AJ118" s="123">
        <v>0</v>
      </c>
      <c r="AK118" s="123">
        <v>0</v>
      </c>
      <c r="AL118" s="123">
        <v>0</v>
      </c>
      <c r="AM118" s="123">
        <v>0</v>
      </c>
      <c r="AN118" s="123">
        <v>0</v>
      </c>
      <c r="AO118" s="123">
        <v>0</v>
      </c>
      <c r="AP118" s="123">
        <v>0</v>
      </c>
      <c r="AQ118" s="123">
        <v>0</v>
      </c>
      <c r="AR118" s="123">
        <v>0</v>
      </c>
      <c r="AS118" s="123">
        <v>0</v>
      </c>
      <c r="AT118" s="123">
        <v>0</v>
      </c>
      <c r="AU118" s="123">
        <v>0</v>
      </c>
      <c r="AV118" s="123">
        <v>0</v>
      </c>
      <c r="AW118" s="123">
        <v>0</v>
      </c>
      <c r="AX118" s="123">
        <v>0</v>
      </c>
      <c r="AY118" s="123">
        <v>0</v>
      </c>
    </row>
    <row r="119" spans="1:52" x14ac:dyDescent="0.2">
      <c r="A119" s="126"/>
      <c r="B119" s="146">
        <v>11</v>
      </c>
      <c r="C119" s="123">
        <v>0</v>
      </c>
      <c r="D119" s="123">
        <v>0</v>
      </c>
      <c r="E119" s="123">
        <v>0</v>
      </c>
      <c r="F119" s="123">
        <v>0</v>
      </c>
      <c r="G119" s="123">
        <v>0</v>
      </c>
      <c r="H119" s="123">
        <v>0</v>
      </c>
      <c r="I119" s="123">
        <v>0</v>
      </c>
      <c r="J119" s="123">
        <v>0</v>
      </c>
      <c r="K119" s="123">
        <v>0</v>
      </c>
      <c r="L119" s="123">
        <v>0</v>
      </c>
      <c r="M119" s="123">
        <v>0</v>
      </c>
      <c r="N119" s="123">
        <v>0</v>
      </c>
      <c r="O119" s="123">
        <v>0</v>
      </c>
      <c r="P119" s="123">
        <v>0</v>
      </c>
      <c r="Q119" s="123">
        <v>0</v>
      </c>
      <c r="R119" s="123">
        <v>0</v>
      </c>
      <c r="S119" s="123">
        <v>0</v>
      </c>
      <c r="T119" s="123">
        <v>0</v>
      </c>
      <c r="U119" s="123">
        <v>0</v>
      </c>
      <c r="V119" s="123">
        <v>0</v>
      </c>
      <c r="W119" s="123">
        <v>0</v>
      </c>
      <c r="X119" s="123">
        <v>0</v>
      </c>
      <c r="Y119" s="123">
        <v>0</v>
      </c>
      <c r="Z119" s="123">
        <v>0</v>
      </c>
      <c r="AA119" s="123">
        <v>0</v>
      </c>
      <c r="AB119" s="123">
        <v>0</v>
      </c>
      <c r="AC119" s="123">
        <v>0</v>
      </c>
      <c r="AD119" s="123">
        <v>0</v>
      </c>
      <c r="AE119" s="123">
        <v>0</v>
      </c>
      <c r="AF119" s="123">
        <v>0</v>
      </c>
      <c r="AG119" s="123">
        <v>0</v>
      </c>
      <c r="AH119" s="123">
        <v>0</v>
      </c>
      <c r="AI119" s="123">
        <v>0</v>
      </c>
      <c r="AJ119" s="123">
        <v>0</v>
      </c>
      <c r="AK119" s="123">
        <v>0</v>
      </c>
      <c r="AL119" s="123">
        <v>0</v>
      </c>
      <c r="AM119" s="123">
        <v>0</v>
      </c>
      <c r="AN119" s="123">
        <v>0</v>
      </c>
      <c r="AO119" s="123">
        <v>0</v>
      </c>
      <c r="AP119" s="123">
        <v>0</v>
      </c>
      <c r="AQ119" s="123">
        <v>0</v>
      </c>
      <c r="AR119" s="123">
        <v>0</v>
      </c>
      <c r="AS119" s="123">
        <v>0</v>
      </c>
      <c r="AT119" s="123">
        <v>0</v>
      </c>
      <c r="AU119" s="123">
        <v>0</v>
      </c>
      <c r="AV119" s="123">
        <v>0</v>
      </c>
      <c r="AW119" s="123">
        <v>0</v>
      </c>
      <c r="AX119" s="123">
        <v>0</v>
      </c>
      <c r="AY119" s="123">
        <v>0</v>
      </c>
    </row>
    <row r="120" spans="1:52" x14ac:dyDescent="0.2">
      <c r="A120" s="126"/>
      <c r="B120" s="146">
        <v>12</v>
      </c>
      <c r="C120" s="123">
        <v>0</v>
      </c>
      <c r="D120" s="123">
        <v>0</v>
      </c>
      <c r="E120" s="123">
        <v>0</v>
      </c>
      <c r="F120" s="123">
        <v>0</v>
      </c>
      <c r="G120" s="123">
        <v>0</v>
      </c>
      <c r="H120" s="123">
        <v>0</v>
      </c>
      <c r="I120" s="123">
        <v>0</v>
      </c>
      <c r="J120" s="123">
        <v>0</v>
      </c>
      <c r="K120" s="123">
        <v>0</v>
      </c>
      <c r="L120" s="123">
        <v>0</v>
      </c>
      <c r="M120" s="123">
        <v>0</v>
      </c>
      <c r="N120" s="123">
        <v>0</v>
      </c>
      <c r="O120" s="123">
        <v>0</v>
      </c>
      <c r="P120" s="123">
        <v>0</v>
      </c>
      <c r="Q120" s="123">
        <v>0</v>
      </c>
      <c r="R120" s="123">
        <v>0</v>
      </c>
      <c r="S120" s="123">
        <v>0</v>
      </c>
      <c r="T120" s="123">
        <v>0</v>
      </c>
      <c r="U120" s="123">
        <v>0</v>
      </c>
      <c r="V120" s="123">
        <v>0</v>
      </c>
      <c r="W120" s="123">
        <v>0</v>
      </c>
      <c r="X120" s="123">
        <v>0</v>
      </c>
      <c r="Y120" s="123">
        <v>0</v>
      </c>
      <c r="Z120" s="123">
        <v>0</v>
      </c>
      <c r="AA120" s="123">
        <v>0</v>
      </c>
      <c r="AB120" s="123">
        <v>0</v>
      </c>
      <c r="AC120" s="123">
        <v>0</v>
      </c>
      <c r="AD120" s="123">
        <v>0</v>
      </c>
      <c r="AE120" s="123">
        <v>0</v>
      </c>
      <c r="AF120" s="123">
        <v>0</v>
      </c>
      <c r="AG120" s="123">
        <v>0</v>
      </c>
      <c r="AH120" s="123">
        <v>0</v>
      </c>
      <c r="AI120" s="123">
        <v>0</v>
      </c>
      <c r="AJ120" s="123">
        <v>0</v>
      </c>
      <c r="AK120" s="123">
        <v>0</v>
      </c>
      <c r="AL120" s="123">
        <v>0</v>
      </c>
      <c r="AM120" s="123">
        <v>0</v>
      </c>
      <c r="AN120" s="123">
        <v>0</v>
      </c>
      <c r="AO120" s="123">
        <v>0</v>
      </c>
      <c r="AP120" s="123">
        <v>0</v>
      </c>
      <c r="AQ120" s="123">
        <v>0</v>
      </c>
      <c r="AR120" s="123">
        <v>0</v>
      </c>
      <c r="AS120" s="123">
        <v>0</v>
      </c>
      <c r="AT120" s="123">
        <v>0</v>
      </c>
      <c r="AU120" s="123">
        <v>0</v>
      </c>
      <c r="AV120" s="123">
        <v>0</v>
      </c>
      <c r="AW120" s="123">
        <v>0</v>
      </c>
      <c r="AX120" s="123">
        <v>0</v>
      </c>
      <c r="AY120" s="123">
        <v>0</v>
      </c>
    </row>
    <row r="121" spans="1:52" x14ac:dyDescent="0.2">
      <c r="A121" s="144"/>
      <c r="B121" s="148" t="s">
        <v>296</v>
      </c>
      <c r="C121" s="130">
        <v>0</v>
      </c>
      <c r="D121" s="141">
        <v>0</v>
      </c>
      <c r="E121" s="141">
        <v>0</v>
      </c>
      <c r="F121" s="141">
        <v>0</v>
      </c>
      <c r="G121" s="141">
        <v>0</v>
      </c>
      <c r="H121" s="141">
        <v>0</v>
      </c>
      <c r="I121" s="141">
        <v>0</v>
      </c>
      <c r="J121" s="141">
        <v>0</v>
      </c>
      <c r="K121" s="141">
        <v>0</v>
      </c>
      <c r="L121" s="141">
        <v>0</v>
      </c>
      <c r="M121" s="141">
        <v>0</v>
      </c>
      <c r="N121" s="141">
        <v>0</v>
      </c>
      <c r="O121" s="141">
        <v>0</v>
      </c>
      <c r="P121" s="141">
        <v>0</v>
      </c>
      <c r="Q121" s="141">
        <v>0</v>
      </c>
      <c r="R121" s="141">
        <v>0</v>
      </c>
      <c r="S121" s="141">
        <v>0</v>
      </c>
      <c r="T121" s="141">
        <v>0</v>
      </c>
      <c r="U121" s="141">
        <v>0</v>
      </c>
      <c r="V121" s="141">
        <v>0</v>
      </c>
      <c r="W121" s="141">
        <v>0</v>
      </c>
      <c r="X121" s="141">
        <v>0</v>
      </c>
      <c r="Y121" s="141">
        <v>0</v>
      </c>
      <c r="Z121" s="141">
        <v>0</v>
      </c>
      <c r="AA121" s="141">
        <v>0</v>
      </c>
      <c r="AB121" s="141">
        <v>0</v>
      </c>
      <c r="AC121" s="141">
        <v>0</v>
      </c>
      <c r="AD121" s="141">
        <v>0</v>
      </c>
      <c r="AE121" s="141">
        <v>0</v>
      </c>
      <c r="AF121" s="141">
        <v>0</v>
      </c>
      <c r="AG121" s="141">
        <v>0</v>
      </c>
      <c r="AH121" s="141">
        <v>0</v>
      </c>
      <c r="AI121" s="141">
        <v>0</v>
      </c>
      <c r="AJ121" s="141">
        <v>0</v>
      </c>
      <c r="AK121" s="141">
        <v>0</v>
      </c>
      <c r="AL121" s="141">
        <v>0</v>
      </c>
      <c r="AM121" s="141">
        <v>0</v>
      </c>
      <c r="AN121" s="141">
        <v>0</v>
      </c>
      <c r="AO121" s="141">
        <v>0</v>
      </c>
      <c r="AP121" s="141">
        <v>0</v>
      </c>
      <c r="AQ121" s="141">
        <v>0</v>
      </c>
      <c r="AR121" s="141">
        <v>0</v>
      </c>
      <c r="AS121" s="141">
        <v>0</v>
      </c>
      <c r="AT121" s="141">
        <v>0</v>
      </c>
      <c r="AU121" s="141">
        <v>0</v>
      </c>
      <c r="AV121" s="141">
        <v>0</v>
      </c>
      <c r="AW121" s="141">
        <v>0</v>
      </c>
      <c r="AX121" s="141">
        <v>0</v>
      </c>
      <c r="AY121" s="141">
        <v>0</v>
      </c>
      <c r="AZ121" s="124">
        <f>SUM($D121:$AY121)</f>
        <v>0</v>
      </c>
    </row>
    <row r="122" spans="1:52" x14ac:dyDescent="0.2">
      <c r="A122" s="147" t="s">
        <v>123</v>
      </c>
      <c r="B122" s="135">
        <v>1</v>
      </c>
      <c r="C122" s="123">
        <v>1007.3512296560705</v>
      </c>
      <c r="D122" s="123">
        <v>4980.0710838098994</v>
      </c>
      <c r="E122" s="123">
        <v>5568.3986742678835</v>
      </c>
      <c r="F122" s="123">
        <v>5741.0710838098994</v>
      </c>
      <c r="G122" s="123">
        <v>5239.9597261150147</v>
      </c>
      <c r="H122" s="123">
        <v>5930.0710838098994</v>
      </c>
      <c r="I122" s="123">
        <v>5820.5544877965767</v>
      </c>
      <c r="J122" s="123">
        <v>5927.5755391578696</v>
      </c>
      <c r="K122" s="123">
        <v>5169.0710838098994</v>
      </c>
      <c r="L122" s="123">
        <v>5817.6658454914614</v>
      </c>
      <c r="M122" s="123">
        <v>5820.5544877965767</v>
      </c>
      <c r="N122" s="123">
        <v>5817.6658454914614</v>
      </c>
      <c r="O122" s="123">
        <v>5820.5544877965767</v>
      </c>
      <c r="P122" s="123">
        <v>6006.6658454914614</v>
      </c>
      <c r="Q122" s="123">
        <v>5820.5544877965767</v>
      </c>
      <c r="R122" s="123">
        <v>6006.6658454914614</v>
      </c>
      <c r="S122" s="123">
        <v>5239.9597261150147</v>
      </c>
      <c r="T122" s="123">
        <v>5484.0710838098994</v>
      </c>
      <c r="U122" s="123">
        <v>6006.6658454914614</v>
      </c>
      <c r="V122" s="123">
        <v>5820.5544877965767</v>
      </c>
      <c r="W122" s="123">
        <v>6006.6658454914614</v>
      </c>
      <c r="X122" s="123">
        <v>5554.9597261150147</v>
      </c>
      <c r="Y122" s="123">
        <v>5426.0710838098994</v>
      </c>
      <c r="Z122" s="123">
        <v>5631.5544877965767</v>
      </c>
      <c r="AA122" s="123">
        <v>6006.6658454914614</v>
      </c>
      <c r="AB122" s="123">
        <v>5820.5544877965767</v>
      </c>
      <c r="AC122" s="123">
        <v>6006.6658454914614</v>
      </c>
      <c r="AD122" s="123">
        <v>5820.5544877965767</v>
      </c>
      <c r="AE122" s="123">
        <v>6006.6658454914614</v>
      </c>
      <c r="AF122" s="123">
        <v>5820.5544877965767</v>
      </c>
      <c r="AG122" s="123">
        <v>5749.6658454914614</v>
      </c>
      <c r="AH122" s="123">
        <v>5930.0710838098994</v>
      </c>
      <c r="AI122" s="123">
        <v>5239.9597261150147</v>
      </c>
      <c r="AJ122" s="123">
        <v>6006.6658454914614</v>
      </c>
      <c r="AK122" s="123">
        <v>5239.9597261150147</v>
      </c>
      <c r="AL122" s="123">
        <v>5720.1803961205042</v>
      </c>
      <c r="AM122" s="123">
        <v>5426.0710838098994</v>
      </c>
      <c r="AN122" s="123">
        <v>5554.9597261150147</v>
      </c>
      <c r="AO122" s="123">
        <v>5426.0710838098994</v>
      </c>
      <c r="AP122" s="123">
        <v>5743.9597261150147</v>
      </c>
      <c r="AQ122" s="123">
        <v>6006.6658454914614</v>
      </c>
      <c r="AR122" s="123">
        <v>5820.5544877965767</v>
      </c>
      <c r="AS122" s="123">
        <v>5359.9632162337193</v>
      </c>
      <c r="AT122" s="123">
        <v>5328.5705289964089</v>
      </c>
      <c r="AU122" s="123">
        <v>5360.6451259686619</v>
      </c>
      <c r="AV122" s="123">
        <v>6229.7705289964088</v>
      </c>
      <c r="AW122" s="123">
        <v>5941.9123235136394</v>
      </c>
      <c r="AX122" s="123">
        <v>5832.5705289964089</v>
      </c>
      <c r="AY122" s="123">
        <v>5217.2983353412346</v>
      </c>
    </row>
    <row r="123" spans="1:52" x14ac:dyDescent="0.2">
      <c r="A123" s="126"/>
      <c r="B123" s="135">
        <v>2</v>
      </c>
      <c r="C123" s="123">
        <v>0</v>
      </c>
      <c r="D123" s="123">
        <v>0</v>
      </c>
      <c r="E123" s="123">
        <v>1905.3887306402012</v>
      </c>
      <c r="F123" s="123">
        <v>3392.1010226081412</v>
      </c>
      <c r="G123" s="123">
        <v>3485.8992955587405</v>
      </c>
      <c r="H123" s="123">
        <v>3878.4283382419881</v>
      </c>
      <c r="I123" s="123">
        <v>3598.1359405150984</v>
      </c>
      <c r="J123" s="123">
        <v>3456.5053306664668</v>
      </c>
      <c r="K123" s="123">
        <v>3520.0592129124648</v>
      </c>
      <c r="L123" s="123">
        <v>3650.2201372781215</v>
      </c>
      <c r="M123" s="123">
        <v>3643.7899257944819</v>
      </c>
      <c r="N123" s="123">
        <v>3456.5053306664668</v>
      </c>
      <c r="O123" s="123">
        <v>3643.7899257944819</v>
      </c>
      <c r="P123" s="123">
        <v>3642.6166883613514</v>
      </c>
      <c r="Q123" s="123">
        <v>3567.0265707508402</v>
      </c>
      <c r="R123" s="123">
        <v>3456.5053306664668</v>
      </c>
      <c r="S123" s="123">
        <v>3567.0265707508402</v>
      </c>
      <c r="T123" s="123">
        <v>3692.316980547103</v>
      </c>
      <c r="U123" s="123">
        <v>3522.2812122053856</v>
      </c>
      <c r="V123" s="123">
        <v>3567.0265707508402</v>
      </c>
      <c r="W123" s="123">
        <v>3642.6166883613514</v>
      </c>
      <c r="X123" s="123">
        <v>3567.0265707508402</v>
      </c>
      <c r="Y123" s="123">
        <v>3750.4894131692517</v>
      </c>
      <c r="Z123" s="123">
        <v>3802.8382206314764</v>
      </c>
      <c r="AA123" s="123">
        <v>3719.3800434049931</v>
      </c>
      <c r="AB123" s="123">
        <v>3567.0265707508402</v>
      </c>
      <c r="AC123" s="123">
        <v>3456.5053306664668</v>
      </c>
      <c r="AD123" s="123">
        <v>3567.0265707508402</v>
      </c>
      <c r="AE123" s="123">
        <v>3642.6166883613514</v>
      </c>
      <c r="AF123" s="123">
        <v>3567.0265707508402</v>
      </c>
      <c r="AG123" s="123">
        <v>3642.6166883613514</v>
      </c>
      <c r="AH123" s="123">
        <v>3414.4084873974853</v>
      </c>
      <c r="AI123" s="123">
        <v>3598.1359405150984</v>
      </c>
      <c r="AJ123" s="123">
        <v>3878.4283382419881</v>
      </c>
      <c r="AK123" s="123">
        <v>3567.0265707508402</v>
      </c>
      <c r="AL123" s="123">
        <v>3692.316980547103</v>
      </c>
      <c r="AM123" s="123">
        <v>3473.4934717646197</v>
      </c>
      <c r="AN123" s="123">
        <v>3222.2434589499144</v>
      </c>
      <c r="AO123" s="123">
        <v>3673.8946514876898</v>
      </c>
      <c r="AP123" s="123">
        <v>3802.8382206314764</v>
      </c>
      <c r="AQ123" s="123">
        <v>3487.6147004307254</v>
      </c>
      <c r="AR123" s="123">
        <v>3567.0265707508402</v>
      </c>
      <c r="AS123" s="123">
        <v>3642.6166883613514</v>
      </c>
      <c r="AT123" s="123">
        <v>3182.9856533310272</v>
      </c>
      <c r="AU123" s="123">
        <v>3164.3432729517681</v>
      </c>
      <c r="AV123" s="123">
        <v>3183.3906018009375</v>
      </c>
      <c r="AW123" s="123">
        <v>3888.516100648435</v>
      </c>
      <c r="AX123" s="123">
        <v>3528.5730360635462</v>
      </c>
      <c r="AY123" s="123">
        <v>3573.3153167388505</v>
      </c>
    </row>
    <row r="124" spans="1:52" x14ac:dyDescent="0.2">
      <c r="A124" s="126"/>
      <c r="B124" s="135">
        <v>3</v>
      </c>
      <c r="C124" s="123">
        <v>0</v>
      </c>
      <c r="D124" s="123">
        <v>0</v>
      </c>
      <c r="E124" s="123">
        <v>0</v>
      </c>
      <c r="F124" s="123">
        <v>47.00831603227266</v>
      </c>
      <c r="G124" s="123">
        <v>997.29679263005437</v>
      </c>
      <c r="H124" s="123">
        <v>1426.2614804833092</v>
      </c>
      <c r="I124" s="123">
        <v>1874.1618401475121</v>
      </c>
      <c r="J124" s="123">
        <v>2089.6949370565967</v>
      </c>
      <c r="K124" s="123">
        <v>2238.7386676830961</v>
      </c>
      <c r="L124" s="123">
        <v>2090.3684450000756</v>
      </c>
      <c r="M124" s="123">
        <v>2167.6638177790155</v>
      </c>
      <c r="N124" s="123">
        <v>2163.8452708833352</v>
      </c>
      <c r="O124" s="123">
        <v>2238.7386676830961</v>
      </c>
      <c r="P124" s="123">
        <v>2122.0068562388069</v>
      </c>
      <c r="Q124" s="123">
        <v>2163.1485500725848</v>
      </c>
      <c r="R124" s="123">
        <v>2118.2597606944883</v>
      </c>
      <c r="S124" s="123">
        <v>2052.6273099882114</v>
      </c>
      <c r="T124" s="123">
        <v>2118.2597606944883</v>
      </c>
      <c r="U124" s="123">
        <v>2378.7741619911703</v>
      </c>
      <c r="V124" s="123">
        <v>2091.6879674642705</v>
      </c>
      <c r="W124" s="123">
        <v>2118.2597606944883</v>
      </c>
      <c r="X124" s="123">
        <v>2163.1485500725848</v>
      </c>
      <c r="Y124" s="123">
        <v>2118.2597606944883</v>
      </c>
      <c r="Z124" s="123">
        <v>2227.2081940659145</v>
      </c>
      <c r="AA124" s="123">
        <v>2258.2952550025625</v>
      </c>
      <c r="AB124" s="123">
        <v>2208.7340602614322</v>
      </c>
      <c r="AC124" s="123">
        <v>2118.2597606944883</v>
      </c>
      <c r="AD124" s="123">
        <v>2052.6273099882114</v>
      </c>
      <c r="AE124" s="123">
        <v>2062.4577757062407</v>
      </c>
      <c r="AF124" s="123">
        <v>2163.1485500725848</v>
      </c>
      <c r="AG124" s="123">
        <v>2118.2597606944883</v>
      </c>
      <c r="AH124" s="123">
        <v>2163.1485500725848</v>
      </c>
      <c r="AI124" s="123">
        <v>2027.628323470941</v>
      </c>
      <c r="AJ124" s="123">
        <v>2136.7338944989701</v>
      </c>
      <c r="AK124" s="123">
        <v>2302.487419596052</v>
      </c>
      <c r="AL124" s="123">
        <v>2118.2597606944883</v>
      </c>
      <c r="AM124" s="123">
        <v>2378.7741619911703</v>
      </c>
      <c r="AN124" s="123">
        <v>2062.715627241661</v>
      </c>
      <c r="AO124" s="123">
        <v>1913.5121432016369</v>
      </c>
      <c r="AP124" s="123">
        <v>2766.2146302659116</v>
      </c>
      <c r="AQ124" s="123">
        <v>2258.2952550025625</v>
      </c>
      <c r="AR124" s="123">
        <v>2257.2128014875789</v>
      </c>
      <c r="AS124" s="123">
        <v>2118.2597606944883</v>
      </c>
      <c r="AT124" s="123">
        <v>2163.1485500725848</v>
      </c>
      <c r="AU124" s="123">
        <v>1890.1991040957491</v>
      </c>
      <c r="AV124" s="123">
        <v>1910.8632246140658</v>
      </c>
      <c r="AW124" s="123">
        <v>1643.6215313682405</v>
      </c>
      <c r="AX124" s="123">
        <v>2221.2305145733558</v>
      </c>
      <c r="AY124" s="123">
        <v>2095.4243336044624</v>
      </c>
    </row>
    <row r="125" spans="1:52" x14ac:dyDescent="0.2">
      <c r="A125" s="126"/>
      <c r="B125" s="135">
        <v>4</v>
      </c>
      <c r="C125" s="123">
        <v>0</v>
      </c>
      <c r="D125" s="123">
        <v>0</v>
      </c>
      <c r="E125" s="123">
        <v>0</v>
      </c>
      <c r="F125" s="123">
        <v>0</v>
      </c>
      <c r="G125" s="123">
        <v>0</v>
      </c>
      <c r="H125" s="123">
        <v>0</v>
      </c>
      <c r="I125" s="123">
        <v>0</v>
      </c>
      <c r="J125" s="123">
        <v>0</v>
      </c>
      <c r="K125" s="123">
        <v>46.954226018628106</v>
      </c>
      <c r="L125" s="123">
        <v>103.3465703157226</v>
      </c>
      <c r="M125" s="123">
        <v>258.72599634619746</v>
      </c>
      <c r="N125" s="123">
        <v>213.89868832643242</v>
      </c>
      <c r="O125" s="123">
        <v>50.010606068530933</v>
      </c>
      <c r="P125" s="123">
        <v>0</v>
      </c>
      <c r="Q125" s="123">
        <v>115.14248740017456</v>
      </c>
      <c r="R125" s="123">
        <v>251.9510173549379</v>
      </c>
      <c r="S125" s="123">
        <v>386.53706649559342</v>
      </c>
      <c r="T125" s="123">
        <v>272.59615194678827</v>
      </c>
      <c r="U125" s="123">
        <v>278.79706988851262</v>
      </c>
      <c r="V125" s="123">
        <v>457.18454390852742</v>
      </c>
      <c r="W125" s="123">
        <v>181.6343867617461</v>
      </c>
      <c r="X125" s="123">
        <v>237.77990933995602</v>
      </c>
      <c r="Y125" s="123">
        <v>300.7785982259345</v>
      </c>
      <c r="Z125" s="123">
        <v>297.53306574583644</v>
      </c>
      <c r="AA125" s="123">
        <v>427.30417134476306</v>
      </c>
      <c r="AB125" s="123">
        <v>442.82893814785302</v>
      </c>
      <c r="AC125" s="123">
        <v>220.61658641206213</v>
      </c>
      <c r="AD125" s="123">
        <v>178.92928130699511</v>
      </c>
      <c r="AE125" s="123">
        <v>186.11135769488465</v>
      </c>
      <c r="AF125" s="123">
        <v>183.3008226739064</v>
      </c>
      <c r="AG125" s="123">
        <v>225.42648231226212</v>
      </c>
      <c r="AH125" s="123">
        <v>316.78561240978775</v>
      </c>
      <c r="AI125" s="123">
        <v>122.69571486602013</v>
      </c>
      <c r="AJ125" s="123">
        <v>25.958495407132659</v>
      </c>
      <c r="AK125" s="123">
        <v>0</v>
      </c>
      <c r="AL125" s="123">
        <v>293.31991020996611</v>
      </c>
      <c r="AM125" s="123">
        <v>82.103763530553351</v>
      </c>
      <c r="AN125" s="123">
        <v>349.3792698821228</v>
      </c>
      <c r="AO125" s="123">
        <v>338.4097278810882</v>
      </c>
      <c r="AP125" s="123">
        <v>0</v>
      </c>
      <c r="AQ125" s="123">
        <v>394.70184830814287</v>
      </c>
      <c r="AR125" s="123">
        <v>317.4682219816433</v>
      </c>
      <c r="AS125" s="123">
        <v>129.96063442850937</v>
      </c>
      <c r="AT125" s="123">
        <v>218.09372630192274</v>
      </c>
      <c r="AU125" s="123">
        <v>284.08806311384114</v>
      </c>
      <c r="AV125" s="123">
        <v>14.188872059623236</v>
      </c>
      <c r="AW125" s="123">
        <v>0</v>
      </c>
      <c r="AX125" s="123">
        <v>0</v>
      </c>
      <c r="AY125" s="123">
        <v>87.477955667915921</v>
      </c>
    </row>
    <row r="126" spans="1:52" x14ac:dyDescent="0.2">
      <c r="A126" s="126"/>
      <c r="B126" s="135">
        <v>5</v>
      </c>
      <c r="C126" s="123">
        <v>0</v>
      </c>
      <c r="D126" s="123">
        <v>0</v>
      </c>
      <c r="E126" s="123">
        <v>0</v>
      </c>
      <c r="F126" s="123">
        <v>0</v>
      </c>
      <c r="G126" s="123">
        <v>0</v>
      </c>
      <c r="H126" s="123">
        <v>0</v>
      </c>
      <c r="I126" s="123">
        <v>0</v>
      </c>
      <c r="J126" s="123">
        <v>0</v>
      </c>
      <c r="K126" s="123">
        <v>0</v>
      </c>
      <c r="L126" s="123">
        <v>0</v>
      </c>
      <c r="M126" s="123">
        <v>0</v>
      </c>
      <c r="N126" s="123">
        <v>0</v>
      </c>
      <c r="O126" s="123">
        <v>0</v>
      </c>
      <c r="P126" s="123">
        <v>0</v>
      </c>
      <c r="Q126" s="123">
        <v>0</v>
      </c>
      <c r="R126" s="123">
        <v>0</v>
      </c>
      <c r="S126" s="123">
        <v>0</v>
      </c>
      <c r="T126" s="123">
        <v>0</v>
      </c>
      <c r="U126" s="123">
        <v>0</v>
      </c>
      <c r="V126" s="123">
        <v>0</v>
      </c>
      <c r="W126" s="123">
        <v>0</v>
      </c>
      <c r="X126" s="123">
        <v>0</v>
      </c>
      <c r="Y126" s="123">
        <v>0</v>
      </c>
      <c r="Z126" s="123">
        <v>0</v>
      </c>
      <c r="AA126" s="123">
        <v>0</v>
      </c>
      <c r="AB126" s="123">
        <v>0</v>
      </c>
      <c r="AC126" s="123">
        <v>0</v>
      </c>
      <c r="AD126" s="123">
        <v>0</v>
      </c>
      <c r="AE126" s="123">
        <v>0</v>
      </c>
      <c r="AF126" s="123">
        <v>0</v>
      </c>
      <c r="AG126" s="123">
        <v>0</v>
      </c>
      <c r="AH126" s="123">
        <v>0</v>
      </c>
      <c r="AI126" s="123">
        <v>0</v>
      </c>
      <c r="AJ126" s="123">
        <v>0</v>
      </c>
      <c r="AK126" s="123">
        <v>0</v>
      </c>
      <c r="AL126" s="123">
        <v>0</v>
      </c>
      <c r="AM126" s="123">
        <v>0</v>
      </c>
      <c r="AN126" s="123">
        <v>0</v>
      </c>
      <c r="AO126" s="123">
        <v>0</v>
      </c>
      <c r="AP126" s="123">
        <v>0</v>
      </c>
      <c r="AQ126" s="123">
        <v>0</v>
      </c>
      <c r="AR126" s="123">
        <v>0</v>
      </c>
      <c r="AS126" s="123">
        <v>0</v>
      </c>
      <c r="AT126" s="123">
        <v>0</v>
      </c>
      <c r="AU126" s="123">
        <v>0</v>
      </c>
      <c r="AV126" s="123">
        <v>0</v>
      </c>
      <c r="AW126" s="123">
        <v>0</v>
      </c>
      <c r="AX126" s="123">
        <v>0</v>
      </c>
      <c r="AY126" s="123">
        <v>0</v>
      </c>
    </row>
    <row r="127" spans="1:52" x14ac:dyDescent="0.2">
      <c r="A127" s="126"/>
      <c r="B127" s="135">
        <v>6</v>
      </c>
      <c r="C127" s="123">
        <v>0</v>
      </c>
      <c r="D127" s="123">
        <v>0</v>
      </c>
      <c r="E127" s="123">
        <v>0</v>
      </c>
      <c r="F127" s="123">
        <v>0</v>
      </c>
      <c r="G127" s="123">
        <v>0</v>
      </c>
      <c r="H127" s="123">
        <v>0</v>
      </c>
      <c r="I127" s="123">
        <v>0</v>
      </c>
      <c r="J127" s="123">
        <v>0</v>
      </c>
      <c r="K127" s="123">
        <v>0</v>
      </c>
      <c r="L127" s="123">
        <v>0</v>
      </c>
      <c r="M127" s="123">
        <v>0</v>
      </c>
      <c r="N127" s="123">
        <v>0</v>
      </c>
      <c r="O127" s="123">
        <v>0</v>
      </c>
      <c r="P127" s="123">
        <v>0</v>
      </c>
      <c r="Q127" s="123">
        <v>0</v>
      </c>
      <c r="R127" s="123">
        <v>0</v>
      </c>
      <c r="S127" s="123">
        <v>0</v>
      </c>
      <c r="T127" s="123">
        <v>0</v>
      </c>
      <c r="U127" s="123">
        <v>0</v>
      </c>
      <c r="V127" s="123">
        <v>0</v>
      </c>
      <c r="W127" s="123">
        <v>0</v>
      </c>
      <c r="X127" s="123">
        <v>0</v>
      </c>
      <c r="Y127" s="123">
        <v>0</v>
      </c>
      <c r="Z127" s="123">
        <v>0</v>
      </c>
      <c r="AA127" s="123">
        <v>0</v>
      </c>
      <c r="AB127" s="123">
        <v>0</v>
      </c>
      <c r="AC127" s="123">
        <v>0</v>
      </c>
      <c r="AD127" s="123">
        <v>0</v>
      </c>
      <c r="AE127" s="123">
        <v>0</v>
      </c>
      <c r="AF127" s="123">
        <v>0</v>
      </c>
      <c r="AG127" s="123">
        <v>0</v>
      </c>
      <c r="AH127" s="123">
        <v>0</v>
      </c>
      <c r="AI127" s="123">
        <v>0</v>
      </c>
      <c r="AJ127" s="123">
        <v>0</v>
      </c>
      <c r="AK127" s="123">
        <v>0</v>
      </c>
      <c r="AL127" s="123">
        <v>0</v>
      </c>
      <c r="AM127" s="123">
        <v>0</v>
      </c>
      <c r="AN127" s="123">
        <v>0</v>
      </c>
      <c r="AO127" s="123">
        <v>0</v>
      </c>
      <c r="AP127" s="123">
        <v>0</v>
      </c>
      <c r="AQ127" s="123">
        <v>0</v>
      </c>
      <c r="AR127" s="123">
        <v>0</v>
      </c>
      <c r="AS127" s="123">
        <v>0</v>
      </c>
      <c r="AT127" s="123">
        <v>0</v>
      </c>
      <c r="AU127" s="123">
        <v>0</v>
      </c>
      <c r="AV127" s="123">
        <v>0</v>
      </c>
      <c r="AW127" s="123">
        <v>0</v>
      </c>
      <c r="AX127" s="123">
        <v>0</v>
      </c>
      <c r="AY127" s="123">
        <v>0</v>
      </c>
    </row>
    <row r="128" spans="1:52" x14ac:dyDescent="0.2">
      <c r="A128" s="126"/>
      <c r="B128" s="135">
        <v>7</v>
      </c>
      <c r="C128" s="123">
        <v>0</v>
      </c>
      <c r="D128" s="123">
        <v>0</v>
      </c>
      <c r="E128" s="123">
        <v>0</v>
      </c>
      <c r="F128" s="123">
        <v>0</v>
      </c>
      <c r="G128" s="123">
        <v>0</v>
      </c>
      <c r="H128" s="123">
        <v>0</v>
      </c>
      <c r="I128" s="123">
        <v>0</v>
      </c>
      <c r="J128" s="123">
        <v>0</v>
      </c>
      <c r="K128" s="123">
        <v>0</v>
      </c>
      <c r="L128" s="123">
        <v>0</v>
      </c>
      <c r="M128" s="123">
        <v>0</v>
      </c>
      <c r="N128" s="123">
        <v>0</v>
      </c>
      <c r="O128" s="123">
        <v>0</v>
      </c>
      <c r="P128" s="123">
        <v>0</v>
      </c>
      <c r="Q128" s="123">
        <v>0</v>
      </c>
      <c r="R128" s="123">
        <v>0</v>
      </c>
      <c r="S128" s="123">
        <v>0</v>
      </c>
      <c r="T128" s="123">
        <v>0</v>
      </c>
      <c r="U128" s="123">
        <v>0</v>
      </c>
      <c r="V128" s="123">
        <v>0</v>
      </c>
      <c r="W128" s="123">
        <v>0</v>
      </c>
      <c r="X128" s="123">
        <v>0</v>
      </c>
      <c r="Y128" s="123">
        <v>0</v>
      </c>
      <c r="Z128" s="123">
        <v>0</v>
      </c>
      <c r="AA128" s="123">
        <v>0</v>
      </c>
      <c r="AB128" s="123">
        <v>0</v>
      </c>
      <c r="AC128" s="123">
        <v>0</v>
      </c>
      <c r="AD128" s="123">
        <v>0</v>
      </c>
      <c r="AE128" s="123">
        <v>0</v>
      </c>
      <c r="AF128" s="123">
        <v>0</v>
      </c>
      <c r="AG128" s="123">
        <v>0</v>
      </c>
      <c r="AH128" s="123">
        <v>0</v>
      </c>
      <c r="AI128" s="123">
        <v>0</v>
      </c>
      <c r="AJ128" s="123">
        <v>0</v>
      </c>
      <c r="AK128" s="123">
        <v>0</v>
      </c>
      <c r="AL128" s="123">
        <v>0</v>
      </c>
      <c r="AM128" s="123">
        <v>0</v>
      </c>
      <c r="AN128" s="123">
        <v>0</v>
      </c>
      <c r="AO128" s="123">
        <v>0</v>
      </c>
      <c r="AP128" s="123">
        <v>0</v>
      </c>
      <c r="AQ128" s="123">
        <v>0</v>
      </c>
      <c r="AR128" s="123">
        <v>0</v>
      </c>
      <c r="AS128" s="123">
        <v>0</v>
      </c>
      <c r="AT128" s="123">
        <v>0</v>
      </c>
      <c r="AU128" s="123">
        <v>0</v>
      </c>
      <c r="AV128" s="123">
        <v>0</v>
      </c>
      <c r="AW128" s="123">
        <v>0</v>
      </c>
      <c r="AX128" s="123">
        <v>0</v>
      </c>
      <c r="AY128" s="123">
        <v>0</v>
      </c>
    </row>
    <row r="129" spans="1:51" x14ac:dyDescent="0.2">
      <c r="A129" s="126"/>
      <c r="B129" s="135">
        <v>8</v>
      </c>
      <c r="C129" s="123">
        <v>0</v>
      </c>
      <c r="D129" s="123">
        <v>0</v>
      </c>
      <c r="E129" s="123">
        <v>0</v>
      </c>
      <c r="F129" s="123">
        <v>0</v>
      </c>
      <c r="G129" s="123">
        <v>0</v>
      </c>
      <c r="H129" s="123">
        <v>0</v>
      </c>
      <c r="I129" s="123">
        <v>0</v>
      </c>
      <c r="J129" s="123">
        <v>0</v>
      </c>
      <c r="K129" s="123">
        <v>0</v>
      </c>
      <c r="L129" s="123">
        <v>0</v>
      </c>
      <c r="M129" s="123">
        <v>0</v>
      </c>
      <c r="N129" s="123">
        <v>0</v>
      </c>
      <c r="O129" s="123">
        <v>0</v>
      </c>
      <c r="P129" s="123">
        <v>0</v>
      </c>
      <c r="Q129" s="123">
        <v>0</v>
      </c>
      <c r="R129" s="123">
        <v>0</v>
      </c>
      <c r="S129" s="123">
        <v>0</v>
      </c>
      <c r="T129" s="123">
        <v>0</v>
      </c>
      <c r="U129" s="123">
        <v>0</v>
      </c>
      <c r="V129" s="123">
        <v>0</v>
      </c>
      <c r="W129" s="123">
        <v>0</v>
      </c>
      <c r="X129" s="123">
        <v>0</v>
      </c>
      <c r="Y129" s="123">
        <v>0</v>
      </c>
      <c r="Z129" s="123">
        <v>0</v>
      </c>
      <c r="AA129" s="123">
        <v>0</v>
      </c>
      <c r="AB129" s="123">
        <v>0</v>
      </c>
      <c r="AC129" s="123">
        <v>0</v>
      </c>
      <c r="AD129" s="123">
        <v>0</v>
      </c>
      <c r="AE129" s="123">
        <v>0</v>
      </c>
      <c r="AF129" s="123">
        <v>0</v>
      </c>
      <c r="AG129" s="123">
        <v>0</v>
      </c>
      <c r="AH129" s="123">
        <v>0</v>
      </c>
      <c r="AI129" s="123">
        <v>0</v>
      </c>
      <c r="AJ129" s="123">
        <v>0</v>
      </c>
      <c r="AK129" s="123">
        <v>0</v>
      </c>
      <c r="AL129" s="123">
        <v>0</v>
      </c>
      <c r="AM129" s="123">
        <v>0</v>
      </c>
      <c r="AN129" s="123">
        <v>0</v>
      </c>
      <c r="AO129" s="123">
        <v>0</v>
      </c>
      <c r="AP129" s="123">
        <v>0</v>
      </c>
      <c r="AQ129" s="123">
        <v>0</v>
      </c>
      <c r="AR129" s="123">
        <v>0</v>
      </c>
      <c r="AS129" s="123">
        <v>0</v>
      </c>
      <c r="AT129" s="123">
        <v>0</v>
      </c>
      <c r="AU129" s="123">
        <v>0</v>
      </c>
      <c r="AV129" s="123">
        <v>0</v>
      </c>
      <c r="AW129" s="123">
        <v>0</v>
      </c>
      <c r="AX129" s="123">
        <v>0</v>
      </c>
      <c r="AY129" s="123">
        <v>0</v>
      </c>
    </row>
    <row r="130" spans="1:51" x14ac:dyDescent="0.2">
      <c r="A130" s="126"/>
      <c r="B130" s="135">
        <v>9</v>
      </c>
      <c r="C130" s="123">
        <v>0</v>
      </c>
      <c r="D130" s="123">
        <v>0</v>
      </c>
      <c r="E130" s="123">
        <v>0</v>
      </c>
      <c r="F130" s="123">
        <v>0</v>
      </c>
      <c r="G130" s="123">
        <v>0</v>
      </c>
      <c r="H130" s="123">
        <v>0</v>
      </c>
      <c r="I130" s="123">
        <v>0</v>
      </c>
      <c r="J130" s="123">
        <v>0</v>
      </c>
      <c r="K130" s="123">
        <v>0</v>
      </c>
      <c r="L130" s="123">
        <v>0</v>
      </c>
      <c r="M130" s="123">
        <v>0</v>
      </c>
      <c r="N130" s="123">
        <v>0</v>
      </c>
      <c r="O130" s="123">
        <v>0</v>
      </c>
      <c r="P130" s="123">
        <v>0</v>
      </c>
      <c r="Q130" s="123">
        <v>0</v>
      </c>
      <c r="R130" s="123">
        <v>0</v>
      </c>
      <c r="S130" s="123">
        <v>0</v>
      </c>
      <c r="T130" s="123">
        <v>0</v>
      </c>
      <c r="U130" s="123">
        <v>0</v>
      </c>
      <c r="V130" s="123">
        <v>0</v>
      </c>
      <c r="W130" s="123">
        <v>0</v>
      </c>
      <c r="X130" s="123">
        <v>0</v>
      </c>
      <c r="Y130" s="123">
        <v>0</v>
      </c>
      <c r="Z130" s="123">
        <v>0</v>
      </c>
      <c r="AA130" s="123">
        <v>0</v>
      </c>
      <c r="AB130" s="123">
        <v>0</v>
      </c>
      <c r="AC130" s="123">
        <v>0</v>
      </c>
      <c r="AD130" s="123">
        <v>0</v>
      </c>
      <c r="AE130" s="123">
        <v>0</v>
      </c>
      <c r="AF130" s="123">
        <v>0</v>
      </c>
      <c r="AG130" s="123">
        <v>0</v>
      </c>
      <c r="AH130" s="123">
        <v>0</v>
      </c>
      <c r="AI130" s="123">
        <v>0</v>
      </c>
      <c r="AJ130" s="123">
        <v>0</v>
      </c>
      <c r="AK130" s="123">
        <v>0</v>
      </c>
      <c r="AL130" s="123">
        <v>0</v>
      </c>
      <c r="AM130" s="123">
        <v>0</v>
      </c>
      <c r="AN130" s="123">
        <v>0</v>
      </c>
      <c r="AO130" s="123">
        <v>0</v>
      </c>
      <c r="AP130" s="123">
        <v>0</v>
      </c>
      <c r="AQ130" s="123">
        <v>0</v>
      </c>
      <c r="AR130" s="123">
        <v>0</v>
      </c>
      <c r="AS130" s="123">
        <v>0</v>
      </c>
      <c r="AT130" s="123">
        <v>0</v>
      </c>
      <c r="AU130" s="123">
        <v>0</v>
      </c>
      <c r="AV130" s="123">
        <v>0</v>
      </c>
      <c r="AW130" s="123">
        <v>0</v>
      </c>
      <c r="AX130" s="123">
        <v>0</v>
      </c>
      <c r="AY130" s="123">
        <v>0</v>
      </c>
    </row>
    <row r="131" spans="1:51" x14ac:dyDescent="0.2">
      <c r="A131" s="126"/>
      <c r="B131" s="135">
        <v>10</v>
      </c>
      <c r="C131" s="123">
        <v>0</v>
      </c>
      <c r="D131" s="123">
        <v>0</v>
      </c>
      <c r="E131" s="123">
        <v>0</v>
      </c>
      <c r="F131" s="123">
        <v>0</v>
      </c>
      <c r="G131" s="123">
        <v>0</v>
      </c>
      <c r="H131" s="123">
        <v>0</v>
      </c>
      <c r="I131" s="123">
        <v>0</v>
      </c>
      <c r="J131" s="123">
        <v>0</v>
      </c>
      <c r="K131" s="123">
        <v>0</v>
      </c>
      <c r="L131" s="123">
        <v>0</v>
      </c>
      <c r="M131" s="123">
        <v>0</v>
      </c>
      <c r="N131" s="123">
        <v>0</v>
      </c>
      <c r="O131" s="123">
        <v>0</v>
      </c>
      <c r="P131" s="123">
        <v>0</v>
      </c>
      <c r="Q131" s="123">
        <v>0</v>
      </c>
      <c r="R131" s="123">
        <v>0</v>
      </c>
      <c r="S131" s="123">
        <v>0</v>
      </c>
      <c r="T131" s="123">
        <v>0</v>
      </c>
      <c r="U131" s="123">
        <v>0</v>
      </c>
      <c r="V131" s="123">
        <v>0</v>
      </c>
      <c r="W131" s="123">
        <v>0</v>
      </c>
      <c r="X131" s="123">
        <v>0</v>
      </c>
      <c r="Y131" s="123">
        <v>0</v>
      </c>
      <c r="Z131" s="123">
        <v>0</v>
      </c>
      <c r="AA131" s="123">
        <v>0</v>
      </c>
      <c r="AB131" s="123">
        <v>0</v>
      </c>
      <c r="AC131" s="123">
        <v>0</v>
      </c>
      <c r="AD131" s="123">
        <v>0</v>
      </c>
      <c r="AE131" s="123">
        <v>0</v>
      </c>
      <c r="AF131" s="123">
        <v>0</v>
      </c>
      <c r="AG131" s="123">
        <v>0</v>
      </c>
      <c r="AH131" s="123">
        <v>0</v>
      </c>
      <c r="AI131" s="123">
        <v>0</v>
      </c>
      <c r="AJ131" s="123">
        <v>0</v>
      </c>
      <c r="AK131" s="123">
        <v>0</v>
      </c>
      <c r="AL131" s="123">
        <v>0</v>
      </c>
      <c r="AM131" s="123">
        <v>0</v>
      </c>
      <c r="AN131" s="123">
        <v>0</v>
      </c>
      <c r="AO131" s="123">
        <v>0</v>
      </c>
      <c r="AP131" s="123">
        <v>0</v>
      </c>
      <c r="AQ131" s="123">
        <v>0</v>
      </c>
      <c r="AR131" s="123">
        <v>0</v>
      </c>
      <c r="AS131" s="123">
        <v>0</v>
      </c>
      <c r="AT131" s="123">
        <v>0</v>
      </c>
      <c r="AU131" s="123">
        <v>0</v>
      </c>
      <c r="AV131" s="123">
        <v>0</v>
      </c>
      <c r="AW131" s="123">
        <v>0</v>
      </c>
      <c r="AX131" s="123">
        <v>0</v>
      </c>
      <c r="AY131" s="123">
        <v>0</v>
      </c>
    </row>
    <row r="132" spans="1:51" x14ac:dyDescent="0.2">
      <c r="A132" s="126"/>
      <c r="B132" s="135">
        <v>11</v>
      </c>
      <c r="C132" s="123">
        <v>0</v>
      </c>
      <c r="D132" s="123">
        <v>0</v>
      </c>
      <c r="E132" s="123">
        <v>0</v>
      </c>
      <c r="F132" s="123">
        <v>0</v>
      </c>
      <c r="G132" s="123">
        <v>0</v>
      </c>
      <c r="H132" s="123">
        <v>0</v>
      </c>
      <c r="I132" s="123">
        <v>0</v>
      </c>
      <c r="J132" s="123">
        <v>0</v>
      </c>
      <c r="K132" s="123">
        <v>0</v>
      </c>
      <c r="L132" s="123">
        <v>0</v>
      </c>
      <c r="M132" s="123">
        <v>0</v>
      </c>
      <c r="N132" s="123">
        <v>0</v>
      </c>
      <c r="O132" s="123">
        <v>0</v>
      </c>
      <c r="P132" s="123">
        <v>0</v>
      </c>
      <c r="Q132" s="123">
        <v>0</v>
      </c>
      <c r="R132" s="123">
        <v>0</v>
      </c>
      <c r="S132" s="123">
        <v>0</v>
      </c>
      <c r="T132" s="123">
        <v>0</v>
      </c>
      <c r="U132" s="123">
        <v>0</v>
      </c>
      <c r="V132" s="123">
        <v>0</v>
      </c>
      <c r="W132" s="123">
        <v>0</v>
      </c>
      <c r="X132" s="123">
        <v>0</v>
      </c>
      <c r="Y132" s="123">
        <v>0</v>
      </c>
      <c r="Z132" s="123">
        <v>0</v>
      </c>
      <c r="AA132" s="123">
        <v>0</v>
      </c>
      <c r="AB132" s="123">
        <v>0</v>
      </c>
      <c r="AC132" s="123">
        <v>0</v>
      </c>
      <c r="AD132" s="123">
        <v>0</v>
      </c>
      <c r="AE132" s="123">
        <v>0</v>
      </c>
      <c r="AF132" s="123">
        <v>0</v>
      </c>
      <c r="AG132" s="123">
        <v>0</v>
      </c>
      <c r="AH132" s="123">
        <v>0</v>
      </c>
      <c r="AI132" s="123">
        <v>0</v>
      </c>
      <c r="AJ132" s="123">
        <v>0</v>
      </c>
      <c r="AK132" s="123">
        <v>0</v>
      </c>
      <c r="AL132" s="123">
        <v>0</v>
      </c>
      <c r="AM132" s="123">
        <v>0</v>
      </c>
      <c r="AN132" s="123">
        <v>0</v>
      </c>
      <c r="AO132" s="123">
        <v>0</v>
      </c>
      <c r="AP132" s="123">
        <v>0</v>
      </c>
      <c r="AQ132" s="123">
        <v>0</v>
      </c>
      <c r="AR132" s="123">
        <v>0</v>
      </c>
      <c r="AS132" s="123">
        <v>0</v>
      </c>
      <c r="AT132" s="123">
        <v>0</v>
      </c>
      <c r="AU132" s="123">
        <v>0</v>
      </c>
      <c r="AV132" s="123">
        <v>0</v>
      </c>
      <c r="AW132" s="123">
        <v>0</v>
      </c>
      <c r="AX132" s="123">
        <v>0</v>
      </c>
      <c r="AY132" s="123">
        <v>0</v>
      </c>
    </row>
    <row r="133" spans="1:51" x14ac:dyDescent="0.2">
      <c r="A133" s="126"/>
      <c r="B133" s="135">
        <v>12</v>
      </c>
      <c r="C133" s="123">
        <v>0</v>
      </c>
      <c r="D133" s="123">
        <v>0</v>
      </c>
      <c r="E133" s="123">
        <v>0</v>
      </c>
      <c r="F133" s="123">
        <v>0</v>
      </c>
      <c r="G133" s="123">
        <v>0</v>
      </c>
      <c r="H133" s="123">
        <v>0</v>
      </c>
      <c r="I133" s="123">
        <v>0</v>
      </c>
      <c r="J133" s="123">
        <v>0</v>
      </c>
      <c r="K133" s="123">
        <v>0</v>
      </c>
      <c r="L133" s="123">
        <v>0</v>
      </c>
      <c r="M133" s="123">
        <v>0</v>
      </c>
      <c r="N133" s="123">
        <v>0</v>
      </c>
      <c r="O133" s="123">
        <v>0</v>
      </c>
      <c r="P133" s="123">
        <v>0</v>
      </c>
      <c r="Q133" s="123">
        <v>0</v>
      </c>
      <c r="R133" s="123">
        <v>0</v>
      </c>
      <c r="S133" s="123">
        <v>0</v>
      </c>
      <c r="T133" s="123">
        <v>0</v>
      </c>
      <c r="U133" s="123">
        <v>0</v>
      </c>
      <c r="V133" s="123">
        <v>0</v>
      </c>
      <c r="W133" s="123">
        <v>0</v>
      </c>
      <c r="X133" s="123">
        <v>0</v>
      </c>
      <c r="Y133" s="123">
        <v>0</v>
      </c>
      <c r="Z133" s="123">
        <v>0</v>
      </c>
      <c r="AA133" s="123">
        <v>0</v>
      </c>
      <c r="AB133" s="123">
        <v>0</v>
      </c>
      <c r="AC133" s="123">
        <v>0</v>
      </c>
      <c r="AD133" s="123">
        <v>0</v>
      </c>
      <c r="AE133" s="123">
        <v>0</v>
      </c>
      <c r="AF133" s="123">
        <v>0</v>
      </c>
      <c r="AG133" s="123">
        <v>0</v>
      </c>
      <c r="AH133" s="123">
        <v>0</v>
      </c>
      <c r="AI133" s="123">
        <v>0</v>
      </c>
      <c r="AJ133" s="123">
        <v>0</v>
      </c>
      <c r="AK133" s="123">
        <v>0</v>
      </c>
      <c r="AL133" s="123">
        <v>0</v>
      </c>
      <c r="AM133" s="123">
        <v>0</v>
      </c>
      <c r="AN133" s="123">
        <v>0</v>
      </c>
      <c r="AO133" s="123">
        <v>0</v>
      </c>
      <c r="AP133" s="123">
        <v>0</v>
      </c>
      <c r="AQ133" s="123">
        <v>0</v>
      </c>
      <c r="AR133" s="123">
        <v>0</v>
      </c>
      <c r="AS133" s="123">
        <v>0</v>
      </c>
      <c r="AT133" s="123">
        <v>0</v>
      </c>
      <c r="AU133" s="123">
        <v>0</v>
      </c>
      <c r="AV133" s="123">
        <v>0</v>
      </c>
      <c r="AW133" s="123">
        <v>0</v>
      </c>
      <c r="AX133" s="123">
        <v>0</v>
      </c>
      <c r="AY133" s="123">
        <v>0</v>
      </c>
    </row>
    <row r="134" spans="1:51" x14ac:dyDescent="0.2">
      <c r="A134" s="126"/>
      <c r="B134" s="136">
        <v>13</v>
      </c>
      <c r="C134" s="123">
        <v>0</v>
      </c>
      <c r="D134" s="123">
        <v>0</v>
      </c>
      <c r="E134" s="123">
        <v>0</v>
      </c>
      <c r="F134" s="123">
        <v>0</v>
      </c>
      <c r="G134" s="123">
        <v>0</v>
      </c>
      <c r="H134" s="123">
        <v>0</v>
      </c>
      <c r="I134" s="123">
        <v>0</v>
      </c>
      <c r="J134" s="123">
        <v>0</v>
      </c>
      <c r="K134" s="123">
        <v>0</v>
      </c>
      <c r="L134" s="123">
        <v>0</v>
      </c>
      <c r="M134" s="123">
        <v>0</v>
      </c>
      <c r="N134" s="123">
        <v>0</v>
      </c>
      <c r="O134" s="123">
        <v>0</v>
      </c>
      <c r="P134" s="123">
        <v>0</v>
      </c>
      <c r="Q134" s="123">
        <v>0</v>
      </c>
      <c r="R134" s="123">
        <v>0</v>
      </c>
      <c r="S134" s="123">
        <v>0</v>
      </c>
      <c r="T134" s="123">
        <v>0</v>
      </c>
      <c r="U134" s="123">
        <v>0</v>
      </c>
      <c r="V134" s="123">
        <v>0</v>
      </c>
      <c r="W134" s="123">
        <v>0</v>
      </c>
      <c r="X134" s="123">
        <v>0</v>
      </c>
      <c r="Y134" s="123">
        <v>0</v>
      </c>
      <c r="Z134" s="123">
        <v>0</v>
      </c>
      <c r="AA134" s="123">
        <v>0</v>
      </c>
      <c r="AB134" s="123">
        <v>0</v>
      </c>
      <c r="AC134" s="123">
        <v>0</v>
      </c>
      <c r="AD134" s="123">
        <v>0</v>
      </c>
      <c r="AE134" s="123">
        <v>0</v>
      </c>
      <c r="AF134" s="123">
        <v>0</v>
      </c>
      <c r="AG134" s="123">
        <v>0</v>
      </c>
      <c r="AH134" s="123">
        <v>0</v>
      </c>
      <c r="AI134" s="123">
        <v>0</v>
      </c>
      <c r="AJ134" s="123">
        <v>0</v>
      </c>
      <c r="AK134" s="123">
        <v>0</v>
      </c>
      <c r="AL134" s="123">
        <v>0</v>
      </c>
      <c r="AM134" s="123">
        <v>0</v>
      </c>
      <c r="AN134" s="123">
        <v>0</v>
      </c>
      <c r="AO134" s="123">
        <v>0</v>
      </c>
      <c r="AP134" s="123">
        <v>0</v>
      </c>
      <c r="AQ134" s="123">
        <v>0</v>
      </c>
      <c r="AR134" s="123">
        <v>0</v>
      </c>
      <c r="AS134" s="123">
        <v>0</v>
      </c>
      <c r="AT134" s="123">
        <v>0</v>
      </c>
      <c r="AU134" s="123">
        <v>0</v>
      </c>
      <c r="AV134" s="123">
        <v>0</v>
      </c>
      <c r="AW134" s="123">
        <v>0</v>
      </c>
      <c r="AX134" s="123">
        <v>0</v>
      </c>
      <c r="AY134" s="123">
        <v>0</v>
      </c>
    </row>
    <row r="135" spans="1:51" x14ac:dyDescent="0.2">
      <c r="A135" s="126"/>
      <c r="B135" s="136">
        <v>14</v>
      </c>
      <c r="C135" s="123">
        <v>0</v>
      </c>
      <c r="D135" s="123">
        <v>0</v>
      </c>
      <c r="E135" s="123">
        <v>0</v>
      </c>
      <c r="F135" s="123">
        <v>0</v>
      </c>
      <c r="G135" s="123">
        <v>0</v>
      </c>
      <c r="H135" s="123">
        <v>0</v>
      </c>
      <c r="I135" s="123">
        <v>0</v>
      </c>
      <c r="J135" s="123">
        <v>0</v>
      </c>
      <c r="K135" s="123">
        <v>0</v>
      </c>
      <c r="L135" s="123">
        <v>0</v>
      </c>
      <c r="M135" s="123">
        <v>0</v>
      </c>
      <c r="N135" s="123">
        <v>0</v>
      </c>
      <c r="O135" s="123">
        <v>0</v>
      </c>
      <c r="P135" s="123">
        <v>0</v>
      </c>
      <c r="Q135" s="123">
        <v>0</v>
      </c>
      <c r="R135" s="123">
        <v>0</v>
      </c>
      <c r="S135" s="123">
        <v>0</v>
      </c>
      <c r="T135" s="123">
        <v>0</v>
      </c>
      <c r="U135" s="123">
        <v>0</v>
      </c>
      <c r="V135" s="123">
        <v>0</v>
      </c>
      <c r="W135" s="123">
        <v>0</v>
      </c>
      <c r="X135" s="123">
        <v>0</v>
      </c>
      <c r="Y135" s="123">
        <v>0</v>
      </c>
      <c r="Z135" s="123">
        <v>0</v>
      </c>
      <c r="AA135" s="123">
        <v>0</v>
      </c>
      <c r="AB135" s="123">
        <v>0</v>
      </c>
      <c r="AC135" s="123">
        <v>0</v>
      </c>
      <c r="AD135" s="123">
        <v>0</v>
      </c>
      <c r="AE135" s="123">
        <v>0</v>
      </c>
      <c r="AF135" s="123">
        <v>0</v>
      </c>
      <c r="AG135" s="123">
        <v>0</v>
      </c>
      <c r="AH135" s="123">
        <v>0</v>
      </c>
      <c r="AI135" s="123">
        <v>0</v>
      </c>
      <c r="AJ135" s="123">
        <v>0</v>
      </c>
      <c r="AK135" s="123">
        <v>0</v>
      </c>
      <c r="AL135" s="123">
        <v>0</v>
      </c>
      <c r="AM135" s="123">
        <v>0</v>
      </c>
      <c r="AN135" s="123">
        <v>0</v>
      </c>
      <c r="AO135" s="123">
        <v>0</v>
      </c>
      <c r="AP135" s="123">
        <v>0</v>
      </c>
      <c r="AQ135" s="123">
        <v>0</v>
      </c>
      <c r="AR135" s="123">
        <v>0</v>
      </c>
      <c r="AS135" s="123">
        <v>0</v>
      </c>
      <c r="AT135" s="123">
        <v>0</v>
      </c>
      <c r="AU135" s="123">
        <v>0</v>
      </c>
      <c r="AV135" s="123">
        <v>0</v>
      </c>
      <c r="AW135" s="123">
        <v>0</v>
      </c>
      <c r="AX135" s="123">
        <v>0</v>
      </c>
      <c r="AY135" s="123">
        <v>0</v>
      </c>
    </row>
    <row r="136" spans="1:51" x14ac:dyDescent="0.2">
      <c r="A136" s="126"/>
      <c r="B136" s="136">
        <v>15</v>
      </c>
      <c r="C136" s="123">
        <v>0</v>
      </c>
      <c r="D136" s="123">
        <v>0</v>
      </c>
      <c r="E136" s="123">
        <v>0</v>
      </c>
      <c r="F136" s="123">
        <v>0</v>
      </c>
      <c r="G136" s="123">
        <v>0</v>
      </c>
      <c r="H136" s="123">
        <v>0</v>
      </c>
      <c r="I136" s="123">
        <v>0</v>
      </c>
      <c r="J136" s="123">
        <v>0</v>
      </c>
      <c r="K136" s="123">
        <v>0</v>
      </c>
      <c r="L136" s="123">
        <v>0</v>
      </c>
      <c r="M136" s="123">
        <v>0</v>
      </c>
      <c r="N136" s="123">
        <v>0</v>
      </c>
      <c r="O136" s="123">
        <v>0</v>
      </c>
      <c r="P136" s="123">
        <v>0</v>
      </c>
      <c r="Q136" s="123">
        <v>0</v>
      </c>
      <c r="R136" s="123">
        <v>0</v>
      </c>
      <c r="S136" s="123">
        <v>0</v>
      </c>
      <c r="T136" s="123">
        <v>0</v>
      </c>
      <c r="U136" s="123">
        <v>0</v>
      </c>
      <c r="V136" s="123">
        <v>0</v>
      </c>
      <c r="W136" s="123">
        <v>0</v>
      </c>
      <c r="X136" s="123">
        <v>0</v>
      </c>
      <c r="Y136" s="123">
        <v>0</v>
      </c>
      <c r="Z136" s="123">
        <v>0</v>
      </c>
      <c r="AA136" s="123">
        <v>0</v>
      </c>
      <c r="AB136" s="123">
        <v>0</v>
      </c>
      <c r="AC136" s="123">
        <v>0</v>
      </c>
      <c r="AD136" s="123">
        <v>0</v>
      </c>
      <c r="AE136" s="123">
        <v>0</v>
      </c>
      <c r="AF136" s="123">
        <v>0</v>
      </c>
      <c r="AG136" s="123">
        <v>0</v>
      </c>
      <c r="AH136" s="123">
        <v>0</v>
      </c>
      <c r="AI136" s="123">
        <v>0</v>
      </c>
      <c r="AJ136" s="123">
        <v>0</v>
      </c>
      <c r="AK136" s="123">
        <v>0</v>
      </c>
      <c r="AL136" s="123">
        <v>0</v>
      </c>
      <c r="AM136" s="123">
        <v>0</v>
      </c>
      <c r="AN136" s="123">
        <v>0</v>
      </c>
      <c r="AO136" s="123">
        <v>0</v>
      </c>
      <c r="AP136" s="123">
        <v>0</v>
      </c>
      <c r="AQ136" s="123">
        <v>0</v>
      </c>
      <c r="AR136" s="123">
        <v>0</v>
      </c>
      <c r="AS136" s="123">
        <v>0</v>
      </c>
      <c r="AT136" s="123">
        <v>0</v>
      </c>
      <c r="AU136" s="123">
        <v>0</v>
      </c>
      <c r="AV136" s="123">
        <v>0</v>
      </c>
      <c r="AW136" s="123">
        <v>0</v>
      </c>
      <c r="AX136" s="123">
        <v>0</v>
      </c>
      <c r="AY136" s="123">
        <v>0</v>
      </c>
    </row>
    <row r="137" spans="1:51" x14ac:dyDescent="0.2">
      <c r="A137" s="126"/>
      <c r="B137" s="136">
        <v>16</v>
      </c>
      <c r="C137" s="123">
        <v>0</v>
      </c>
      <c r="D137" s="123">
        <v>0</v>
      </c>
      <c r="E137" s="123">
        <v>0</v>
      </c>
      <c r="F137" s="123">
        <v>0</v>
      </c>
      <c r="G137" s="123">
        <v>0</v>
      </c>
      <c r="H137" s="123">
        <v>0</v>
      </c>
      <c r="I137" s="123">
        <v>0</v>
      </c>
      <c r="J137" s="123">
        <v>0</v>
      </c>
      <c r="K137" s="123">
        <v>0</v>
      </c>
      <c r="L137" s="123">
        <v>0</v>
      </c>
      <c r="M137" s="123">
        <v>0</v>
      </c>
      <c r="N137" s="123">
        <v>0</v>
      </c>
      <c r="O137" s="123">
        <v>0</v>
      </c>
      <c r="P137" s="123">
        <v>0</v>
      </c>
      <c r="Q137" s="123">
        <v>0</v>
      </c>
      <c r="R137" s="123">
        <v>0</v>
      </c>
      <c r="S137" s="123">
        <v>0</v>
      </c>
      <c r="T137" s="123">
        <v>0</v>
      </c>
      <c r="U137" s="123">
        <v>0</v>
      </c>
      <c r="V137" s="123">
        <v>0</v>
      </c>
      <c r="W137" s="123">
        <v>0</v>
      </c>
      <c r="X137" s="123">
        <v>0</v>
      </c>
      <c r="Y137" s="123">
        <v>0</v>
      </c>
      <c r="Z137" s="123">
        <v>0</v>
      </c>
      <c r="AA137" s="123">
        <v>0</v>
      </c>
      <c r="AB137" s="123">
        <v>0</v>
      </c>
      <c r="AC137" s="123">
        <v>0</v>
      </c>
      <c r="AD137" s="123">
        <v>0</v>
      </c>
      <c r="AE137" s="123">
        <v>0</v>
      </c>
      <c r="AF137" s="123">
        <v>0</v>
      </c>
      <c r="AG137" s="123">
        <v>0</v>
      </c>
      <c r="AH137" s="123">
        <v>0</v>
      </c>
      <c r="AI137" s="123">
        <v>0</v>
      </c>
      <c r="AJ137" s="123">
        <v>0</v>
      </c>
      <c r="AK137" s="123">
        <v>0</v>
      </c>
      <c r="AL137" s="123">
        <v>0</v>
      </c>
      <c r="AM137" s="123">
        <v>0</v>
      </c>
      <c r="AN137" s="123">
        <v>0</v>
      </c>
      <c r="AO137" s="123">
        <v>0</v>
      </c>
      <c r="AP137" s="123">
        <v>0</v>
      </c>
      <c r="AQ137" s="123">
        <v>0</v>
      </c>
      <c r="AR137" s="123">
        <v>0</v>
      </c>
      <c r="AS137" s="123">
        <v>0</v>
      </c>
      <c r="AT137" s="123">
        <v>0</v>
      </c>
      <c r="AU137" s="123">
        <v>0</v>
      </c>
      <c r="AV137" s="123">
        <v>0</v>
      </c>
      <c r="AW137" s="123">
        <v>0</v>
      </c>
      <c r="AX137" s="123">
        <v>0</v>
      </c>
      <c r="AY137" s="123">
        <v>0</v>
      </c>
    </row>
    <row r="138" spans="1:51" x14ac:dyDescent="0.2">
      <c r="A138" s="126"/>
      <c r="B138" s="136">
        <v>17</v>
      </c>
      <c r="C138" s="123">
        <v>0</v>
      </c>
      <c r="D138" s="123">
        <v>0</v>
      </c>
      <c r="E138" s="123">
        <v>0</v>
      </c>
      <c r="F138" s="123">
        <v>0</v>
      </c>
      <c r="G138" s="123">
        <v>0</v>
      </c>
      <c r="H138" s="123">
        <v>0</v>
      </c>
      <c r="I138" s="123">
        <v>0</v>
      </c>
      <c r="J138" s="123">
        <v>0</v>
      </c>
      <c r="K138" s="123">
        <v>0</v>
      </c>
      <c r="L138" s="123">
        <v>0</v>
      </c>
      <c r="M138" s="123">
        <v>0</v>
      </c>
      <c r="N138" s="123">
        <v>0</v>
      </c>
      <c r="O138" s="123">
        <v>0</v>
      </c>
      <c r="P138" s="123">
        <v>0</v>
      </c>
      <c r="Q138" s="123">
        <v>0</v>
      </c>
      <c r="R138" s="123">
        <v>0</v>
      </c>
      <c r="S138" s="123">
        <v>0</v>
      </c>
      <c r="T138" s="123">
        <v>0</v>
      </c>
      <c r="U138" s="123">
        <v>0</v>
      </c>
      <c r="V138" s="123">
        <v>0</v>
      </c>
      <c r="W138" s="123">
        <v>0</v>
      </c>
      <c r="X138" s="123">
        <v>0</v>
      </c>
      <c r="Y138" s="123">
        <v>0</v>
      </c>
      <c r="Z138" s="123">
        <v>0</v>
      </c>
      <c r="AA138" s="123">
        <v>0</v>
      </c>
      <c r="AB138" s="123">
        <v>0</v>
      </c>
      <c r="AC138" s="123">
        <v>0</v>
      </c>
      <c r="AD138" s="123">
        <v>0</v>
      </c>
      <c r="AE138" s="123">
        <v>0</v>
      </c>
      <c r="AF138" s="123">
        <v>0</v>
      </c>
      <c r="AG138" s="123">
        <v>0</v>
      </c>
      <c r="AH138" s="123">
        <v>0</v>
      </c>
      <c r="AI138" s="123">
        <v>0</v>
      </c>
      <c r="AJ138" s="123">
        <v>0</v>
      </c>
      <c r="AK138" s="123">
        <v>0</v>
      </c>
      <c r="AL138" s="123">
        <v>0</v>
      </c>
      <c r="AM138" s="123">
        <v>0</v>
      </c>
      <c r="AN138" s="123">
        <v>0</v>
      </c>
      <c r="AO138" s="123">
        <v>0</v>
      </c>
      <c r="AP138" s="123">
        <v>0</v>
      </c>
      <c r="AQ138" s="123">
        <v>0</v>
      </c>
      <c r="AR138" s="123">
        <v>0</v>
      </c>
      <c r="AS138" s="123">
        <v>0</v>
      </c>
      <c r="AT138" s="123">
        <v>0</v>
      </c>
      <c r="AU138" s="123">
        <v>0</v>
      </c>
      <c r="AV138" s="123">
        <v>0</v>
      </c>
      <c r="AW138" s="123">
        <v>0</v>
      </c>
      <c r="AX138" s="123">
        <v>0</v>
      </c>
      <c r="AY138" s="123">
        <v>0</v>
      </c>
    </row>
    <row r="139" spans="1:51" x14ac:dyDescent="0.2">
      <c r="A139" s="126"/>
      <c r="B139" s="136">
        <v>18</v>
      </c>
      <c r="C139" s="123">
        <v>0</v>
      </c>
      <c r="D139" s="123">
        <v>0</v>
      </c>
      <c r="E139" s="123">
        <v>0</v>
      </c>
      <c r="F139" s="123">
        <v>0</v>
      </c>
      <c r="G139" s="123">
        <v>0</v>
      </c>
      <c r="H139" s="123">
        <v>0</v>
      </c>
      <c r="I139" s="123">
        <v>0</v>
      </c>
      <c r="J139" s="123">
        <v>0</v>
      </c>
      <c r="K139" s="123">
        <v>0</v>
      </c>
      <c r="L139" s="123">
        <v>0</v>
      </c>
      <c r="M139" s="123">
        <v>0</v>
      </c>
      <c r="N139" s="123">
        <v>0</v>
      </c>
      <c r="O139" s="123">
        <v>0</v>
      </c>
      <c r="P139" s="123">
        <v>0</v>
      </c>
      <c r="Q139" s="123">
        <v>0</v>
      </c>
      <c r="R139" s="123">
        <v>0</v>
      </c>
      <c r="S139" s="123">
        <v>0</v>
      </c>
      <c r="T139" s="123">
        <v>0</v>
      </c>
      <c r="U139" s="123">
        <v>0</v>
      </c>
      <c r="V139" s="123">
        <v>0</v>
      </c>
      <c r="W139" s="123">
        <v>0</v>
      </c>
      <c r="X139" s="123">
        <v>0</v>
      </c>
      <c r="Y139" s="123">
        <v>0</v>
      </c>
      <c r="Z139" s="123">
        <v>0</v>
      </c>
      <c r="AA139" s="123">
        <v>0</v>
      </c>
      <c r="AB139" s="123">
        <v>0</v>
      </c>
      <c r="AC139" s="123">
        <v>0</v>
      </c>
      <c r="AD139" s="123">
        <v>0</v>
      </c>
      <c r="AE139" s="123">
        <v>0</v>
      </c>
      <c r="AF139" s="123">
        <v>0</v>
      </c>
      <c r="AG139" s="123">
        <v>0</v>
      </c>
      <c r="AH139" s="123">
        <v>0</v>
      </c>
      <c r="AI139" s="123">
        <v>0</v>
      </c>
      <c r="AJ139" s="123">
        <v>0</v>
      </c>
      <c r="AK139" s="123">
        <v>0</v>
      </c>
      <c r="AL139" s="123">
        <v>0</v>
      </c>
      <c r="AM139" s="123">
        <v>0</v>
      </c>
      <c r="AN139" s="123">
        <v>0</v>
      </c>
      <c r="AO139" s="123">
        <v>0</v>
      </c>
      <c r="AP139" s="123">
        <v>0</v>
      </c>
      <c r="AQ139" s="123">
        <v>0</v>
      </c>
      <c r="AR139" s="123">
        <v>0</v>
      </c>
      <c r="AS139" s="123">
        <v>0</v>
      </c>
      <c r="AT139" s="123">
        <v>0</v>
      </c>
      <c r="AU139" s="123">
        <v>0</v>
      </c>
      <c r="AV139" s="123">
        <v>0</v>
      </c>
      <c r="AW139" s="123">
        <v>0</v>
      </c>
      <c r="AX139" s="123">
        <v>0</v>
      </c>
      <c r="AY139" s="123">
        <v>0</v>
      </c>
    </row>
    <row r="140" spans="1:51" x14ac:dyDescent="0.2">
      <c r="A140" s="126"/>
      <c r="B140" s="136">
        <v>19</v>
      </c>
      <c r="C140" s="123">
        <v>0</v>
      </c>
      <c r="D140" s="123">
        <v>0</v>
      </c>
      <c r="E140" s="123">
        <v>0</v>
      </c>
      <c r="F140" s="123">
        <v>0</v>
      </c>
      <c r="G140" s="123">
        <v>0</v>
      </c>
      <c r="H140" s="123">
        <v>0</v>
      </c>
      <c r="I140" s="123">
        <v>0</v>
      </c>
      <c r="J140" s="123">
        <v>0</v>
      </c>
      <c r="K140" s="123">
        <v>0</v>
      </c>
      <c r="L140" s="123">
        <v>0</v>
      </c>
      <c r="M140" s="123">
        <v>0</v>
      </c>
      <c r="N140" s="123">
        <v>0</v>
      </c>
      <c r="O140" s="123">
        <v>0</v>
      </c>
      <c r="P140" s="123">
        <v>0</v>
      </c>
      <c r="Q140" s="123">
        <v>0</v>
      </c>
      <c r="R140" s="123">
        <v>0</v>
      </c>
      <c r="S140" s="123">
        <v>0</v>
      </c>
      <c r="T140" s="123">
        <v>0</v>
      </c>
      <c r="U140" s="123">
        <v>0</v>
      </c>
      <c r="V140" s="123">
        <v>0</v>
      </c>
      <c r="W140" s="123">
        <v>0</v>
      </c>
      <c r="X140" s="123">
        <v>0</v>
      </c>
      <c r="Y140" s="123">
        <v>0</v>
      </c>
      <c r="Z140" s="123">
        <v>0</v>
      </c>
      <c r="AA140" s="123">
        <v>0</v>
      </c>
      <c r="AB140" s="123">
        <v>0</v>
      </c>
      <c r="AC140" s="123">
        <v>0</v>
      </c>
      <c r="AD140" s="123">
        <v>0</v>
      </c>
      <c r="AE140" s="123">
        <v>0</v>
      </c>
      <c r="AF140" s="123">
        <v>0</v>
      </c>
      <c r="AG140" s="123">
        <v>0</v>
      </c>
      <c r="AH140" s="123">
        <v>0</v>
      </c>
      <c r="AI140" s="123">
        <v>0</v>
      </c>
      <c r="AJ140" s="123">
        <v>0</v>
      </c>
      <c r="AK140" s="123">
        <v>0</v>
      </c>
      <c r="AL140" s="123">
        <v>0</v>
      </c>
      <c r="AM140" s="123">
        <v>0</v>
      </c>
      <c r="AN140" s="123">
        <v>0</v>
      </c>
      <c r="AO140" s="123">
        <v>0</v>
      </c>
      <c r="AP140" s="123">
        <v>0</v>
      </c>
      <c r="AQ140" s="123">
        <v>0</v>
      </c>
      <c r="AR140" s="123">
        <v>0</v>
      </c>
      <c r="AS140" s="123">
        <v>0</v>
      </c>
      <c r="AT140" s="123">
        <v>0</v>
      </c>
      <c r="AU140" s="123">
        <v>0</v>
      </c>
      <c r="AV140" s="123">
        <v>0</v>
      </c>
      <c r="AW140" s="123">
        <v>0</v>
      </c>
      <c r="AX140" s="123">
        <v>0</v>
      </c>
      <c r="AY140" s="123">
        <v>0</v>
      </c>
    </row>
    <row r="141" spans="1:51" x14ac:dyDescent="0.2">
      <c r="A141" s="126"/>
      <c r="B141" s="136">
        <v>20</v>
      </c>
      <c r="C141" s="123">
        <v>0</v>
      </c>
      <c r="D141" s="123">
        <v>0</v>
      </c>
      <c r="E141" s="123">
        <v>0</v>
      </c>
      <c r="F141" s="123">
        <v>0</v>
      </c>
      <c r="G141" s="123">
        <v>0</v>
      </c>
      <c r="H141" s="123">
        <v>0</v>
      </c>
      <c r="I141" s="123">
        <v>0</v>
      </c>
      <c r="J141" s="123">
        <v>0</v>
      </c>
      <c r="K141" s="123">
        <v>0</v>
      </c>
      <c r="L141" s="123">
        <v>0</v>
      </c>
      <c r="M141" s="123">
        <v>0</v>
      </c>
      <c r="N141" s="123">
        <v>0</v>
      </c>
      <c r="O141" s="123">
        <v>0</v>
      </c>
      <c r="P141" s="123">
        <v>0</v>
      </c>
      <c r="Q141" s="123">
        <v>0</v>
      </c>
      <c r="R141" s="123">
        <v>0</v>
      </c>
      <c r="S141" s="123">
        <v>0</v>
      </c>
      <c r="T141" s="123">
        <v>0</v>
      </c>
      <c r="U141" s="123">
        <v>0</v>
      </c>
      <c r="V141" s="123">
        <v>0</v>
      </c>
      <c r="W141" s="123">
        <v>0</v>
      </c>
      <c r="X141" s="123">
        <v>0</v>
      </c>
      <c r="Y141" s="123">
        <v>0</v>
      </c>
      <c r="Z141" s="123">
        <v>0</v>
      </c>
      <c r="AA141" s="123">
        <v>0</v>
      </c>
      <c r="AB141" s="123">
        <v>0</v>
      </c>
      <c r="AC141" s="123">
        <v>0</v>
      </c>
      <c r="AD141" s="123">
        <v>0</v>
      </c>
      <c r="AE141" s="123">
        <v>0</v>
      </c>
      <c r="AF141" s="123">
        <v>0</v>
      </c>
      <c r="AG141" s="123">
        <v>0</v>
      </c>
      <c r="AH141" s="123">
        <v>0</v>
      </c>
      <c r="AI141" s="123">
        <v>0</v>
      </c>
      <c r="AJ141" s="123">
        <v>0</v>
      </c>
      <c r="AK141" s="123">
        <v>0</v>
      </c>
      <c r="AL141" s="123">
        <v>0</v>
      </c>
      <c r="AM141" s="123">
        <v>0</v>
      </c>
      <c r="AN141" s="123">
        <v>0</v>
      </c>
      <c r="AO141" s="123">
        <v>0</v>
      </c>
      <c r="AP141" s="123">
        <v>0</v>
      </c>
      <c r="AQ141" s="123">
        <v>0</v>
      </c>
      <c r="AR141" s="123">
        <v>0</v>
      </c>
      <c r="AS141" s="123">
        <v>0</v>
      </c>
      <c r="AT141" s="123">
        <v>0</v>
      </c>
      <c r="AU141" s="123">
        <v>0</v>
      </c>
      <c r="AV141" s="123">
        <v>0</v>
      </c>
      <c r="AW141" s="123">
        <v>0</v>
      </c>
      <c r="AX141" s="123">
        <v>0</v>
      </c>
      <c r="AY141" s="123">
        <v>0</v>
      </c>
    </row>
    <row r="142" spans="1:51" x14ac:dyDescent="0.2">
      <c r="A142" s="126"/>
      <c r="B142" s="136">
        <v>21</v>
      </c>
      <c r="C142" s="123">
        <v>0</v>
      </c>
      <c r="D142" s="123">
        <v>0</v>
      </c>
      <c r="E142" s="123">
        <v>0</v>
      </c>
      <c r="F142" s="123">
        <v>0</v>
      </c>
      <c r="G142" s="123">
        <v>0</v>
      </c>
      <c r="H142" s="123">
        <v>0</v>
      </c>
      <c r="I142" s="123">
        <v>0</v>
      </c>
      <c r="J142" s="123">
        <v>0</v>
      </c>
      <c r="K142" s="123">
        <v>0</v>
      </c>
      <c r="L142" s="123">
        <v>0</v>
      </c>
      <c r="M142" s="123">
        <v>0</v>
      </c>
      <c r="N142" s="123">
        <v>0</v>
      </c>
      <c r="O142" s="123">
        <v>0</v>
      </c>
      <c r="P142" s="123">
        <v>0</v>
      </c>
      <c r="Q142" s="123">
        <v>0</v>
      </c>
      <c r="R142" s="123">
        <v>0</v>
      </c>
      <c r="S142" s="123">
        <v>0</v>
      </c>
      <c r="T142" s="123">
        <v>0</v>
      </c>
      <c r="U142" s="123">
        <v>0</v>
      </c>
      <c r="V142" s="123">
        <v>0</v>
      </c>
      <c r="W142" s="123">
        <v>0</v>
      </c>
      <c r="X142" s="123">
        <v>0</v>
      </c>
      <c r="Y142" s="123">
        <v>0</v>
      </c>
      <c r="Z142" s="123">
        <v>0</v>
      </c>
      <c r="AA142" s="123">
        <v>0</v>
      </c>
      <c r="AB142" s="123">
        <v>0</v>
      </c>
      <c r="AC142" s="123">
        <v>0</v>
      </c>
      <c r="AD142" s="123">
        <v>0</v>
      </c>
      <c r="AE142" s="123">
        <v>0</v>
      </c>
      <c r="AF142" s="123">
        <v>0</v>
      </c>
      <c r="AG142" s="123">
        <v>0</v>
      </c>
      <c r="AH142" s="123">
        <v>0</v>
      </c>
      <c r="AI142" s="123">
        <v>0</v>
      </c>
      <c r="AJ142" s="123">
        <v>0</v>
      </c>
      <c r="AK142" s="123">
        <v>0</v>
      </c>
      <c r="AL142" s="123">
        <v>0</v>
      </c>
      <c r="AM142" s="123">
        <v>0</v>
      </c>
      <c r="AN142" s="123">
        <v>0</v>
      </c>
      <c r="AO142" s="123">
        <v>0</v>
      </c>
      <c r="AP142" s="123">
        <v>0</v>
      </c>
      <c r="AQ142" s="123">
        <v>0</v>
      </c>
      <c r="AR142" s="123">
        <v>0</v>
      </c>
      <c r="AS142" s="123">
        <v>0</v>
      </c>
      <c r="AT142" s="123">
        <v>0</v>
      </c>
      <c r="AU142" s="123">
        <v>0</v>
      </c>
      <c r="AV142" s="123">
        <v>0</v>
      </c>
      <c r="AW142" s="123">
        <v>0</v>
      </c>
      <c r="AX142" s="123">
        <v>0</v>
      </c>
      <c r="AY142" s="123">
        <v>0</v>
      </c>
    </row>
    <row r="143" spans="1:51" x14ac:dyDescent="0.2">
      <c r="A143" s="126"/>
      <c r="B143" s="136">
        <v>22</v>
      </c>
      <c r="C143" s="123">
        <v>0</v>
      </c>
      <c r="D143" s="123">
        <v>0</v>
      </c>
      <c r="E143" s="123">
        <v>0</v>
      </c>
      <c r="F143" s="123">
        <v>0</v>
      </c>
      <c r="G143" s="123">
        <v>0</v>
      </c>
      <c r="H143" s="123">
        <v>0</v>
      </c>
      <c r="I143" s="123">
        <v>0</v>
      </c>
      <c r="J143" s="123">
        <v>0</v>
      </c>
      <c r="K143" s="123">
        <v>0</v>
      </c>
      <c r="L143" s="123">
        <v>0</v>
      </c>
      <c r="M143" s="123">
        <v>0</v>
      </c>
      <c r="N143" s="123">
        <v>0</v>
      </c>
      <c r="O143" s="123">
        <v>0</v>
      </c>
      <c r="P143" s="123">
        <v>0</v>
      </c>
      <c r="Q143" s="123">
        <v>0</v>
      </c>
      <c r="R143" s="123">
        <v>0</v>
      </c>
      <c r="S143" s="123">
        <v>0</v>
      </c>
      <c r="T143" s="123">
        <v>0</v>
      </c>
      <c r="U143" s="123">
        <v>0</v>
      </c>
      <c r="V143" s="123">
        <v>0</v>
      </c>
      <c r="W143" s="123">
        <v>0</v>
      </c>
      <c r="X143" s="123">
        <v>0</v>
      </c>
      <c r="Y143" s="123">
        <v>0</v>
      </c>
      <c r="Z143" s="123">
        <v>0</v>
      </c>
      <c r="AA143" s="123">
        <v>0</v>
      </c>
      <c r="AB143" s="123">
        <v>0</v>
      </c>
      <c r="AC143" s="123">
        <v>0</v>
      </c>
      <c r="AD143" s="123">
        <v>0</v>
      </c>
      <c r="AE143" s="123">
        <v>0</v>
      </c>
      <c r="AF143" s="123">
        <v>0</v>
      </c>
      <c r="AG143" s="123">
        <v>0</v>
      </c>
      <c r="AH143" s="123">
        <v>0</v>
      </c>
      <c r="AI143" s="123">
        <v>0</v>
      </c>
      <c r="AJ143" s="123">
        <v>0</v>
      </c>
      <c r="AK143" s="123">
        <v>0</v>
      </c>
      <c r="AL143" s="123">
        <v>0</v>
      </c>
      <c r="AM143" s="123">
        <v>0</v>
      </c>
      <c r="AN143" s="123">
        <v>0</v>
      </c>
      <c r="AO143" s="123">
        <v>0</v>
      </c>
      <c r="AP143" s="123">
        <v>0</v>
      </c>
      <c r="AQ143" s="123">
        <v>0</v>
      </c>
      <c r="AR143" s="123">
        <v>0</v>
      </c>
      <c r="AS143" s="123">
        <v>0</v>
      </c>
      <c r="AT143" s="123">
        <v>0</v>
      </c>
      <c r="AU143" s="123">
        <v>0</v>
      </c>
      <c r="AV143" s="123">
        <v>0</v>
      </c>
      <c r="AW143" s="123">
        <v>0</v>
      </c>
      <c r="AX143" s="123">
        <v>0</v>
      </c>
      <c r="AY143" s="123">
        <v>0</v>
      </c>
    </row>
    <row r="144" spans="1:51" x14ac:dyDescent="0.2">
      <c r="A144" s="126"/>
      <c r="B144" s="136">
        <v>23</v>
      </c>
      <c r="C144" s="123">
        <v>0</v>
      </c>
      <c r="D144" s="123">
        <v>0</v>
      </c>
      <c r="E144" s="123">
        <v>0</v>
      </c>
      <c r="F144" s="123">
        <v>0</v>
      </c>
      <c r="G144" s="123">
        <v>0</v>
      </c>
      <c r="H144" s="123">
        <v>0</v>
      </c>
      <c r="I144" s="123">
        <v>0</v>
      </c>
      <c r="J144" s="123">
        <v>0</v>
      </c>
      <c r="K144" s="123">
        <v>0</v>
      </c>
      <c r="L144" s="123">
        <v>0</v>
      </c>
      <c r="M144" s="123">
        <v>0</v>
      </c>
      <c r="N144" s="123">
        <v>0</v>
      </c>
      <c r="O144" s="123">
        <v>0</v>
      </c>
      <c r="P144" s="123">
        <v>0</v>
      </c>
      <c r="Q144" s="123">
        <v>0</v>
      </c>
      <c r="R144" s="123">
        <v>0</v>
      </c>
      <c r="S144" s="123">
        <v>0</v>
      </c>
      <c r="T144" s="123">
        <v>0</v>
      </c>
      <c r="U144" s="123">
        <v>0</v>
      </c>
      <c r="V144" s="123">
        <v>0</v>
      </c>
      <c r="W144" s="123">
        <v>0</v>
      </c>
      <c r="X144" s="123">
        <v>0</v>
      </c>
      <c r="Y144" s="123">
        <v>0</v>
      </c>
      <c r="Z144" s="123">
        <v>0</v>
      </c>
      <c r="AA144" s="123">
        <v>0</v>
      </c>
      <c r="AB144" s="123">
        <v>0</v>
      </c>
      <c r="AC144" s="123">
        <v>0</v>
      </c>
      <c r="AD144" s="123">
        <v>0</v>
      </c>
      <c r="AE144" s="123">
        <v>0</v>
      </c>
      <c r="AF144" s="123">
        <v>0</v>
      </c>
      <c r="AG144" s="123">
        <v>0</v>
      </c>
      <c r="AH144" s="123">
        <v>0</v>
      </c>
      <c r="AI144" s="123">
        <v>0</v>
      </c>
      <c r="AJ144" s="123">
        <v>0</v>
      </c>
      <c r="AK144" s="123">
        <v>0</v>
      </c>
      <c r="AL144" s="123">
        <v>0</v>
      </c>
      <c r="AM144" s="123">
        <v>0</v>
      </c>
      <c r="AN144" s="123">
        <v>0</v>
      </c>
      <c r="AO144" s="123">
        <v>0</v>
      </c>
      <c r="AP144" s="123">
        <v>0</v>
      </c>
      <c r="AQ144" s="123">
        <v>0</v>
      </c>
      <c r="AR144" s="123">
        <v>0</v>
      </c>
      <c r="AS144" s="123">
        <v>0</v>
      </c>
      <c r="AT144" s="123">
        <v>0</v>
      </c>
      <c r="AU144" s="123">
        <v>0</v>
      </c>
      <c r="AV144" s="123">
        <v>0</v>
      </c>
      <c r="AW144" s="123">
        <v>0</v>
      </c>
      <c r="AX144" s="123">
        <v>0</v>
      </c>
      <c r="AY144" s="123">
        <v>0</v>
      </c>
    </row>
    <row r="145" spans="1:51" x14ac:dyDescent="0.2">
      <c r="A145" s="126"/>
      <c r="B145" s="136">
        <v>24</v>
      </c>
      <c r="C145" s="123">
        <v>0</v>
      </c>
      <c r="D145" s="123">
        <v>0</v>
      </c>
      <c r="E145" s="123">
        <v>0</v>
      </c>
      <c r="F145" s="123">
        <v>0</v>
      </c>
      <c r="G145" s="123">
        <v>0</v>
      </c>
      <c r="H145" s="123">
        <v>0</v>
      </c>
      <c r="I145" s="123">
        <v>0</v>
      </c>
      <c r="J145" s="123">
        <v>0</v>
      </c>
      <c r="K145" s="123">
        <v>0</v>
      </c>
      <c r="L145" s="123">
        <v>0</v>
      </c>
      <c r="M145" s="123">
        <v>0</v>
      </c>
      <c r="N145" s="123">
        <v>0</v>
      </c>
      <c r="O145" s="123">
        <v>0</v>
      </c>
      <c r="P145" s="123">
        <v>0</v>
      </c>
      <c r="Q145" s="123">
        <v>0</v>
      </c>
      <c r="R145" s="123">
        <v>0</v>
      </c>
      <c r="S145" s="123">
        <v>0</v>
      </c>
      <c r="T145" s="123">
        <v>0</v>
      </c>
      <c r="U145" s="123">
        <v>0</v>
      </c>
      <c r="V145" s="123">
        <v>0</v>
      </c>
      <c r="W145" s="123">
        <v>0</v>
      </c>
      <c r="X145" s="123">
        <v>0</v>
      </c>
      <c r="Y145" s="123">
        <v>0</v>
      </c>
      <c r="Z145" s="123">
        <v>0</v>
      </c>
      <c r="AA145" s="123">
        <v>0</v>
      </c>
      <c r="AB145" s="123">
        <v>0</v>
      </c>
      <c r="AC145" s="123">
        <v>0</v>
      </c>
      <c r="AD145" s="123">
        <v>0</v>
      </c>
      <c r="AE145" s="123">
        <v>0</v>
      </c>
      <c r="AF145" s="123">
        <v>0</v>
      </c>
      <c r="AG145" s="123">
        <v>0</v>
      </c>
      <c r="AH145" s="123">
        <v>0</v>
      </c>
      <c r="AI145" s="123">
        <v>0</v>
      </c>
      <c r="AJ145" s="123">
        <v>0</v>
      </c>
      <c r="AK145" s="123">
        <v>0</v>
      </c>
      <c r="AL145" s="123">
        <v>0</v>
      </c>
      <c r="AM145" s="123">
        <v>0</v>
      </c>
      <c r="AN145" s="123">
        <v>0</v>
      </c>
      <c r="AO145" s="123">
        <v>0</v>
      </c>
      <c r="AP145" s="123">
        <v>0</v>
      </c>
      <c r="AQ145" s="123">
        <v>0</v>
      </c>
      <c r="AR145" s="123">
        <v>0</v>
      </c>
      <c r="AS145" s="123">
        <v>0</v>
      </c>
      <c r="AT145" s="123">
        <v>0</v>
      </c>
      <c r="AU145" s="123">
        <v>0</v>
      </c>
      <c r="AV145" s="123">
        <v>0</v>
      </c>
      <c r="AW145" s="123">
        <v>0</v>
      </c>
      <c r="AX145" s="123">
        <v>0</v>
      </c>
      <c r="AY145" s="123">
        <v>0</v>
      </c>
    </row>
    <row r="146" spans="1:51" x14ac:dyDescent="0.2">
      <c r="A146" s="126"/>
      <c r="B146" s="143">
        <v>25</v>
      </c>
      <c r="C146" s="123">
        <v>0</v>
      </c>
      <c r="D146" s="123">
        <v>0</v>
      </c>
      <c r="E146" s="123">
        <v>0</v>
      </c>
      <c r="F146" s="123">
        <v>0</v>
      </c>
      <c r="G146" s="123">
        <v>0</v>
      </c>
      <c r="H146" s="123">
        <v>0</v>
      </c>
      <c r="I146" s="123">
        <v>0</v>
      </c>
      <c r="J146" s="123">
        <v>0</v>
      </c>
      <c r="K146" s="123">
        <v>0</v>
      </c>
      <c r="L146" s="123">
        <v>0</v>
      </c>
      <c r="M146" s="123">
        <v>0</v>
      </c>
      <c r="N146" s="123">
        <v>0</v>
      </c>
      <c r="O146" s="123">
        <v>0</v>
      </c>
      <c r="P146" s="123">
        <v>0</v>
      </c>
      <c r="Q146" s="123">
        <v>0</v>
      </c>
      <c r="R146" s="123">
        <v>0</v>
      </c>
      <c r="S146" s="123">
        <v>0</v>
      </c>
      <c r="T146" s="123">
        <v>0</v>
      </c>
      <c r="U146" s="123">
        <v>0</v>
      </c>
      <c r="V146" s="123">
        <v>0</v>
      </c>
      <c r="W146" s="123">
        <v>0</v>
      </c>
      <c r="X146" s="123">
        <v>0</v>
      </c>
      <c r="Y146" s="123">
        <v>0</v>
      </c>
      <c r="Z146" s="123">
        <v>0</v>
      </c>
      <c r="AA146" s="123">
        <v>0</v>
      </c>
      <c r="AB146" s="123">
        <v>0</v>
      </c>
      <c r="AC146" s="123">
        <v>0</v>
      </c>
      <c r="AD146" s="123">
        <v>0</v>
      </c>
      <c r="AE146" s="123">
        <v>0</v>
      </c>
      <c r="AF146" s="123">
        <v>0</v>
      </c>
      <c r="AG146" s="123">
        <v>0</v>
      </c>
      <c r="AH146" s="123">
        <v>0</v>
      </c>
      <c r="AI146" s="123">
        <v>0</v>
      </c>
      <c r="AJ146" s="123">
        <v>0</v>
      </c>
      <c r="AK146" s="123">
        <v>0</v>
      </c>
      <c r="AL146" s="123">
        <v>0</v>
      </c>
      <c r="AM146" s="123">
        <v>0</v>
      </c>
      <c r="AN146" s="123">
        <v>0</v>
      </c>
      <c r="AO146" s="123">
        <v>0</v>
      </c>
      <c r="AP146" s="123">
        <v>0</v>
      </c>
      <c r="AQ146" s="123">
        <v>0</v>
      </c>
      <c r="AR146" s="123">
        <v>0</v>
      </c>
      <c r="AS146" s="123">
        <v>0</v>
      </c>
      <c r="AT146" s="123">
        <v>0</v>
      </c>
      <c r="AU146" s="123">
        <v>0</v>
      </c>
      <c r="AV146" s="123">
        <v>0</v>
      </c>
      <c r="AW146" s="123">
        <v>0</v>
      </c>
      <c r="AX146" s="123">
        <v>0</v>
      </c>
      <c r="AY146" s="123">
        <v>0</v>
      </c>
    </row>
    <row r="147" spans="1:51" x14ac:dyDescent="0.2">
      <c r="A147" s="126"/>
      <c r="B147" s="143">
        <v>26</v>
      </c>
      <c r="C147" s="123">
        <v>0</v>
      </c>
      <c r="D147" s="123">
        <v>0</v>
      </c>
      <c r="E147" s="123">
        <v>0</v>
      </c>
      <c r="F147" s="123">
        <v>0</v>
      </c>
      <c r="G147" s="123">
        <v>0</v>
      </c>
      <c r="H147" s="123">
        <v>0</v>
      </c>
      <c r="I147" s="123">
        <v>0</v>
      </c>
      <c r="J147" s="123">
        <v>0</v>
      </c>
      <c r="K147" s="123">
        <v>0</v>
      </c>
      <c r="L147" s="123">
        <v>0</v>
      </c>
      <c r="M147" s="123">
        <v>0</v>
      </c>
      <c r="N147" s="123">
        <v>0</v>
      </c>
      <c r="O147" s="123">
        <v>0</v>
      </c>
      <c r="P147" s="123">
        <v>0</v>
      </c>
      <c r="Q147" s="123">
        <v>0</v>
      </c>
      <c r="R147" s="123">
        <v>0</v>
      </c>
      <c r="S147" s="123">
        <v>0</v>
      </c>
      <c r="T147" s="123">
        <v>0</v>
      </c>
      <c r="U147" s="123">
        <v>0</v>
      </c>
      <c r="V147" s="123">
        <v>0</v>
      </c>
      <c r="W147" s="123">
        <v>0</v>
      </c>
      <c r="X147" s="123">
        <v>0</v>
      </c>
      <c r="Y147" s="123">
        <v>0</v>
      </c>
      <c r="Z147" s="123">
        <v>0</v>
      </c>
      <c r="AA147" s="123">
        <v>0</v>
      </c>
      <c r="AB147" s="123">
        <v>0</v>
      </c>
      <c r="AC147" s="123">
        <v>0</v>
      </c>
      <c r="AD147" s="123">
        <v>0</v>
      </c>
      <c r="AE147" s="123">
        <v>0</v>
      </c>
      <c r="AF147" s="123">
        <v>0</v>
      </c>
      <c r="AG147" s="123">
        <v>0</v>
      </c>
      <c r="AH147" s="123">
        <v>0</v>
      </c>
      <c r="AI147" s="123">
        <v>0</v>
      </c>
      <c r="AJ147" s="123">
        <v>0</v>
      </c>
      <c r="AK147" s="123">
        <v>0</v>
      </c>
      <c r="AL147" s="123">
        <v>0</v>
      </c>
      <c r="AM147" s="123">
        <v>0</v>
      </c>
      <c r="AN147" s="123">
        <v>0</v>
      </c>
      <c r="AO147" s="123">
        <v>0</v>
      </c>
      <c r="AP147" s="123">
        <v>0</v>
      </c>
      <c r="AQ147" s="123">
        <v>0</v>
      </c>
      <c r="AR147" s="123">
        <v>0</v>
      </c>
      <c r="AS147" s="123">
        <v>0</v>
      </c>
      <c r="AT147" s="123">
        <v>0</v>
      </c>
      <c r="AU147" s="123">
        <v>0</v>
      </c>
      <c r="AV147" s="123">
        <v>0</v>
      </c>
      <c r="AW147" s="123">
        <v>0</v>
      </c>
      <c r="AX147" s="123">
        <v>0</v>
      </c>
      <c r="AY147" s="123">
        <v>0</v>
      </c>
    </row>
    <row r="148" spans="1:51" x14ac:dyDescent="0.2">
      <c r="A148" s="126"/>
      <c r="B148" s="143">
        <v>27</v>
      </c>
      <c r="C148" s="123">
        <v>0</v>
      </c>
      <c r="D148" s="123">
        <v>0</v>
      </c>
      <c r="E148" s="123">
        <v>0</v>
      </c>
      <c r="F148" s="123">
        <v>0</v>
      </c>
      <c r="G148" s="123">
        <v>0</v>
      </c>
      <c r="H148" s="123">
        <v>0</v>
      </c>
      <c r="I148" s="123">
        <v>0</v>
      </c>
      <c r="J148" s="123">
        <v>0</v>
      </c>
      <c r="K148" s="123">
        <v>0</v>
      </c>
      <c r="L148" s="123">
        <v>0</v>
      </c>
      <c r="M148" s="123">
        <v>0</v>
      </c>
      <c r="N148" s="123">
        <v>0</v>
      </c>
      <c r="O148" s="123">
        <v>0</v>
      </c>
      <c r="P148" s="123">
        <v>0</v>
      </c>
      <c r="Q148" s="123">
        <v>0</v>
      </c>
      <c r="R148" s="123">
        <v>0</v>
      </c>
      <c r="S148" s="123">
        <v>0</v>
      </c>
      <c r="T148" s="123">
        <v>0</v>
      </c>
      <c r="U148" s="123">
        <v>0</v>
      </c>
      <c r="V148" s="123">
        <v>0</v>
      </c>
      <c r="W148" s="123">
        <v>0</v>
      </c>
      <c r="X148" s="123">
        <v>0</v>
      </c>
      <c r="Y148" s="123">
        <v>0</v>
      </c>
      <c r="Z148" s="123">
        <v>0</v>
      </c>
      <c r="AA148" s="123">
        <v>0</v>
      </c>
      <c r="AB148" s="123">
        <v>0</v>
      </c>
      <c r="AC148" s="123">
        <v>0</v>
      </c>
      <c r="AD148" s="123">
        <v>0</v>
      </c>
      <c r="AE148" s="123">
        <v>0</v>
      </c>
      <c r="AF148" s="123">
        <v>0</v>
      </c>
      <c r="AG148" s="123">
        <v>0</v>
      </c>
      <c r="AH148" s="123">
        <v>0</v>
      </c>
      <c r="AI148" s="123">
        <v>0</v>
      </c>
      <c r="AJ148" s="123">
        <v>0</v>
      </c>
      <c r="AK148" s="123">
        <v>0</v>
      </c>
      <c r="AL148" s="123">
        <v>0</v>
      </c>
      <c r="AM148" s="123">
        <v>0</v>
      </c>
      <c r="AN148" s="123">
        <v>0</v>
      </c>
      <c r="AO148" s="123">
        <v>0</v>
      </c>
      <c r="AP148" s="123">
        <v>0</v>
      </c>
      <c r="AQ148" s="123">
        <v>0</v>
      </c>
      <c r="AR148" s="123">
        <v>0</v>
      </c>
      <c r="AS148" s="123">
        <v>0</v>
      </c>
      <c r="AT148" s="123">
        <v>0</v>
      </c>
      <c r="AU148" s="123">
        <v>0</v>
      </c>
      <c r="AV148" s="123">
        <v>0</v>
      </c>
      <c r="AW148" s="123">
        <v>0</v>
      </c>
      <c r="AX148" s="123">
        <v>0</v>
      </c>
      <c r="AY148" s="123">
        <v>0</v>
      </c>
    </row>
    <row r="149" spans="1:51" x14ac:dyDescent="0.2">
      <c r="A149" s="126"/>
      <c r="B149" s="143">
        <v>28</v>
      </c>
      <c r="C149" s="123">
        <v>0</v>
      </c>
      <c r="D149" s="123">
        <v>0</v>
      </c>
      <c r="E149" s="123">
        <v>0</v>
      </c>
      <c r="F149" s="123">
        <v>0</v>
      </c>
      <c r="G149" s="123">
        <v>0</v>
      </c>
      <c r="H149" s="123">
        <v>0</v>
      </c>
      <c r="I149" s="123">
        <v>0</v>
      </c>
      <c r="J149" s="123">
        <v>0</v>
      </c>
      <c r="K149" s="123">
        <v>0</v>
      </c>
      <c r="L149" s="123">
        <v>0</v>
      </c>
      <c r="M149" s="123">
        <v>0</v>
      </c>
      <c r="N149" s="123">
        <v>0</v>
      </c>
      <c r="O149" s="123">
        <v>0</v>
      </c>
      <c r="P149" s="123">
        <v>0</v>
      </c>
      <c r="Q149" s="123">
        <v>0</v>
      </c>
      <c r="R149" s="123">
        <v>0</v>
      </c>
      <c r="S149" s="123">
        <v>0</v>
      </c>
      <c r="T149" s="123">
        <v>0</v>
      </c>
      <c r="U149" s="123">
        <v>0</v>
      </c>
      <c r="V149" s="123">
        <v>0</v>
      </c>
      <c r="W149" s="123">
        <v>0</v>
      </c>
      <c r="X149" s="123">
        <v>0</v>
      </c>
      <c r="Y149" s="123">
        <v>0</v>
      </c>
      <c r="Z149" s="123">
        <v>0</v>
      </c>
      <c r="AA149" s="123">
        <v>0</v>
      </c>
      <c r="AB149" s="123">
        <v>0</v>
      </c>
      <c r="AC149" s="123">
        <v>0</v>
      </c>
      <c r="AD149" s="123">
        <v>0</v>
      </c>
      <c r="AE149" s="123">
        <v>0</v>
      </c>
      <c r="AF149" s="123">
        <v>0</v>
      </c>
      <c r="AG149" s="123">
        <v>0</v>
      </c>
      <c r="AH149" s="123">
        <v>0</v>
      </c>
      <c r="AI149" s="123">
        <v>0</v>
      </c>
      <c r="AJ149" s="123">
        <v>0</v>
      </c>
      <c r="AK149" s="123">
        <v>0</v>
      </c>
      <c r="AL149" s="123">
        <v>0</v>
      </c>
      <c r="AM149" s="123">
        <v>0</v>
      </c>
      <c r="AN149" s="123">
        <v>0</v>
      </c>
      <c r="AO149" s="123">
        <v>0</v>
      </c>
      <c r="AP149" s="123">
        <v>0</v>
      </c>
      <c r="AQ149" s="123">
        <v>0</v>
      </c>
      <c r="AR149" s="123">
        <v>0</v>
      </c>
      <c r="AS149" s="123">
        <v>0</v>
      </c>
      <c r="AT149" s="123">
        <v>0</v>
      </c>
      <c r="AU149" s="123">
        <v>0</v>
      </c>
      <c r="AV149" s="123">
        <v>0</v>
      </c>
      <c r="AW149" s="123">
        <v>0</v>
      </c>
      <c r="AX149" s="123">
        <v>0</v>
      </c>
      <c r="AY149" s="123">
        <v>0</v>
      </c>
    </row>
    <row r="150" spans="1:51" x14ac:dyDescent="0.2">
      <c r="A150" s="126"/>
      <c r="B150" s="143">
        <v>29</v>
      </c>
      <c r="C150" s="123">
        <v>0</v>
      </c>
      <c r="D150" s="123">
        <v>0</v>
      </c>
      <c r="E150" s="123">
        <v>0</v>
      </c>
      <c r="F150" s="123">
        <v>0</v>
      </c>
      <c r="G150" s="123">
        <v>0</v>
      </c>
      <c r="H150" s="123">
        <v>0</v>
      </c>
      <c r="I150" s="123">
        <v>0</v>
      </c>
      <c r="J150" s="123">
        <v>0</v>
      </c>
      <c r="K150" s="123">
        <v>0</v>
      </c>
      <c r="L150" s="123">
        <v>0</v>
      </c>
      <c r="M150" s="123">
        <v>0</v>
      </c>
      <c r="N150" s="123">
        <v>0</v>
      </c>
      <c r="O150" s="123">
        <v>0</v>
      </c>
      <c r="P150" s="123">
        <v>0</v>
      </c>
      <c r="Q150" s="123">
        <v>0</v>
      </c>
      <c r="R150" s="123">
        <v>0</v>
      </c>
      <c r="S150" s="123">
        <v>0</v>
      </c>
      <c r="T150" s="123">
        <v>0</v>
      </c>
      <c r="U150" s="123">
        <v>0</v>
      </c>
      <c r="V150" s="123">
        <v>0</v>
      </c>
      <c r="W150" s="123">
        <v>0</v>
      </c>
      <c r="X150" s="123">
        <v>0</v>
      </c>
      <c r="Y150" s="123">
        <v>0</v>
      </c>
      <c r="Z150" s="123">
        <v>0</v>
      </c>
      <c r="AA150" s="123">
        <v>0</v>
      </c>
      <c r="AB150" s="123">
        <v>0</v>
      </c>
      <c r="AC150" s="123">
        <v>0</v>
      </c>
      <c r="AD150" s="123">
        <v>0</v>
      </c>
      <c r="AE150" s="123">
        <v>0</v>
      </c>
      <c r="AF150" s="123">
        <v>0</v>
      </c>
      <c r="AG150" s="123">
        <v>0</v>
      </c>
      <c r="AH150" s="123">
        <v>0</v>
      </c>
      <c r="AI150" s="123">
        <v>0</v>
      </c>
      <c r="AJ150" s="123">
        <v>0</v>
      </c>
      <c r="AK150" s="123">
        <v>0</v>
      </c>
      <c r="AL150" s="123">
        <v>0</v>
      </c>
      <c r="AM150" s="123">
        <v>0</v>
      </c>
      <c r="AN150" s="123">
        <v>0</v>
      </c>
      <c r="AO150" s="123">
        <v>0</v>
      </c>
      <c r="AP150" s="123">
        <v>0</v>
      </c>
      <c r="AQ150" s="123">
        <v>0</v>
      </c>
      <c r="AR150" s="123">
        <v>0</v>
      </c>
      <c r="AS150" s="123">
        <v>0</v>
      </c>
      <c r="AT150" s="123">
        <v>0</v>
      </c>
      <c r="AU150" s="123">
        <v>0</v>
      </c>
      <c r="AV150" s="123">
        <v>0</v>
      </c>
      <c r="AW150" s="123">
        <v>0</v>
      </c>
      <c r="AX150" s="123">
        <v>0</v>
      </c>
      <c r="AY150" s="123">
        <v>0</v>
      </c>
    </row>
    <row r="151" spans="1:51" x14ac:dyDescent="0.2">
      <c r="A151" s="126"/>
      <c r="B151" s="143">
        <v>30</v>
      </c>
      <c r="C151" s="123">
        <v>0</v>
      </c>
      <c r="D151" s="123">
        <v>0</v>
      </c>
      <c r="E151" s="123">
        <v>0</v>
      </c>
      <c r="F151" s="123">
        <v>0</v>
      </c>
      <c r="G151" s="123">
        <v>0</v>
      </c>
      <c r="H151" s="123">
        <v>0</v>
      </c>
      <c r="I151" s="123">
        <v>0</v>
      </c>
      <c r="J151" s="123">
        <v>0</v>
      </c>
      <c r="K151" s="123">
        <v>0</v>
      </c>
      <c r="L151" s="123">
        <v>0</v>
      </c>
      <c r="M151" s="123">
        <v>0</v>
      </c>
      <c r="N151" s="123">
        <v>0</v>
      </c>
      <c r="O151" s="123">
        <v>0</v>
      </c>
      <c r="P151" s="123">
        <v>0</v>
      </c>
      <c r="Q151" s="123">
        <v>0</v>
      </c>
      <c r="R151" s="123">
        <v>0</v>
      </c>
      <c r="S151" s="123">
        <v>0</v>
      </c>
      <c r="T151" s="123">
        <v>0</v>
      </c>
      <c r="U151" s="123">
        <v>0</v>
      </c>
      <c r="V151" s="123">
        <v>0</v>
      </c>
      <c r="W151" s="123">
        <v>0</v>
      </c>
      <c r="X151" s="123">
        <v>0</v>
      </c>
      <c r="Y151" s="123">
        <v>0</v>
      </c>
      <c r="Z151" s="123">
        <v>0</v>
      </c>
      <c r="AA151" s="123">
        <v>0</v>
      </c>
      <c r="AB151" s="123">
        <v>0</v>
      </c>
      <c r="AC151" s="123">
        <v>0</v>
      </c>
      <c r="AD151" s="123">
        <v>0</v>
      </c>
      <c r="AE151" s="123">
        <v>0</v>
      </c>
      <c r="AF151" s="123">
        <v>0</v>
      </c>
      <c r="AG151" s="123">
        <v>0</v>
      </c>
      <c r="AH151" s="123">
        <v>0</v>
      </c>
      <c r="AI151" s="123">
        <v>0</v>
      </c>
      <c r="AJ151" s="123">
        <v>0</v>
      </c>
      <c r="AK151" s="123">
        <v>0</v>
      </c>
      <c r="AL151" s="123">
        <v>0</v>
      </c>
      <c r="AM151" s="123">
        <v>0</v>
      </c>
      <c r="AN151" s="123">
        <v>0</v>
      </c>
      <c r="AO151" s="123">
        <v>0</v>
      </c>
      <c r="AP151" s="123">
        <v>0</v>
      </c>
      <c r="AQ151" s="123">
        <v>0</v>
      </c>
      <c r="AR151" s="123">
        <v>0</v>
      </c>
      <c r="AS151" s="123">
        <v>0</v>
      </c>
      <c r="AT151" s="123">
        <v>0</v>
      </c>
      <c r="AU151" s="123">
        <v>0</v>
      </c>
      <c r="AV151" s="123">
        <v>0</v>
      </c>
      <c r="AW151" s="123">
        <v>0</v>
      </c>
      <c r="AX151" s="123">
        <v>0</v>
      </c>
      <c r="AY151" s="123">
        <v>0</v>
      </c>
    </row>
    <row r="152" spans="1:51" x14ac:dyDescent="0.2">
      <c r="A152" s="126"/>
      <c r="B152" s="143">
        <v>31</v>
      </c>
      <c r="C152" s="123">
        <v>0</v>
      </c>
      <c r="D152" s="123">
        <v>0</v>
      </c>
      <c r="E152" s="123">
        <v>0</v>
      </c>
      <c r="F152" s="123">
        <v>0</v>
      </c>
      <c r="G152" s="123">
        <v>0</v>
      </c>
      <c r="H152" s="123">
        <v>0</v>
      </c>
      <c r="I152" s="123">
        <v>0</v>
      </c>
      <c r="J152" s="123">
        <v>0</v>
      </c>
      <c r="K152" s="123">
        <v>0</v>
      </c>
      <c r="L152" s="123">
        <v>0</v>
      </c>
      <c r="M152" s="123">
        <v>0</v>
      </c>
      <c r="N152" s="123">
        <v>0</v>
      </c>
      <c r="O152" s="123">
        <v>0</v>
      </c>
      <c r="P152" s="123">
        <v>0</v>
      </c>
      <c r="Q152" s="123">
        <v>0</v>
      </c>
      <c r="R152" s="123">
        <v>0</v>
      </c>
      <c r="S152" s="123">
        <v>0</v>
      </c>
      <c r="T152" s="123">
        <v>0</v>
      </c>
      <c r="U152" s="123">
        <v>0</v>
      </c>
      <c r="V152" s="123">
        <v>0</v>
      </c>
      <c r="W152" s="123">
        <v>0</v>
      </c>
      <c r="X152" s="123">
        <v>0</v>
      </c>
      <c r="Y152" s="123">
        <v>0</v>
      </c>
      <c r="Z152" s="123">
        <v>0</v>
      </c>
      <c r="AA152" s="123">
        <v>0</v>
      </c>
      <c r="AB152" s="123">
        <v>0</v>
      </c>
      <c r="AC152" s="123">
        <v>0</v>
      </c>
      <c r="AD152" s="123">
        <v>0</v>
      </c>
      <c r="AE152" s="123">
        <v>0</v>
      </c>
      <c r="AF152" s="123">
        <v>0</v>
      </c>
      <c r="AG152" s="123">
        <v>0</v>
      </c>
      <c r="AH152" s="123">
        <v>0</v>
      </c>
      <c r="AI152" s="123">
        <v>0</v>
      </c>
      <c r="AJ152" s="123">
        <v>0</v>
      </c>
      <c r="AK152" s="123">
        <v>0</v>
      </c>
      <c r="AL152" s="123">
        <v>0</v>
      </c>
      <c r="AM152" s="123">
        <v>0</v>
      </c>
      <c r="AN152" s="123">
        <v>0</v>
      </c>
      <c r="AO152" s="123">
        <v>0</v>
      </c>
      <c r="AP152" s="123">
        <v>0</v>
      </c>
      <c r="AQ152" s="123">
        <v>0</v>
      </c>
      <c r="AR152" s="123">
        <v>0</v>
      </c>
      <c r="AS152" s="123">
        <v>0</v>
      </c>
      <c r="AT152" s="123">
        <v>0</v>
      </c>
      <c r="AU152" s="123">
        <v>0</v>
      </c>
      <c r="AV152" s="123">
        <v>0</v>
      </c>
      <c r="AW152" s="123">
        <v>0</v>
      </c>
      <c r="AX152" s="123">
        <v>0</v>
      </c>
      <c r="AY152" s="123">
        <v>0</v>
      </c>
    </row>
    <row r="153" spans="1:51" x14ac:dyDescent="0.2">
      <c r="A153" s="126"/>
      <c r="B153" s="143">
        <v>32</v>
      </c>
      <c r="C153" s="123">
        <v>0</v>
      </c>
      <c r="D153" s="123">
        <v>0</v>
      </c>
      <c r="E153" s="123">
        <v>0</v>
      </c>
      <c r="F153" s="123">
        <v>0</v>
      </c>
      <c r="G153" s="123">
        <v>0</v>
      </c>
      <c r="H153" s="123">
        <v>0</v>
      </c>
      <c r="I153" s="123">
        <v>0</v>
      </c>
      <c r="J153" s="123">
        <v>0</v>
      </c>
      <c r="K153" s="123">
        <v>0</v>
      </c>
      <c r="L153" s="123">
        <v>0</v>
      </c>
      <c r="M153" s="123">
        <v>0</v>
      </c>
      <c r="N153" s="123">
        <v>0</v>
      </c>
      <c r="O153" s="123">
        <v>0</v>
      </c>
      <c r="P153" s="123">
        <v>0</v>
      </c>
      <c r="Q153" s="123">
        <v>0</v>
      </c>
      <c r="R153" s="123">
        <v>0</v>
      </c>
      <c r="S153" s="123">
        <v>0</v>
      </c>
      <c r="T153" s="123">
        <v>0</v>
      </c>
      <c r="U153" s="123">
        <v>0</v>
      </c>
      <c r="V153" s="123">
        <v>0</v>
      </c>
      <c r="W153" s="123">
        <v>0</v>
      </c>
      <c r="X153" s="123">
        <v>0</v>
      </c>
      <c r="Y153" s="123">
        <v>0</v>
      </c>
      <c r="Z153" s="123">
        <v>0</v>
      </c>
      <c r="AA153" s="123">
        <v>0</v>
      </c>
      <c r="AB153" s="123">
        <v>0</v>
      </c>
      <c r="AC153" s="123">
        <v>0</v>
      </c>
      <c r="AD153" s="123">
        <v>0</v>
      </c>
      <c r="AE153" s="123">
        <v>0</v>
      </c>
      <c r="AF153" s="123">
        <v>0</v>
      </c>
      <c r="AG153" s="123">
        <v>0</v>
      </c>
      <c r="AH153" s="123">
        <v>0</v>
      </c>
      <c r="AI153" s="123">
        <v>0</v>
      </c>
      <c r="AJ153" s="123">
        <v>0</v>
      </c>
      <c r="AK153" s="123">
        <v>0</v>
      </c>
      <c r="AL153" s="123">
        <v>0</v>
      </c>
      <c r="AM153" s="123">
        <v>0</v>
      </c>
      <c r="AN153" s="123">
        <v>0</v>
      </c>
      <c r="AO153" s="123">
        <v>0</v>
      </c>
      <c r="AP153" s="123">
        <v>0</v>
      </c>
      <c r="AQ153" s="123">
        <v>0</v>
      </c>
      <c r="AR153" s="123">
        <v>0</v>
      </c>
      <c r="AS153" s="123">
        <v>0</v>
      </c>
      <c r="AT153" s="123">
        <v>0</v>
      </c>
      <c r="AU153" s="123">
        <v>0</v>
      </c>
      <c r="AV153" s="123">
        <v>0</v>
      </c>
      <c r="AW153" s="123">
        <v>0</v>
      </c>
      <c r="AX153" s="123">
        <v>0</v>
      </c>
      <c r="AY153" s="123">
        <v>0</v>
      </c>
    </row>
    <row r="154" spans="1:51" x14ac:dyDescent="0.2">
      <c r="A154" s="126"/>
      <c r="B154" s="143">
        <v>33</v>
      </c>
      <c r="C154" s="123">
        <v>0</v>
      </c>
      <c r="D154" s="123">
        <v>0</v>
      </c>
      <c r="E154" s="123">
        <v>0</v>
      </c>
      <c r="F154" s="123">
        <v>0</v>
      </c>
      <c r="G154" s="123">
        <v>0</v>
      </c>
      <c r="H154" s="123">
        <v>0</v>
      </c>
      <c r="I154" s="123">
        <v>0</v>
      </c>
      <c r="J154" s="123">
        <v>0</v>
      </c>
      <c r="K154" s="123">
        <v>0</v>
      </c>
      <c r="L154" s="123">
        <v>0</v>
      </c>
      <c r="M154" s="123">
        <v>0</v>
      </c>
      <c r="N154" s="123">
        <v>0</v>
      </c>
      <c r="O154" s="123">
        <v>0</v>
      </c>
      <c r="P154" s="123">
        <v>0</v>
      </c>
      <c r="Q154" s="123">
        <v>0</v>
      </c>
      <c r="R154" s="123">
        <v>0</v>
      </c>
      <c r="S154" s="123">
        <v>0</v>
      </c>
      <c r="T154" s="123">
        <v>0</v>
      </c>
      <c r="U154" s="123">
        <v>0</v>
      </c>
      <c r="V154" s="123">
        <v>0</v>
      </c>
      <c r="W154" s="123">
        <v>0</v>
      </c>
      <c r="X154" s="123">
        <v>0</v>
      </c>
      <c r="Y154" s="123">
        <v>0</v>
      </c>
      <c r="Z154" s="123">
        <v>0</v>
      </c>
      <c r="AA154" s="123">
        <v>0</v>
      </c>
      <c r="AB154" s="123">
        <v>0</v>
      </c>
      <c r="AC154" s="123">
        <v>0</v>
      </c>
      <c r="AD154" s="123">
        <v>0</v>
      </c>
      <c r="AE154" s="123">
        <v>0</v>
      </c>
      <c r="AF154" s="123">
        <v>0</v>
      </c>
      <c r="AG154" s="123">
        <v>0</v>
      </c>
      <c r="AH154" s="123">
        <v>0</v>
      </c>
      <c r="AI154" s="123">
        <v>0</v>
      </c>
      <c r="AJ154" s="123">
        <v>0</v>
      </c>
      <c r="AK154" s="123">
        <v>0</v>
      </c>
      <c r="AL154" s="123">
        <v>0</v>
      </c>
      <c r="AM154" s="123">
        <v>0</v>
      </c>
      <c r="AN154" s="123">
        <v>0</v>
      </c>
      <c r="AO154" s="123">
        <v>0</v>
      </c>
      <c r="AP154" s="123">
        <v>0</v>
      </c>
      <c r="AQ154" s="123">
        <v>0</v>
      </c>
      <c r="AR154" s="123">
        <v>0</v>
      </c>
      <c r="AS154" s="123">
        <v>0</v>
      </c>
      <c r="AT154" s="123">
        <v>0</v>
      </c>
      <c r="AU154" s="123">
        <v>0</v>
      </c>
      <c r="AV154" s="123">
        <v>0</v>
      </c>
      <c r="AW154" s="123">
        <v>0</v>
      </c>
      <c r="AX154" s="123">
        <v>0</v>
      </c>
      <c r="AY154" s="123">
        <v>0</v>
      </c>
    </row>
    <row r="155" spans="1:51" x14ac:dyDescent="0.2">
      <c r="A155" s="126"/>
      <c r="B155" s="143">
        <v>34</v>
      </c>
      <c r="C155" s="123">
        <v>0</v>
      </c>
      <c r="D155" s="123">
        <v>0</v>
      </c>
      <c r="E155" s="123">
        <v>0</v>
      </c>
      <c r="F155" s="123">
        <v>0</v>
      </c>
      <c r="G155" s="123">
        <v>0</v>
      </c>
      <c r="H155" s="123">
        <v>0</v>
      </c>
      <c r="I155" s="123">
        <v>0</v>
      </c>
      <c r="J155" s="123">
        <v>0</v>
      </c>
      <c r="K155" s="123">
        <v>0</v>
      </c>
      <c r="L155" s="123">
        <v>0</v>
      </c>
      <c r="M155" s="123">
        <v>0</v>
      </c>
      <c r="N155" s="123">
        <v>0</v>
      </c>
      <c r="O155" s="123">
        <v>0</v>
      </c>
      <c r="P155" s="123">
        <v>0</v>
      </c>
      <c r="Q155" s="123">
        <v>0</v>
      </c>
      <c r="R155" s="123">
        <v>0</v>
      </c>
      <c r="S155" s="123">
        <v>0</v>
      </c>
      <c r="T155" s="123">
        <v>0</v>
      </c>
      <c r="U155" s="123">
        <v>0</v>
      </c>
      <c r="V155" s="123">
        <v>0</v>
      </c>
      <c r="W155" s="123">
        <v>0</v>
      </c>
      <c r="X155" s="123">
        <v>0</v>
      </c>
      <c r="Y155" s="123">
        <v>0</v>
      </c>
      <c r="Z155" s="123">
        <v>0</v>
      </c>
      <c r="AA155" s="123">
        <v>0</v>
      </c>
      <c r="AB155" s="123">
        <v>0</v>
      </c>
      <c r="AC155" s="123">
        <v>0</v>
      </c>
      <c r="AD155" s="123">
        <v>0</v>
      </c>
      <c r="AE155" s="123">
        <v>0</v>
      </c>
      <c r="AF155" s="123">
        <v>0</v>
      </c>
      <c r="AG155" s="123">
        <v>0</v>
      </c>
      <c r="AH155" s="123">
        <v>0</v>
      </c>
      <c r="AI155" s="123">
        <v>0</v>
      </c>
      <c r="AJ155" s="123">
        <v>0</v>
      </c>
      <c r="AK155" s="123">
        <v>0</v>
      </c>
      <c r="AL155" s="123">
        <v>0</v>
      </c>
      <c r="AM155" s="123">
        <v>0</v>
      </c>
      <c r="AN155" s="123">
        <v>0</v>
      </c>
      <c r="AO155" s="123">
        <v>0</v>
      </c>
      <c r="AP155" s="123">
        <v>0</v>
      </c>
      <c r="AQ155" s="123">
        <v>0</v>
      </c>
      <c r="AR155" s="123">
        <v>0</v>
      </c>
      <c r="AS155" s="123">
        <v>0</v>
      </c>
      <c r="AT155" s="123">
        <v>0</v>
      </c>
      <c r="AU155" s="123">
        <v>0</v>
      </c>
      <c r="AV155" s="123">
        <v>0</v>
      </c>
      <c r="AW155" s="123">
        <v>0</v>
      </c>
      <c r="AX155" s="123">
        <v>0</v>
      </c>
      <c r="AY155" s="123">
        <v>0</v>
      </c>
    </row>
    <row r="156" spans="1:51" x14ac:dyDescent="0.2">
      <c r="A156" s="126"/>
      <c r="B156" s="143">
        <v>35</v>
      </c>
      <c r="C156" s="123">
        <v>0</v>
      </c>
      <c r="D156" s="123">
        <v>0</v>
      </c>
      <c r="E156" s="123">
        <v>0</v>
      </c>
      <c r="F156" s="123">
        <v>0</v>
      </c>
      <c r="G156" s="123">
        <v>0</v>
      </c>
      <c r="H156" s="123">
        <v>0</v>
      </c>
      <c r="I156" s="123">
        <v>0</v>
      </c>
      <c r="J156" s="123">
        <v>0</v>
      </c>
      <c r="K156" s="123">
        <v>0</v>
      </c>
      <c r="L156" s="123">
        <v>0</v>
      </c>
      <c r="M156" s="123">
        <v>0</v>
      </c>
      <c r="N156" s="123">
        <v>0</v>
      </c>
      <c r="O156" s="123">
        <v>0</v>
      </c>
      <c r="P156" s="123">
        <v>0</v>
      </c>
      <c r="Q156" s="123">
        <v>0</v>
      </c>
      <c r="R156" s="123">
        <v>0</v>
      </c>
      <c r="S156" s="123">
        <v>0</v>
      </c>
      <c r="T156" s="123">
        <v>0</v>
      </c>
      <c r="U156" s="123">
        <v>0</v>
      </c>
      <c r="V156" s="123">
        <v>0</v>
      </c>
      <c r="W156" s="123">
        <v>0</v>
      </c>
      <c r="X156" s="123">
        <v>0</v>
      </c>
      <c r="Y156" s="123">
        <v>0</v>
      </c>
      <c r="Z156" s="123">
        <v>0</v>
      </c>
      <c r="AA156" s="123">
        <v>0</v>
      </c>
      <c r="AB156" s="123">
        <v>0</v>
      </c>
      <c r="AC156" s="123">
        <v>0</v>
      </c>
      <c r="AD156" s="123">
        <v>0</v>
      </c>
      <c r="AE156" s="123">
        <v>0</v>
      </c>
      <c r="AF156" s="123">
        <v>0</v>
      </c>
      <c r="AG156" s="123">
        <v>0</v>
      </c>
      <c r="AH156" s="123">
        <v>0</v>
      </c>
      <c r="AI156" s="123">
        <v>0</v>
      </c>
      <c r="AJ156" s="123">
        <v>0</v>
      </c>
      <c r="AK156" s="123">
        <v>0</v>
      </c>
      <c r="AL156" s="123">
        <v>0</v>
      </c>
      <c r="AM156" s="123">
        <v>0</v>
      </c>
      <c r="AN156" s="123">
        <v>0</v>
      </c>
      <c r="AO156" s="123">
        <v>0</v>
      </c>
      <c r="AP156" s="123">
        <v>0</v>
      </c>
      <c r="AQ156" s="123">
        <v>0</v>
      </c>
      <c r="AR156" s="123">
        <v>0</v>
      </c>
      <c r="AS156" s="123">
        <v>0</v>
      </c>
      <c r="AT156" s="123">
        <v>0</v>
      </c>
      <c r="AU156" s="123">
        <v>0</v>
      </c>
      <c r="AV156" s="123">
        <v>0</v>
      </c>
      <c r="AW156" s="123">
        <v>0</v>
      </c>
      <c r="AX156" s="123">
        <v>0</v>
      </c>
      <c r="AY156" s="123">
        <v>0</v>
      </c>
    </row>
    <row r="157" spans="1:51" x14ac:dyDescent="0.2">
      <c r="A157" s="126"/>
      <c r="B157" s="143">
        <v>36</v>
      </c>
      <c r="C157" s="123">
        <v>0</v>
      </c>
      <c r="D157" s="123">
        <v>0</v>
      </c>
      <c r="E157" s="123">
        <v>0</v>
      </c>
      <c r="F157" s="123">
        <v>0</v>
      </c>
      <c r="G157" s="123">
        <v>0</v>
      </c>
      <c r="H157" s="123">
        <v>0</v>
      </c>
      <c r="I157" s="123">
        <v>0</v>
      </c>
      <c r="J157" s="123">
        <v>0</v>
      </c>
      <c r="K157" s="123">
        <v>0</v>
      </c>
      <c r="L157" s="123">
        <v>0</v>
      </c>
      <c r="M157" s="123">
        <v>0</v>
      </c>
      <c r="N157" s="123">
        <v>0</v>
      </c>
      <c r="O157" s="123">
        <v>0</v>
      </c>
      <c r="P157" s="123">
        <v>0</v>
      </c>
      <c r="Q157" s="123">
        <v>0</v>
      </c>
      <c r="R157" s="123">
        <v>0</v>
      </c>
      <c r="S157" s="123">
        <v>0</v>
      </c>
      <c r="T157" s="123">
        <v>0</v>
      </c>
      <c r="U157" s="123">
        <v>0</v>
      </c>
      <c r="V157" s="123">
        <v>0</v>
      </c>
      <c r="W157" s="123">
        <v>0</v>
      </c>
      <c r="X157" s="123">
        <v>0</v>
      </c>
      <c r="Y157" s="123">
        <v>0</v>
      </c>
      <c r="Z157" s="123">
        <v>0</v>
      </c>
      <c r="AA157" s="123">
        <v>0</v>
      </c>
      <c r="AB157" s="123">
        <v>0</v>
      </c>
      <c r="AC157" s="123">
        <v>0</v>
      </c>
      <c r="AD157" s="123">
        <v>0</v>
      </c>
      <c r="AE157" s="123">
        <v>0</v>
      </c>
      <c r="AF157" s="123">
        <v>0</v>
      </c>
      <c r="AG157" s="123">
        <v>0</v>
      </c>
      <c r="AH157" s="123">
        <v>0</v>
      </c>
      <c r="AI157" s="123">
        <v>0</v>
      </c>
      <c r="AJ157" s="123">
        <v>0</v>
      </c>
      <c r="AK157" s="123">
        <v>0</v>
      </c>
      <c r="AL157" s="123">
        <v>0</v>
      </c>
      <c r="AM157" s="123">
        <v>0</v>
      </c>
      <c r="AN157" s="123">
        <v>0</v>
      </c>
      <c r="AO157" s="123">
        <v>0</v>
      </c>
      <c r="AP157" s="123">
        <v>0</v>
      </c>
      <c r="AQ157" s="123">
        <v>0</v>
      </c>
      <c r="AR157" s="123">
        <v>0</v>
      </c>
      <c r="AS157" s="123">
        <v>0</v>
      </c>
      <c r="AT157" s="123">
        <v>0</v>
      </c>
      <c r="AU157" s="123">
        <v>0</v>
      </c>
      <c r="AV157" s="123">
        <v>0</v>
      </c>
      <c r="AW157" s="123">
        <v>0</v>
      </c>
      <c r="AX157" s="123">
        <v>0</v>
      </c>
      <c r="AY157" s="123">
        <v>0</v>
      </c>
    </row>
    <row r="158" spans="1:51" x14ac:dyDescent="0.2">
      <c r="A158" s="126"/>
      <c r="B158" s="146">
        <v>37</v>
      </c>
      <c r="C158" s="123">
        <v>0</v>
      </c>
      <c r="D158" s="123">
        <v>0</v>
      </c>
      <c r="E158" s="123">
        <v>0</v>
      </c>
      <c r="F158" s="123">
        <v>0</v>
      </c>
      <c r="G158" s="123">
        <v>0</v>
      </c>
      <c r="H158" s="123">
        <v>0</v>
      </c>
      <c r="I158" s="123">
        <v>0</v>
      </c>
      <c r="J158" s="123">
        <v>0</v>
      </c>
      <c r="K158" s="123">
        <v>0</v>
      </c>
      <c r="L158" s="123">
        <v>0</v>
      </c>
      <c r="M158" s="123">
        <v>0</v>
      </c>
      <c r="N158" s="123">
        <v>0</v>
      </c>
      <c r="O158" s="123">
        <v>0</v>
      </c>
      <c r="P158" s="123">
        <v>0</v>
      </c>
      <c r="Q158" s="123">
        <v>0</v>
      </c>
      <c r="R158" s="123">
        <v>0</v>
      </c>
      <c r="S158" s="123">
        <v>0</v>
      </c>
      <c r="T158" s="123">
        <v>0</v>
      </c>
      <c r="U158" s="123">
        <v>0</v>
      </c>
      <c r="V158" s="123">
        <v>0</v>
      </c>
      <c r="W158" s="123">
        <v>0</v>
      </c>
      <c r="X158" s="123">
        <v>0</v>
      </c>
      <c r="Y158" s="123">
        <v>0</v>
      </c>
      <c r="Z158" s="123">
        <v>0</v>
      </c>
      <c r="AA158" s="123">
        <v>0</v>
      </c>
      <c r="AB158" s="123">
        <v>0</v>
      </c>
      <c r="AC158" s="123">
        <v>0</v>
      </c>
      <c r="AD158" s="123">
        <v>0</v>
      </c>
      <c r="AE158" s="123">
        <v>0</v>
      </c>
      <c r="AF158" s="123">
        <v>0</v>
      </c>
      <c r="AG158" s="123">
        <v>0</v>
      </c>
      <c r="AH158" s="123">
        <v>0</v>
      </c>
      <c r="AI158" s="123">
        <v>0</v>
      </c>
      <c r="AJ158" s="123">
        <v>0</v>
      </c>
      <c r="AK158" s="123">
        <v>0</v>
      </c>
      <c r="AL158" s="123">
        <v>0</v>
      </c>
      <c r="AM158" s="123">
        <v>0</v>
      </c>
      <c r="AN158" s="123">
        <v>0</v>
      </c>
      <c r="AO158" s="123">
        <v>0</v>
      </c>
      <c r="AP158" s="123">
        <v>0</v>
      </c>
      <c r="AQ158" s="123">
        <v>0</v>
      </c>
      <c r="AR158" s="123">
        <v>0</v>
      </c>
      <c r="AS158" s="123">
        <v>0</v>
      </c>
      <c r="AT158" s="123">
        <v>0</v>
      </c>
      <c r="AU158" s="123">
        <v>0</v>
      </c>
      <c r="AV158" s="123">
        <v>0</v>
      </c>
      <c r="AW158" s="123">
        <v>0</v>
      </c>
      <c r="AX158" s="123">
        <v>0</v>
      </c>
      <c r="AY158" s="123">
        <v>0</v>
      </c>
    </row>
    <row r="159" spans="1:51" x14ac:dyDescent="0.2">
      <c r="A159" s="126"/>
      <c r="B159" s="146">
        <v>38</v>
      </c>
      <c r="C159" s="123">
        <v>0</v>
      </c>
      <c r="D159" s="123">
        <v>0</v>
      </c>
      <c r="E159" s="123">
        <v>0</v>
      </c>
      <c r="F159" s="123">
        <v>0</v>
      </c>
      <c r="G159" s="123">
        <v>0</v>
      </c>
      <c r="H159" s="123">
        <v>0</v>
      </c>
      <c r="I159" s="123">
        <v>0</v>
      </c>
      <c r="J159" s="123">
        <v>0</v>
      </c>
      <c r="K159" s="123">
        <v>0</v>
      </c>
      <c r="L159" s="123">
        <v>0</v>
      </c>
      <c r="M159" s="123">
        <v>0</v>
      </c>
      <c r="N159" s="123">
        <v>0</v>
      </c>
      <c r="O159" s="123">
        <v>0</v>
      </c>
      <c r="P159" s="123">
        <v>0</v>
      </c>
      <c r="Q159" s="123">
        <v>0</v>
      </c>
      <c r="R159" s="123">
        <v>0</v>
      </c>
      <c r="S159" s="123">
        <v>0</v>
      </c>
      <c r="T159" s="123">
        <v>0</v>
      </c>
      <c r="U159" s="123">
        <v>0</v>
      </c>
      <c r="V159" s="123">
        <v>0</v>
      </c>
      <c r="W159" s="123">
        <v>0</v>
      </c>
      <c r="X159" s="123">
        <v>0</v>
      </c>
      <c r="Y159" s="123">
        <v>0</v>
      </c>
      <c r="Z159" s="123">
        <v>0</v>
      </c>
      <c r="AA159" s="123">
        <v>0</v>
      </c>
      <c r="AB159" s="123">
        <v>0</v>
      </c>
      <c r="AC159" s="123">
        <v>0</v>
      </c>
      <c r="AD159" s="123">
        <v>0</v>
      </c>
      <c r="AE159" s="123">
        <v>0</v>
      </c>
      <c r="AF159" s="123">
        <v>0</v>
      </c>
      <c r="AG159" s="123">
        <v>0</v>
      </c>
      <c r="AH159" s="123">
        <v>0</v>
      </c>
      <c r="AI159" s="123">
        <v>0</v>
      </c>
      <c r="AJ159" s="123">
        <v>0</v>
      </c>
      <c r="AK159" s="123">
        <v>0</v>
      </c>
      <c r="AL159" s="123">
        <v>0</v>
      </c>
      <c r="AM159" s="123">
        <v>0</v>
      </c>
      <c r="AN159" s="123">
        <v>0</v>
      </c>
      <c r="AO159" s="123">
        <v>0</v>
      </c>
      <c r="AP159" s="123">
        <v>0</v>
      </c>
      <c r="AQ159" s="123">
        <v>0</v>
      </c>
      <c r="AR159" s="123">
        <v>0</v>
      </c>
      <c r="AS159" s="123">
        <v>0</v>
      </c>
      <c r="AT159" s="123">
        <v>0</v>
      </c>
      <c r="AU159" s="123">
        <v>0</v>
      </c>
      <c r="AV159" s="123">
        <v>0</v>
      </c>
      <c r="AW159" s="123">
        <v>0</v>
      </c>
      <c r="AX159" s="123">
        <v>0</v>
      </c>
      <c r="AY159" s="123">
        <v>0</v>
      </c>
    </row>
    <row r="160" spans="1:51" x14ac:dyDescent="0.2">
      <c r="A160" s="126"/>
      <c r="B160" s="146">
        <v>39</v>
      </c>
      <c r="C160" s="123">
        <v>0</v>
      </c>
      <c r="D160" s="123">
        <v>0</v>
      </c>
      <c r="E160" s="123">
        <v>0</v>
      </c>
      <c r="F160" s="123">
        <v>0</v>
      </c>
      <c r="G160" s="123">
        <v>0</v>
      </c>
      <c r="H160" s="123">
        <v>0</v>
      </c>
      <c r="I160" s="123">
        <v>0</v>
      </c>
      <c r="J160" s="123">
        <v>0</v>
      </c>
      <c r="K160" s="123">
        <v>0</v>
      </c>
      <c r="L160" s="123">
        <v>0</v>
      </c>
      <c r="M160" s="123">
        <v>0</v>
      </c>
      <c r="N160" s="123">
        <v>0</v>
      </c>
      <c r="O160" s="123">
        <v>0</v>
      </c>
      <c r="P160" s="123">
        <v>0</v>
      </c>
      <c r="Q160" s="123">
        <v>0</v>
      </c>
      <c r="R160" s="123">
        <v>0</v>
      </c>
      <c r="S160" s="123">
        <v>0</v>
      </c>
      <c r="T160" s="123">
        <v>0</v>
      </c>
      <c r="U160" s="123">
        <v>0</v>
      </c>
      <c r="V160" s="123">
        <v>0</v>
      </c>
      <c r="W160" s="123">
        <v>0</v>
      </c>
      <c r="X160" s="123">
        <v>0</v>
      </c>
      <c r="Y160" s="123">
        <v>0</v>
      </c>
      <c r="Z160" s="123">
        <v>0</v>
      </c>
      <c r="AA160" s="123">
        <v>0</v>
      </c>
      <c r="AB160" s="123">
        <v>0</v>
      </c>
      <c r="AC160" s="123">
        <v>0</v>
      </c>
      <c r="AD160" s="123">
        <v>0</v>
      </c>
      <c r="AE160" s="123">
        <v>0</v>
      </c>
      <c r="AF160" s="123">
        <v>0</v>
      </c>
      <c r="AG160" s="123">
        <v>0</v>
      </c>
      <c r="AH160" s="123">
        <v>0</v>
      </c>
      <c r="AI160" s="123">
        <v>0</v>
      </c>
      <c r="AJ160" s="123">
        <v>0</v>
      </c>
      <c r="AK160" s="123">
        <v>0</v>
      </c>
      <c r="AL160" s="123">
        <v>0</v>
      </c>
      <c r="AM160" s="123">
        <v>0</v>
      </c>
      <c r="AN160" s="123">
        <v>0</v>
      </c>
      <c r="AO160" s="123">
        <v>0</v>
      </c>
      <c r="AP160" s="123">
        <v>0</v>
      </c>
      <c r="AQ160" s="123">
        <v>0</v>
      </c>
      <c r="AR160" s="123">
        <v>0</v>
      </c>
      <c r="AS160" s="123">
        <v>0</v>
      </c>
      <c r="AT160" s="123">
        <v>0</v>
      </c>
      <c r="AU160" s="123">
        <v>0</v>
      </c>
      <c r="AV160" s="123">
        <v>0</v>
      </c>
      <c r="AW160" s="123">
        <v>0</v>
      </c>
      <c r="AX160" s="123">
        <v>0</v>
      </c>
      <c r="AY160" s="123">
        <v>0</v>
      </c>
    </row>
    <row r="161" spans="1:52" x14ac:dyDescent="0.2">
      <c r="A161" s="126"/>
      <c r="B161" s="146">
        <v>40</v>
      </c>
      <c r="C161" s="123">
        <v>0</v>
      </c>
      <c r="D161" s="123">
        <v>0</v>
      </c>
      <c r="E161" s="123">
        <v>0</v>
      </c>
      <c r="F161" s="123">
        <v>0</v>
      </c>
      <c r="G161" s="123">
        <v>0</v>
      </c>
      <c r="H161" s="123">
        <v>0</v>
      </c>
      <c r="I161" s="123">
        <v>0</v>
      </c>
      <c r="J161" s="123">
        <v>0</v>
      </c>
      <c r="K161" s="123">
        <v>0</v>
      </c>
      <c r="L161" s="123">
        <v>0</v>
      </c>
      <c r="M161" s="123">
        <v>0</v>
      </c>
      <c r="N161" s="123">
        <v>0</v>
      </c>
      <c r="O161" s="123">
        <v>0</v>
      </c>
      <c r="P161" s="123">
        <v>0</v>
      </c>
      <c r="Q161" s="123">
        <v>0</v>
      </c>
      <c r="R161" s="123">
        <v>0</v>
      </c>
      <c r="S161" s="123">
        <v>0</v>
      </c>
      <c r="T161" s="123">
        <v>0</v>
      </c>
      <c r="U161" s="123">
        <v>0</v>
      </c>
      <c r="V161" s="123">
        <v>0</v>
      </c>
      <c r="W161" s="123">
        <v>0</v>
      </c>
      <c r="X161" s="123">
        <v>0</v>
      </c>
      <c r="Y161" s="123">
        <v>0</v>
      </c>
      <c r="Z161" s="123">
        <v>0</v>
      </c>
      <c r="AA161" s="123">
        <v>0</v>
      </c>
      <c r="AB161" s="123">
        <v>0</v>
      </c>
      <c r="AC161" s="123">
        <v>0</v>
      </c>
      <c r="AD161" s="123">
        <v>0</v>
      </c>
      <c r="AE161" s="123">
        <v>0</v>
      </c>
      <c r="AF161" s="123">
        <v>0</v>
      </c>
      <c r="AG161" s="123">
        <v>0</v>
      </c>
      <c r="AH161" s="123">
        <v>0</v>
      </c>
      <c r="AI161" s="123">
        <v>0</v>
      </c>
      <c r="AJ161" s="123">
        <v>0</v>
      </c>
      <c r="AK161" s="123">
        <v>0</v>
      </c>
      <c r="AL161" s="123">
        <v>0</v>
      </c>
      <c r="AM161" s="123">
        <v>0</v>
      </c>
      <c r="AN161" s="123">
        <v>0</v>
      </c>
      <c r="AO161" s="123">
        <v>0</v>
      </c>
      <c r="AP161" s="123">
        <v>0</v>
      </c>
      <c r="AQ161" s="123">
        <v>0</v>
      </c>
      <c r="AR161" s="123">
        <v>0</v>
      </c>
      <c r="AS161" s="123">
        <v>0</v>
      </c>
      <c r="AT161" s="123">
        <v>0</v>
      </c>
      <c r="AU161" s="123">
        <v>0</v>
      </c>
      <c r="AV161" s="123">
        <v>0</v>
      </c>
      <c r="AW161" s="123">
        <v>0</v>
      </c>
      <c r="AX161" s="123">
        <v>0</v>
      </c>
      <c r="AY161" s="123">
        <v>0</v>
      </c>
    </row>
    <row r="162" spans="1:52" x14ac:dyDescent="0.2">
      <c r="A162" s="126"/>
      <c r="B162" s="146">
        <v>41</v>
      </c>
      <c r="C162" s="123">
        <v>0</v>
      </c>
      <c r="D162" s="123">
        <v>0</v>
      </c>
      <c r="E162" s="123">
        <v>0</v>
      </c>
      <c r="F162" s="123">
        <v>0</v>
      </c>
      <c r="G162" s="123">
        <v>0</v>
      </c>
      <c r="H162" s="123">
        <v>0</v>
      </c>
      <c r="I162" s="123">
        <v>0</v>
      </c>
      <c r="J162" s="123">
        <v>0</v>
      </c>
      <c r="K162" s="123">
        <v>0</v>
      </c>
      <c r="L162" s="123">
        <v>0</v>
      </c>
      <c r="M162" s="123">
        <v>0</v>
      </c>
      <c r="N162" s="123">
        <v>0</v>
      </c>
      <c r="O162" s="123">
        <v>0</v>
      </c>
      <c r="P162" s="123">
        <v>0</v>
      </c>
      <c r="Q162" s="123">
        <v>0</v>
      </c>
      <c r="R162" s="123">
        <v>0</v>
      </c>
      <c r="S162" s="123">
        <v>0</v>
      </c>
      <c r="T162" s="123">
        <v>0</v>
      </c>
      <c r="U162" s="123">
        <v>0</v>
      </c>
      <c r="V162" s="123">
        <v>0</v>
      </c>
      <c r="W162" s="123">
        <v>0</v>
      </c>
      <c r="X162" s="123">
        <v>0</v>
      </c>
      <c r="Y162" s="123">
        <v>0</v>
      </c>
      <c r="Z162" s="123">
        <v>0</v>
      </c>
      <c r="AA162" s="123">
        <v>0</v>
      </c>
      <c r="AB162" s="123">
        <v>0</v>
      </c>
      <c r="AC162" s="123">
        <v>0</v>
      </c>
      <c r="AD162" s="123">
        <v>0</v>
      </c>
      <c r="AE162" s="123">
        <v>0</v>
      </c>
      <c r="AF162" s="123">
        <v>0</v>
      </c>
      <c r="AG162" s="123">
        <v>0</v>
      </c>
      <c r="AH162" s="123">
        <v>0</v>
      </c>
      <c r="AI162" s="123">
        <v>0</v>
      </c>
      <c r="AJ162" s="123">
        <v>0</v>
      </c>
      <c r="AK162" s="123">
        <v>0</v>
      </c>
      <c r="AL162" s="123">
        <v>0</v>
      </c>
      <c r="AM162" s="123">
        <v>0</v>
      </c>
      <c r="AN162" s="123">
        <v>0</v>
      </c>
      <c r="AO162" s="123">
        <v>0</v>
      </c>
      <c r="AP162" s="123">
        <v>0</v>
      </c>
      <c r="AQ162" s="123">
        <v>0</v>
      </c>
      <c r="AR162" s="123">
        <v>0</v>
      </c>
      <c r="AS162" s="123">
        <v>0</v>
      </c>
      <c r="AT162" s="123">
        <v>0</v>
      </c>
      <c r="AU162" s="123">
        <v>0</v>
      </c>
      <c r="AV162" s="123">
        <v>0</v>
      </c>
      <c r="AW162" s="123">
        <v>0</v>
      </c>
      <c r="AX162" s="123">
        <v>0</v>
      </c>
      <c r="AY162" s="123">
        <v>0</v>
      </c>
    </row>
    <row r="163" spans="1:52" x14ac:dyDescent="0.2">
      <c r="A163" s="126"/>
      <c r="B163" s="146">
        <v>42</v>
      </c>
      <c r="C163" s="123">
        <v>0</v>
      </c>
      <c r="D163" s="123">
        <v>0</v>
      </c>
      <c r="E163" s="123">
        <v>0</v>
      </c>
      <c r="F163" s="123">
        <v>0</v>
      </c>
      <c r="G163" s="123">
        <v>0</v>
      </c>
      <c r="H163" s="123">
        <v>0</v>
      </c>
      <c r="I163" s="123">
        <v>0</v>
      </c>
      <c r="J163" s="123">
        <v>0</v>
      </c>
      <c r="K163" s="123">
        <v>0</v>
      </c>
      <c r="L163" s="123">
        <v>0</v>
      </c>
      <c r="M163" s="123">
        <v>0</v>
      </c>
      <c r="N163" s="123">
        <v>0</v>
      </c>
      <c r="O163" s="123">
        <v>0</v>
      </c>
      <c r="P163" s="123">
        <v>0</v>
      </c>
      <c r="Q163" s="123">
        <v>0</v>
      </c>
      <c r="R163" s="123">
        <v>0</v>
      </c>
      <c r="S163" s="123">
        <v>0</v>
      </c>
      <c r="T163" s="123">
        <v>0</v>
      </c>
      <c r="U163" s="123">
        <v>0</v>
      </c>
      <c r="V163" s="123">
        <v>0</v>
      </c>
      <c r="W163" s="123">
        <v>0</v>
      </c>
      <c r="X163" s="123">
        <v>0</v>
      </c>
      <c r="Y163" s="123">
        <v>0</v>
      </c>
      <c r="Z163" s="123">
        <v>0</v>
      </c>
      <c r="AA163" s="123">
        <v>0</v>
      </c>
      <c r="AB163" s="123">
        <v>0</v>
      </c>
      <c r="AC163" s="123">
        <v>0</v>
      </c>
      <c r="AD163" s="123">
        <v>0</v>
      </c>
      <c r="AE163" s="123">
        <v>0</v>
      </c>
      <c r="AF163" s="123">
        <v>0</v>
      </c>
      <c r="AG163" s="123">
        <v>0</v>
      </c>
      <c r="AH163" s="123">
        <v>0</v>
      </c>
      <c r="AI163" s="123">
        <v>0</v>
      </c>
      <c r="AJ163" s="123">
        <v>0</v>
      </c>
      <c r="AK163" s="123">
        <v>0</v>
      </c>
      <c r="AL163" s="123">
        <v>0</v>
      </c>
      <c r="AM163" s="123">
        <v>0</v>
      </c>
      <c r="AN163" s="123">
        <v>0</v>
      </c>
      <c r="AO163" s="123">
        <v>0</v>
      </c>
      <c r="AP163" s="123">
        <v>0</v>
      </c>
      <c r="AQ163" s="123">
        <v>0</v>
      </c>
      <c r="AR163" s="123">
        <v>0</v>
      </c>
      <c r="AS163" s="123">
        <v>0</v>
      </c>
      <c r="AT163" s="123">
        <v>0</v>
      </c>
      <c r="AU163" s="123">
        <v>0</v>
      </c>
      <c r="AV163" s="123">
        <v>0</v>
      </c>
      <c r="AW163" s="123">
        <v>0</v>
      </c>
      <c r="AX163" s="123">
        <v>0</v>
      </c>
      <c r="AY163" s="123">
        <v>0</v>
      </c>
    </row>
    <row r="164" spans="1:52" x14ac:dyDescent="0.2">
      <c r="A164" s="126"/>
      <c r="B164" s="146">
        <v>43</v>
      </c>
      <c r="C164" s="123">
        <v>0</v>
      </c>
      <c r="D164" s="123">
        <v>0</v>
      </c>
      <c r="E164" s="123">
        <v>0</v>
      </c>
      <c r="F164" s="123">
        <v>0</v>
      </c>
      <c r="G164" s="123">
        <v>0</v>
      </c>
      <c r="H164" s="123">
        <v>0</v>
      </c>
      <c r="I164" s="123">
        <v>0</v>
      </c>
      <c r="J164" s="123">
        <v>0</v>
      </c>
      <c r="K164" s="123">
        <v>0</v>
      </c>
      <c r="L164" s="123">
        <v>0</v>
      </c>
      <c r="M164" s="123">
        <v>0</v>
      </c>
      <c r="N164" s="123">
        <v>0</v>
      </c>
      <c r="O164" s="123">
        <v>0</v>
      </c>
      <c r="P164" s="123">
        <v>0</v>
      </c>
      <c r="Q164" s="123">
        <v>0</v>
      </c>
      <c r="R164" s="123">
        <v>0</v>
      </c>
      <c r="S164" s="123">
        <v>0</v>
      </c>
      <c r="T164" s="123">
        <v>0</v>
      </c>
      <c r="U164" s="123">
        <v>0</v>
      </c>
      <c r="V164" s="123">
        <v>0</v>
      </c>
      <c r="W164" s="123">
        <v>0</v>
      </c>
      <c r="X164" s="123">
        <v>0</v>
      </c>
      <c r="Y164" s="123">
        <v>0</v>
      </c>
      <c r="Z164" s="123">
        <v>0</v>
      </c>
      <c r="AA164" s="123">
        <v>0</v>
      </c>
      <c r="AB164" s="123">
        <v>0</v>
      </c>
      <c r="AC164" s="123">
        <v>0</v>
      </c>
      <c r="AD164" s="123">
        <v>0</v>
      </c>
      <c r="AE164" s="123">
        <v>0</v>
      </c>
      <c r="AF164" s="123">
        <v>0</v>
      </c>
      <c r="AG164" s="123">
        <v>0</v>
      </c>
      <c r="AH164" s="123">
        <v>0</v>
      </c>
      <c r="AI164" s="123">
        <v>0</v>
      </c>
      <c r="AJ164" s="123">
        <v>0</v>
      </c>
      <c r="AK164" s="123">
        <v>0</v>
      </c>
      <c r="AL164" s="123">
        <v>0</v>
      </c>
      <c r="AM164" s="123">
        <v>0</v>
      </c>
      <c r="AN164" s="123">
        <v>0</v>
      </c>
      <c r="AO164" s="123">
        <v>0</v>
      </c>
      <c r="AP164" s="123">
        <v>0</v>
      </c>
      <c r="AQ164" s="123">
        <v>0</v>
      </c>
      <c r="AR164" s="123">
        <v>0</v>
      </c>
      <c r="AS164" s="123">
        <v>0</v>
      </c>
      <c r="AT164" s="123">
        <v>0</v>
      </c>
      <c r="AU164" s="123">
        <v>0</v>
      </c>
      <c r="AV164" s="123">
        <v>0</v>
      </c>
      <c r="AW164" s="123">
        <v>0</v>
      </c>
      <c r="AX164" s="123">
        <v>0</v>
      </c>
      <c r="AY164" s="123">
        <v>0</v>
      </c>
    </row>
    <row r="165" spans="1:52" x14ac:dyDescent="0.2">
      <c r="A165" s="126"/>
      <c r="B165" s="146">
        <v>44</v>
      </c>
      <c r="C165" s="123">
        <v>0</v>
      </c>
      <c r="D165" s="123">
        <v>0</v>
      </c>
      <c r="E165" s="123">
        <v>0</v>
      </c>
      <c r="F165" s="123">
        <v>0</v>
      </c>
      <c r="G165" s="123">
        <v>0</v>
      </c>
      <c r="H165" s="123">
        <v>0</v>
      </c>
      <c r="I165" s="123">
        <v>0</v>
      </c>
      <c r="J165" s="123">
        <v>0</v>
      </c>
      <c r="K165" s="123">
        <v>0</v>
      </c>
      <c r="L165" s="123">
        <v>0</v>
      </c>
      <c r="M165" s="123">
        <v>0</v>
      </c>
      <c r="N165" s="123">
        <v>0</v>
      </c>
      <c r="O165" s="123">
        <v>0</v>
      </c>
      <c r="P165" s="123">
        <v>0</v>
      </c>
      <c r="Q165" s="123">
        <v>0</v>
      </c>
      <c r="R165" s="123">
        <v>0</v>
      </c>
      <c r="S165" s="123">
        <v>0</v>
      </c>
      <c r="T165" s="123">
        <v>0</v>
      </c>
      <c r="U165" s="123">
        <v>0</v>
      </c>
      <c r="V165" s="123">
        <v>0</v>
      </c>
      <c r="W165" s="123">
        <v>0</v>
      </c>
      <c r="X165" s="123">
        <v>0</v>
      </c>
      <c r="Y165" s="123">
        <v>0</v>
      </c>
      <c r="Z165" s="123">
        <v>0</v>
      </c>
      <c r="AA165" s="123">
        <v>0</v>
      </c>
      <c r="AB165" s="123">
        <v>0</v>
      </c>
      <c r="AC165" s="123">
        <v>0</v>
      </c>
      <c r="AD165" s="123">
        <v>0</v>
      </c>
      <c r="AE165" s="123">
        <v>0</v>
      </c>
      <c r="AF165" s="123">
        <v>0</v>
      </c>
      <c r="AG165" s="123">
        <v>0</v>
      </c>
      <c r="AH165" s="123">
        <v>0</v>
      </c>
      <c r="AI165" s="123">
        <v>0</v>
      </c>
      <c r="AJ165" s="123">
        <v>0</v>
      </c>
      <c r="AK165" s="123">
        <v>0</v>
      </c>
      <c r="AL165" s="123">
        <v>0</v>
      </c>
      <c r="AM165" s="123">
        <v>0</v>
      </c>
      <c r="AN165" s="123">
        <v>0</v>
      </c>
      <c r="AO165" s="123">
        <v>0</v>
      </c>
      <c r="AP165" s="123">
        <v>0</v>
      </c>
      <c r="AQ165" s="123">
        <v>0</v>
      </c>
      <c r="AR165" s="123">
        <v>0</v>
      </c>
      <c r="AS165" s="123">
        <v>0</v>
      </c>
      <c r="AT165" s="123">
        <v>0</v>
      </c>
      <c r="AU165" s="123">
        <v>0</v>
      </c>
      <c r="AV165" s="123">
        <v>0</v>
      </c>
      <c r="AW165" s="123">
        <v>0</v>
      </c>
      <c r="AX165" s="123">
        <v>0</v>
      </c>
      <c r="AY165" s="123">
        <v>0</v>
      </c>
    </row>
    <row r="166" spans="1:52" x14ac:dyDescent="0.2">
      <c r="A166" s="126"/>
      <c r="B166" s="146">
        <v>45</v>
      </c>
      <c r="C166" s="123">
        <v>0</v>
      </c>
      <c r="D166" s="123">
        <v>0</v>
      </c>
      <c r="E166" s="123">
        <v>0</v>
      </c>
      <c r="F166" s="123">
        <v>0</v>
      </c>
      <c r="G166" s="123">
        <v>0</v>
      </c>
      <c r="H166" s="123">
        <v>0</v>
      </c>
      <c r="I166" s="123">
        <v>0</v>
      </c>
      <c r="J166" s="123">
        <v>0</v>
      </c>
      <c r="K166" s="123">
        <v>0</v>
      </c>
      <c r="L166" s="123">
        <v>0</v>
      </c>
      <c r="M166" s="123">
        <v>0</v>
      </c>
      <c r="N166" s="123">
        <v>0</v>
      </c>
      <c r="O166" s="123">
        <v>0</v>
      </c>
      <c r="P166" s="123">
        <v>0</v>
      </c>
      <c r="Q166" s="123">
        <v>0</v>
      </c>
      <c r="R166" s="123">
        <v>0</v>
      </c>
      <c r="S166" s="123">
        <v>0</v>
      </c>
      <c r="T166" s="123">
        <v>0</v>
      </c>
      <c r="U166" s="123">
        <v>0</v>
      </c>
      <c r="V166" s="123">
        <v>0</v>
      </c>
      <c r="W166" s="123">
        <v>0</v>
      </c>
      <c r="X166" s="123">
        <v>0</v>
      </c>
      <c r="Y166" s="123">
        <v>0</v>
      </c>
      <c r="Z166" s="123">
        <v>0</v>
      </c>
      <c r="AA166" s="123">
        <v>0</v>
      </c>
      <c r="AB166" s="123">
        <v>0</v>
      </c>
      <c r="AC166" s="123">
        <v>0</v>
      </c>
      <c r="AD166" s="123">
        <v>0</v>
      </c>
      <c r="AE166" s="123">
        <v>0</v>
      </c>
      <c r="AF166" s="123">
        <v>0</v>
      </c>
      <c r="AG166" s="123">
        <v>0</v>
      </c>
      <c r="AH166" s="123">
        <v>0</v>
      </c>
      <c r="AI166" s="123">
        <v>0</v>
      </c>
      <c r="AJ166" s="123">
        <v>0</v>
      </c>
      <c r="AK166" s="123">
        <v>0</v>
      </c>
      <c r="AL166" s="123">
        <v>0</v>
      </c>
      <c r="AM166" s="123">
        <v>0</v>
      </c>
      <c r="AN166" s="123">
        <v>0</v>
      </c>
      <c r="AO166" s="123">
        <v>0</v>
      </c>
      <c r="AP166" s="123">
        <v>0</v>
      </c>
      <c r="AQ166" s="123">
        <v>0</v>
      </c>
      <c r="AR166" s="123">
        <v>0</v>
      </c>
      <c r="AS166" s="123">
        <v>0</v>
      </c>
      <c r="AT166" s="123">
        <v>0</v>
      </c>
      <c r="AU166" s="123">
        <v>0</v>
      </c>
      <c r="AV166" s="123">
        <v>0</v>
      </c>
      <c r="AW166" s="123">
        <v>0</v>
      </c>
      <c r="AX166" s="123">
        <v>0</v>
      </c>
      <c r="AY166" s="123">
        <v>0</v>
      </c>
    </row>
    <row r="167" spans="1:52" x14ac:dyDescent="0.2">
      <c r="A167" s="126"/>
      <c r="B167" s="146">
        <v>46</v>
      </c>
      <c r="C167" s="123">
        <v>0</v>
      </c>
      <c r="D167" s="123">
        <v>0</v>
      </c>
      <c r="E167" s="123">
        <v>0</v>
      </c>
      <c r="F167" s="123">
        <v>0</v>
      </c>
      <c r="G167" s="123">
        <v>0</v>
      </c>
      <c r="H167" s="123">
        <v>0</v>
      </c>
      <c r="I167" s="123">
        <v>0</v>
      </c>
      <c r="J167" s="123">
        <v>0</v>
      </c>
      <c r="K167" s="123">
        <v>0</v>
      </c>
      <c r="L167" s="123">
        <v>0</v>
      </c>
      <c r="M167" s="123">
        <v>0</v>
      </c>
      <c r="N167" s="123">
        <v>0</v>
      </c>
      <c r="O167" s="123">
        <v>0</v>
      </c>
      <c r="P167" s="123">
        <v>0</v>
      </c>
      <c r="Q167" s="123">
        <v>0</v>
      </c>
      <c r="R167" s="123">
        <v>0</v>
      </c>
      <c r="S167" s="123">
        <v>0</v>
      </c>
      <c r="T167" s="123">
        <v>0</v>
      </c>
      <c r="U167" s="123">
        <v>0</v>
      </c>
      <c r="V167" s="123">
        <v>0</v>
      </c>
      <c r="W167" s="123">
        <v>0</v>
      </c>
      <c r="X167" s="123">
        <v>0</v>
      </c>
      <c r="Y167" s="123">
        <v>0</v>
      </c>
      <c r="Z167" s="123">
        <v>0</v>
      </c>
      <c r="AA167" s="123">
        <v>0</v>
      </c>
      <c r="AB167" s="123">
        <v>0</v>
      </c>
      <c r="AC167" s="123">
        <v>0</v>
      </c>
      <c r="AD167" s="123">
        <v>0</v>
      </c>
      <c r="AE167" s="123">
        <v>0</v>
      </c>
      <c r="AF167" s="123">
        <v>0</v>
      </c>
      <c r="AG167" s="123">
        <v>0</v>
      </c>
      <c r="AH167" s="123">
        <v>0</v>
      </c>
      <c r="AI167" s="123">
        <v>0</v>
      </c>
      <c r="AJ167" s="123">
        <v>0</v>
      </c>
      <c r="AK167" s="123">
        <v>0</v>
      </c>
      <c r="AL167" s="123">
        <v>0</v>
      </c>
      <c r="AM167" s="123">
        <v>0</v>
      </c>
      <c r="AN167" s="123">
        <v>0</v>
      </c>
      <c r="AO167" s="123">
        <v>0</v>
      </c>
      <c r="AP167" s="123">
        <v>0</v>
      </c>
      <c r="AQ167" s="123">
        <v>0</v>
      </c>
      <c r="AR167" s="123">
        <v>0</v>
      </c>
      <c r="AS167" s="123">
        <v>0</v>
      </c>
      <c r="AT167" s="123">
        <v>0</v>
      </c>
      <c r="AU167" s="123">
        <v>0</v>
      </c>
      <c r="AV167" s="123">
        <v>0</v>
      </c>
      <c r="AW167" s="123">
        <v>0</v>
      </c>
      <c r="AX167" s="123">
        <v>0</v>
      </c>
      <c r="AY167" s="123">
        <v>0</v>
      </c>
    </row>
    <row r="168" spans="1:52" x14ac:dyDescent="0.2">
      <c r="A168" s="126"/>
      <c r="B168" s="146">
        <v>47</v>
      </c>
      <c r="C168" s="123">
        <v>0</v>
      </c>
      <c r="D168" s="123">
        <v>0</v>
      </c>
      <c r="E168" s="123">
        <v>0</v>
      </c>
      <c r="F168" s="123">
        <v>0</v>
      </c>
      <c r="G168" s="123">
        <v>0</v>
      </c>
      <c r="H168" s="123">
        <v>0</v>
      </c>
      <c r="I168" s="123">
        <v>0</v>
      </c>
      <c r="J168" s="123">
        <v>0</v>
      </c>
      <c r="K168" s="123">
        <v>0</v>
      </c>
      <c r="L168" s="123">
        <v>0</v>
      </c>
      <c r="M168" s="123">
        <v>0</v>
      </c>
      <c r="N168" s="123">
        <v>0</v>
      </c>
      <c r="O168" s="123">
        <v>0</v>
      </c>
      <c r="P168" s="123">
        <v>0</v>
      </c>
      <c r="Q168" s="123">
        <v>0</v>
      </c>
      <c r="R168" s="123">
        <v>0</v>
      </c>
      <c r="S168" s="123">
        <v>0</v>
      </c>
      <c r="T168" s="123">
        <v>0</v>
      </c>
      <c r="U168" s="123">
        <v>0</v>
      </c>
      <c r="V168" s="123">
        <v>0</v>
      </c>
      <c r="W168" s="123">
        <v>0</v>
      </c>
      <c r="X168" s="123">
        <v>0</v>
      </c>
      <c r="Y168" s="123">
        <v>0</v>
      </c>
      <c r="Z168" s="123">
        <v>0</v>
      </c>
      <c r="AA168" s="123">
        <v>0</v>
      </c>
      <c r="AB168" s="123">
        <v>0</v>
      </c>
      <c r="AC168" s="123">
        <v>0</v>
      </c>
      <c r="AD168" s="123">
        <v>0</v>
      </c>
      <c r="AE168" s="123">
        <v>0</v>
      </c>
      <c r="AF168" s="123">
        <v>0</v>
      </c>
      <c r="AG168" s="123">
        <v>0</v>
      </c>
      <c r="AH168" s="123">
        <v>0</v>
      </c>
      <c r="AI168" s="123">
        <v>0</v>
      </c>
      <c r="AJ168" s="123">
        <v>0</v>
      </c>
      <c r="AK168" s="123">
        <v>0</v>
      </c>
      <c r="AL168" s="123">
        <v>0</v>
      </c>
      <c r="AM168" s="123">
        <v>0</v>
      </c>
      <c r="AN168" s="123">
        <v>0</v>
      </c>
      <c r="AO168" s="123">
        <v>0</v>
      </c>
      <c r="AP168" s="123">
        <v>0</v>
      </c>
      <c r="AQ168" s="123">
        <v>0</v>
      </c>
      <c r="AR168" s="123">
        <v>0</v>
      </c>
      <c r="AS168" s="123">
        <v>0</v>
      </c>
      <c r="AT168" s="123">
        <v>0</v>
      </c>
      <c r="AU168" s="123">
        <v>0</v>
      </c>
      <c r="AV168" s="123">
        <v>0</v>
      </c>
      <c r="AW168" s="123">
        <v>0</v>
      </c>
      <c r="AX168" s="123">
        <v>0</v>
      </c>
      <c r="AY168" s="123">
        <v>0</v>
      </c>
    </row>
    <row r="169" spans="1:52" x14ac:dyDescent="0.2">
      <c r="A169" s="126"/>
      <c r="B169" s="146">
        <v>48</v>
      </c>
      <c r="C169" s="123">
        <v>0</v>
      </c>
      <c r="D169" s="123">
        <v>0</v>
      </c>
      <c r="E169" s="123">
        <v>0</v>
      </c>
      <c r="F169" s="123">
        <v>0</v>
      </c>
      <c r="G169" s="123">
        <v>0</v>
      </c>
      <c r="H169" s="123">
        <v>0</v>
      </c>
      <c r="I169" s="123">
        <v>0</v>
      </c>
      <c r="J169" s="123">
        <v>0</v>
      </c>
      <c r="K169" s="123">
        <v>0</v>
      </c>
      <c r="L169" s="123">
        <v>0</v>
      </c>
      <c r="M169" s="123">
        <v>0</v>
      </c>
      <c r="N169" s="123">
        <v>0</v>
      </c>
      <c r="O169" s="123">
        <v>0</v>
      </c>
      <c r="P169" s="123">
        <v>0</v>
      </c>
      <c r="Q169" s="123">
        <v>0</v>
      </c>
      <c r="R169" s="123">
        <v>0</v>
      </c>
      <c r="S169" s="123">
        <v>0</v>
      </c>
      <c r="T169" s="123">
        <v>0</v>
      </c>
      <c r="U169" s="123">
        <v>0</v>
      </c>
      <c r="V169" s="123">
        <v>0</v>
      </c>
      <c r="W169" s="123">
        <v>0</v>
      </c>
      <c r="X169" s="123">
        <v>0</v>
      </c>
      <c r="Y169" s="123">
        <v>0</v>
      </c>
      <c r="Z169" s="123">
        <v>0</v>
      </c>
      <c r="AA169" s="123">
        <v>0</v>
      </c>
      <c r="AB169" s="123">
        <v>0</v>
      </c>
      <c r="AC169" s="123">
        <v>0</v>
      </c>
      <c r="AD169" s="123">
        <v>0</v>
      </c>
      <c r="AE169" s="123">
        <v>0</v>
      </c>
      <c r="AF169" s="123">
        <v>0</v>
      </c>
      <c r="AG169" s="123">
        <v>0</v>
      </c>
      <c r="AH169" s="123">
        <v>0</v>
      </c>
      <c r="AI169" s="123">
        <v>0</v>
      </c>
      <c r="AJ169" s="123">
        <v>0</v>
      </c>
      <c r="AK169" s="123">
        <v>0</v>
      </c>
      <c r="AL169" s="123">
        <v>0</v>
      </c>
      <c r="AM169" s="123">
        <v>0</v>
      </c>
      <c r="AN169" s="123">
        <v>0</v>
      </c>
      <c r="AO169" s="123">
        <v>0</v>
      </c>
      <c r="AP169" s="123">
        <v>0</v>
      </c>
      <c r="AQ169" s="123">
        <v>0</v>
      </c>
      <c r="AR169" s="123">
        <v>0</v>
      </c>
      <c r="AS169" s="123">
        <v>0</v>
      </c>
      <c r="AT169" s="123">
        <v>0</v>
      </c>
      <c r="AU169" s="123">
        <v>0</v>
      </c>
      <c r="AV169" s="123">
        <v>0</v>
      </c>
      <c r="AW169" s="123">
        <v>0</v>
      </c>
      <c r="AX169" s="123">
        <v>0</v>
      </c>
      <c r="AY169" s="123">
        <v>0</v>
      </c>
    </row>
    <row r="170" spans="1:52" x14ac:dyDescent="0.2">
      <c r="A170" s="144"/>
      <c r="B170" s="148" t="s">
        <v>296</v>
      </c>
      <c r="C170" s="130">
        <v>0</v>
      </c>
      <c r="D170" s="141">
        <v>0</v>
      </c>
      <c r="E170" s="141">
        <v>0</v>
      </c>
      <c r="F170" s="141">
        <v>0</v>
      </c>
      <c r="G170" s="141">
        <v>0</v>
      </c>
      <c r="H170" s="141">
        <v>0</v>
      </c>
      <c r="I170" s="141">
        <v>0</v>
      </c>
      <c r="J170" s="141">
        <v>0</v>
      </c>
      <c r="K170" s="141">
        <v>0</v>
      </c>
      <c r="L170" s="141">
        <v>0</v>
      </c>
      <c r="M170" s="141">
        <v>0</v>
      </c>
      <c r="N170" s="141">
        <v>0</v>
      </c>
      <c r="O170" s="141">
        <v>0</v>
      </c>
      <c r="P170" s="141">
        <v>0</v>
      </c>
      <c r="Q170" s="141">
        <v>0</v>
      </c>
      <c r="R170" s="141">
        <v>0</v>
      </c>
      <c r="S170" s="141">
        <v>0</v>
      </c>
      <c r="T170" s="141">
        <v>0</v>
      </c>
      <c r="U170" s="141">
        <v>0</v>
      </c>
      <c r="V170" s="141">
        <v>0</v>
      </c>
      <c r="W170" s="141">
        <v>0</v>
      </c>
      <c r="X170" s="141">
        <v>0</v>
      </c>
      <c r="Y170" s="141">
        <v>0</v>
      </c>
      <c r="Z170" s="141">
        <v>0</v>
      </c>
      <c r="AA170" s="141">
        <v>0</v>
      </c>
      <c r="AB170" s="141">
        <v>0</v>
      </c>
      <c r="AC170" s="141">
        <v>0</v>
      </c>
      <c r="AD170" s="141">
        <v>0</v>
      </c>
      <c r="AE170" s="141">
        <v>0</v>
      </c>
      <c r="AF170" s="141">
        <v>0</v>
      </c>
      <c r="AG170" s="141">
        <v>0</v>
      </c>
      <c r="AH170" s="141">
        <v>0</v>
      </c>
      <c r="AI170" s="141">
        <v>0</v>
      </c>
      <c r="AJ170" s="141">
        <v>0</v>
      </c>
      <c r="AK170" s="141">
        <v>0</v>
      </c>
      <c r="AL170" s="141">
        <v>0</v>
      </c>
      <c r="AM170" s="141">
        <v>0</v>
      </c>
      <c r="AN170" s="141">
        <v>0</v>
      </c>
      <c r="AO170" s="141">
        <v>0</v>
      </c>
      <c r="AP170" s="141">
        <v>0</v>
      </c>
      <c r="AQ170" s="141">
        <v>0</v>
      </c>
      <c r="AR170" s="141">
        <v>0</v>
      </c>
      <c r="AS170" s="141">
        <v>0</v>
      </c>
      <c r="AT170" s="141">
        <v>0</v>
      </c>
      <c r="AU170" s="141">
        <v>0</v>
      </c>
      <c r="AV170" s="141">
        <v>0</v>
      </c>
      <c r="AW170" s="141">
        <v>0</v>
      </c>
      <c r="AX170" s="141">
        <v>0</v>
      </c>
      <c r="AY170" s="141">
        <v>0</v>
      </c>
      <c r="AZ170" s="124">
        <f>SUM($D170:$AY170)</f>
        <v>0</v>
      </c>
    </row>
    <row r="172" spans="1:52" x14ac:dyDescent="0.2">
      <c r="A172" s="1" t="s">
        <v>124</v>
      </c>
      <c r="B172" s="149" t="s">
        <v>297</v>
      </c>
      <c r="C172" s="150">
        <v>0.40615531769122598</v>
      </c>
      <c r="D172" s="150">
        <v>0.40615531769122598</v>
      </c>
      <c r="E172" s="150">
        <v>0.40615531769122598</v>
      </c>
      <c r="F172" s="150">
        <v>0.40615531769122598</v>
      </c>
      <c r="G172" s="150">
        <v>0.40615531769122598</v>
      </c>
      <c r="H172" s="150">
        <v>0.40615531769122598</v>
      </c>
      <c r="I172" s="150">
        <v>0.40615531769122598</v>
      </c>
      <c r="J172" s="150">
        <v>0.40615531769122598</v>
      </c>
      <c r="K172" s="150">
        <v>0.40615531769122598</v>
      </c>
      <c r="L172" s="150">
        <v>0.40615531769122598</v>
      </c>
      <c r="M172" s="150">
        <v>0.40615531769122598</v>
      </c>
      <c r="N172" s="150">
        <v>0.40615531769122598</v>
      </c>
      <c r="O172" s="150">
        <v>0.40615531769122598</v>
      </c>
      <c r="P172" s="150">
        <v>0.40615531769122598</v>
      </c>
      <c r="Q172" s="150">
        <v>0.40615531769122598</v>
      </c>
      <c r="R172" s="150">
        <v>0.40615531769122598</v>
      </c>
      <c r="S172" s="150">
        <v>0.40615531769122598</v>
      </c>
      <c r="T172" s="150">
        <v>0.40615531769122598</v>
      </c>
      <c r="U172" s="150">
        <v>0.40615531769122598</v>
      </c>
      <c r="V172" s="150">
        <v>0.40615531769122598</v>
      </c>
      <c r="W172" s="150">
        <v>0.40615531769122598</v>
      </c>
      <c r="X172" s="150">
        <v>0.40615531769122598</v>
      </c>
      <c r="Y172" s="150">
        <v>0.40615531769122598</v>
      </c>
      <c r="Z172" s="150">
        <v>0.40615531769122598</v>
      </c>
      <c r="AA172" s="150">
        <v>0.40615531769122598</v>
      </c>
      <c r="AB172" s="150">
        <v>0.40615531769122598</v>
      </c>
      <c r="AC172" s="150">
        <v>0.40615531769122598</v>
      </c>
      <c r="AD172" s="150">
        <v>0.40615531769122598</v>
      </c>
      <c r="AE172" s="150">
        <v>0.40615531769122598</v>
      </c>
      <c r="AF172" s="150">
        <v>0.40615531769122598</v>
      </c>
      <c r="AG172" s="150">
        <v>0.40615531769122598</v>
      </c>
      <c r="AH172" s="150">
        <v>0.40615531769122598</v>
      </c>
      <c r="AI172" s="150">
        <v>0.40615531769122598</v>
      </c>
      <c r="AJ172" s="150">
        <v>0.40615531769122598</v>
      </c>
      <c r="AK172" s="150">
        <v>0.40615531769122598</v>
      </c>
      <c r="AL172" s="150">
        <v>0.40615531769122598</v>
      </c>
      <c r="AM172" s="150">
        <v>0.40615531769122598</v>
      </c>
      <c r="AN172" s="150">
        <v>0.40615531769122598</v>
      </c>
      <c r="AO172" s="150">
        <v>0.40615531769122598</v>
      </c>
      <c r="AP172" s="150">
        <v>0.40615531769122598</v>
      </c>
      <c r="AQ172" s="150">
        <v>0.40615531769122598</v>
      </c>
      <c r="AR172" s="150">
        <v>0.40615531769122598</v>
      </c>
      <c r="AS172" s="150">
        <v>0.40615531769122598</v>
      </c>
      <c r="AT172" s="150">
        <v>0.40615531769122598</v>
      </c>
      <c r="AU172" s="150">
        <v>0.40615531769122598</v>
      </c>
      <c r="AV172" s="150">
        <v>0.40615531769122598</v>
      </c>
      <c r="AW172" s="150">
        <v>0.40615531769122598</v>
      </c>
      <c r="AX172" s="150">
        <v>0.40615531769122598</v>
      </c>
      <c r="AY172" s="150">
        <v>0.40615531769122598</v>
      </c>
    </row>
    <row r="174" spans="1:52" x14ac:dyDescent="0.2">
      <c r="A174" s="1" t="s">
        <v>272</v>
      </c>
    </row>
    <row r="175" spans="1:52" x14ac:dyDescent="0.2">
      <c r="A175" s="151" t="s">
        <v>125</v>
      </c>
      <c r="B175" s="151" t="s">
        <v>298</v>
      </c>
      <c r="C175" s="140" t="s">
        <v>293</v>
      </c>
      <c r="D175" s="140">
        <f t="shared" ref="D175:AY175" si="1">SUM(D95:D98)</f>
        <v>21285.342360108207</v>
      </c>
      <c r="E175" s="140">
        <f t="shared" si="1"/>
        <v>23409.691746678258</v>
      </c>
      <c r="F175" s="140">
        <f t="shared" si="1"/>
        <v>25534.041133248309</v>
      </c>
      <c r="G175" s="140">
        <f t="shared" si="1"/>
        <v>25753.690775569397</v>
      </c>
      <c r="H175" s="140">
        <f t="shared" si="1"/>
        <v>18699.291440083995</v>
      </c>
      <c r="I175" s="140">
        <f t="shared" si="1"/>
        <v>14626.681837730344</v>
      </c>
      <c r="J175" s="140">
        <f t="shared" si="1"/>
        <v>10943.223315296096</v>
      </c>
      <c r="K175" s="140">
        <f t="shared" si="1"/>
        <v>8887.1969222460975</v>
      </c>
      <c r="L175" s="140">
        <f t="shared" si="1"/>
        <v>3135.4455586523491</v>
      </c>
      <c r="M175" s="140">
        <f t="shared" si="1"/>
        <v>0</v>
      </c>
      <c r="N175" s="140">
        <f t="shared" si="1"/>
        <v>0</v>
      </c>
      <c r="O175" s="140">
        <f t="shared" si="1"/>
        <v>0</v>
      </c>
      <c r="P175" s="140">
        <f t="shared" si="1"/>
        <v>0</v>
      </c>
      <c r="Q175" s="140">
        <f t="shared" si="1"/>
        <v>0</v>
      </c>
      <c r="R175" s="140">
        <f t="shared" si="1"/>
        <v>0</v>
      </c>
      <c r="S175" s="140">
        <f t="shared" si="1"/>
        <v>0</v>
      </c>
      <c r="T175" s="140">
        <f t="shared" si="1"/>
        <v>0</v>
      </c>
      <c r="U175" s="140">
        <f t="shared" si="1"/>
        <v>0</v>
      </c>
      <c r="V175" s="140">
        <f t="shared" si="1"/>
        <v>0</v>
      </c>
      <c r="W175" s="140">
        <f t="shared" si="1"/>
        <v>0</v>
      </c>
      <c r="X175" s="140">
        <f t="shared" si="1"/>
        <v>0</v>
      </c>
      <c r="Y175" s="140">
        <f t="shared" si="1"/>
        <v>0</v>
      </c>
      <c r="Z175" s="140">
        <f t="shared" si="1"/>
        <v>0</v>
      </c>
      <c r="AA175" s="140">
        <f t="shared" si="1"/>
        <v>0</v>
      </c>
      <c r="AB175" s="140">
        <f t="shared" si="1"/>
        <v>0</v>
      </c>
      <c r="AC175" s="140">
        <f t="shared" si="1"/>
        <v>0</v>
      </c>
      <c r="AD175" s="140">
        <f t="shared" si="1"/>
        <v>0</v>
      </c>
      <c r="AE175" s="140">
        <f t="shared" si="1"/>
        <v>0</v>
      </c>
      <c r="AF175" s="140">
        <f t="shared" si="1"/>
        <v>0</v>
      </c>
      <c r="AG175" s="140">
        <f t="shared" si="1"/>
        <v>0</v>
      </c>
      <c r="AH175" s="140">
        <f t="shared" si="1"/>
        <v>0</v>
      </c>
      <c r="AI175" s="140">
        <f t="shared" si="1"/>
        <v>0</v>
      </c>
      <c r="AJ175" s="140">
        <f t="shared" si="1"/>
        <v>0</v>
      </c>
      <c r="AK175" s="140">
        <f t="shared" si="1"/>
        <v>0</v>
      </c>
      <c r="AL175" s="140">
        <f t="shared" si="1"/>
        <v>0</v>
      </c>
      <c r="AM175" s="140">
        <f t="shared" si="1"/>
        <v>0</v>
      </c>
      <c r="AN175" s="140">
        <f t="shared" si="1"/>
        <v>0</v>
      </c>
      <c r="AO175" s="140">
        <f t="shared" si="1"/>
        <v>0</v>
      </c>
      <c r="AP175" s="140">
        <f t="shared" si="1"/>
        <v>0</v>
      </c>
      <c r="AQ175" s="140">
        <f t="shared" si="1"/>
        <v>0</v>
      </c>
      <c r="AR175" s="140">
        <f t="shared" si="1"/>
        <v>0</v>
      </c>
      <c r="AS175" s="140">
        <f t="shared" si="1"/>
        <v>0</v>
      </c>
      <c r="AT175" s="140">
        <f t="shared" si="1"/>
        <v>0</v>
      </c>
      <c r="AU175" s="140">
        <f t="shared" si="1"/>
        <v>0</v>
      </c>
      <c r="AV175" s="140">
        <f t="shared" si="1"/>
        <v>0</v>
      </c>
      <c r="AW175" s="140">
        <f t="shared" si="1"/>
        <v>0</v>
      </c>
      <c r="AX175" s="140">
        <f t="shared" si="1"/>
        <v>0</v>
      </c>
      <c r="AY175" s="140">
        <f t="shared" si="1"/>
        <v>0</v>
      </c>
    </row>
    <row r="176" spans="1:52" x14ac:dyDescent="0.2">
      <c r="A176" s="141"/>
      <c r="B176" s="152" t="s">
        <v>299</v>
      </c>
      <c r="C176" s="141" t="s">
        <v>293</v>
      </c>
      <c r="D176" s="141">
        <v>893</v>
      </c>
      <c r="E176" s="141">
        <v>993</v>
      </c>
      <c r="F176" s="141">
        <v>1160</v>
      </c>
      <c r="G176" s="141">
        <v>1105</v>
      </c>
      <c r="H176" s="141">
        <v>1008</v>
      </c>
      <c r="I176" s="141">
        <v>944</v>
      </c>
      <c r="J176" s="141">
        <v>1319</v>
      </c>
      <c r="K176" s="141">
        <v>1091</v>
      </c>
      <c r="L176" s="141">
        <v>1152</v>
      </c>
      <c r="M176" s="141">
        <v>0</v>
      </c>
      <c r="N176" s="141">
        <v>0</v>
      </c>
      <c r="O176" s="141">
        <v>0</v>
      </c>
      <c r="P176" s="141">
        <v>0</v>
      </c>
      <c r="Q176" s="141">
        <v>0</v>
      </c>
      <c r="R176" s="141">
        <v>0</v>
      </c>
      <c r="S176" s="141">
        <v>0</v>
      </c>
      <c r="T176" s="141">
        <v>0</v>
      </c>
      <c r="U176" s="141">
        <v>0</v>
      </c>
      <c r="V176" s="141">
        <v>0</v>
      </c>
      <c r="W176" s="141">
        <v>0</v>
      </c>
      <c r="X176" s="141">
        <v>0</v>
      </c>
      <c r="Y176" s="141">
        <v>0</v>
      </c>
      <c r="Z176" s="141">
        <v>0</v>
      </c>
      <c r="AA176" s="141">
        <v>0</v>
      </c>
      <c r="AB176" s="141">
        <v>0</v>
      </c>
      <c r="AC176" s="141">
        <v>0</v>
      </c>
      <c r="AD176" s="141">
        <v>0</v>
      </c>
      <c r="AE176" s="141">
        <v>0</v>
      </c>
      <c r="AF176" s="141">
        <v>0</v>
      </c>
      <c r="AG176" s="141">
        <v>0</v>
      </c>
      <c r="AH176" s="141">
        <v>0</v>
      </c>
      <c r="AI176" s="141">
        <v>0</v>
      </c>
      <c r="AJ176" s="141">
        <v>0</v>
      </c>
      <c r="AK176" s="141">
        <v>0</v>
      </c>
      <c r="AL176" s="141">
        <v>0</v>
      </c>
      <c r="AM176" s="141">
        <v>0</v>
      </c>
      <c r="AN176" s="141">
        <v>0</v>
      </c>
      <c r="AO176" s="141">
        <v>0</v>
      </c>
      <c r="AP176" s="141">
        <v>0</v>
      </c>
      <c r="AQ176" s="141">
        <v>0</v>
      </c>
      <c r="AR176" s="141">
        <v>0</v>
      </c>
      <c r="AS176" s="141">
        <v>0</v>
      </c>
      <c r="AT176" s="141">
        <v>0</v>
      </c>
      <c r="AU176" s="141">
        <v>0</v>
      </c>
      <c r="AV176" s="141">
        <v>0</v>
      </c>
      <c r="AW176" s="141">
        <v>0</v>
      </c>
      <c r="AX176" s="141">
        <v>0</v>
      </c>
      <c r="AY176" s="141">
        <v>0</v>
      </c>
    </row>
    <row r="177" spans="1:51" x14ac:dyDescent="0.2">
      <c r="A177" s="151" t="s">
        <v>133</v>
      </c>
      <c r="B177" s="151" t="s">
        <v>298</v>
      </c>
      <c r="C177" s="140" t="s">
        <v>293</v>
      </c>
      <c r="D177" s="140">
        <f t="shared" ref="D177:AY177" si="2">SUM(D100:D107)</f>
        <v>0</v>
      </c>
      <c r="E177" s="140">
        <f t="shared" si="2"/>
        <v>977.22131413173645</v>
      </c>
      <c r="F177" s="140">
        <f t="shared" si="2"/>
        <v>1376.1308703211712</v>
      </c>
      <c r="G177" s="140">
        <f t="shared" si="2"/>
        <v>475.87011260636746</v>
      </c>
      <c r="H177" s="140">
        <f t="shared" si="2"/>
        <v>2886.6135973756323</v>
      </c>
      <c r="I177" s="140">
        <f t="shared" si="2"/>
        <v>3153.0739502511396</v>
      </c>
      <c r="J177" s="140">
        <f t="shared" si="2"/>
        <v>2933.9569335275191</v>
      </c>
      <c r="K177" s="140">
        <f t="shared" si="2"/>
        <v>1659.8008850727372</v>
      </c>
      <c r="L177" s="140">
        <f t="shared" si="2"/>
        <v>2971.2916414934634</v>
      </c>
      <c r="M177" s="140">
        <f t="shared" si="2"/>
        <v>2899.9376577786588</v>
      </c>
      <c r="N177" s="140">
        <f t="shared" si="2"/>
        <v>2881.7073036090733</v>
      </c>
      <c r="O177" s="140">
        <f t="shared" si="2"/>
        <v>2813.1827524722416</v>
      </c>
      <c r="P177" s="140">
        <f t="shared" si="2"/>
        <v>2894.7963498478739</v>
      </c>
      <c r="Q177" s="140">
        <f t="shared" si="2"/>
        <v>2826.5355921330702</v>
      </c>
      <c r="R177" s="140">
        <f t="shared" si="2"/>
        <v>2610.5458061366498</v>
      </c>
      <c r="S177" s="140">
        <f t="shared" si="2"/>
        <v>1153.5639378315343</v>
      </c>
      <c r="T177" s="140">
        <f t="shared" si="2"/>
        <v>2530.7211105903111</v>
      </c>
      <c r="U177" s="140">
        <f t="shared" si="2"/>
        <v>2751.7395780036077</v>
      </c>
      <c r="V177" s="140">
        <f t="shared" si="2"/>
        <v>2679.8177317994155</v>
      </c>
      <c r="W177" s="140">
        <f t="shared" si="2"/>
        <v>2828.8649297903703</v>
      </c>
      <c r="X177" s="140">
        <f t="shared" si="2"/>
        <v>2589.9762874852545</v>
      </c>
      <c r="Y177" s="140">
        <f t="shared" si="2"/>
        <v>1551.4966588608872</v>
      </c>
      <c r="Z177" s="140">
        <f t="shared" si="2"/>
        <v>2702.2050879088702</v>
      </c>
      <c r="AA177" s="140">
        <f t="shared" si="2"/>
        <v>2806.6705097672784</v>
      </c>
      <c r="AB177" s="140">
        <f t="shared" si="2"/>
        <v>2611.289641580121</v>
      </c>
      <c r="AC177" s="140">
        <f t="shared" si="2"/>
        <v>2522.5687591633659</v>
      </c>
      <c r="AD177" s="140">
        <f t="shared" si="2"/>
        <v>2329.3080014485622</v>
      </c>
      <c r="AE177" s="140">
        <f t="shared" si="2"/>
        <v>2324.3477446532756</v>
      </c>
      <c r="AF177" s="140">
        <f t="shared" si="2"/>
        <v>2021.0869869384715</v>
      </c>
      <c r="AG177" s="140">
        <f t="shared" si="2"/>
        <v>1718.6520490740013</v>
      </c>
      <c r="AH177" s="140">
        <f t="shared" si="2"/>
        <v>1498.607358314104</v>
      </c>
      <c r="AI177" s="140">
        <f t="shared" si="2"/>
        <v>443.34660059930025</v>
      </c>
      <c r="AJ177" s="140">
        <f t="shared" si="2"/>
        <v>2954.6636502724386</v>
      </c>
      <c r="AK177" s="140">
        <f t="shared" si="2"/>
        <v>1467.6817819673231</v>
      </c>
      <c r="AL177" s="140">
        <f t="shared" si="2"/>
        <v>2612.2650209835865</v>
      </c>
      <c r="AM177" s="140">
        <f t="shared" si="2"/>
        <v>1570.1282063138333</v>
      </c>
      <c r="AN177" s="140">
        <f t="shared" si="2"/>
        <v>1225.1113576948844</v>
      </c>
      <c r="AO177" s="140">
        <f t="shared" si="2"/>
        <v>404.79926078532122</v>
      </c>
      <c r="AP177" s="140">
        <f t="shared" si="2"/>
        <v>2647.7557089875204</v>
      </c>
      <c r="AQ177" s="140">
        <f t="shared" si="2"/>
        <v>2797.970368925764</v>
      </c>
      <c r="AR177" s="140">
        <f t="shared" si="2"/>
        <v>2653.3943584243016</v>
      </c>
      <c r="AS177" s="140">
        <f t="shared" si="2"/>
        <v>1237.4875884400292</v>
      </c>
      <c r="AT177" s="140">
        <f t="shared" si="2"/>
        <v>159.40732881349061</v>
      </c>
      <c r="AU177" s="140">
        <f t="shared" si="2"/>
        <v>181.62847670970183</v>
      </c>
      <c r="AV177" s="140">
        <f t="shared" si="2"/>
        <v>2658.4530143699903</v>
      </c>
      <c r="AW177" s="140">
        <f t="shared" si="2"/>
        <v>2915.1752364502531</v>
      </c>
      <c r="AX177" s="140">
        <f t="shared" si="2"/>
        <v>2775.5825652637436</v>
      </c>
      <c r="AY177" s="140">
        <f t="shared" si="2"/>
        <v>1624.5687578372265</v>
      </c>
    </row>
    <row r="178" spans="1:51" x14ac:dyDescent="0.2">
      <c r="A178" s="141"/>
      <c r="B178" s="152" t="s">
        <v>299</v>
      </c>
      <c r="C178" s="141" t="s">
        <v>293</v>
      </c>
      <c r="D178" s="141">
        <v>0</v>
      </c>
      <c r="E178" s="141">
        <v>977.22131413173645</v>
      </c>
      <c r="F178" s="141">
        <v>1177</v>
      </c>
      <c r="G178" s="141">
        <v>475.87011260636746</v>
      </c>
      <c r="H178" s="141">
        <v>1365</v>
      </c>
      <c r="I178" s="141">
        <v>1746</v>
      </c>
      <c r="J178" s="141">
        <v>1452</v>
      </c>
      <c r="K178" s="141">
        <v>1576</v>
      </c>
      <c r="L178" s="141">
        <v>1573</v>
      </c>
      <c r="M178" s="141">
        <v>1551</v>
      </c>
      <c r="N178" s="141">
        <v>1583</v>
      </c>
      <c r="O178" s="141">
        <v>1629</v>
      </c>
      <c r="P178" s="141">
        <v>1521</v>
      </c>
      <c r="Q178" s="141">
        <v>1790</v>
      </c>
      <c r="R178" s="141">
        <v>1555</v>
      </c>
      <c r="S178" s="141">
        <v>1153.5639378315343</v>
      </c>
      <c r="T178" s="141">
        <v>1509</v>
      </c>
      <c r="U178" s="141">
        <v>1483</v>
      </c>
      <c r="V178" s="141">
        <v>1451</v>
      </c>
      <c r="W178" s="141">
        <v>1464</v>
      </c>
      <c r="X178" s="141">
        <v>1622</v>
      </c>
      <c r="Y178" s="141">
        <v>1487</v>
      </c>
      <c r="Z178" s="141">
        <v>1295</v>
      </c>
      <c r="AA178" s="141">
        <v>1472</v>
      </c>
      <c r="AB178" s="141">
        <v>1596</v>
      </c>
      <c r="AC178" s="141">
        <v>1646</v>
      </c>
      <c r="AD178" s="141">
        <v>1677</v>
      </c>
      <c r="AE178" s="141">
        <v>1756</v>
      </c>
      <c r="AF178" s="141">
        <v>1835</v>
      </c>
      <c r="AG178" s="141">
        <v>1623</v>
      </c>
      <c r="AH178" s="141">
        <v>1332</v>
      </c>
      <c r="AI178" s="141">
        <v>443.34660059930025</v>
      </c>
      <c r="AJ178" s="141">
        <v>1585</v>
      </c>
      <c r="AK178" s="141">
        <v>1467.6817819673231</v>
      </c>
      <c r="AL178" s="141">
        <v>1502</v>
      </c>
      <c r="AM178" s="141">
        <v>1570.1282063138333</v>
      </c>
      <c r="AN178" s="141">
        <v>1225.1113576948844</v>
      </c>
      <c r="AO178" s="141">
        <v>404.79926078532122</v>
      </c>
      <c r="AP178" s="141">
        <v>1602</v>
      </c>
      <c r="AQ178" s="141">
        <v>1566</v>
      </c>
      <c r="AR178" s="141">
        <v>1726</v>
      </c>
      <c r="AS178" s="141">
        <v>1237.4875884400292</v>
      </c>
      <c r="AT178" s="141">
        <v>159.40732881349061</v>
      </c>
      <c r="AU178" s="141">
        <v>181.62847670970183</v>
      </c>
      <c r="AV178" s="141">
        <v>1329</v>
      </c>
      <c r="AW178" s="141">
        <v>1475</v>
      </c>
      <c r="AX178" s="141">
        <v>1432</v>
      </c>
      <c r="AY178" s="141">
        <v>1583</v>
      </c>
    </row>
    <row r="179" spans="1:51" x14ac:dyDescent="0.2">
      <c r="A179" s="151" t="s">
        <v>134</v>
      </c>
      <c r="B179" s="151" t="s">
        <v>298</v>
      </c>
      <c r="C179" s="140" t="s">
        <v>293</v>
      </c>
      <c r="D179" s="140">
        <f t="shared" ref="D179:AY179" si="3">SUM(D109:D120)</f>
        <v>409.14105870760847</v>
      </c>
      <c r="E179" s="140">
        <f t="shared" si="3"/>
        <v>2022.6823531696978</v>
      </c>
      <c r="F179" s="140">
        <f t="shared" si="3"/>
        <v>4104.7042015773486</v>
      </c>
      <c r="G179" s="140">
        <f t="shared" si="3"/>
        <v>7047.2832975204283</v>
      </c>
      <c r="H179" s="140">
        <f t="shared" si="3"/>
        <v>10179.334060005178</v>
      </c>
      <c r="I179" s="140">
        <f t="shared" si="3"/>
        <v>13927.391943559327</v>
      </c>
      <c r="J179" s="140">
        <f t="shared" si="3"/>
        <v>17649.043944295452</v>
      </c>
      <c r="K179" s="140">
        <f t="shared" si="3"/>
        <v>21478.179002257079</v>
      </c>
      <c r="L179" s="140">
        <f t="shared" si="3"/>
        <v>25231.661801768805</v>
      </c>
      <c r="M179" s="140">
        <f t="shared" si="3"/>
        <v>28209.328114505071</v>
      </c>
      <c r="N179" s="140">
        <f t="shared" si="3"/>
        <v>28466.37756102323</v>
      </c>
      <c r="O179" s="140">
        <f t="shared" si="3"/>
        <v>28433.72356018507</v>
      </c>
      <c r="P179" s="140">
        <f t="shared" si="3"/>
        <v>28333.914260060505</v>
      </c>
      <c r="Q179" s="140">
        <f t="shared" si="3"/>
        <v>28507.592311846754</v>
      </c>
      <c r="R179" s="140">
        <f t="shared" si="3"/>
        <v>28556.072239655994</v>
      </c>
      <c r="S179" s="140">
        <f t="shared" si="3"/>
        <v>30600.285388818804</v>
      </c>
      <c r="T179" s="140">
        <f t="shared" si="3"/>
        <v>28902.034912411407</v>
      </c>
      <c r="U179" s="140">
        <f t="shared" si="3"/>
        <v>28061.742132419862</v>
      </c>
      <c r="V179" s="140">
        <f t="shared" si="3"/>
        <v>28383.728698280371</v>
      </c>
      <c r="W179" s="140">
        <f t="shared" si="3"/>
        <v>28221.958388900581</v>
      </c>
      <c r="X179" s="140">
        <f t="shared" si="3"/>
        <v>28887.108956236356</v>
      </c>
      <c r="Y179" s="140">
        <f t="shared" si="3"/>
        <v>29852.904485239538</v>
      </c>
      <c r="Z179" s="140">
        <f t="shared" si="3"/>
        <v>28338.66094385133</v>
      </c>
      <c r="AA179" s="140">
        <f t="shared" si="3"/>
        <v>27781.684174988943</v>
      </c>
      <c r="AB179" s="140">
        <f t="shared" si="3"/>
        <v>28349.566301463179</v>
      </c>
      <c r="AC179" s="140">
        <f t="shared" si="3"/>
        <v>28675.383717572156</v>
      </c>
      <c r="AD179" s="140">
        <f t="shared" si="3"/>
        <v>29051.554348708814</v>
      </c>
      <c r="AE179" s="140">
        <f t="shared" si="3"/>
        <v>28777.800588092789</v>
      </c>
      <c r="AF179" s="140">
        <f t="shared" si="3"/>
        <v>29244.882581767622</v>
      </c>
      <c r="AG179" s="140">
        <f t="shared" si="3"/>
        <v>29545.379174066442</v>
      </c>
      <c r="AH179" s="140">
        <f t="shared" si="3"/>
        <v>29676.978907996141</v>
      </c>
      <c r="AI179" s="140">
        <f t="shared" si="3"/>
        <v>31568.233694433624</v>
      </c>
      <c r="AJ179" s="140">
        <f t="shared" si="3"/>
        <v>27997.549776088013</v>
      </c>
      <c r="AK179" s="140">
        <f t="shared" si="3"/>
        <v>30422.844501570769</v>
      </c>
      <c r="AL179" s="140">
        <f t="shared" si="3"/>
        <v>28563.657931444359</v>
      </c>
      <c r="AM179" s="140">
        <f t="shared" si="3"/>
        <v>30069.429312589928</v>
      </c>
      <c r="AN179" s="140">
        <f t="shared" si="3"/>
        <v>30585.590560116394</v>
      </c>
      <c r="AO179" s="140">
        <f t="shared" si="3"/>
        <v>31243.313132834373</v>
      </c>
      <c r="AP179" s="140">
        <f t="shared" si="3"/>
        <v>28039.231714000074</v>
      </c>
      <c r="AQ179" s="140">
        <f t="shared" si="3"/>
        <v>28054.751981841342</v>
      </c>
      <c r="AR179" s="140">
        <f t="shared" si="3"/>
        <v>28384.34355955906</v>
      </c>
      <c r="AS179" s="140">
        <f t="shared" si="3"/>
        <v>30511.712111841902</v>
      </c>
      <c r="AT179" s="140">
        <f t="shared" si="3"/>
        <v>31947.794212484565</v>
      </c>
      <c r="AU179" s="140">
        <f t="shared" si="3"/>
        <v>32119.09595716028</v>
      </c>
      <c r="AV179" s="140">
        <f t="shared" si="3"/>
        <v>29003.333758158969</v>
      </c>
      <c r="AW179" s="140">
        <f t="shared" si="3"/>
        <v>28610.774808019432</v>
      </c>
      <c r="AX179" s="140">
        <f t="shared" si="3"/>
        <v>28642.043355102945</v>
      </c>
      <c r="AY179" s="140">
        <f t="shared" si="3"/>
        <v>30401.915300810313</v>
      </c>
    </row>
    <row r="180" spans="1:51" x14ac:dyDescent="0.2">
      <c r="A180" s="141"/>
      <c r="B180" s="152" t="s">
        <v>299</v>
      </c>
      <c r="C180" s="141" t="s">
        <v>293</v>
      </c>
      <c r="D180" s="141">
        <v>409.14105870760847</v>
      </c>
      <c r="E180" s="141">
        <v>953.49664938947581</v>
      </c>
      <c r="F180" s="141">
        <v>786</v>
      </c>
      <c r="G180" s="141">
        <v>817.06067623510376</v>
      </c>
      <c r="H180" s="141">
        <v>815</v>
      </c>
      <c r="I180" s="141">
        <v>865</v>
      </c>
      <c r="J180" s="141">
        <v>831</v>
      </c>
      <c r="K180" s="141">
        <v>704</v>
      </c>
      <c r="L180" s="141">
        <v>672</v>
      </c>
      <c r="M180" s="141">
        <v>707</v>
      </c>
      <c r="N180" s="141">
        <v>864</v>
      </c>
      <c r="O180" s="141">
        <v>866</v>
      </c>
      <c r="P180" s="141">
        <v>860</v>
      </c>
      <c r="Q180" s="141">
        <v>644</v>
      </c>
      <c r="R180" s="141">
        <v>724</v>
      </c>
      <c r="S180" s="141">
        <v>822</v>
      </c>
      <c r="T180" s="141">
        <v>842</v>
      </c>
      <c r="U180" s="141">
        <v>778</v>
      </c>
      <c r="V180" s="141">
        <v>704</v>
      </c>
      <c r="W180" s="141">
        <v>832</v>
      </c>
      <c r="X180" s="141">
        <v>847</v>
      </c>
      <c r="Y180" s="141">
        <v>860</v>
      </c>
      <c r="Z180" s="141">
        <v>669</v>
      </c>
      <c r="AA180" s="141">
        <v>624</v>
      </c>
      <c r="AB180" s="141">
        <v>839</v>
      </c>
      <c r="AC180" s="141">
        <v>709</v>
      </c>
      <c r="AD180" s="141">
        <v>762</v>
      </c>
      <c r="AE180" s="141">
        <v>904</v>
      </c>
      <c r="AF180" s="141">
        <v>747</v>
      </c>
      <c r="AG180" s="141">
        <v>743</v>
      </c>
      <c r="AH180" s="141">
        <v>967</v>
      </c>
      <c r="AI180" s="141">
        <v>689</v>
      </c>
      <c r="AJ180" s="141">
        <v>821</v>
      </c>
      <c r="AK180" s="141">
        <v>765</v>
      </c>
      <c r="AL180" s="141">
        <v>773</v>
      </c>
      <c r="AM180" s="141">
        <v>851</v>
      </c>
      <c r="AN180" s="141">
        <v>745</v>
      </c>
      <c r="AO180" s="141">
        <v>641</v>
      </c>
      <c r="AP180" s="141">
        <v>826</v>
      </c>
      <c r="AQ180" s="141">
        <v>726</v>
      </c>
      <c r="AR180" s="141">
        <v>821</v>
      </c>
      <c r="AS180" s="141">
        <v>854</v>
      </c>
      <c r="AT180" s="141">
        <v>882</v>
      </c>
      <c r="AU180" s="141">
        <v>1031</v>
      </c>
      <c r="AV180" s="141">
        <v>976</v>
      </c>
      <c r="AW180" s="141">
        <v>1017</v>
      </c>
      <c r="AX180" s="141">
        <v>787</v>
      </c>
      <c r="AY180" s="141">
        <v>757</v>
      </c>
    </row>
    <row r="181" spans="1:51" x14ac:dyDescent="0.2">
      <c r="A181" s="151" t="s">
        <v>123</v>
      </c>
      <c r="B181" s="151" t="s">
        <v>298</v>
      </c>
      <c r="C181" s="140" t="s">
        <v>293</v>
      </c>
      <c r="D181" s="140">
        <f t="shared" ref="D181:AY181" si="4">(1-D172)*SUM(D122:D169)</f>
        <v>2957.3887306402012</v>
      </c>
      <c r="E181" s="140">
        <f t="shared" si="4"/>
        <v>4438.268907110958</v>
      </c>
      <c r="F181" s="140">
        <f t="shared" si="4"/>
        <v>5451.6013265072315</v>
      </c>
      <c r="G181" s="140">
        <f t="shared" si="4"/>
        <v>5774.0443755839542</v>
      </c>
      <c r="H181" s="140">
        <f t="shared" si="4"/>
        <v>6671.7030189810475</v>
      </c>
      <c r="I181" s="140">
        <f t="shared" si="4"/>
        <v>6706.200267723063</v>
      </c>
      <c r="J181" s="140">
        <f t="shared" si="4"/>
        <v>6813.6407489193043</v>
      </c>
      <c r="K181" s="140">
        <f t="shared" si="4"/>
        <v>6517.3403909123572</v>
      </c>
      <c r="L181" s="140">
        <f t="shared" si="4"/>
        <v>6925.1797399196948</v>
      </c>
      <c r="M181" s="140">
        <f t="shared" si="4"/>
        <v>7061.2492898762339</v>
      </c>
      <c r="N181" s="140">
        <f t="shared" si="4"/>
        <v>6919.4278418512249</v>
      </c>
      <c r="O181" s="140">
        <f t="shared" si="4"/>
        <v>6979.5121869052728</v>
      </c>
      <c r="P181" s="140">
        <f t="shared" si="4"/>
        <v>6990.3176082236005</v>
      </c>
      <c r="Q181" s="140">
        <f t="shared" si="4"/>
        <v>6927.7161087158929</v>
      </c>
      <c r="R181" s="140">
        <f t="shared" si="4"/>
        <v>7027.1909472346451</v>
      </c>
      <c r="S181" s="140">
        <f t="shared" si="4"/>
        <v>6678.4667738119324</v>
      </c>
      <c r="T181" s="140">
        <f t="shared" si="4"/>
        <v>6869.1463247086231</v>
      </c>
      <c r="U181" s="140">
        <f t="shared" si="4"/>
        <v>7236.8990821236384</v>
      </c>
      <c r="V181" s="140">
        <f t="shared" si="4"/>
        <v>7088.3994781227011</v>
      </c>
      <c r="W181" s="140">
        <f t="shared" si="4"/>
        <v>7095.9550301633808</v>
      </c>
      <c r="X181" s="140">
        <f t="shared" si="4"/>
        <v>6842.8216527132272</v>
      </c>
      <c r="Y181" s="140">
        <f t="shared" si="4"/>
        <v>6885.9847187616651</v>
      </c>
      <c r="Z181" s="140">
        <f t="shared" si="4"/>
        <v>7101.8681120574329</v>
      </c>
      <c r="AA181" s="140">
        <f t="shared" si="4"/>
        <v>7370.5895691601254</v>
      </c>
      <c r="AB181" s="140">
        <f t="shared" si="4"/>
        <v>7149.3816777730171</v>
      </c>
      <c r="AC181" s="140">
        <f t="shared" si="4"/>
        <v>7008.5831620460467</v>
      </c>
      <c r="AD181" s="140">
        <f t="shared" si="4"/>
        <v>6899.9631063727074</v>
      </c>
      <c r="AE181" s="140">
        <f t="shared" si="4"/>
        <v>7065.4759434973312</v>
      </c>
      <c r="AF181" s="140">
        <f t="shared" si="4"/>
        <v>6968.1915736732162</v>
      </c>
      <c r="AG181" s="140">
        <f t="shared" si="4"/>
        <v>6969.3426498798572</v>
      </c>
      <c r="AH181" s="140">
        <f t="shared" si="4"/>
        <v>7021.8652171704971</v>
      </c>
      <c r="AI181" s="140">
        <f t="shared" si="4"/>
        <v>6525.4146087716445</v>
      </c>
      <c r="AJ181" s="140">
        <f t="shared" si="4"/>
        <v>7154.5139903468926</v>
      </c>
      <c r="AK181" s="140">
        <f t="shared" si="4"/>
        <v>6597.3018897699958</v>
      </c>
      <c r="AL181" s="140">
        <f t="shared" si="4"/>
        <v>7021.6652779098968</v>
      </c>
      <c r="AM181" s="140">
        <f t="shared" si="4"/>
        <v>6746.3383560736984</v>
      </c>
      <c r="AN181" s="140">
        <f t="shared" si="4"/>
        <v>6644.7051648755305</v>
      </c>
      <c r="AO181" s="140">
        <f t="shared" si="4"/>
        <v>6741.2580892158257</v>
      </c>
      <c r="AP181" s="140">
        <f t="shared" si="4"/>
        <v>7312.0170420598679</v>
      </c>
      <c r="AQ181" s="140">
        <f t="shared" si="4"/>
        <v>7213.5962365251771</v>
      </c>
      <c r="AR181" s="140">
        <f t="shared" si="4"/>
        <v>7103.7257257894644</v>
      </c>
      <c r="AS181" s="140">
        <f t="shared" si="4"/>
        <v>6681.2279297055338</v>
      </c>
      <c r="AT181" s="140">
        <f t="shared" si="4"/>
        <v>6468.6304401613588</v>
      </c>
      <c r="AU181" s="140">
        <f t="shared" si="4"/>
        <v>6353.7078995025095</v>
      </c>
      <c r="AV181" s="140">
        <f t="shared" si="4"/>
        <v>6733.1376320166764</v>
      </c>
      <c r="AW181" s="140">
        <f t="shared" si="4"/>
        <v>6813.8035506369015</v>
      </c>
      <c r="AX181" s="140">
        <f t="shared" si="4"/>
        <v>6878.1312557012216</v>
      </c>
      <c r="AY181" s="140">
        <f t="shared" si="4"/>
        <v>6516.5640880027204</v>
      </c>
    </row>
    <row r="182" spans="1:51" x14ac:dyDescent="0.2">
      <c r="A182" s="141"/>
      <c r="B182" s="152" t="s">
        <v>299</v>
      </c>
      <c r="C182" s="141" t="s">
        <v>293</v>
      </c>
      <c r="D182" s="141">
        <v>1052</v>
      </c>
      <c r="E182" s="141">
        <v>1084.4966493894758</v>
      </c>
      <c r="F182" s="141">
        <v>1045</v>
      </c>
      <c r="G182" s="141">
        <v>1236.0606762351038</v>
      </c>
      <c r="H182" s="141">
        <v>1276</v>
      </c>
      <c r="I182" s="141">
        <v>1160</v>
      </c>
      <c r="J182" s="141">
        <v>1194</v>
      </c>
      <c r="K182" s="141">
        <v>1254</v>
      </c>
      <c r="L182" s="141">
        <v>1044</v>
      </c>
      <c r="M182" s="141">
        <v>1227</v>
      </c>
      <c r="N182" s="141">
        <v>1362</v>
      </c>
      <c r="O182" s="141">
        <v>1401</v>
      </c>
      <c r="P182" s="141">
        <v>1145</v>
      </c>
      <c r="Q182" s="141">
        <v>1101</v>
      </c>
      <c r="R182" s="141">
        <v>1021</v>
      </c>
      <c r="S182" s="141">
        <v>1362</v>
      </c>
      <c r="T182" s="141">
        <v>1141</v>
      </c>
      <c r="U182" s="141">
        <v>1121</v>
      </c>
      <c r="V182" s="141">
        <v>1332</v>
      </c>
      <c r="W182" s="141">
        <v>1128</v>
      </c>
      <c r="X182" s="141">
        <v>1125</v>
      </c>
      <c r="Y182" s="141">
        <v>1139</v>
      </c>
      <c r="Z182" s="141">
        <v>1072</v>
      </c>
      <c r="AA182" s="141">
        <v>1152</v>
      </c>
      <c r="AB182" s="141">
        <v>1354</v>
      </c>
      <c r="AC182" s="141">
        <v>1210</v>
      </c>
      <c r="AD182" s="141">
        <v>1381</v>
      </c>
      <c r="AE182" s="141">
        <v>1152</v>
      </c>
      <c r="AF182" s="141">
        <v>1168</v>
      </c>
      <c r="AG182" s="141">
        <v>1075</v>
      </c>
      <c r="AH182" s="141">
        <v>1350</v>
      </c>
      <c r="AI182" s="141">
        <v>1251</v>
      </c>
      <c r="AJ182" s="141">
        <v>1285</v>
      </c>
      <c r="AK182" s="141">
        <v>1074</v>
      </c>
      <c r="AL182" s="141">
        <v>1350</v>
      </c>
      <c r="AM182" s="141">
        <v>1112</v>
      </c>
      <c r="AN182" s="141">
        <v>1094</v>
      </c>
      <c r="AO182" s="141">
        <v>1339</v>
      </c>
      <c r="AP182" s="141">
        <v>1248</v>
      </c>
      <c r="AQ182" s="141">
        <v>1258</v>
      </c>
      <c r="AR182" s="141">
        <v>1399</v>
      </c>
      <c r="AS182" s="141">
        <v>1117</v>
      </c>
      <c r="AT182" s="141">
        <v>1130</v>
      </c>
      <c r="AU182" s="141">
        <v>1277</v>
      </c>
      <c r="AV182" s="141">
        <v>1390</v>
      </c>
      <c r="AW182" s="141">
        <v>1064</v>
      </c>
      <c r="AX182" s="141">
        <v>1264</v>
      </c>
      <c r="AY182" s="141">
        <v>1214</v>
      </c>
    </row>
    <row r="184" spans="1:51" x14ac:dyDescent="0.2">
      <c r="A184" s="1" t="s">
        <v>300</v>
      </c>
    </row>
    <row r="185" spans="1:51" x14ac:dyDescent="0.2">
      <c r="A185" s="142" t="s">
        <v>125</v>
      </c>
      <c r="B185" s="139">
        <v>1</v>
      </c>
      <c r="C185" s="140">
        <v>0</v>
      </c>
      <c r="D185" s="140">
        <v>0</v>
      </c>
      <c r="E185" s="140">
        <v>0</v>
      </c>
      <c r="F185" s="140">
        <v>0</v>
      </c>
      <c r="G185" s="140">
        <v>0</v>
      </c>
      <c r="H185" s="140">
        <v>0</v>
      </c>
      <c r="I185" s="140">
        <v>0</v>
      </c>
      <c r="J185" s="140">
        <v>0</v>
      </c>
      <c r="K185" s="140">
        <v>0</v>
      </c>
      <c r="L185" s="140">
        <v>1152</v>
      </c>
      <c r="M185" s="140">
        <v>0</v>
      </c>
      <c r="N185" s="140">
        <v>0</v>
      </c>
      <c r="O185" s="140">
        <v>0</v>
      </c>
      <c r="P185" s="140">
        <v>0</v>
      </c>
      <c r="Q185" s="140">
        <v>0</v>
      </c>
      <c r="R185" s="140">
        <v>0</v>
      </c>
      <c r="S185" s="140">
        <v>0</v>
      </c>
      <c r="T185" s="140">
        <v>0</v>
      </c>
      <c r="U185" s="140">
        <v>0</v>
      </c>
      <c r="V185" s="140">
        <v>0</v>
      </c>
      <c r="W185" s="140">
        <v>0</v>
      </c>
      <c r="X185" s="140">
        <v>0</v>
      </c>
      <c r="Y185" s="140">
        <v>0</v>
      </c>
      <c r="Z185" s="140">
        <v>0</v>
      </c>
      <c r="AA185" s="140">
        <v>0</v>
      </c>
      <c r="AB185" s="140">
        <v>0</v>
      </c>
      <c r="AC185" s="140">
        <v>0</v>
      </c>
      <c r="AD185" s="140">
        <v>0</v>
      </c>
      <c r="AE185" s="140">
        <v>0</v>
      </c>
      <c r="AF185" s="140">
        <v>0</v>
      </c>
      <c r="AG185" s="140">
        <v>0</v>
      </c>
      <c r="AH185" s="140">
        <v>0</v>
      </c>
      <c r="AI185" s="140">
        <v>0</v>
      </c>
      <c r="AJ185" s="140">
        <v>0</v>
      </c>
      <c r="AK185" s="140">
        <v>0</v>
      </c>
      <c r="AL185" s="140">
        <v>0</v>
      </c>
      <c r="AM185" s="140">
        <v>0</v>
      </c>
      <c r="AN185" s="140">
        <v>0</v>
      </c>
      <c r="AO185" s="140">
        <v>0</v>
      </c>
      <c r="AP185" s="140">
        <v>0</v>
      </c>
      <c r="AQ185" s="140">
        <v>0</v>
      </c>
      <c r="AR185" s="140">
        <v>0</v>
      </c>
      <c r="AS185" s="140">
        <v>0</v>
      </c>
      <c r="AT185" s="140">
        <v>0</v>
      </c>
      <c r="AU185" s="140">
        <v>0</v>
      </c>
      <c r="AV185" s="140">
        <v>0</v>
      </c>
      <c r="AW185" s="140">
        <v>0</v>
      </c>
      <c r="AX185" s="140">
        <v>0</v>
      </c>
      <c r="AY185" s="140">
        <v>0</v>
      </c>
    </row>
    <row r="186" spans="1:51" x14ac:dyDescent="0.2">
      <c r="A186" s="126"/>
      <c r="B186" s="136">
        <v>2</v>
      </c>
      <c r="C186" s="123">
        <v>0</v>
      </c>
      <c r="D186" s="123">
        <v>0</v>
      </c>
      <c r="E186" s="123">
        <v>0</v>
      </c>
      <c r="F186" s="123">
        <v>0</v>
      </c>
      <c r="G186" s="123">
        <v>0</v>
      </c>
      <c r="H186" s="123">
        <v>0</v>
      </c>
      <c r="I186" s="123">
        <v>21.07528336685391</v>
      </c>
      <c r="J186" s="123">
        <v>1319</v>
      </c>
      <c r="K186" s="123">
        <v>1091</v>
      </c>
      <c r="L186" s="123">
        <v>0</v>
      </c>
      <c r="M186" s="123">
        <v>0</v>
      </c>
      <c r="N186" s="123">
        <v>0</v>
      </c>
      <c r="O186" s="123">
        <v>0</v>
      </c>
      <c r="P186" s="123">
        <v>0</v>
      </c>
      <c r="Q186" s="123">
        <v>0</v>
      </c>
      <c r="R186" s="123">
        <v>0</v>
      </c>
      <c r="S186" s="123">
        <v>0</v>
      </c>
      <c r="T186" s="123">
        <v>0</v>
      </c>
      <c r="U186" s="123">
        <v>0</v>
      </c>
      <c r="V186" s="123">
        <v>0</v>
      </c>
      <c r="W186" s="123">
        <v>0</v>
      </c>
      <c r="X186" s="123">
        <v>0</v>
      </c>
      <c r="Y186" s="123">
        <v>0</v>
      </c>
      <c r="Z186" s="123">
        <v>0</v>
      </c>
      <c r="AA186" s="123">
        <v>0</v>
      </c>
      <c r="AB186" s="123">
        <v>0</v>
      </c>
      <c r="AC186" s="123">
        <v>0</v>
      </c>
      <c r="AD186" s="123">
        <v>0</v>
      </c>
      <c r="AE186" s="123">
        <v>0</v>
      </c>
      <c r="AF186" s="123">
        <v>0</v>
      </c>
      <c r="AG186" s="123">
        <v>0</v>
      </c>
      <c r="AH186" s="123">
        <v>0</v>
      </c>
      <c r="AI186" s="123">
        <v>0</v>
      </c>
      <c r="AJ186" s="123">
        <v>0</v>
      </c>
      <c r="AK186" s="123">
        <v>0</v>
      </c>
      <c r="AL186" s="123">
        <v>0</v>
      </c>
      <c r="AM186" s="123">
        <v>0</v>
      </c>
      <c r="AN186" s="123">
        <v>0</v>
      </c>
      <c r="AO186" s="123">
        <v>0</v>
      </c>
      <c r="AP186" s="123">
        <v>0</v>
      </c>
      <c r="AQ186" s="123">
        <v>0</v>
      </c>
      <c r="AR186" s="123">
        <v>0</v>
      </c>
      <c r="AS186" s="123">
        <v>0</v>
      </c>
      <c r="AT186" s="123">
        <v>0</v>
      </c>
      <c r="AU186" s="123">
        <v>0</v>
      </c>
      <c r="AV186" s="123">
        <v>0</v>
      </c>
      <c r="AW186" s="123">
        <v>0</v>
      </c>
      <c r="AX186" s="123">
        <v>0</v>
      </c>
      <c r="AY186" s="123">
        <v>0</v>
      </c>
    </row>
    <row r="187" spans="1:51" x14ac:dyDescent="0.2">
      <c r="A187" s="126"/>
      <c r="B187" s="143">
        <v>3</v>
      </c>
      <c r="C187" s="123">
        <v>0</v>
      </c>
      <c r="D187" s="123">
        <v>0</v>
      </c>
      <c r="E187" s="123">
        <v>0</v>
      </c>
      <c r="F187" s="123">
        <v>0</v>
      </c>
      <c r="G187" s="123">
        <v>0</v>
      </c>
      <c r="H187" s="123">
        <v>1008</v>
      </c>
      <c r="I187" s="123">
        <v>922.92471663314609</v>
      </c>
      <c r="J187" s="123">
        <v>0</v>
      </c>
      <c r="K187" s="123">
        <v>0</v>
      </c>
      <c r="L187" s="123">
        <v>0</v>
      </c>
      <c r="M187" s="123">
        <v>0</v>
      </c>
      <c r="N187" s="123">
        <v>0</v>
      </c>
      <c r="O187" s="123">
        <v>0</v>
      </c>
      <c r="P187" s="123">
        <v>0</v>
      </c>
      <c r="Q187" s="123">
        <v>0</v>
      </c>
      <c r="R187" s="123">
        <v>0</v>
      </c>
      <c r="S187" s="123">
        <v>0</v>
      </c>
      <c r="T187" s="123">
        <v>0</v>
      </c>
      <c r="U187" s="123">
        <v>0</v>
      </c>
      <c r="V187" s="123">
        <v>0</v>
      </c>
      <c r="W187" s="123">
        <v>0</v>
      </c>
      <c r="X187" s="123">
        <v>0</v>
      </c>
      <c r="Y187" s="123">
        <v>0</v>
      </c>
      <c r="Z187" s="123">
        <v>0</v>
      </c>
      <c r="AA187" s="123">
        <v>0</v>
      </c>
      <c r="AB187" s="123">
        <v>0</v>
      </c>
      <c r="AC187" s="123">
        <v>0</v>
      </c>
      <c r="AD187" s="123">
        <v>0</v>
      </c>
      <c r="AE187" s="123">
        <v>0</v>
      </c>
      <c r="AF187" s="123">
        <v>0</v>
      </c>
      <c r="AG187" s="123">
        <v>0</v>
      </c>
      <c r="AH187" s="123">
        <v>0</v>
      </c>
      <c r="AI187" s="123">
        <v>0</v>
      </c>
      <c r="AJ187" s="123">
        <v>0</v>
      </c>
      <c r="AK187" s="123">
        <v>0</v>
      </c>
      <c r="AL187" s="123">
        <v>0</v>
      </c>
      <c r="AM187" s="123">
        <v>0</v>
      </c>
      <c r="AN187" s="123">
        <v>0</v>
      </c>
      <c r="AO187" s="123">
        <v>0</v>
      </c>
      <c r="AP187" s="123">
        <v>0</v>
      </c>
      <c r="AQ187" s="123">
        <v>0</v>
      </c>
      <c r="AR187" s="123">
        <v>0</v>
      </c>
      <c r="AS187" s="123">
        <v>0</v>
      </c>
      <c r="AT187" s="123">
        <v>0</v>
      </c>
      <c r="AU187" s="123">
        <v>0</v>
      </c>
      <c r="AV187" s="123">
        <v>0</v>
      </c>
      <c r="AW187" s="123">
        <v>0</v>
      </c>
      <c r="AX187" s="123">
        <v>0</v>
      </c>
      <c r="AY187" s="123">
        <v>0</v>
      </c>
    </row>
    <row r="188" spans="1:51" x14ac:dyDescent="0.2">
      <c r="A188" s="144"/>
      <c r="B188" s="145">
        <v>4</v>
      </c>
      <c r="C188" s="123">
        <v>1006</v>
      </c>
      <c r="D188" s="123">
        <v>893</v>
      </c>
      <c r="E188" s="123">
        <v>993</v>
      </c>
      <c r="F188" s="123">
        <v>1160</v>
      </c>
      <c r="G188" s="123">
        <v>1105</v>
      </c>
      <c r="H188" s="123">
        <v>0</v>
      </c>
      <c r="I188" s="123">
        <v>0</v>
      </c>
      <c r="J188" s="123">
        <v>0</v>
      </c>
      <c r="K188" s="123">
        <v>0</v>
      </c>
      <c r="L188" s="123">
        <v>0</v>
      </c>
      <c r="M188" s="123">
        <v>0</v>
      </c>
      <c r="N188" s="123">
        <v>0</v>
      </c>
      <c r="O188" s="123">
        <v>0</v>
      </c>
      <c r="P188" s="123">
        <v>0</v>
      </c>
      <c r="Q188" s="123">
        <v>0</v>
      </c>
      <c r="R188" s="123">
        <v>0</v>
      </c>
      <c r="S188" s="123">
        <v>0</v>
      </c>
      <c r="T188" s="123">
        <v>0</v>
      </c>
      <c r="U188" s="123">
        <v>0</v>
      </c>
      <c r="V188" s="123">
        <v>0</v>
      </c>
      <c r="W188" s="123">
        <v>0</v>
      </c>
      <c r="X188" s="123">
        <v>0</v>
      </c>
      <c r="Y188" s="123">
        <v>0</v>
      </c>
      <c r="Z188" s="123">
        <v>0</v>
      </c>
      <c r="AA188" s="123">
        <v>0</v>
      </c>
      <c r="AB188" s="123">
        <v>0</v>
      </c>
      <c r="AC188" s="123">
        <v>0</v>
      </c>
      <c r="AD188" s="123">
        <v>0</v>
      </c>
      <c r="AE188" s="123">
        <v>0</v>
      </c>
      <c r="AF188" s="123">
        <v>0</v>
      </c>
      <c r="AG188" s="123">
        <v>0</v>
      </c>
      <c r="AH188" s="123">
        <v>0</v>
      </c>
      <c r="AI188" s="123">
        <v>0</v>
      </c>
      <c r="AJ188" s="123">
        <v>0</v>
      </c>
      <c r="AK188" s="123">
        <v>0</v>
      </c>
      <c r="AL188" s="123">
        <v>0</v>
      </c>
      <c r="AM188" s="123">
        <v>0</v>
      </c>
      <c r="AN188" s="123">
        <v>0</v>
      </c>
      <c r="AO188" s="123">
        <v>0</v>
      </c>
      <c r="AP188" s="123">
        <v>0</v>
      </c>
      <c r="AQ188" s="123">
        <v>0</v>
      </c>
      <c r="AR188" s="123">
        <v>0</v>
      </c>
      <c r="AS188" s="123">
        <v>0</v>
      </c>
      <c r="AT188" s="123">
        <v>0</v>
      </c>
      <c r="AU188" s="123">
        <v>0</v>
      </c>
      <c r="AV188" s="123">
        <v>0</v>
      </c>
      <c r="AW188" s="123">
        <v>0</v>
      </c>
      <c r="AX188" s="123">
        <v>0</v>
      </c>
      <c r="AY188" s="123">
        <v>0</v>
      </c>
    </row>
    <row r="189" spans="1:51" x14ac:dyDescent="0.2">
      <c r="A189" s="142" t="s">
        <v>133</v>
      </c>
      <c r="B189" s="139">
        <v>1</v>
      </c>
      <c r="C189" s="140">
        <v>0</v>
      </c>
      <c r="D189" s="140">
        <v>0</v>
      </c>
      <c r="E189" s="140">
        <v>977.22131413173645</v>
      </c>
      <c r="F189" s="140">
        <v>1154.9176649189317</v>
      </c>
      <c r="G189" s="140">
        <v>98.018131694884687</v>
      </c>
      <c r="H189" s="140">
        <v>0</v>
      </c>
      <c r="I189" s="140">
        <v>45.665292034056165</v>
      </c>
      <c r="J189" s="140">
        <v>44.926049748860123</v>
      </c>
      <c r="K189" s="140">
        <v>0</v>
      </c>
      <c r="L189" s="140">
        <v>134.47800433695147</v>
      </c>
      <c r="M189" s="140">
        <v>103.80158450653698</v>
      </c>
      <c r="N189" s="140">
        <v>234.06234222134094</v>
      </c>
      <c r="O189" s="140">
        <v>268.5564898129544</v>
      </c>
      <c r="P189" s="140">
        <v>207.88006998254014</v>
      </c>
      <c r="Q189" s="140">
        <v>416.20365015212587</v>
      </c>
      <c r="R189" s="140">
        <v>526.13061369376464</v>
      </c>
      <c r="S189" s="140">
        <v>98.018131694884687</v>
      </c>
      <c r="T189" s="140">
        <v>154.27888940968865</v>
      </c>
      <c r="U189" s="140">
        <v>312.93684182680636</v>
      </c>
      <c r="V189" s="140">
        <v>223.92151048578057</v>
      </c>
      <c r="W189" s="140">
        <v>216.81149004004419</v>
      </c>
      <c r="X189" s="140">
        <v>257.13507020962993</v>
      </c>
      <c r="Y189" s="140">
        <v>162.45865037921567</v>
      </c>
      <c r="Z189" s="140">
        <v>0</v>
      </c>
      <c r="AA189" s="140">
        <v>247.00591006313607</v>
      </c>
      <c r="AB189" s="140">
        <v>437.449600705075</v>
      </c>
      <c r="AC189" s="140">
        <v>705.10766066704832</v>
      </c>
      <c r="AD189" s="140">
        <v>800.43124083663406</v>
      </c>
      <c r="AE189" s="140">
        <v>1013.3286751771387</v>
      </c>
      <c r="AF189" s="140">
        <v>1266.6522553467244</v>
      </c>
      <c r="AG189" s="140">
        <v>1307.9758355163101</v>
      </c>
      <c r="AH189" s="140">
        <v>1236.3479509259987</v>
      </c>
      <c r="AI189" s="140">
        <v>98.018131694884687</v>
      </c>
      <c r="AJ189" s="140">
        <v>212.01276955797584</v>
      </c>
      <c r="AK189" s="140">
        <v>98.018131694884687</v>
      </c>
      <c r="AL189" s="140">
        <v>147.27888940968865</v>
      </c>
      <c r="AM189" s="140">
        <v>226.95530924010291</v>
      </c>
      <c r="AN189" s="140">
        <v>1225.1113576948844</v>
      </c>
      <c r="AO189" s="140">
        <v>226.95530924010296</v>
      </c>
      <c r="AP189" s="140">
        <v>228.26242270736407</v>
      </c>
      <c r="AQ189" s="140">
        <v>349.70605090465051</v>
      </c>
      <c r="AR189" s="140">
        <v>525.34488386089424</v>
      </c>
      <c r="AS189" s="140">
        <v>181.15605247050917</v>
      </c>
      <c r="AT189" s="140">
        <v>159.40732881349061</v>
      </c>
      <c r="AU189" s="140">
        <v>181.62847670970183</v>
      </c>
      <c r="AV189" s="140">
        <v>1324.8475404435001</v>
      </c>
      <c r="AW189" s="140">
        <v>96.640211630009389</v>
      </c>
      <c r="AX189" s="140">
        <v>0</v>
      </c>
      <c r="AY189" s="140">
        <v>40.749656216509948</v>
      </c>
    </row>
    <row r="190" spans="1:51" x14ac:dyDescent="0.2">
      <c r="A190" s="126"/>
      <c r="B190" s="135">
        <v>2</v>
      </c>
      <c r="C190" s="123">
        <v>0</v>
      </c>
      <c r="D190" s="123">
        <v>0</v>
      </c>
      <c r="E190" s="123">
        <v>0</v>
      </c>
      <c r="F190" s="123">
        <v>22.082335081068322</v>
      </c>
      <c r="G190" s="123">
        <v>377.85198091148277</v>
      </c>
      <c r="H190" s="123">
        <v>1365</v>
      </c>
      <c r="I190" s="123">
        <v>1581.6764198304143</v>
      </c>
      <c r="J190" s="123">
        <v>1407.0739502511399</v>
      </c>
      <c r="K190" s="123">
        <v>1447.0628224547818</v>
      </c>
      <c r="L190" s="123">
        <v>1403.6278845903114</v>
      </c>
      <c r="M190" s="123">
        <v>1447.198415493463</v>
      </c>
      <c r="N190" s="123">
        <v>1348.9376577786591</v>
      </c>
      <c r="O190" s="123">
        <v>1347.6140776090735</v>
      </c>
      <c r="P190" s="123">
        <v>1313.1199300174599</v>
      </c>
      <c r="Q190" s="123">
        <v>1373.7963498478741</v>
      </c>
      <c r="R190" s="123">
        <v>1028.8693863062354</v>
      </c>
      <c r="S190" s="123">
        <v>1055.5458061366496</v>
      </c>
      <c r="T190" s="123">
        <v>1354.7211105903114</v>
      </c>
      <c r="U190" s="123">
        <v>1170.0631581731936</v>
      </c>
      <c r="V190" s="123">
        <v>1227.0784895142194</v>
      </c>
      <c r="W190" s="123">
        <v>1247.1885099599558</v>
      </c>
      <c r="X190" s="123">
        <v>1364.8649297903701</v>
      </c>
      <c r="Y190" s="123">
        <v>1324.5413496207843</v>
      </c>
      <c r="Z190" s="123">
        <v>1295</v>
      </c>
      <c r="AA190" s="123">
        <v>1224.9940899368639</v>
      </c>
      <c r="AB190" s="123">
        <v>1158.550399294925</v>
      </c>
      <c r="AC190" s="123">
        <v>940.89233933295168</v>
      </c>
      <c r="AD190" s="123">
        <v>876.56875916336594</v>
      </c>
      <c r="AE190" s="123">
        <v>742.67132482286127</v>
      </c>
      <c r="AF190" s="123">
        <v>568.34774465327553</v>
      </c>
      <c r="AG190" s="123">
        <v>315.0241644836899</v>
      </c>
      <c r="AH190" s="123">
        <v>95.652049074001297</v>
      </c>
      <c r="AI190" s="123">
        <v>345.32846890441556</v>
      </c>
      <c r="AJ190" s="123">
        <v>1372.9872304420242</v>
      </c>
      <c r="AK190" s="123">
        <v>1369.6636502724384</v>
      </c>
      <c r="AL190" s="123">
        <v>1354.7211105903114</v>
      </c>
      <c r="AM190" s="123">
        <v>1288.9861315738981</v>
      </c>
      <c r="AN190" s="123">
        <v>5.6843418860808015E-14</v>
      </c>
      <c r="AO190" s="123">
        <v>177.84395154521826</v>
      </c>
      <c r="AP190" s="123">
        <v>1354.7211105903114</v>
      </c>
      <c r="AQ190" s="123">
        <v>1216.2939490953495</v>
      </c>
      <c r="AR190" s="123">
        <v>1200.6551161391058</v>
      </c>
      <c r="AS190" s="123">
        <v>1056.33153596952</v>
      </c>
      <c r="AT190" s="123">
        <v>0</v>
      </c>
      <c r="AU190" s="123">
        <v>0</v>
      </c>
      <c r="AV190" s="123">
        <v>0</v>
      </c>
      <c r="AW190" s="123">
        <v>1378.3597883699906</v>
      </c>
      <c r="AX190" s="123">
        <v>1432</v>
      </c>
      <c r="AY190" s="123">
        <v>1537.0458230613617</v>
      </c>
    </row>
    <row r="191" spans="1:51" x14ac:dyDescent="0.2">
      <c r="A191" s="126"/>
      <c r="B191" s="136">
        <v>3</v>
      </c>
      <c r="C191" s="123">
        <v>0</v>
      </c>
      <c r="D191" s="123">
        <v>0</v>
      </c>
      <c r="E191" s="123">
        <v>0</v>
      </c>
      <c r="F191" s="123">
        <v>0</v>
      </c>
      <c r="G191" s="123">
        <v>0</v>
      </c>
      <c r="H191" s="123">
        <v>0</v>
      </c>
      <c r="I191" s="123">
        <v>118.65828813552957</v>
      </c>
      <c r="J191" s="123">
        <v>0</v>
      </c>
      <c r="K191" s="123">
        <v>128.93717754521822</v>
      </c>
      <c r="L191" s="123">
        <v>34.894111072737132</v>
      </c>
      <c r="M191" s="123">
        <v>0</v>
      </c>
      <c r="N191" s="123">
        <v>0</v>
      </c>
      <c r="O191" s="123">
        <v>12.829432577972042</v>
      </c>
      <c r="P191" s="123">
        <v>0</v>
      </c>
      <c r="Q191" s="123">
        <v>0</v>
      </c>
      <c r="R191" s="123">
        <v>0</v>
      </c>
      <c r="S191" s="123">
        <v>0</v>
      </c>
      <c r="T191" s="123">
        <v>0</v>
      </c>
      <c r="U191" s="123">
        <v>0</v>
      </c>
      <c r="V191" s="123">
        <v>0</v>
      </c>
      <c r="W191" s="123">
        <v>0</v>
      </c>
      <c r="X191" s="123">
        <v>0</v>
      </c>
      <c r="Y191" s="123">
        <v>0</v>
      </c>
      <c r="Z191" s="123">
        <v>0</v>
      </c>
      <c r="AA191" s="123">
        <v>0</v>
      </c>
      <c r="AB191" s="123">
        <v>0</v>
      </c>
      <c r="AC191" s="123">
        <v>0</v>
      </c>
      <c r="AD191" s="123">
        <v>0</v>
      </c>
      <c r="AE191" s="123">
        <v>0</v>
      </c>
      <c r="AF191" s="123">
        <v>0</v>
      </c>
      <c r="AG191" s="123">
        <v>0</v>
      </c>
      <c r="AH191" s="123">
        <v>0</v>
      </c>
      <c r="AI191" s="123">
        <v>0</v>
      </c>
      <c r="AJ191" s="123">
        <v>0</v>
      </c>
      <c r="AK191" s="123">
        <v>0</v>
      </c>
      <c r="AL191" s="123">
        <v>0</v>
      </c>
      <c r="AM191" s="123">
        <v>54.186765499832404</v>
      </c>
      <c r="AN191" s="123">
        <v>0</v>
      </c>
      <c r="AO191" s="123">
        <v>0</v>
      </c>
      <c r="AP191" s="123">
        <v>19.016466702324578</v>
      </c>
      <c r="AQ191" s="123">
        <v>0</v>
      </c>
      <c r="AR191" s="123">
        <v>0</v>
      </c>
      <c r="AS191" s="123">
        <v>0</v>
      </c>
      <c r="AT191" s="123">
        <v>0</v>
      </c>
      <c r="AU191" s="123">
        <v>0</v>
      </c>
      <c r="AV191" s="123">
        <v>4.1524595564998812</v>
      </c>
      <c r="AW191" s="123">
        <v>0</v>
      </c>
      <c r="AX191" s="123">
        <v>0</v>
      </c>
      <c r="AY191" s="123">
        <v>5.2045207221283452</v>
      </c>
    </row>
    <row r="192" spans="1:51" x14ac:dyDescent="0.2">
      <c r="A192" s="126"/>
      <c r="B192" s="136">
        <v>4</v>
      </c>
      <c r="C192" s="123">
        <v>0</v>
      </c>
      <c r="D192" s="123">
        <v>0</v>
      </c>
      <c r="E192" s="123">
        <v>0</v>
      </c>
      <c r="F192" s="123">
        <v>0</v>
      </c>
      <c r="G192" s="123">
        <v>0</v>
      </c>
      <c r="H192" s="123">
        <v>0</v>
      </c>
      <c r="I192" s="123">
        <v>0</v>
      </c>
      <c r="J192" s="123">
        <v>0</v>
      </c>
      <c r="K192" s="123">
        <v>0</v>
      </c>
      <c r="L192" s="123">
        <v>0</v>
      </c>
      <c r="M192" s="123">
        <v>0</v>
      </c>
      <c r="N192" s="123">
        <v>0</v>
      </c>
      <c r="O192" s="123">
        <v>0</v>
      </c>
      <c r="P192" s="123">
        <v>0</v>
      </c>
      <c r="Q192" s="123">
        <v>0</v>
      </c>
      <c r="R192" s="123">
        <v>0</v>
      </c>
      <c r="S192" s="123">
        <v>0</v>
      </c>
      <c r="T192" s="123">
        <v>0</v>
      </c>
      <c r="U192" s="123">
        <v>0</v>
      </c>
      <c r="V192" s="123">
        <v>0</v>
      </c>
      <c r="W192" s="123">
        <v>0</v>
      </c>
      <c r="X192" s="123">
        <v>0</v>
      </c>
      <c r="Y192" s="123">
        <v>0</v>
      </c>
      <c r="Z192" s="123">
        <v>0</v>
      </c>
      <c r="AA192" s="123">
        <v>0</v>
      </c>
      <c r="AB192" s="123">
        <v>0</v>
      </c>
      <c r="AC192" s="123">
        <v>0</v>
      </c>
      <c r="AD192" s="123">
        <v>0</v>
      </c>
      <c r="AE192" s="123">
        <v>0</v>
      </c>
      <c r="AF192" s="123">
        <v>0</v>
      </c>
      <c r="AG192" s="123">
        <v>0</v>
      </c>
      <c r="AH192" s="123">
        <v>0</v>
      </c>
      <c r="AI192" s="123">
        <v>0</v>
      </c>
      <c r="AJ192" s="123">
        <v>0</v>
      </c>
      <c r="AK192" s="123">
        <v>0</v>
      </c>
      <c r="AL192" s="123">
        <v>0</v>
      </c>
      <c r="AM192" s="123">
        <v>0</v>
      </c>
      <c r="AN192" s="123">
        <v>0</v>
      </c>
      <c r="AO192" s="123">
        <v>0</v>
      </c>
      <c r="AP192" s="123">
        <v>0</v>
      </c>
      <c r="AQ192" s="123">
        <v>0</v>
      </c>
      <c r="AR192" s="123">
        <v>0</v>
      </c>
      <c r="AS192" s="123">
        <v>0</v>
      </c>
      <c r="AT192" s="123">
        <v>0</v>
      </c>
      <c r="AU192" s="123">
        <v>0</v>
      </c>
      <c r="AV192" s="123">
        <v>0</v>
      </c>
      <c r="AW192" s="123">
        <v>0</v>
      </c>
      <c r="AX192" s="123">
        <v>0</v>
      </c>
      <c r="AY192" s="123">
        <v>0</v>
      </c>
    </row>
    <row r="193" spans="1:51" x14ac:dyDescent="0.2">
      <c r="A193" s="126"/>
      <c r="B193" s="143">
        <v>5</v>
      </c>
      <c r="C193" s="123">
        <v>0</v>
      </c>
      <c r="D193" s="123">
        <v>0</v>
      </c>
      <c r="E193" s="123">
        <v>0</v>
      </c>
      <c r="F193" s="123">
        <v>0</v>
      </c>
      <c r="G193" s="123">
        <v>0</v>
      </c>
      <c r="H193" s="123">
        <v>0</v>
      </c>
      <c r="I193" s="123">
        <v>0</v>
      </c>
      <c r="J193" s="123">
        <v>0</v>
      </c>
      <c r="K193" s="123">
        <v>0</v>
      </c>
      <c r="L193" s="123">
        <v>0</v>
      </c>
      <c r="M193" s="123">
        <v>0</v>
      </c>
      <c r="N193" s="123">
        <v>0</v>
      </c>
      <c r="O193" s="123">
        <v>0</v>
      </c>
      <c r="P193" s="123">
        <v>0</v>
      </c>
      <c r="Q193" s="123">
        <v>0</v>
      </c>
      <c r="R193" s="123">
        <v>0</v>
      </c>
      <c r="S193" s="123">
        <v>0</v>
      </c>
      <c r="T193" s="123">
        <v>0</v>
      </c>
      <c r="U193" s="123">
        <v>0</v>
      </c>
      <c r="V193" s="123">
        <v>0</v>
      </c>
      <c r="W193" s="123">
        <v>0</v>
      </c>
      <c r="X193" s="123">
        <v>0</v>
      </c>
      <c r="Y193" s="123">
        <v>0</v>
      </c>
      <c r="Z193" s="123">
        <v>0</v>
      </c>
      <c r="AA193" s="123">
        <v>0</v>
      </c>
      <c r="AB193" s="123">
        <v>0</v>
      </c>
      <c r="AC193" s="123">
        <v>0</v>
      </c>
      <c r="AD193" s="123">
        <v>0</v>
      </c>
      <c r="AE193" s="123">
        <v>0</v>
      </c>
      <c r="AF193" s="123">
        <v>0</v>
      </c>
      <c r="AG193" s="123">
        <v>0</v>
      </c>
      <c r="AH193" s="123">
        <v>0</v>
      </c>
      <c r="AI193" s="123">
        <v>0</v>
      </c>
      <c r="AJ193" s="123">
        <v>0</v>
      </c>
      <c r="AK193" s="123">
        <v>0</v>
      </c>
      <c r="AL193" s="123">
        <v>0</v>
      </c>
      <c r="AM193" s="123">
        <v>0</v>
      </c>
      <c r="AN193" s="123">
        <v>0</v>
      </c>
      <c r="AO193" s="123">
        <v>0</v>
      </c>
      <c r="AP193" s="123">
        <v>0</v>
      </c>
      <c r="AQ193" s="123">
        <v>0</v>
      </c>
      <c r="AR193" s="123">
        <v>0</v>
      </c>
      <c r="AS193" s="123">
        <v>0</v>
      </c>
      <c r="AT193" s="123">
        <v>0</v>
      </c>
      <c r="AU193" s="123">
        <v>0</v>
      </c>
      <c r="AV193" s="123">
        <v>0</v>
      </c>
      <c r="AW193" s="123">
        <v>0</v>
      </c>
      <c r="AX193" s="123">
        <v>0</v>
      </c>
      <c r="AY193" s="123">
        <v>0</v>
      </c>
    </row>
    <row r="194" spans="1:51" x14ac:dyDescent="0.2">
      <c r="A194" s="126"/>
      <c r="B194" s="143">
        <v>6</v>
      </c>
      <c r="C194" s="123">
        <v>0</v>
      </c>
      <c r="D194" s="123">
        <v>0</v>
      </c>
      <c r="E194" s="123">
        <v>0</v>
      </c>
      <c r="F194" s="123">
        <v>0</v>
      </c>
      <c r="G194" s="123">
        <v>0</v>
      </c>
      <c r="H194" s="123">
        <v>0</v>
      </c>
      <c r="I194" s="123">
        <v>0</v>
      </c>
      <c r="J194" s="123">
        <v>0</v>
      </c>
      <c r="K194" s="123">
        <v>0</v>
      </c>
      <c r="L194" s="123">
        <v>0</v>
      </c>
      <c r="M194" s="123">
        <v>0</v>
      </c>
      <c r="N194" s="123">
        <v>0</v>
      </c>
      <c r="O194" s="123">
        <v>0</v>
      </c>
      <c r="P194" s="123">
        <v>0</v>
      </c>
      <c r="Q194" s="123">
        <v>0</v>
      </c>
      <c r="R194" s="123">
        <v>0</v>
      </c>
      <c r="S194" s="123">
        <v>0</v>
      </c>
      <c r="T194" s="123">
        <v>0</v>
      </c>
      <c r="U194" s="123">
        <v>0</v>
      </c>
      <c r="V194" s="123">
        <v>0</v>
      </c>
      <c r="W194" s="123">
        <v>0</v>
      </c>
      <c r="X194" s="123">
        <v>0</v>
      </c>
      <c r="Y194" s="123">
        <v>0</v>
      </c>
      <c r="Z194" s="123">
        <v>0</v>
      </c>
      <c r="AA194" s="123">
        <v>0</v>
      </c>
      <c r="AB194" s="123">
        <v>0</v>
      </c>
      <c r="AC194" s="123">
        <v>0</v>
      </c>
      <c r="AD194" s="123">
        <v>0</v>
      </c>
      <c r="AE194" s="123">
        <v>0</v>
      </c>
      <c r="AF194" s="123">
        <v>0</v>
      </c>
      <c r="AG194" s="123">
        <v>0</v>
      </c>
      <c r="AH194" s="123">
        <v>0</v>
      </c>
      <c r="AI194" s="123">
        <v>0</v>
      </c>
      <c r="AJ194" s="123">
        <v>0</v>
      </c>
      <c r="AK194" s="123">
        <v>0</v>
      </c>
      <c r="AL194" s="123">
        <v>0</v>
      </c>
      <c r="AM194" s="123">
        <v>0</v>
      </c>
      <c r="AN194" s="123">
        <v>0</v>
      </c>
      <c r="AO194" s="123">
        <v>0</v>
      </c>
      <c r="AP194" s="123">
        <v>0</v>
      </c>
      <c r="AQ194" s="123">
        <v>0</v>
      </c>
      <c r="AR194" s="123">
        <v>0</v>
      </c>
      <c r="AS194" s="123">
        <v>0</v>
      </c>
      <c r="AT194" s="123">
        <v>0</v>
      </c>
      <c r="AU194" s="123">
        <v>0</v>
      </c>
      <c r="AV194" s="123">
        <v>0</v>
      </c>
      <c r="AW194" s="123">
        <v>0</v>
      </c>
      <c r="AX194" s="123">
        <v>0</v>
      </c>
      <c r="AY194" s="123">
        <v>0</v>
      </c>
    </row>
    <row r="195" spans="1:51" x14ac:dyDescent="0.2">
      <c r="A195" s="126"/>
      <c r="B195" s="146">
        <v>7</v>
      </c>
      <c r="C195" s="123">
        <v>0</v>
      </c>
      <c r="D195" s="123">
        <v>0</v>
      </c>
      <c r="E195" s="123">
        <v>0</v>
      </c>
      <c r="F195" s="123">
        <v>0</v>
      </c>
      <c r="G195" s="123">
        <v>0</v>
      </c>
      <c r="H195" s="123">
        <v>0</v>
      </c>
      <c r="I195" s="123">
        <v>0</v>
      </c>
      <c r="J195" s="123">
        <v>0</v>
      </c>
      <c r="K195" s="123">
        <v>0</v>
      </c>
      <c r="L195" s="123">
        <v>0</v>
      </c>
      <c r="M195" s="123">
        <v>0</v>
      </c>
      <c r="N195" s="123">
        <v>0</v>
      </c>
      <c r="O195" s="123">
        <v>0</v>
      </c>
      <c r="P195" s="123">
        <v>0</v>
      </c>
      <c r="Q195" s="123">
        <v>0</v>
      </c>
      <c r="R195" s="123">
        <v>0</v>
      </c>
      <c r="S195" s="123">
        <v>0</v>
      </c>
      <c r="T195" s="123">
        <v>0</v>
      </c>
      <c r="U195" s="123">
        <v>0</v>
      </c>
      <c r="V195" s="123">
        <v>0</v>
      </c>
      <c r="W195" s="123">
        <v>0</v>
      </c>
      <c r="X195" s="123">
        <v>0</v>
      </c>
      <c r="Y195" s="123">
        <v>0</v>
      </c>
      <c r="Z195" s="123">
        <v>0</v>
      </c>
      <c r="AA195" s="123">
        <v>0</v>
      </c>
      <c r="AB195" s="123">
        <v>0</v>
      </c>
      <c r="AC195" s="123">
        <v>0</v>
      </c>
      <c r="AD195" s="123">
        <v>0</v>
      </c>
      <c r="AE195" s="123">
        <v>0</v>
      </c>
      <c r="AF195" s="123">
        <v>0</v>
      </c>
      <c r="AG195" s="123">
        <v>0</v>
      </c>
      <c r="AH195" s="123">
        <v>0</v>
      </c>
      <c r="AI195" s="123">
        <v>0</v>
      </c>
      <c r="AJ195" s="123">
        <v>0</v>
      </c>
      <c r="AK195" s="123">
        <v>0</v>
      </c>
      <c r="AL195" s="123">
        <v>0</v>
      </c>
      <c r="AM195" s="123">
        <v>0</v>
      </c>
      <c r="AN195" s="123">
        <v>0</v>
      </c>
      <c r="AO195" s="123">
        <v>0</v>
      </c>
      <c r="AP195" s="123">
        <v>0</v>
      </c>
      <c r="AQ195" s="123">
        <v>0</v>
      </c>
      <c r="AR195" s="123">
        <v>0</v>
      </c>
      <c r="AS195" s="123">
        <v>0</v>
      </c>
      <c r="AT195" s="123">
        <v>0</v>
      </c>
      <c r="AU195" s="123">
        <v>0</v>
      </c>
      <c r="AV195" s="123">
        <v>0</v>
      </c>
      <c r="AW195" s="123">
        <v>0</v>
      </c>
      <c r="AX195" s="123">
        <v>0</v>
      </c>
      <c r="AY195" s="123">
        <v>0</v>
      </c>
    </row>
    <row r="196" spans="1:51" x14ac:dyDescent="0.2">
      <c r="A196" s="144"/>
      <c r="B196" s="145">
        <v>8</v>
      </c>
      <c r="C196" s="130">
        <v>0</v>
      </c>
      <c r="D196" s="130">
        <v>0</v>
      </c>
      <c r="E196" s="130">
        <v>0</v>
      </c>
      <c r="F196" s="130">
        <v>0</v>
      </c>
      <c r="G196" s="130">
        <v>0</v>
      </c>
      <c r="H196" s="130">
        <v>0</v>
      </c>
      <c r="I196" s="130">
        <v>0</v>
      </c>
      <c r="J196" s="130">
        <v>0</v>
      </c>
      <c r="K196" s="130">
        <v>0</v>
      </c>
      <c r="L196" s="130">
        <v>0</v>
      </c>
      <c r="M196" s="130">
        <v>0</v>
      </c>
      <c r="N196" s="130">
        <v>0</v>
      </c>
      <c r="O196" s="130">
        <v>0</v>
      </c>
      <c r="P196" s="130">
        <v>0</v>
      </c>
      <c r="Q196" s="130">
        <v>0</v>
      </c>
      <c r="R196" s="130">
        <v>0</v>
      </c>
      <c r="S196" s="130">
        <v>0</v>
      </c>
      <c r="T196" s="130">
        <v>0</v>
      </c>
      <c r="U196" s="130">
        <v>0</v>
      </c>
      <c r="V196" s="130">
        <v>0</v>
      </c>
      <c r="W196" s="130">
        <v>0</v>
      </c>
      <c r="X196" s="130">
        <v>0</v>
      </c>
      <c r="Y196" s="130">
        <v>0</v>
      </c>
      <c r="Z196" s="130">
        <v>0</v>
      </c>
      <c r="AA196" s="130">
        <v>0</v>
      </c>
      <c r="AB196" s="130">
        <v>0</v>
      </c>
      <c r="AC196" s="130">
        <v>0</v>
      </c>
      <c r="AD196" s="130">
        <v>0</v>
      </c>
      <c r="AE196" s="130">
        <v>0</v>
      </c>
      <c r="AF196" s="130">
        <v>0</v>
      </c>
      <c r="AG196" s="130">
        <v>0</v>
      </c>
      <c r="AH196" s="130">
        <v>0</v>
      </c>
      <c r="AI196" s="130">
        <v>0</v>
      </c>
      <c r="AJ196" s="130">
        <v>0</v>
      </c>
      <c r="AK196" s="130">
        <v>0</v>
      </c>
      <c r="AL196" s="130">
        <v>0</v>
      </c>
      <c r="AM196" s="130">
        <v>0</v>
      </c>
      <c r="AN196" s="130">
        <v>0</v>
      </c>
      <c r="AO196" s="130">
        <v>0</v>
      </c>
      <c r="AP196" s="130">
        <v>0</v>
      </c>
      <c r="AQ196" s="130">
        <v>0</v>
      </c>
      <c r="AR196" s="130">
        <v>0</v>
      </c>
      <c r="AS196" s="130">
        <v>0</v>
      </c>
      <c r="AT196" s="130">
        <v>0</v>
      </c>
      <c r="AU196" s="130">
        <v>0</v>
      </c>
      <c r="AV196" s="130">
        <v>0</v>
      </c>
      <c r="AW196" s="130">
        <v>0</v>
      </c>
      <c r="AX196" s="130">
        <v>0</v>
      </c>
      <c r="AY196" s="130">
        <v>0</v>
      </c>
    </row>
    <row r="197" spans="1:51" x14ac:dyDescent="0.2">
      <c r="A197" s="147" t="s">
        <v>134</v>
      </c>
      <c r="B197" s="135">
        <v>1</v>
      </c>
      <c r="C197" s="123">
        <v>409.14105870760847</v>
      </c>
      <c r="D197" s="123">
        <v>409.14105870760847</v>
      </c>
      <c r="E197" s="123">
        <v>953.49664938947581</v>
      </c>
      <c r="F197" s="123">
        <v>0</v>
      </c>
      <c r="G197" s="123">
        <v>0</v>
      </c>
      <c r="H197" s="123">
        <v>0</v>
      </c>
      <c r="I197" s="123">
        <v>0</v>
      </c>
      <c r="J197" s="123">
        <v>0</v>
      </c>
      <c r="K197" s="123">
        <v>0</v>
      </c>
      <c r="L197" s="123">
        <v>0</v>
      </c>
      <c r="M197" s="123">
        <v>0</v>
      </c>
      <c r="N197" s="123">
        <v>0</v>
      </c>
      <c r="O197" s="123">
        <v>0</v>
      </c>
      <c r="P197" s="123">
        <v>0</v>
      </c>
      <c r="Q197" s="123">
        <v>0</v>
      </c>
      <c r="R197" s="123">
        <v>0</v>
      </c>
      <c r="S197" s="123">
        <v>0</v>
      </c>
      <c r="T197" s="123">
        <v>0</v>
      </c>
      <c r="U197" s="123">
        <v>0</v>
      </c>
      <c r="V197" s="123">
        <v>0</v>
      </c>
      <c r="W197" s="123">
        <v>0</v>
      </c>
      <c r="X197" s="123">
        <v>0</v>
      </c>
      <c r="Y197" s="123">
        <v>0</v>
      </c>
      <c r="Z197" s="123">
        <v>0</v>
      </c>
      <c r="AA197" s="123">
        <v>0</v>
      </c>
      <c r="AB197" s="123">
        <v>0</v>
      </c>
      <c r="AC197" s="123">
        <v>0</v>
      </c>
      <c r="AD197" s="123">
        <v>0</v>
      </c>
      <c r="AE197" s="123">
        <v>0</v>
      </c>
      <c r="AF197" s="123">
        <v>0</v>
      </c>
      <c r="AG197" s="123">
        <v>0</v>
      </c>
      <c r="AH197" s="123">
        <v>0</v>
      </c>
      <c r="AI197" s="123">
        <v>0</v>
      </c>
      <c r="AJ197" s="123">
        <v>0</v>
      </c>
      <c r="AK197" s="123">
        <v>0</v>
      </c>
      <c r="AL197" s="123">
        <v>0</v>
      </c>
      <c r="AM197" s="123">
        <v>0</v>
      </c>
      <c r="AN197" s="123">
        <v>0</v>
      </c>
      <c r="AO197" s="123">
        <v>0</v>
      </c>
      <c r="AP197" s="123">
        <v>0</v>
      </c>
      <c r="AQ197" s="123">
        <v>0</v>
      </c>
      <c r="AR197" s="123">
        <v>0</v>
      </c>
      <c r="AS197" s="123">
        <v>0</v>
      </c>
      <c r="AT197" s="123">
        <v>0</v>
      </c>
      <c r="AU197" s="123">
        <v>0</v>
      </c>
      <c r="AV197" s="123">
        <v>0</v>
      </c>
      <c r="AW197" s="123">
        <v>0</v>
      </c>
      <c r="AX197" s="123">
        <v>0</v>
      </c>
      <c r="AY197" s="123">
        <v>0</v>
      </c>
    </row>
    <row r="198" spans="1:51" x14ac:dyDescent="0.2">
      <c r="A198" s="126"/>
      <c r="B198" s="135">
        <v>2</v>
      </c>
      <c r="C198" s="123">
        <v>0</v>
      </c>
      <c r="D198" s="123">
        <v>0</v>
      </c>
      <c r="E198" s="123">
        <v>0</v>
      </c>
      <c r="F198" s="123">
        <v>786</v>
      </c>
      <c r="G198" s="123">
        <v>533.8749724548818</v>
      </c>
      <c r="H198" s="123">
        <v>0</v>
      </c>
      <c r="I198" s="123">
        <v>0</v>
      </c>
      <c r="J198" s="123">
        <v>0</v>
      </c>
      <c r="K198" s="123">
        <v>0</v>
      </c>
      <c r="L198" s="123">
        <v>0</v>
      </c>
      <c r="M198" s="123">
        <v>0</v>
      </c>
      <c r="N198" s="123">
        <v>0</v>
      </c>
      <c r="O198" s="123">
        <v>0</v>
      </c>
      <c r="P198" s="123">
        <v>0</v>
      </c>
      <c r="Q198" s="123">
        <v>0</v>
      </c>
      <c r="R198" s="123">
        <v>0</v>
      </c>
      <c r="S198" s="123">
        <v>0</v>
      </c>
      <c r="T198" s="123">
        <v>0</v>
      </c>
      <c r="U198" s="123">
        <v>0</v>
      </c>
      <c r="V198" s="123">
        <v>0</v>
      </c>
      <c r="W198" s="123">
        <v>0</v>
      </c>
      <c r="X198" s="123">
        <v>0</v>
      </c>
      <c r="Y198" s="123">
        <v>0</v>
      </c>
      <c r="Z198" s="123">
        <v>0</v>
      </c>
      <c r="AA198" s="123">
        <v>0</v>
      </c>
      <c r="AB198" s="123">
        <v>0</v>
      </c>
      <c r="AC198" s="123">
        <v>0</v>
      </c>
      <c r="AD198" s="123">
        <v>0</v>
      </c>
      <c r="AE198" s="123">
        <v>0</v>
      </c>
      <c r="AF198" s="123">
        <v>0</v>
      </c>
      <c r="AG198" s="123">
        <v>0</v>
      </c>
      <c r="AH198" s="123">
        <v>0</v>
      </c>
      <c r="AI198" s="123">
        <v>0</v>
      </c>
      <c r="AJ198" s="123">
        <v>0</v>
      </c>
      <c r="AK198" s="123">
        <v>0</v>
      </c>
      <c r="AL198" s="123">
        <v>0</v>
      </c>
      <c r="AM198" s="123">
        <v>0</v>
      </c>
      <c r="AN198" s="123">
        <v>0</v>
      </c>
      <c r="AO198" s="123">
        <v>0</v>
      </c>
      <c r="AP198" s="123">
        <v>0</v>
      </c>
      <c r="AQ198" s="123">
        <v>0</v>
      </c>
      <c r="AR198" s="123">
        <v>0</v>
      </c>
      <c r="AS198" s="123">
        <v>0</v>
      </c>
      <c r="AT198" s="123">
        <v>0</v>
      </c>
      <c r="AU198" s="123">
        <v>0</v>
      </c>
      <c r="AV198" s="123">
        <v>0</v>
      </c>
      <c r="AW198" s="123">
        <v>0</v>
      </c>
      <c r="AX198" s="123">
        <v>0</v>
      </c>
      <c r="AY198" s="123">
        <v>0</v>
      </c>
    </row>
    <row r="199" spans="1:51" x14ac:dyDescent="0.2">
      <c r="A199" s="126"/>
      <c r="B199" s="135">
        <v>3</v>
      </c>
      <c r="C199" s="123">
        <v>0</v>
      </c>
      <c r="D199" s="123">
        <v>0</v>
      </c>
      <c r="E199" s="123">
        <v>0</v>
      </c>
      <c r="F199" s="123">
        <v>0</v>
      </c>
      <c r="G199" s="123">
        <v>283.18570378022196</v>
      </c>
      <c r="H199" s="123">
        <v>815</v>
      </c>
      <c r="I199" s="123">
        <v>0</v>
      </c>
      <c r="J199" s="123">
        <v>0</v>
      </c>
      <c r="K199" s="123">
        <v>0</v>
      </c>
      <c r="L199" s="123">
        <v>0</v>
      </c>
      <c r="M199" s="123">
        <v>0</v>
      </c>
      <c r="N199" s="123">
        <v>0</v>
      </c>
      <c r="O199" s="123">
        <v>0</v>
      </c>
      <c r="P199" s="123">
        <v>0</v>
      </c>
      <c r="Q199" s="123">
        <v>0</v>
      </c>
      <c r="R199" s="123">
        <v>0</v>
      </c>
      <c r="S199" s="123">
        <v>0</v>
      </c>
      <c r="T199" s="123">
        <v>0</v>
      </c>
      <c r="U199" s="123">
        <v>0</v>
      </c>
      <c r="V199" s="123">
        <v>0</v>
      </c>
      <c r="W199" s="123">
        <v>0</v>
      </c>
      <c r="X199" s="123">
        <v>0</v>
      </c>
      <c r="Y199" s="123">
        <v>0</v>
      </c>
      <c r="Z199" s="123">
        <v>0</v>
      </c>
      <c r="AA199" s="123">
        <v>0</v>
      </c>
      <c r="AB199" s="123">
        <v>0</v>
      </c>
      <c r="AC199" s="123">
        <v>0</v>
      </c>
      <c r="AD199" s="123">
        <v>0</v>
      </c>
      <c r="AE199" s="123">
        <v>0</v>
      </c>
      <c r="AF199" s="123">
        <v>0</v>
      </c>
      <c r="AG199" s="123">
        <v>0</v>
      </c>
      <c r="AH199" s="123">
        <v>0</v>
      </c>
      <c r="AI199" s="123">
        <v>0</v>
      </c>
      <c r="AJ199" s="123">
        <v>0</v>
      </c>
      <c r="AK199" s="123">
        <v>0</v>
      </c>
      <c r="AL199" s="123">
        <v>0</v>
      </c>
      <c r="AM199" s="123">
        <v>0</v>
      </c>
      <c r="AN199" s="123">
        <v>0</v>
      </c>
      <c r="AO199" s="123">
        <v>0</v>
      </c>
      <c r="AP199" s="123">
        <v>0</v>
      </c>
      <c r="AQ199" s="123">
        <v>0</v>
      </c>
      <c r="AR199" s="123">
        <v>0</v>
      </c>
      <c r="AS199" s="123">
        <v>0</v>
      </c>
      <c r="AT199" s="123">
        <v>0</v>
      </c>
      <c r="AU199" s="123">
        <v>0</v>
      </c>
      <c r="AV199" s="123">
        <v>0</v>
      </c>
      <c r="AW199" s="123">
        <v>0</v>
      </c>
      <c r="AX199" s="123">
        <v>0</v>
      </c>
      <c r="AY199" s="123">
        <v>0</v>
      </c>
    </row>
    <row r="200" spans="1:51" x14ac:dyDescent="0.2">
      <c r="A200" s="126"/>
      <c r="B200" s="136">
        <v>4</v>
      </c>
      <c r="C200" s="123">
        <v>0</v>
      </c>
      <c r="D200" s="123">
        <v>0</v>
      </c>
      <c r="E200" s="123">
        <v>0</v>
      </c>
      <c r="F200" s="123">
        <v>0</v>
      </c>
      <c r="G200" s="123">
        <v>0</v>
      </c>
      <c r="H200" s="123">
        <v>0</v>
      </c>
      <c r="I200" s="123">
        <v>865</v>
      </c>
      <c r="J200" s="123">
        <v>9.3564746577549158</v>
      </c>
      <c r="K200" s="123">
        <v>0</v>
      </c>
      <c r="L200" s="123">
        <v>0</v>
      </c>
      <c r="M200" s="123">
        <v>0</v>
      </c>
      <c r="N200" s="123">
        <v>0</v>
      </c>
      <c r="O200" s="123">
        <v>0</v>
      </c>
      <c r="P200" s="123">
        <v>0</v>
      </c>
      <c r="Q200" s="123">
        <v>0</v>
      </c>
      <c r="R200" s="123">
        <v>0</v>
      </c>
      <c r="S200" s="123">
        <v>0</v>
      </c>
      <c r="T200" s="123">
        <v>0</v>
      </c>
      <c r="U200" s="123">
        <v>0</v>
      </c>
      <c r="V200" s="123">
        <v>0</v>
      </c>
      <c r="W200" s="123">
        <v>0</v>
      </c>
      <c r="X200" s="123">
        <v>0</v>
      </c>
      <c r="Y200" s="123">
        <v>0</v>
      </c>
      <c r="Z200" s="123">
        <v>0</v>
      </c>
      <c r="AA200" s="123">
        <v>0</v>
      </c>
      <c r="AB200" s="123">
        <v>0</v>
      </c>
      <c r="AC200" s="123">
        <v>0</v>
      </c>
      <c r="AD200" s="123">
        <v>0</v>
      </c>
      <c r="AE200" s="123">
        <v>0</v>
      </c>
      <c r="AF200" s="123">
        <v>0</v>
      </c>
      <c r="AG200" s="123">
        <v>0</v>
      </c>
      <c r="AH200" s="123">
        <v>0</v>
      </c>
      <c r="AI200" s="123">
        <v>0</v>
      </c>
      <c r="AJ200" s="123">
        <v>0</v>
      </c>
      <c r="AK200" s="123">
        <v>0</v>
      </c>
      <c r="AL200" s="123">
        <v>0</v>
      </c>
      <c r="AM200" s="123">
        <v>0</v>
      </c>
      <c r="AN200" s="123">
        <v>0</v>
      </c>
      <c r="AO200" s="123">
        <v>0</v>
      </c>
      <c r="AP200" s="123">
        <v>0</v>
      </c>
      <c r="AQ200" s="123">
        <v>0</v>
      </c>
      <c r="AR200" s="123">
        <v>0</v>
      </c>
      <c r="AS200" s="123">
        <v>0</v>
      </c>
      <c r="AT200" s="123">
        <v>0</v>
      </c>
      <c r="AU200" s="123">
        <v>0</v>
      </c>
      <c r="AV200" s="123">
        <v>0</v>
      </c>
      <c r="AW200" s="123">
        <v>0</v>
      </c>
      <c r="AX200" s="123">
        <v>0</v>
      </c>
      <c r="AY200" s="123">
        <v>0</v>
      </c>
    </row>
    <row r="201" spans="1:51" x14ac:dyDescent="0.2">
      <c r="A201" s="126"/>
      <c r="B201" s="136">
        <v>5</v>
      </c>
      <c r="C201" s="123">
        <v>0</v>
      </c>
      <c r="D201" s="123">
        <v>0</v>
      </c>
      <c r="E201" s="123">
        <v>0</v>
      </c>
      <c r="F201" s="123">
        <v>0</v>
      </c>
      <c r="G201" s="123">
        <v>0</v>
      </c>
      <c r="H201" s="123">
        <v>0</v>
      </c>
      <c r="I201" s="123">
        <v>0</v>
      </c>
      <c r="J201" s="123">
        <v>821.64352534224508</v>
      </c>
      <c r="K201" s="123">
        <v>704</v>
      </c>
      <c r="L201" s="123">
        <v>0</v>
      </c>
      <c r="M201" s="123">
        <v>0</v>
      </c>
      <c r="N201" s="123">
        <v>0</v>
      </c>
      <c r="O201" s="123">
        <v>0</v>
      </c>
      <c r="P201" s="123">
        <v>0</v>
      </c>
      <c r="Q201" s="123">
        <v>0</v>
      </c>
      <c r="R201" s="123">
        <v>0</v>
      </c>
      <c r="S201" s="123">
        <v>0</v>
      </c>
      <c r="T201" s="123">
        <v>0</v>
      </c>
      <c r="U201" s="123">
        <v>0</v>
      </c>
      <c r="V201" s="123">
        <v>0</v>
      </c>
      <c r="W201" s="123">
        <v>0</v>
      </c>
      <c r="X201" s="123">
        <v>0</v>
      </c>
      <c r="Y201" s="123">
        <v>0</v>
      </c>
      <c r="Z201" s="123">
        <v>0</v>
      </c>
      <c r="AA201" s="123">
        <v>0</v>
      </c>
      <c r="AB201" s="123">
        <v>0</v>
      </c>
      <c r="AC201" s="123">
        <v>0</v>
      </c>
      <c r="AD201" s="123">
        <v>0</v>
      </c>
      <c r="AE201" s="123">
        <v>0</v>
      </c>
      <c r="AF201" s="123">
        <v>0</v>
      </c>
      <c r="AG201" s="123">
        <v>0</v>
      </c>
      <c r="AH201" s="123">
        <v>0</v>
      </c>
      <c r="AI201" s="123">
        <v>0</v>
      </c>
      <c r="AJ201" s="123">
        <v>0</v>
      </c>
      <c r="AK201" s="123">
        <v>0</v>
      </c>
      <c r="AL201" s="123">
        <v>0</v>
      </c>
      <c r="AM201" s="123">
        <v>0</v>
      </c>
      <c r="AN201" s="123">
        <v>0</v>
      </c>
      <c r="AO201" s="123">
        <v>0</v>
      </c>
      <c r="AP201" s="123">
        <v>0</v>
      </c>
      <c r="AQ201" s="123">
        <v>0</v>
      </c>
      <c r="AR201" s="123">
        <v>0</v>
      </c>
      <c r="AS201" s="123">
        <v>0</v>
      </c>
      <c r="AT201" s="123">
        <v>0</v>
      </c>
      <c r="AU201" s="123">
        <v>0</v>
      </c>
      <c r="AV201" s="123">
        <v>0</v>
      </c>
      <c r="AW201" s="123">
        <v>0</v>
      </c>
      <c r="AX201" s="123">
        <v>0</v>
      </c>
      <c r="AY201" s="123">
        <v>0</v>
      </c>
    </row>
    <row r="202" spans="1:51" x14ac:dyDescent="0.2">
      <c r="A202" s="126"/>
      <c r="B202" s="136">
        <v>6</v>
      </c>
      <c r="C202" s="123">
        <v>0</v>
      </c>
      <c r="D202" s="123">
        <v>0</v>
      </c>
      <c r="E202" s="123">
        <v>0</v>
      </c>
      <c r="F202" s="123">
        <v>0</v>
      </c>
      <c r="G202" s="123">
        <v>0</v>
      </c>
      <c r="H202" s="123">
        <v>0</v>
      </c>
      <c r="I202" s="123">
        <v>0</v>
      </c>
      <c r="J202" s="123">
        <v>0</v>
      </c>
      <c r="K202" s="123">
        <v>0</v>
      </c>
      <c r="L202" s="123">
        <v>672</v>
      </c>
      <c r="M202" s="123">
        <v>0</v>
      </c>
      <c r="N202" s="123">
        <v>230.85637674612053</v>
      </c>
      <c r="O202" s="123">
        <v>434.93978754660793</v>
      </c>
      <c r="P202" s="123">
        <v>715.6785873724566</v>
      </c>
      <c r="Q202" s="123">
        <v>446.8372594925986</v>
      </c>
      <c r="R202" s="123">
        <v>724</v>
      </c>
      <c r="S202" s="123">
        <v>0</v>
      </c>
      <c r="T202" s="123">
        <v>339.03655722520671</v>
      </c>
      <c r="U202" s="123">
        <v>778</v>
      </c>
      <c r="V202" s="123">
        <v>704</v>
      </c>
      <c r="W202" s="123">
        <v>832</v>
      </c>
      <c r="X202" s="123">
        <v>682.75855295980818</v>
      </c>
      <c r="Y202" s="123">
        <v>0</v>
      </c>
      <c r="Z202" s="123">
        <v>669</v>
      </c>
      <c r="AA202" s="123">
        <v>624</v>
      </c>
      <c r="AB202" s="123">
        <v>839</v>
      </c>
      <c r="AC202" s="123">
        <v>709</v>
      </c>
      <c r="AD202" s="123">
        <v>681.70123466239966</v>
      </c>
      <c r="AE202" s="123">
        <v>904</v>
      </c>
      <c r="AF202" s="123">
        <v>635.21602812703804</v>
      </c>
      <c r="AG202" s="123">
        <v>239.29243726654022</v>
      </c>
      <c r="AH202" s="123">
        <v>57.263084232891742</v>
      </c>
      <c r="AI202" s="123">
        <v>0</v>
      </c>
      <c r="AJ202" s="123">
        <v>821</v>
      </c>
      <c r="AK202" s="123">
        <v>0</v>
      </c>
      <c r="AL202" s="123">
        <v>412.80507585529267</v>
      </c>
      <c r="AM202" s="123">
        <v>0</v>
      </c>
      <c r="AN202" s="123">
        <v>0</v>
      </c>
      <c r="AO202" s="123">
        <v>0</v>
      </c>
      <c r="AP202" s="123">
        <v>763.95102514687369</v>
      </c>
      <c r="AQ202" s="123">
        <v>726</v>
      </c>
      <c r="AR202" s="123">
        <v>821</v>
      </c>
      <c r="AS202" s="123">
        <v>0</v>
      </c>
      <c r="AT202" s="123">
        <v>0</v>
      </c>
      <c r="AU202" s="123">
        <v>0</v>
      </c>
      <c r="AV202" s="123">
        <v>105.18760090908063</v>
      </c>
      <c r="AW202" s="123">
        <v>142.82661155044116</v>
      </c>
      <c r="AX202" s="123">
        <v>0</v>
      </c>
      <c r="AY202" s="123">
        <v>0</v>
      </c>
    </row>
    <row r="203" spans="1:51" x14ac:dyDescent="0.2">
      <c r="A203" s="126"/>
      <c r="B203" s="143">
        <v>7</v>
      </c>
      <c r="C203" s="123">
        <v>0</v>
      </c>
      <c r="D203" s="123">
        <v>0</v>
      </c>
      <c r="E203" s="123">
        <v>0</v>
      </c>
      <c r="F203" s="123">
        <v>0</v>
      </c>
      <c r="G203" s="123">
        <v>0</v>
      </c>
      <c r="H203" s="123">
        <v>0</v>
      </c>
      <c r="I203" s="123">
        <v>0</v>
      </c>
      <c r="J203" s="123">
        <v>0</v>
      </c>
      <c r="K203" s="123">
        <v>0</v>
      </c>
      <c r="L203" s="123">
        <v>0</v>
      </c>
      <c r="M203" s="123">
        <v>707</v>
      </c>
      <c r="N203" s="123">
        <v>633.14362325387947</v>
      </c>
      <c r="O203" s="123">
        <v>431.06021245339207</v>
      </c>
      <c r="P203" s="123">
        <v>144.3214126275434</v>
      </c>
      <c r="Q203" s="123">
        <v>197.1627405074014</v>
      </c>
      <c r="R203" s="123">
        <v>0</v>
      </c>
      <c r="S203" s="123">
        <v>822</v>
      </c>
      <c r="T203" s="123">
        <v>502.96344277479329</v>
      </c>
      <c r="U203" s="123">
        <v>0</v>
      </c>
      <c r="V203" s="123">
        <v>0</v>
      </c>
      <c r="W203" s="123">
        <v>0</v>
      </c>
      <c r="X203" s="123">
        <v>164.24144704019182</v>
      </c>
      <c r="Y203" s="123">
        <v>860</v>
      </c>
      <c r="Z203" s="123">
        <v>0</v>
      </c>
      <c r="AA203" s="123">
        <v>0</v>
      </c>
      <c r="AB203" s="123">
        <v>0</v>
      </c>
      <c r="AC203" s="123">
        <v>0</v>
      </c>
      <c r="AD203" s="123">
        <v>80.298765337600344</v>
      </c>
      <c r="AE203" s="123">
        <v>0</v>
      </c>
      <c r="AF203" s="123">
        <v>111.78397187296196</v>
      </c>
      <c r="AG203" s="123">
        <v>503.70756273345978</v>
      </c>
      <c r="AH203" s="123">
        <v>909.73691576710826</v>
      </c>
      <c r="AI203" s="123">
        <v>689</v>
      </c>
      <c r="AJ203" s="123">
        <v>0</v>
      </c>
      <c r="AK203" s="123">
        <v>765</v>
      </c>
      <c r="AL203" s="123">
        <v>360.19492414470733</v>
      </c>
      <c r="AM203" s="123">
        <v>851</v>
      </c>
      <c r="AN203" s="123">
        <v>745</v>
      </c>
      <c r="AO203" s="123">
        <v>641</v>
      </c>
      <c r="AP203" s="123">
        <v>62.04897485312631</v>
      </c>
      <c r="AQ203" s="123">
        <v>0</v>
      </c>
      <c r="AR203" s="123">
        <v>0</v>
      </c>
      <c r="AS203" s="123">
        <v>854</v>
      </c>
      <c r="AT203" s="123">
        <v>882</v>
      </c>
      <c r="AU203" s="123">
        <v>1031</v>
      </c>
      <c r="AV203" s="123">
        <v>870.81239909091937</v>
      </c>
      <c r="AW203" s="123">
        <v>874.17338844955884</v>
      </c>
      <c r="AX203" s="123">
        <v>787</v>
      </c>
      <c r="AY203" s="123">
        <v>757</v>
      </c>
    </row>
    <row r="204" spans="1:51" x14ac:dyDescent="0.2">
      <c r="A204" s="126"/>
      <c r="B204" s="143">
        <v>8</v>
      </c>
      <c r="C204" s="123">
        <v>0</v>
      </c>
      <c r="D204" s="123">
        <v>0</v>
      </c>
      <c r="E204" s="123">
        <v>0</v>
      </c>
      <c r="F204" s="123">
        <v>0</v>
      </c>
      <c r="G204" s="123">
        <v>0</v>
      </c>
      <c r="H204" s="123">
        <v>0</v>
      </c>
      <c r="I204" s="123">
        <v>0</v>
      </c>
      <c r="J204" s="123">
        <v>0</v>
      </c>
      <c r="K204" s="123">
        <v>0</v>
      </c>
      <c r="L204" s="123">
        <v>0</v>
      </c>
      <c r="M204" s="123">
        <v>0</v>
      </c>
      <c r="N204" s="123">
        <v>0</v>
      </c>
      <c r="O204" s="123">
        <v>0</v>
      </c>
      <c r="P204" s="123">
        <v>0</v>
      </c>
      <c r="Q204" s="123">
        <v>0</v>
      </c>
      <c r="R204" s="123">
        <v>0</v>
      </c>
      <c r="S204" s="123">
        <v>0</v>
      </c>
      <c r="T204" s="123">
        <v>0</v>
      </c>
      <c r="U204" s="123">
        <v>0</v>
      </c>
      <c r="V204" s="123">
        <v>0</v>
      </c>
      <c r="W204" s="123">
        <v>0</v>
      </c>
      <c r="X204" s="123">
        <v>0</v>
      </c>
      <c r="Y204" s="123">
        <v>0</v>
      </c>
      <c r="Z204" s="123">
        <v>0</v>
      </c>
      <c r="AA204" s="123">
        <v>0</v>
      </c>
      <c r="AB204" s="123">
        <v>0</v>
      </c>
      <c r="AC204" s="123">
        <v>0</v>
      </c>
      <c r="AD204" s="123">
        <v>0</v>
      </c>
      <c r="AE204" s="123">
        <v>0</v>
      </c>
      <c r="AF204" s="123">
        <v>0</v>
      </c>
      <c r="AG204" s="123">
        <v>0</v>
      </c>
      <c r="AH204" s="123">
        <v>0</v>
      </c>
      <c r="AI204" s="123">
        <v>0</v>
      </c>
      <c r="AJ204" s="123">
        <v>0</v>
      </c>
      <c r="AK204" s="123">
        <v>0</v>
      </c>
      <c r="AL204" s="123">
        <v>0</v>
      </c>
      <c r="AM204" s="123">
        <v>0</v>
      </c>
      <c r="AN204" s="123">
        <v>0</v>
      </c>
      <c r="AO204" s="123">
        <v>0</v>
      </c>
      <c r="AP204" s="123">
        <v>0</v>
      </c>
      <c r="AQ204" s="123">
        <v>0</v>
      </c>
      <c r="AR204" s="123">
        <v>0</v>
      </c>
      <c r="AS204" s="123">
        <v>0</v>
      </c>
      <c r="AT204" s="123">
        <v>0</v>
      </c>
      <c r="AU204" s="123">
        <v>0</v>
      </c>
      <c r="AV204" s="123">
        <v>0</v>
      </c>
      <c r="AW204" s="123">
        <v>0</v>
      </c>
      <c r="AX204" s="123">
        <v>0</v>
      </c>
      <c r="AY204" s="123">
        <v>0</v>
      </c>
    </row>
    <row r="205" spans="1:51" x14ac:dyDescent="0.2">
      <c r="A205" s="126"/>
      <c r="B205" s="143">
        <v>9</v>
      </c>
      <c r="C205" s="123">
        <v>0</v>
      </c>
      <c r="D205" s="123">
        <v>0</v>
      </c>
      <c r="E205" s="123">
        <v>0</v>
      </c>
      <c r="F205" s="123">
        <v>0</v>
      </c>
      <c r="G205" s="123">
        <v>0</v>
      </c>
      <c r="H205" s="123">
        <v>0</v>
      </c>
      <c r="I205" s="123">
        <v>0</v>
      </c>
      <c r="J205" s="123">
        <v>0</v>
      </c>
      <c r="K205" s="123">
        <v>0</v>
      </c>
      <c r="L205" s="123">
        <v>0</v>
      </c>
      <c r="M205" s="123">
        <v>0</v>
      </c>
      <c r="N205" s="123">
        <v>0</v>
      </c>
      <c r="O205" s="123">
        <v>0</v>
      </c>
      <c r="P205" s="123">
        <v>0</v>
      </c>
      <c r="Q205" s="123">
        <v>0</v>
      </c>
      <c r="R205" s="123">
        <v>0</v>
      </c>
      <c r="S205" s="123">
        <v>0</v>
      </c>
      <c r="T205" s="123">
        <v>0</v>
      </c>
      <c r="U205" s="123">
        <v>0</v>
      </c>
      <c r="V205" s="123">
        <v>0</v>
      </c>
      <c r="W205" s="123">
        <v>0</v>
      </c>
      <c r="X205" s="123">
        <v>0</v>
      </c>
      <c r="Y205" s="123">
        <v>0</v>
      </c>
      <c r="Z205" s="123">
        <v>0</v>
      </c>
      <c r="AA205" s="123">
        <v>0</v>
      </c>
      <c r="AB205" s="123">
        <v>0</v>
      </c>
      <c r="AC205" s="123">
        <v>0</v>
      </c>
      <c r="AD205" s="123">
        <v>0</v>
      </c>
      <c r="AE205" s="123">
        <v>0</v>
      </c>
      <c r="AF205" s="123">
        <v>0</v>
      </c>
      <c r="AG205" s="123">
        <v>0</v>
      </c>
      <c r="AH205" s="123">
        <v>0</v>
      </c>
      <c r="AI205" s="123">
        <v>0</v>
      </c>
      <c r="AJ205" s="123">
        <v>0</v>
      </c>
      <c r="AK205" s="123">
        <v>0</v>
      </c>
      <c r="AL205" s="123">
        <v>0</v>
      </c>
      <c r="AM205" s="123">
        <v>0</v>
      </c>
      <c r="AN205" s="123">
        <v>0</v>
      </c>
      <c r="AO205" s="123">
        <v>0</v>
      </c>
      <c r="AP205" s="123">
        <v>0</v>
      </c>
      <c r="AQ205" s="123">
        <v>0</v>
      </c>
      <c r="AR205" s="123">
        <v>0</v>
      </c>
      <c r="AS205" s="123">
        <v>0</v>
      </c>
      <c r="AT205" s="123">
        <v>0</v>
      </c>
      <c r="AU205" s="123">
        <v>0</v>
      </c>
      <c r="AV205" s="123">
        <v>0</v>
      </c>
      <c r="AW205" s="123">
        <v>0</v>
      </c>
      <c r="AX205" s="123">
        <v>0</v>
      </c>
      <c r="AY205" s="123">
        <v>0</v>
      </c>
    </row>
    <row r="206" spans="1:51" x14ac:dyDescent="0.2">
      <c r="A206" s="126"/>
      <c r="B206" s="146">
        <v>10</v>
      </c>
      <c r="C206" s="123">
        <v>0</v>
      </c>
      <c r="D206" s="123">
        <v>0</v>
      </c>
      <c r="E206" s="123">
        <v>0</v>
      </c>
      <c r="F206" s="123">
        <v>0</v>
      </c>
      <c r="G206" s="123">
        <v>0</v>
      </c>
      <c r="H206" s="123">
        <v>0</v>
      </c>
      <c r="I206" s="123">
        <v>0</v>
      </c>
      <c r="J206" s="123">
        <v>0</v>
      </c>
      <c r="K206" s="123">
        <v>0</v>
      </c>
      <c r="L206" s="123">
        <v>0</v>
      </c>
      <c r="M206" s="123">
        <v>0</v>
      </c>
      <c r="N206" s="123">
        <v>0</v>
      </c>
      <c r="O206" s="123">
        <v>0</v>
      </c>
      <c r="P206" s="123">
        <v>0</v>
      </c>
      <c r="Q206" s="123">
        <v>0</v>
      </c>
      <c r="R206" s="123">
        <v>0</v>
      </c>
      <c r="S206" s="123">
        <v>0</v>
      </c>
      <c r="T206" s="123">
        <v>0</v>
      </c>
      <c r="U206" s="123">
        <v>0</v>
      </c>
      <c r="V206" s="123">
        <v>0</v>
      </c>
      <c r="W206" s="123">
        <v>0</v>
      </c>
      <c r="X206" s="123">
        <v>0</v>
      </c>
      <c r="Y206" s="123">
        <v>0</v>
      </c>
      <c r="Z206" s="123">
        <v>0</v>
      </c>
      <c r="AA206" s="123">
        <v>0</v>
      </c>
      <c r="AB206" s="123">
        <v>0</v>
      </c>
      <c r="AC206" s="123">
        <v>0</v>
      </c>
      <c r="AD206" s="123">
        <v>0</v>
      </c>
      <c r="AE206" s="123">
        <v>0</v>
      </c>
      <c r="AF206" s="123">
        <v>0</v>
      </c>
      <c r="AG206" s="123">
        <v>0</v>
      </c>
      <c r="AH206" s="123">
        <v>0</v>
      </c>
      <c r="AI206" s="123">
        <v>0</v>
      </c>
      <c r="AJ206" s="123">
        <v>0</v>
      </c>
      <c r="AK206" s="123">
        <v>0</v>
      </c>
      <c r="AL206" s="123">
        <v>0</v>
      </c>
      <c r="AM206" s="123">
        <v>0</v>
      </c>
      <c r="AN206" s="123">
        <v>0</v>
      </c>
      <c r="AO206" s="123">
        <v>0</v>
      </c>
      <c r="AP206" s="123">
        <v>0</v>
      </c>
      <c r="AQ206" s="123">
        <v>0</v>
      </c>
      <c r="AR206" s="123">
        <v>0</v>
      </c>
      <c r="AS206" s="123">
        <v>0</v>
      </c>
      <c r="AT206" s="123">
        <v>0</v>
      </c>
      <c r="AU206" s="123">
        <v>0</v>
      </c>
      <c r="AV206" s="123">
        <v>0</v>
      </c>
      <c r="AW206" s="123">
        <v>0</v>
      </c>
      <c r="AX206" s="123">
        <v>0</v>
      </c>
      <c r="AY206" s="123">
        <v>0</v>
      </c>
    </row>
    <row r="207" spans="1:51" x14ac:dyDescent="0.2">
      <c r="A207" s="126"/>
      <c r="B207" s="146">
        <v>11</v>
      </c>
      <c r="C207" s="123">
        <v>0</v>
      </c>
      <c r="D207" s="123">
        <v>0</v>
      </c>
      <c r="E207" s="123">
        <v>0</v>
      </c>
      <c r="F207" s="123">
        <v>0</v>
      </c>
      <c r="G207" s="123">
        <v>0</v>
      </c>
      <c r="H207" s="123">
        <v>0</v>
      </c>
      <c r="I207" s="123">
        <v>0</v>
      </c>
      <c r="J207" s="123">
        <v>0</v>
      </c>
      <c r="K207" s="123">
        <v>0</v>
      </c>
      <c r="L207" s="123">
        <v>0</v>
      </c>
      <c r="M207" s="123">
        <v>0</v>
      </c>
      <c r="N207" s="123">
        <v>0</v>
      </c>
      <c r="O207" s="123">
        <v>0</v>
      </c>
      <c r="P207" s="123">
        <v>0</v>
      </c>
      <c r="Q207" s="123">
        <v>0</v>
      </c>
      <c r="R207" s="123">
        <v>0</v>
      </c>
      <c r="S207" s="123">
        <v>0</v>
      </c>
      <c r="T207" s="123">
        <v>0</v>
      </c>
      <c r="U207" s="123">
        <v>0</v>
      </c>
      <c r="V207" s="123">
        <v>0</v>
      </c>
      <c r="W207" s="123">
        <v>0</v>
      </c>
      <c r="X207" s="123">
        <v>0</v>
      </c>
      <c r="Y207" s="123">
        <v>0</v>
      </c>
      <c r="Z207" s="123">
        <v>0</v>
      </c>
      <c r="AA207" s="123">
        <v>0</v>
      </c>
      <c r="AB207" s="123">
        <v>0</v>
      </c>
      <c r="AC207" s="123">
        <v>0</v>
      </c>
      <c r="AD207" s="123">
        <v>0</v>
      </c>
      <c r="AE207" s="123">
        <v>0</v>
      </c>
      <c r="AF207" s="123">
        <v>0</v>
      </c>
      <c r="AG207" s="123">
        <v>0</v>
      </c>
      <c r="AH207" s="123">
        <v>0</v>
      </c>
      <c r="AI207" s="123">
        <v>0</v>
      </c>
      <c r="AJ207" s="123">
        <v>0</v>
      </c>
      <c r="AK207" s="123">
        <v>0</v>
      </c>
      <c r="AL207" s="123">
        <v>0</v>
      </c>
      <c r="AM207" s="123">
        <v>0</v>
      </c>
      <c r="AN207" s="123">
        <v>0</v>
      </c>
      <c r="AO207" s="123">
        <v>0</v>
      </c>
      <c r="AP207" s="123">
        <v>0</v>
      </c>
      <c r="AQ207" s="123">
        <v>0</v>
      </c>
      <c r="AR207" s="123">
        <v>0</v>
      </c>
      <c r="AS207" s="123">
        <v>0</v>
      </c>
      <c r="AT207" s="123">
        <v>0</v>
      </c>
      <c r="AU207" s="123">
        <v>0</v>
      </c>
      <c r="AV207" s="123">
        <v>0</v>
      </c>
      <c r="AW207" s="123">
        <v>0</v>
      </c>
      <c r="AX207" s="123">
        <v>0</v>
      </c>
      <c r="AY207" s="123">
        <v>0</v>
      </c>
    </row>
    <row r="208" spans="1:51" x14ac:dyDescent="0.2">
      <c r="A208" s="126"/>
      <c r="B208" s="146">
        <v>12</v>
      </c>
      <c r="C208" s="123">
        <v>0</v>
      </c>
      <c r="D208" s="123">
        <v>0</v>
      </c>
      <c r="E208" s="123">
        <v>0</v>
      </c>
      <c r="F208" s="123">
        <v>0</v>
      </c>
      <c r="G208" s="123">
        <v>0</v>
      </c>
      <c r="H208" s="123">
        <v>0</v>
      </c>
      <c r="I208" s="123">
        <v>0</v>
      </c>
      <c r="J208" s="123">
        <v>0</v>
      </c>
      <c r="K208" s="123">
        <v>0</v>
      </c>
      <c r="L208" s="123">
        <v>0</v>
      </c>
      <c r="M208" s="123">
        <v>0</v>
      </c>
      <c r="N208" s="123">
        <v>0</v>
      </c>
      <c r="O208" s="123">
        <v>0</v>
      </c>
      <c r="P208" s="123">
        <v>0</v>
      </c>
      <c r="Q208" s="123">
        <v>0</v>
      </c>
      <c r="R208" s="123">
        <v>0</v>
      </c>
      <c r="S208" s="123">
        <v>0</v>
      </c>
      <c r="T208" s="123">
        <v>0</v>
      </c>
      <c r="U208" s="123">
        <v>0</v>
      </c>
      <c r="V208" s="123">
        <v>0</v>
      </c>
      <c r="W208" s="123">
        <v>0</v>
      </c>
      <c r="X208" s="123">
        <v>0</v>
      </c>
      <c r="Y208" s="123">
        <v>0</v>
      </c>
      <c r="Z208" s="123">
        <v>0</v>
      </c>
      <c r="AA208" s="123">
        <v>0</v>
      </c>
      <c r="AB208" s="123">
        <v>0</v>
      </c>
      <c r="AC208" s="123">
        <v>0</v>
      </c>
      <c r="AD208" s="123">
        <v>0</v>
      </c>
      <c r="AE208" s="123">
        <v>0</v>
      </c>
      <c r="AF208" s="123">
        <v>0</v>
      </c>
      <c r="AG208" s="123">
        <v>0</v>
      </c>
      <c r="AH208" s="123">
        <v>0</v>
      </c>
      <c r="AI208" s="123">
        <v>0</v>
      </c>
      <c r="AJ208" s="123">
        <v>0</v>
      </c>
      <c r="AK208" s="123">
        <v>0</v>
      </c>
      <c r="AL208" s="123">
        <v>0</v>
      </c>
      <c r="AM208" s="123">
        <v>0</v>
      </c>
      <c r="AN208" s="123">
        <v>0</v>
      </c>
      <c r="AO208" s="123">
        <v>0</v>
      </c>
      <c r="AP208" s="123">
        <v>0</v>
      </c>
      <c r="AQ208" s="123">
        <v>0</v>
      </c>
      <c r="AR208" s="123">
        <v>0</v>
      </c>
      <c r="AS208" s="123">
        <v>0</v>
      </c>
      <c r="AT208" s="123">
        <v>0</v>
      </c>
      <c r="AU208" s="123">
        <v>0</v>
      </c>
      <c r="AV208" s="123">
        <v>0</v>
      </c>
      <c r="AW208" s="123">
        <v>0</v>
      </c>
      <c r="AX208" s="123">
        <v>0</v>
      </c>
      <c r="AY208" s="123">
        <v>0</v>
      </c>
    </row>
    <row r="209" spans="1:51" x14ac:dyDescent="0.2">
      <c r="A209" s="142" t="s">
        <v>123</v>
      </c>
      <c r="B209" s="139">
        <v>1</v>
      </c>
      <c r="C209" s="140">
        <v>598.21017094846195</v>
      </c>
      <c r="D209" s="140">
        <v>1052</v>
      </c>
      <c r="E209" s="140">
        <v>0</v>
      </c>
      <c r="F209" s="140">
        <v>0</v>
      </c>
      <c r="G209" s="140">
        <v>0</v>
      </c>
      <c r="H209" s="140">
        <v>0</v>
      </c>
      <c r="I209" s="140">
        <v>0</v>
      </c>
      <c r="J209" s="140">
        <v>0</v>
      </c>
      <c r="K209" s="140">
        <v>0</v>
      </c>
      <c r="L209" s="140">
        <v>0</v>
      </c>
      <c r="M209" s="140">
        <v>0</v>
      </c>
      <c r="N209" s="140">
        <v>0</v>
      </c>
      <c r="O209" s="140">
        <v>0</v>
      </c>
      <c r="P209" s="140">
        <v>0</v>
      </c>
      <c r="Q209" s="140">
        <v>0</v>
      </c>
      <c r="R209" s="140">
        <v>0</v>
      </c>
      <c r="S209" s="140">
        <v>0</v>
      </c>
      <c r="T209" s="140">
        <v>0</v>
      </c>
      <c r="U209" s="140">
        <v>0</v>
      </c>
      <c r="V209" s="140">
        <v>0</v>
      </c>
      <c r="W209" s="140">
        <v>0</v>
      </c>
      <c r="X209" s="140">
        <v>0</v>
      </c>
      <c r="Y209" s="140">
        <v>0</v>
      </c>
      <c r="Z209" s="140">
        <v>0</v>
      </c>
      <c r="AA209" s="140">
        <v>0</v>
      </c>
      <c r="AB209" s="140">
        <v>0</v>
      </c>
      <c r="AC209" s="140">
        <v>0</v>
      </c>
      <c r="AD209" s="140">
        <v>0</v>
      </c>
      <c r="AE209" s="140">
        <v>0</v>
      </c>
      <c r="AF209" s="140">
        <v>0</v>
      </c>
      <c r="AG209" s="140">
        <v>0</v>
      </c>
      <c r="AH209" s="140">
        <v>0</v>
      </c>
      <c r="AI209" s="140">
        <v>0</v>
      </c>
      <c r="AJ209" s="140">
        <v>0</v>
      </c>
      <c r="AK209" s="140">
        <v>0</v>
      </c>
      <c r="AL209" s="140">
        <v>0</v>
      </c>
      <c r="AM209" s="140">
        <v>0</v>
      </c>
      <c r="AN209" s="140">
        <v>0</v>
      </c>
      <c r="AO209" s="140">
        <v>0</v>
      </c>
      <c r="AP209" s="140">
        <v>0</v>
      </c>
      <c r="AQ209" s="140">
        <v>0</v>
      </c>
      <c r="AR209" s="140">
        <v>0</v>
      </c>
      <c r="AS209" s="140">
        <v>0</v>
      </c>
      <c r="AT209" s="140">
        <v>0</v>
      </c>
      <c r="AU209" s="140">
        <v>0</v>
      </c>
      <c r="AV209" s="140">
        <v>0</v>
      </c>
      <c r="AW209" s="140">
        <v>0</v>
      </c>
      <c r="AX209" s="140">
        <v>0</v>
      </c>
      <c r="AY209" s="140">
        <v>0</v>
      </c>
    </row>
    <row r="210" spans="1:51" x14ac:dyDescent="0.2">
      <c r="A210" s="126"/>
      <c r="B210" s="135">
        <v>2</v>
      </c>
      <c r="C210" s="123">
        <v>0</v>
      </c>
      <c r="D210" s="127">
        <v>0</v>
      </c>
      <c r="E210" s="127">
        <v>1084.4966493894758</v>
      </c>
      <c r="F210" s="127">
        <v>1017.0843614999446</v>
      </c>
      <c r="G210" s="127">
        <v>643.82127924814984</v>
      </c>
      <c r="H210" s="127">
        <v>429.02220423314759</v>
      </c>
      <c r="I210" s="127">
        <v>47.03895744237343</v>
      </c>
      <c r="J210" s="127">
        <v>0</v>
      </c>
      <c r="K210" s="127">
        <v>0</v>
      </c>
      <c r="L210" s="127">
        <v>0</v>
      </c>
      <c r="M210" s="127">
        <v>0</v>
      </c>
      <c r="N210" s="127">
        <v>0</v>
      </c>
      <c r="O210" s="127">
        <v>41.838414644528029</v>
      </c>
      <c r="P210" s="127">
        <v>0</v>
      </c>
      <c r="Q210" s="127">
        <v>0</v>
      </c>
      <c r="R210" s="127">
        <v>0</v>
      </c>
      <c r="S210" s="127">
        <v>0</v>
      </c>
      <c r="T210" s="127">
        <v>0</v>
      </c>
      <c r="U210" s="127">
        <v>0</v>
      </c>
      <c r="V210" s="127">
        <v>0</v>
      </c>
      <c r="W210" s="127">
        <v>0</v>
      </c>
      <c r="X210" s="127">
        <v>0</v>
      </c>
      <c r="Y210" s="127">
        <v>0</v>
      </c>
      <c r="Z210" s="127">
        <v>0</v>
      </c>
      <c r="AA210" s="127">
        <v>0</v>
      </c>
      <c r="AB210" s="127">
        <v>0</v>
      </c>
      <c r="AC210" s="127">
        <v>0</v>
      </c>
      <c r="AD210" s="127">
        <v>55.801984988247568</v>
      </c>
      <c r="AE210" s="127">
        <v>0</v>
      </c>
      <c r="AF210" s="127">
        <v>0</v>
      </c>
      <c r="AG210" s="127">
        <v>0</v>
      </c>
      <c r="AH210" s="127">
        <v>0</v>
      </c>
      <c r="AI210" s="127">
        <v>0</v>
      </c>
      <c r="AJ210" s="127">
        <v>0.69662478460736565</v>
      </c>
      <c r="AK210" s="127">
        <v>0</v>
      </c>
      <c r="AL210" s="127">
        <v>0</v>
      </c>
      <c r="AM210" s="127">
        <v>0</v>
      </c>
      <c r="AN210" s="127">
        <v>0</v>
      </c>
      <c r="AO210" s="127">
        <v>1.7081718826993892</v>
      </c>
      <c r="AP210" s="127">
        <v>0</v>
      </c>
      <c r="AQ210" s="127">
        <v>0</v>
      </c>
      <c r="AR210" s="127">
        <v>0</v>
      </c>
      <c r="AS210" s="127">
        <v>0</v>
      </c>
      <c r="AT210" s="127">
        <v>0</v>
      </c>
      <c r="AU210" s="127">
        <v>0</v>
      </c>
      <c r="AV210" s="127">
        <v>246.81804922297397</v>
      </c>
      <c r="AW210" s="127">
        <v>87.944093868766686</v>
      </c>
      <c r="AX210" s="127">
        <v>0</v>
      </c>
      <c r="AY210" s="127">
        <v>0</v>
      </c>
    </row>
    <row r="211" spans="1:51" x14ac:dyDescent="0.2">
      <c r="A211" s="126"/>
      <c r="B211" s="135">
        <v>3</v>
      </c>
      <c r="C211" s="123">
        <v>0</v>
      </c>
      <c r="D211" s="127">
        <v>0</v>
      </c>
      <c r="E211" s="127">
        <v>0</v>
      </c>
      <c r="F211" s="127">
        <v>27.915638500055405</v>
      </c>
      <c r="G211" s="127">
        <v>592.23939698695392</v>
      </c>
      <c r="H211" s="127">
        <v>846.97779576685241</v>
      </c>
      <c r="I211" s="127">
        <v>1112.9610425576266</v>
      </c>
      <c r="J211" s="127">
        <v>1194</v>
      </c>
      <c r="K211" s="127">
        <v>1226.1164825669134</v>
      </c>
      <c r="L211" s="127">
        <v>982.62818878315829</v>
      </c>
      <c r="M211" s="127">
        <v>1073.3569428947712</v>
      </c>
      <c r="N211" s="127">
        <v>1234.9774013845263</v>
      </c>
      <c r="O211" s="127">
        <v>1329.463052882636</v>
      </c>
      <c r="P211" s="127">
        <v>1145</v>
      </c>
      <c r="Q211" s="127">
        <v>1032.6232461496013</v>
      </c>
      <c r="R211" s="127">
        <v>871.38022814148451</v>
      </c>
      <c r="S211" s="127">
        <v>1132.457018546359</v>
      </c>
      <c r="T211" s="127">
        <v>979.12022474856531</v>
      </c>
      <c r="U211" s="127">
        <v>955.43784260343921</v>
      </c>
      <c r="V211" s="127">
        <v>1060.5033897661588</v>
      </c>
      <c r="W211" s="127">
        <v>1020.1373852971219</v>
      </c>
      <c r="X211" s="127">
        <v>983.7956652786047</v>
      </c>
      <c r="Y211" s="127">
        <v>960.38422889124149</v>
      </c>
      <c r="Z211" s="127">
        <v>895.31157109580818</v>
      </c>
      <c r="AA211" s="127">
        <v>898.24769011855528</v>
      </c>
      <c r="AB211" s="127">
        <v>1091.0283899084566</v>
      </c>
      <c r="AC211" s="127">
        <v>1078.9880133300828</v>
      </c>
      <c r="AD211" s="127">
        <v>1218.9418127982626</v>
      </c>
      <c r="AE211" s="127">
        <v>1041.4787599156266</v>
      </c>
      <c r="AF211" s="127">
        <v>1059.1477811922771</v>
      </c>
      <c r="AG211" s="127">
        <v>941.13168222729018</v>
      </c>
      <c r="AH211" s="127">
        <v>1161.8785486385191</v>
      </c>
      <c r="AI211" s="127">
        <v>1178.1378021847404</v>
      </c>
      <c r="AJ211" s="127">
        <v>1268.8880607571302</v>
      </c>
      <c r="AK211" s="127">
        <v>1074</v>
      </c>
      <c r="AL211" s="127">
        <v>1175.8135311065246</v>
      </c>
      <c r="AM211" s="127">
        <v>1063.2431166298438</v>
      </c>
      <c r="AN211" s="127">
        <v>886.52297847157934</v>
      </c>
      <c r="AO211" s="127">
        <v>1136.3290107735572</v>
      </c>
      <c r="AP211" s="127">
        <v>1248</v>
      </c>
      <c r="AQ211" s="127">
        <v>1023.608406284765</v>
      </c>
      <c r="AR211" s="127">
        <v>1210.4731845741796</v>
      </c>
      <c r="AS211" s="127">
        <v>1039.8235683351552</v>
      </c>
      <c r="AT211" s="127">
        <v>1000.4862003906981</v>
      </c>
      <c r="AU211" s="127">
        <v>1108.2958144124461</v>
      </c>
      <c r="AV211" s="127">
        <v>1134.7559645564593</v>
      </c>
      <c r="AW211" s="127">
        <v>976.05590613123331</v>
      </c>
      <c r="AX211" s="127">
        <v>1264</v>
      </c>
      <c r="AY211" s="127">
        <v>1162.0516812073654</v>
      </c>
    </row>
    <row r="212" spans="1:51" x14ac:dyDescent="0.2">
      <c r="A212" s="126"/>
      <c r="B212" s="135">
        <v>4</v>
      </c>
      <c r="C212" s="123">
        <v>0</v>
      </c>
      <c r="D212" s="127">
        <v>0</v>
      </c>
      <c r="E212" s="127">
        <v>0</v>
      </c>
      <c r="F212" s="127">
        <v>0</v>
      </c>
      <c r="G212" s="127">
        <v>0</v>
      </c>
      <c r="H212" s="127">
        <v>0</v>
      </c>
      <c r="I212" s="127">
        <v>0</v>
      </c>
      <c r="J212" s="127">
        <v>0</v>
      </c>
      <c r="K212" s="127">
        <v>27.883517433086578</v>
      </c>
      <c r="L212" s="127">
        <v>61.371811216841657</v>
      </c>
      <c r="M212" s="127">
        <v>153.64305710522865</v>
      </c>
      <c r="N212" s="127">
        <v>127.02259861547373</v>
      </c>
      <c r="O212" s="127">
        <v>29.698532472835996</v>
      </c>
      <c r="P212" s="127">
        <v>0</v>
      </c>
      <c r="Q212" s="127">
        <v>68.376753850398671</v>
      </c>
      <c r="R212" s="127">
        <v>149.61977185851549</v>
      </c>
      <c r="S212" s="127">
        <v>229.54298145364112</v>
      </c>
      <c r="T212" s="127">
        <v>161.87977525143475</v>
      </c>
      <c r="U212" s="127">
        <v>165.56215739656082</v>
      </c>
      <c r="V212" s="127">
        <v>271.49661023384118</v>
      </c>
      <c r="W212" s="127">
        <v>107.86261470287809</v>
      </c>
      <c r="X212" s="127">
        <v>141.20433472139527</v>
      </c>
      <c r="Y212" s="127">
        <v>178.61577110875845</v>
      </c>
      <c r="Z212" s="127">
        <v>176.6884289041918</v>
      </c>
      <c r="AA212" s="127">
        <v>253.75230988144475</v>
      </c>
      <c r="AB212" s="127">
        <v>262.97161009154348</v>
      </c>
      <c r="AC212" s="127">
        <v>131.01198666991721</v>
      </c>
      <c r="AD212" s="127">
        <v>106.25620221348976</v>
      </c>
      <c r="AE212" s="127">
        <v>110.52124008437336</v>
      </c>
      <c r="AF212" s="127">
        <v>108.85221880772285</v>
      </c>
      <c r="AG212" s="127">
        <v>133.86831777270976</v>
      </c>
      <c r="AH212" s="127">
        <v>188.12145136148081</v>
      </c>
      <c r="AI212" s="127">
        <v>72.862197815259634</v>
      </c>
      <c r="AJ212" s="127">
        <v>15.415314458262461</v>
      </c>
      <c r="AK212" s="127">
        <v>0</v>
      </c>
      <c r="AL212" s="127">
        <v>174.18646889347542</v>
      </c>
      <c r="AM212" s="127">
        <v>48.75688337015616</v>
      </c>
      <c r="AN212" s="127">
        <v>207.47702152842061</v>
      </c>
      <c r="AO212" s="127">
        <v>200.96281734374347</v>
      </c>
      <c r="AP212" s="127">
        <v>0</v>
      </c>
      <c r="AQ212" s="127">
        <v>234.39159371523499</v>
      </c>
      <c r="AR212" s="127">
        <v>188.5268154258203</v>
      </c>
      <c r="AS212" s="127">
        <v>77.176431664844856</v>
      </c>
      <c r="AT212" s="127">
        <v>129.513799609302</v>
      </c>
      <c r="AU212" s="127">
        <v>168.70418558755392</v>
      </c>
      <c r="AV212" s="127">
        <v>8.4259862205668004</v>
      </c>
      <c r="AW212" s="127">
        <v>0</v>
      </c>
      <c r="AX212" s="127">
        <v>0</v>
      </c>
      <c r="AY212" s="127">
        <v>51.948318792634545</v>
      </c>
    </row>
    <row r="213" spans="1:51" x14ac:dyDescent="0.2">
      <c r="A213" s="126"/>
      <c r="B213" s="135">
        <v>5</v>
      </c>
      <c r="C213" s="123">
        <v>0</v>
      </c>
      <c r="D213" s="127">
        <v>0</v>
      </c>
      <c r="E213" s="127">
        <v>0</v>
      </c>
      <c r="F213" s="127">
        <v>0</v>
      </c>
      <c r="G213" s="127">
        <v>0</v>
      </c>
      <c r="H213" s="127">
        <v>0</v>
      </c>
      <c r="I213" s="127">
        <v>0</v>
      </c>
      <c r="J213" s="127">
        <v>0</v>
      </c>
      <c r="K213" s="127">
        <v>0</v>
      </c>
      <c r="L213" s="127">
        <v>0</v>
      </c>
      <c r="M213" s="127">
        <v>0</v>
      </c>
      <c r="N213" s="127">
        <v>0</v>
      </c>
      <c r="O213" s="127">
        <v>0</v>
      </c>
      <c r="P213" s="127">
        <v>0</v>
      </c>
      <c r="Q213" s="127">
        <v>0</v>
      </c>
      <c r="R213" s="127">
        <v>0</v>
      </c>
      <c r="S213" s="127">
        <v>0</v>
      </c>
      <c r="T213" s="127">
        <v>0</v>
      </c>
      <c r="U213" s="127">
        <v>0</v>
      </c>
      <c r="V213" s="127">
        <v>0</v>
      </c>
      <c r="W213" s="127">
        <v>0</v>
      </c>
      <c r="X213" s="127">
        <v>0</v>
      </c>
      <c r="Y213" s="127">
        <v>0</v>
      </c>
      <c r="Z213" s="127">
        <v>0</v>
      </c>
      <c r="AA213" s="127">
        <v>0</v>
      </c>
      <c r="AB213" s="127">
        <v>0</v>
      </c>
      <c r="AC213" s="127">
        <v>0</v>
      </c>
      <c r="AD213" s="127">
        <v>0</v>
      </c>
      <c r="AE213" s="127">
        <v>0</v>
      </c>
      <c r="AF213" s="127">
        <v>0</v>
      </c>
      <c r="AG213" s="127">
        <v>0</v>
      </c>
      <c r="AH213" s="127">
        <v>0</v>
      </c>
      <c r="AI213" s="127">
        <v>0</v>
      </c>
      <c r="AJ213" s="127">
        <v>0</v>
      </c>
      <c r="AK213" s="127">
        <v>0</v>
      </c>
      <c r="AL213" s="127">
        <v>0</v>
      </c>
      <c r="AM213" s="127">
        <v>0</v>
      </c>
      <c r="AN213" s="127">
        <v>0</v>
      </c>
      <c r="AO213" s="127">
        <v>0</v>
      </c>
      <c r="AP213" s="127">
        <v>0</v>
      </c>
      <c r="AQ213" s="127">
        <v>0</v>
      </c>
      <c r="AR213" s="127">
        <v>0</v>
      </c>
      <c r="AS213" s="127">
        <v>0</v>
      </c>
      <c r="AT213" s="127">
        <v>0</v>
      </c>
      <c r="AU213" s="127">
        <v>0</v>
      </c>
      <c r="AV213" s="127">
        <v>0</v>
      </c>
      <c r="AW213" s="127">
        <v>0</v>
      </c>
      <c r="AX213" s="127">
        <v>0</v>
      </c>
      <c r="AY213" s="127">
        <v>0</v>
      </c>
    </row>
    <row r="214" spans="1:51" x14ac:dyDescent="0.2">
      <c r="A214" s="126"/>
      <c r="B214" s="135">
        <v>6</v>
      </c>
      <c r="C214" s="123">
        <v>0</v>
      </c>
      <c r="D214" s="127">
        <v>0</v>
      </c>
      <c r="E214" s="127">
        <v>0</v>
      </c>
      <c r="F214" s="127">
        <v>0</v>
      </c>
      <c r="G214" s="127">
        <v>0</v>
      </c>
      <c r="H214" s="127">
        <v>0</v>
      </c>
      <c r="I214" s="127">
        <v>0</v>
      </c>
      <c r="J214" s="127">
        <v>0</v>
      </c>
      <c r="K214" s="127">
        <v>0</v>
      </c>
      <c r="L214" s="127">
        <v>0</v>
      </c>
      <c r="M214" s="127">
        <v>0</v>
      </c>
      <c r="N214" s="127">
        <v>0</v>
      </c>
      <c r="O214" s="127">
        <v>0</v>
      </c>
      <c r="P214" s="127">
        <v>0</v>
      </c>
      <c r="Q214" s="127">
        <v>0</v>
      </c>
      <c r="R214" s="127">
        <v>0</v>
      </c>
      <c r="S214" s="127">
        <v>0</v>
      </c>
      <c r="T214" s="127">
        <v>0</v>
      </c>
      <c r="U214" s="127">
        <v>0</v>
      </c>
      <c r="V214" s="127">
        <v>0</v>
      </c>
      <c r="W214" s="127">
        <v>0</v>
      </c>
      <c r="X214" s="127">
        <v>0</v>
      </c>
      <c r="Y214" s="127">
        <v>0</v>
      </c>
      <c r="Z214" s="127">
        <v>0</v>
      </c>
      <c r="AA214" s="127">
        <v>0</v>
      </c>
      <c r="AB214" s="127">
        <v>0</v>
      </c>
      <c r="AC214" s="127">
        <v>0</v>
      </c>
      <c r="AD214" s="127">
        <v>0</v>
      </c>
      <c r="AE214" s="127">
        <v>0</v>
      </c>
      <c r="AF214" s="127">
        <v>0</v>
      </c>
      <c r="AG214" s="127">
        <v>0</v>
      </c>
      <c r="AH214" s="127">
        <v>0</v>
      </c>
      <c r="AI214" s="127">
        <v>0</v>
      </c>
      <c r="AJ214" s="127">
        <v>0</v>
      </c>
      <c r="AK214" s="127">
        <v>0</v>
      </c>
      <c r="AL214" s="127">
        <v>0</v>
      </c>
      <c r="AM214" s="127">
        <v>0</v>
      </c>
      <c r="AN214" s="127">
        <v>0</v>
      </c>
      <c r="AO214" s="127">
        <v>0</v>
      </c>
      <c r="AP214" s="127">
        <v>0</v>
      </c>
      <c r="AQ214" s="127">
        <v>0</v>
      </c>
      <c r="AR214" s="127">
        <v>0</v>
      </c>
      <c r="AS214" s="127">
        <v>0</v>
      </c>
      <c r="AT214" s="127">
        <v>0</v>
      </c>
      <c r="AU214" s="127">
        <v>0</v>
      </c>
      <c r="AV214" s="127">
        <v>0</v>
      </c>
      <c r="AW214" s="127">
        <v>0</v>
      </c>
      <c r="AX214" s="127">
        <v>0</v>
      </c>
      <c r="AY214" s="127">
        <v>0</v>
      </c>
    </row>
    <row r="215" spans="1:51" x14ac:dyDescent="0.2">
      <c r="A215" s="126"/>
      <c r="B215" s="135">
        <v>7</v>
      </c>
      <c r="C215" s="123">
        <v>0</v>
      </c>
      <c r="D215" s="127">
        <v>0</v>
      </c>
      <c r="E215" s="127">
        <v>0</v>
      </c>
      <c r="F215" s="127">
        <v>0</v>
      </c>
      <c r="G215" s="127">
        <v>0</v>
      </c>
      <c r="H215" s="127">
        <v>0</v>
      </c>
      <c r="I215" s="127">
        <v>0</v>
      </c>
      <c r="J215" s="127">
        <v>0</v>
      </c>
      <c r="K215" s="127">
        <v>0</v>
      </c>
      <c r="L215" s="127">
        <v>0</v>
      </c>
      <c r="M215" s="127">
        <v>0</v>
      </c>
      <c r="N215" s="127">
        <v>0</v>
      </c>
      <c r="O215" s="127">
        <v>0</v>
      </c>
      <c r="P215" s="127">
        <v>0</v>
      </c>
      <c r="Q215" s="127">
        <v>0</v>
      </c>
      <c r="R215" s="127">
        <v>0</v>
      </c>
      <c r="S215" s="127">
        <v>0</v>
      </c>
      <c r="T215" s="127">
        <v>0</v>
      </c>
      <c r="U215" s="127">
        <v>0</v>
      </c>
      <c r="V215" s="127">
        <v>0</v>
      </c>
      <c r="W215" s="127">
        <v>0</v>
      </c>
      <c r="X215" s="127">
        <v>0</v>
      </c>
      <c r="Y215" s="127">
        <v>0</v>
      </c>
      <c r="Z215" s="127">
        <v>0</v>
      </c>
      <c r="AA215" s="127">
        <v>0</v>
      </c>
      <c r="AB215" s="127">
        <v>0</v>
      </c>
      <c r="AC215" s="127">
        <v>0</v>
      </c>
      <c r="AD215" s="127">
        <v>0</v>
      </c>
      <c r="AE215" s="127">
        <v>0</v>
      </c>
      <c r="AF215" s="127">
        <v>0</v>
      </c>
      <c r="AG215" s="127">
        <v>0</v>
      </c>
      <c r="AH215" s="127">
        <v>0</v>
      </c>
      <c r="AI215" s="127">
        <v>0</v>
      </c>
      <c r="AJ215" s="127">
        <v>0</v>
      </c>
      <c r="AK215" s="127">
        <v>0</v>
      </c>
      <c r="AL215" s="127">
        <v>0</v>
      </c>
      <c r="AM215" s="127">
        <v>0</v>
      </c>
      <c r="AN215" s="127">
        <v>0</v>
      </c>
      <c r="AO215" s="127">
        <v>0</v>
      </c>
      <c r="AP215" s="127">
        <v>0</v>
      </c>
      <c r="AQ215" s="127">
        <v>0</v>
      </c>
      <c r="AR215" s="127">
        <v>0</v>
      </c>
      <c r="AS215" s="127">
        <v>0</v>
      </c>
      <c r="AT215" s="127">
        <v>0</v>
      </c>
      <c r="AU215" s="127">
        <v>0</v>
      </c>
      <c r="AV215" s="127">
        <v>0</v>
      </c>
      <c r="AW215" s="127">
        <v>0</v>
      </c>
      <c r="AX215" s="127">
        <v>0</v>
      </c>
      <c r="AY215" s="127">
        <v>0</v>
      </c>
    </row>
    <row r="216" spans="1:51" x14ac:dyDescent="0.2">
      <c r="A216" s="126"/>
      <c r="B216" s="135">
        <v>8</v>
      </c>
      <c r="C216" s="123">
        <v>0</v>
      </c>
      <c r="D216" s="127">
        <v>0</v>
      </c>
      <c r="E216" s="127">
        <v>0</v>
      </c>
      <c r="F216" s="127">
        <v>0</v>
      </c>
      <c r="G216" s="127">
        <v>0</v>
      </c>
      <c r="H216" s="127">
        <v>0</v>
      </c>
      <c r="I216" s="127">
        <v>0</v>
      </c>
      <c r="J216" s="127">
        <v>0</v>
      </c>
      <c r="K216" s="127">
        <v>0</v>
      </c>
      <c r="L216" s="127">
        <v>0</v>
      </c>
      <c r="M216" s="127">
        <v>0</v>
      </c>
      <c r="N216" s="127">
        <v>0</v>
      </c>
      <c r="O216" s="127">
        <v>0</v>
      </c>
      <c r="P216" s="127">
        <v>0</v>
      </c>
      <c r="Q216" s="127">
        <v>0</v>
      </c>
      <c r="R216" s="127">
        <v>0</v>
      </c>
      <c r="S216" s="127">
        <v>0</v>
      </c>
      <c r="T216" s="127">
        <v>0</v>
      </c>
      <c r="U216" s="127">
        <v>0</v>
      </c>
      <c r="V216" s="127">
        <v>0</v>
      </c>
      <c r="W216" s="127">
        <v>0</v>
      </c>
      <c r="X216" s="127">
        <v>0</v>
      </c>
      <c r="Y216" s="127">
        <v>0</v>
      </c>
      <c r="Z216" s="127">
        <v>0</v>
      </c>
      <c r="AA216" s="127">
        <v>0</v>
      </c>
      <c r="AB216" s="127">
        <v>0</v>
      </c>
      <c r="AC216" s="127">
        <v>0</v>
      </c>
      <c r="AD216" s="127">
        <v>0</v>
      </c>
      <c r="AE216" s="127">
        <v>0</v>
      </c>
      <c r="AF216" s="127">
        <v>0</v>
      </c>
      <c r="AG216" s="127">
        <v>0</v>
      </c>
      <c r="AH216" s="127">
        <v>0</v>
      </c>
      <c r="AI216" s="127">
        <v>0</v>
      </c>
      <c r="AJ216" s="127">
        <v>0</v>
      </c>
      <c r="AK216" s="127">
        <v>0</v>
      </c>
      <c r="AL216" s="127">
        <v>0</v>
      </c>
      <c r="AM216" s="127">
        <v>0</v>
      </c>
      <c r="AN216" s="127">
        <v>0</v>
      </c>
      <c r="AO216" s="127">
        <v>0</v>
      </c>
      <c r="AP216" s="127">
        <v>0</v>
      </c>
      <c r="AQ216" s="127">
        <v>0</v>
      </c>
      <c r="AR216" s="127">
        <v>0</v>
      </c>
      <c r="AS216" s="127">
        <v>0</v>
      </c>
      <c r="AT216" s="127">
        <v>0</v>
      </c>
      <c r="AU216" s="127">
        <v>0</v>
      </c>
      <c r="AV216" s="127">
        <v>0</v>
      </c>
      <c r="AW216" s="127">
        <v>0</v>
      </c>
      <c r="AX216" s="127">
        <v>0</v>
      </c>
      <c r="AY216" s="127">
        <v>0</v>
      </c>
    </row>
    <row r="217" spans="1:51" x14ac:dyDescent="0.2">
      <c r="A217" s="126"/>
      <c r="B217" s="135">
        <v>9</v>
      </c>
      <c r="C217" s="123">
        <v>0</v>
      </c>
      <c r="D217" s="127">
        <v>0</v>
      </c>
      <c r="E217" s="127">
        <v>0</v>
      </c>
      <c r="F217" s="127">
        <v>0</v>
      </c>
      <c r="G217" s="127">
        <v>0</v>
      </c>
      <c r="H217" s="127">
        <v>0</v>
      </c>
      <c r="I217" s="127">
        <v>0</v>
      </c>
      <c r="J217" s="127">
        <v>0</v>
      </c>
      <c r="K217" s="127">
        <v>0</v>
      </c>
      <c r="L217" s="127">
        <v>0</v>
      </c>
      <c r="M217" s="127">
        <v>0</v>
      </c>
      <c r="N217" s="127">
        <v>0</v>
      </c>
      <c r="O217" s="127">
        <v>0</v>
      </c>
      <c r="P217" s="127">
        <v>0</v>
      </c>
      <c r="Q217" s="127">
        <v>0</v>
      </c>
      <c r="R217" s="127">
        <v>0</v>
      </c>
      <c r="S217" s="127">
        <v>0</v>
      </c>
      <c r="T217" s="127">
        <v>0</v>
      </c>
      <c r="U217" s="127">
        <v>0</v>
      </c>
      <c r="V217" s="127">
        <v>0</v>
      </c>
      <c r="W217" s="127">
        <v>0</v>
      </c>
      <c r="X217" s="127">
        <v>0</v>
      </c>
      <c r="Y217" s="127">
        <v>0</v>
      </c>
      <c r="Z217" s="127">
        <v>0</v>
      </c>
      <c r="AA217" s="127">
        <v>0</v>
      </c>
      <c r="AB217" s="127">
        <v>0</v>
      </c>
      <c r="AC217" s="127">
        <v>0</v>
      </c>
      <c r="AD217" s="127">
        <v>0</v>
      </c>
      <c r="AE217" s="127">
        <v>0</v>
      </c>
      <c r="AF217" s="127">
        <v>0</v>
      </c>
      <c r="AG217" s="127">
        <v>0</v>
      </c>
      <c r="AH217" s="127">
        <v>0</v>
      </c>
      <c r="AI217" s="127">
        <v>0</v>
      </c>
      <c r="AJ217" s="127">
        <v>0</v>
      </c>
      <c r="AK217" s="127">
        <v>0</v>
      </c>
      <c r="AL217" s="127">
        <v>0</v>
      </c>
      <c r="AM217" s="127">
        <v>0</v>
      </c>
      <c r="AN217" s="127">
        <v>0</v>
      </c>
      <c r="AO217" s="127">
        <v>0</v>
      </c>
      <c r="AP217" s="127">
        <v>0</v>
      </c>
      <c r="AQ217" s="127">
        <v>0</v>
      </c>
      <c r="AR217" s="127">
        <v>0</v>
      </c>
      <c r="AS217" s="127">
        <v>0</v>
      </c>
      <c r="AT217" s="127">
        <v>0</v>
      </c>
      <c r="AU217" s="127">
        <v>0</v>
      </c>
      <c r="AV217" s="127">
        <v>0</v>
      </c>
      <c r="AW217" s="127">
        <v>0</v>
      </c>
      <c r="AX217" s="127">
        <v>0</v>
      </c>
      <c r="AY217" s="127">
        <v>0</v>
      </c>
    </row>
    <row r="218" spans="1:51" x14ac:dyDescent="0.2">
      <c r="A218" s="126"/>
      <c r="B218" s="135">
        <v>10</v>
      </c>
      <c r="C218" s="123">
        <v>0</v>
      </c>
      <c r="D218" s="127">
        <v>0</v>
      </c>
      <c r="E218" s="127">
        <v>0</v>
      </c>
      <c r="F218" s="127">
        <v>0</v>
      </c>
      <c r="G218" s="127">
        <v>0</v>
      </c>
      <c r="H218" s="127">
        <v>0</v>
      </c>
      <c r="I218" s="127">
        <v>0</v>
      </c>
      <c r="J218" s="127">
        <v>0</v>
      </c>
      <c r="K218" s="127">
        <v>0</v>
      </c>
      <c r="L218" s="127">
        <v>0</v>
      </c>
      <c r="M218" s="127">
        <v>0</v>
      </c>
      <c r="N218" s="127">
        <v>0</v>
      </c>
      <c r="O218" s="127">
        <v>0</v>
      </c>
      <c r="P218" s="127">
        <v>0</v>
      </c>
      <c r="Q218" s="127">
        <v>0</v>
      </c>
      <c r="R218" s="127">
        <v>0</v>
      </c>
      <c r="S218" s="127">
        <v>0</v>
      </c>
      <c r="T218" s="127">
        <v>0</v>
      </c>
      <c r="U218" s="127">
        <v>0</v>
      </c>
      <c r="V218" s="127">
        <v>0</v>
      </c>
      <c r="W218" s="127">
        <v>0</v>
      </c>
      <c r="X218" s="127">
        <v>0</v>
      </c>
      <c r="Y218" s="127">
        <v>0</v>
      </c>
      <c r="Z218" s="127">
        <v>0</v>
      </c>
      <c r="AA218" s="127">
        <v>0</v>
      </c>
      <c r="AB218" s="127">
        <v>0</v>
      </c>
      <c r="AC218" s="127">
        <v>0</v>
      </c>
      <c r="AD218" s="127">
        <v>0</v>
      </c>
      <c r="AE218" s="127">
        <v>0</v>
      </c>
      <c r="AF218" s="127">
        <v>0</v>
      </c>
      <c r="AG218" s="127">
        <v>0</v>
      </c>
      <c r="AH218" s="127">
        <v>0</v>
      </c>
      <c r="AI218" s="127">
        <v>0</v>
      </c>
      <c r="AJ218" s="127">
        <v>0</v>
      </c>
      <c r="AK218" s="127">
        <v>0</v>
      </c>
      <c r="AL218" s="127">
        <v>0</v>
      </c>
      <c r="AM218" s="127">
        <v>0</v>
      </c>
      <c r="AN218" s="127">
        <v>0</v>
      </c>
      <c r="AO218" s="127">
        <v>0</v>
      </c>
      <c r="AP218" s="127">
        <v>0</v>
      </c>
      <c r="AQ218" s="127">
        <v>0</v>
      </c>
      <c r="AR218" s="127">
        <v>0</v>
      </c>
      <c r="AS218" s="127">
        <v>0</v>
      </c>
      <c r="AT218" s="127">
        <v>0</v>
      </c>
      <c r="AU218" s="127">
        <v>0</v>
      </c>
      <c r="AV218" s="127">
        <v>0</v>
      </c>
      <c r="AW218" s="127">
        <v>0</v>
      </c>
      <c r="AX218" s="127">
        <v>0</v>
      </c>
      <c r="AY218" s="127">
        <v>0</v>
      </c>
    </row>
    <row r="219" spans="1:51" x14ac:dyDescent="0.2">
      <c r="A219" s="126"/>
      <c r="B219" s="135">
        <v>11</v>
      </c>
      <c r="C219" s="123">
        <v>0</v>
      </c>
      <c r="D219" s="127">
        <v>0</v>
      </c>
      <c r="E219" s="127">
        <v>0</v>
      </c>
      <c r="F219" s="127">
        <v>0</v>
      </c>
      <c r="G219" s="127">
        <v>0</v>
      </c>
      <c r="H219" s="127">
        <v>0</v>
      </c>
      <c r="I219" s="127">
        <v>0</v>
      </c>
      <c r="J219" s="127">
        <v>0</v>
      </c>
      <c r="K219" s="127">
        <v>0</v>
      </c>
      <c r="L219" s="127">
        <v>0</v>
      </c>
      <c r="M219" s="127">
        <v>0</v>
      </c>
      <c r="N219" s="127">
        <v>0</v>
      </c>
      <c r="O219" s="127">
        <v>0</v>
      </c>
      <c r="P219" s="127">
        <v>0</v>
      </c>
      <c r="Q219" s="127">
        <v>0</v>
      </c>
      <c r="R219" s="127">
        <v>0</v>
      </c>
      <c r="S219" s="127">
        <v>0</v>
      </c>
      <c r="T219" s="127">
        <v>0</v>
      </c>
      <c r="U219" s="127">
        <v>0</v>
      </c>
      <c r="V219" s="127">
        <v>0</v>
      </c>
      <c r="W219" s="127">
        <v>0</v>
      </c>
      <c r="X219" s="127">
        <v>0</v>
      </c>
      <c r="Y219" s="127">
        <v>0</v>
      </c>
      <c r="Z219" s="127">
        <v>0</v>
      </c>
      <c r="AA219" s="127">
        <v>0</v>
      </c>
      <c r="AB219" s="127">
        <v>0</v>
      </c>
      <c r="AC219" s="127">
        <v>0</v>
      </c>
      <c r="AD219" s="127">
        <v>0</v>
      </c>
      <c r="AE219" s="127">
        <v>0</v>
      </c>
      <c r="AF219" s="127">
        <v>0</v>
      </c>
      <c r="AG219" s="127">
        <v>0</v>
      </c>
      <c r="AH219" s="127">
        <v>0</v>
      </c>
      <c r="AI219" s="127">
        <v>0</v>
      </c>
      <c r="AJ219" s="127">
        <v>0</v>
      </c>
      <c r="AK219" s="127">
        <v>0</v>
      </c>
      <c r="AL219" s="127">
        <v>0</v>
      </c>
      <c r="AM219" s="127">
        <v>0</v>
      </c>
      <c r="AN219" s="127">
        <v>0</v>
      </c>
      <c r="AO219" s="127">
        <v>0</v>
      </c>
      <c r="AP219" s="127">
        <v>0</v>
      </c>
      <c r="AQ219" s="127">
        <v>0</v>
      </c>
      <c r="AR219" s="127">
        <v>0</v>
      </c>
      <c r="AS219" s="127">
        <v>0</v>
      </c>
      <c r="AT219" s="127">
        <v>0</v>
      </c>
      <c r="AU219" s="127">
        <v>0</v>
      </c>
      <c r="AV219" s="127">
        <v>0</v>
      </c>
      <c r="AW219" s="127">
        <v>0</v>
      </c>
      <c r="AX219" s="127">
        <v>0</v>
      </c>
      <c r="AY219" s="127">
        <v>0</v>
      </c>
    </row>
    <row r="220" spans="1:51" x14ac:dyDescent="0.2">
      <c r="A220" s="126"/>
      <c r="B220" s="135">
        <v>12</v>
      </c>
      <c r="C220" s="123">
        <v>0</v>
      </c>
      <c r="D220" s="127">
        <v>0</v>
      </c>
      <c r="E220" s="127">
        <v>0</v>
      </c>
      <c r="F220" s="127">
        <v>0</v>
      </c>
      <c r="G220" s="127">
        <v>0</v>
      </c>
      <c r="H220" s="127">
        <v>0</v>
      </c>
      <c r="I220" s="127">
        <v>0</v>
      </c>
      <c r="J220" s="127">
        <v>0</v>
      </c>
      <c r="K220" s="127">
        <v>0</v>
      </c>
      <c r="L220" s="127">
        <v>0</v>
      </c>
      <c r="M220" s="127">
        <v>0</v>
      </c>
      <c r="N220" s="127">
        <v>0</v>
      </c>
      <c r="O220" s="127">
        <v>0</v>
      </c>
      <c r="P220" s="127">
        <v>0</v>
      </c>
      <c r="Q220" s="127">
        <v>0</v>
      </c>
      <c r="R220" s="127">
        <v>0</v>
      </c>
      <c r="S220" s="127">
        <v>0</v>
      </c>
      <c r="T220" s="127">
        <v>0</v>
      </c>
      <c r="U220" s="127">
        <v>0</v>
      </c>
      <c r="V220" s="127">
        <v>0</v>
      </c>
      <c r="W220" s="127">
        <v>0</v>
      </c>
      <c r="X220" s="127">
        <v>0</v>
      </c>
      <c r="Y220" s="127">
        <v>0</v>
      </c>
      <c r="Z220" s="127">
        <v>0</v>
      </c>
      <c r="AA220" s="127">
        <v>0</v>
      </c>
      <c r="AB220" s="127">
        <v>0</v>
      </c>
      <c r="AC220" s="127">
        <v>0</v>
      </c>
      <c r="AD220" s="127">
        <v>0</v>
      </c>
      <c r="AE220" s="127">
        <v>0</v>
      </c>
      <c r="AF220" s="127">
        <v>0</v>
      </c>
      <c r="AG220" s="127">
        <v>0</v>
      </c>
      <c r="AH220" s="127">
        <v>0</v>
      </c>
      <c r="AI220" s="127">
        <v>0</v>
      </c>
      <c r="AJ220" s="127">
        <v>0</v>
      </c>
      <c r="AK220" s="127">
        <v>0</v>
      </c>
      <c r="AL220" s="127">
        <v>0</v>
      </c>
      <c r="AM220" s="127">
        <v>0</v>
      </c>
      <c r="AN220" s="127">
        <v>0</v>
      </c>
      <c r="AO220" s="127">
        <v>0</v>
      </c>
      <c r="AP220" s="127">
        <v>0</v>
      </c>
      <c r="AQ220" s="127">
        <v>0</v>
      </c>
      <c r="AR220" s="127">
        <v>0</v>
      </c>
      <c r="AS220" s="127">
        <v>0</v>
      </c>
      <c r="AT220" s="127">
        <v>0</v>
      </c>
      <c r="AU220" s="127">
        <v>0</v>
      </c>
      <c r="AV220" s="127">
        <v>0</v>
      </c>
      <c r="AW220" s="127">
        <v>0</v>
      </c>
      <c r="AX220" s="127">
        <v>0</v>
      </c>
      <c r="AY220" s="127">
        <v>0</v>
      </c>
    </row>
    <row r="221" spans="1:51" x14ac:dyDescent="0.2">
      <c r="A221" s="126"/>
      <c r="B221" s="136">
        <v>13</v>
      </c>
      <c r="C221" s="123">
        <v>0</v>
      </c>
      <c r="D221" s="127">
        <v>0</v>
      </c>
      <c r="E221" s="127">
        <v>0</v>
      </c>
      <c r="F221" s="127">
        <v>0</v>
      </c>
      <c r="G221" s="127">
        <v>0</v>
      </c>
      <c r="H221" s="127">
        <v>0</v>
      </c>
      <c r="I221" s="127">
        <v>0</v>
      </c>
      <c r="J221" s="127">
        <v>0</v>
      </c>
      <c r="K221" s="127">
        <v>0</v>
      </c>
      <c r="L221" s="127">
        <v>0</v>
      </c>
      <c r="M221" s="127">
        <v>0</v>
      </c>
      <c r="N221" s="127">
        <v>0</v>
      </c>
      <c r="O221" s="127">
        <v>0</v>
      </c>
      <c r="P221" s="127">
        <v>0</v>
      </c>
      <c r="Q221" s="127">
        <v>0</v>
      </c>
      <c r="R221" s="127">
        <v>0</v>
      </c>
      <c r="S221" s="127">
        <v>0</v>
      </c>
      <c r="T221" s="127">
        <v>0</v>
      </c>
      <c r="U221" s="127">
        <v>0</v>
      </c>
      <c r="V221" s="127">
        <v>0</v>
      </c>
      <c r="W221" s="127">
        <v>0</v>
      </c>
      <c r="X221" s="127">
        <v>0</v>
      </c>
      <c r="Y221" s="127">
        <v>0</v>
      </c>
      <c r="Z221" s="127">
        <v>0</v>
      </c>
      <c r="AA221" s="127">
        <v>0</v>
      </c>
      <c r="AB221" s="127">
        <v>0</v>
      </c>
      <c r="AC221" s="127">
        <v>0</v>
      </c>
      <c r="AD221" s="127">
        <v>0</v>
      </c>
      <c r="AE221" s="127">
        <v>0</v>
      </c>
      <c r="AF221" s="127">
        <v>0</v>
      </c>
      <c r="AG221" s="127">
        <v>0</v>
      </c>
      <c r="AH221" s="127">
        <v>0</v>
      </c>
      <c r="AI221" s="127">
        <v>0</v>
      </c>
      <c r="AJ221" s="127">
        <v>0</v>
      </c>
      <c r="AK221" s="127">
        <v>0</v>
      </c>
      <c r="AL221" s="127">
        <v>0</v>
      </c>
      <c r="AM221" s="127">
        <v>0</v>
      </c>
      <c r="AN221" s="127">
        <v>0</v>
      </c>
      <c r="AO221" s="127">
        <v>0</v>
      </c>
      <c r="AP221" s="127">
        <v>0</v>
      </c>
      <c r="AQ221" s="127">
        <v>0</v>
      </c>
      <c r="AR221" s="127">
        <v>0</v>
      </c>
      <c r="AS221" s="127">
        <v>0</v>
      </c>
      <c r="AT221" s="127">
        <v>0</v>
      </c>
      <c r="AU221" s="127">
        <v>0</v>
      </c>
      <c r="AV221" s="127">
        <v>0</v>
      </c>
      <c r="AW221" s="127">
        <v>0</v>
      </c>
      <c r="AX221" s="127">
        <v>0</v>
      </c>
      <c r="AY221" s="127">
        <v>0</v>
      </c>
    </row>
    <row r="222" spans="1:51" x14ac:dyDescent="0.2">
      <c r="A222" s="126"/>
      <c r="B222" s="136">
        <v>14</v>
      </c>
      <c r="C222" s="123">
        <v>0</v>
      </c>
      <c r="D222" s="127">
        <v>0</v>
      </c>
      <c r="E222" s="127">
        <v>0</v>
      </c>
      <c r="F222" s="127">
        <v>0</v>
      </c>
      <c r="G222" s="127">
        <v>0</v>
      </c>
      <c r="H222" s="127">
        <v>0</v>
      </c>
      <c r="I222" s="127">
        <v>0</v>
      </c>
      <c r="J222" s="127">
        <v>0</v>
      </c>
      <c r="K222" s="127">
        <v>0</v>
      </c>
      <c r="L222" s="127">
        <v>0</v>
      </c>
      <c r="M222" s="127">
        <v>0</v>
      </c>
      <c r="N222" s="127">
        <v>0</v>
      </c>
      <c r="O222" s="127">
        <v>0</v>
      </c>
      <c r="P222" s="127">
        <v>0</v>
      </c>
      <c r="Q222" s="127">
        <v>0</v>
      </c>
      <c r="R222" s="127">
        <v>0</v>
      </c>
      <c r="S222" s="127">
        <v>0</v>
      </c>
      <c r="T222" s="127">
        <v>0</v>
      </c>
      <c r="U222" s="127">
        <v>0</v>
      </c>
      <c r="V222" s="127">
        <v>0</v>
      </c>
      <c r="W222" s="127">
        <v>0</v>
      </c>
      <c r="X222" s="127">
        <v>0</v>
      </c>
      <c r="Y222" s="127">
        <v>0</v>
      </c>
      <c r="Z222" s="127">
        <v>0</v>
      </c>
      <c r="AA222" s="127">
        <v>0</v>
      </c>
      <c r="AB222" s="127">
        <v>0</v>
      </c>
      <c r="AC222" s="127">
        <v>0</v>
      </c>
      <c r="AD222" s="127">
        <v>0</v>
      </c>
      <c r="AE222" s="127">
        <v>0</v>
      </c>
      <c r="AF222" s="127">
        <v>0</v>
      </c>
      <c r="AG222" s="127">
        <v>0</v>
      </c>
      <c r="AH222" s="127">
        <v>0</v>
      </c>
      <c r="AI222" s="127">
        <v>0</v>
      </c>
      <c r="AJ222" s="127">
        <v>0</v>
      </c>
      <c r="AK222" s="127">
        <v>0</v>
      </c>
      <c r="AL222" s="127">
        <v>0</v>
      </c>
      <c r="AM222" s="127">
        <v>0</v>
      </c>
      <c r="AN222" s="127">
        <v>0</v>
      </c>
      <c r="AO222" s="127">
        <v>0</v>
      </c>
      <c r="AP222" s="127">
        <v>0</v>
      </c>
      <c r="AQ222" s="127">
        <v>0</v>
      </c>
      <c r="AR222" s="127">
        <v>0</v>
      </c>
      <c r="AS222" s="127">
        <v>0</v>
      </c>
      <c r="AT222" s="127">
        <v>0</v>
      </c>
      <c r="AU222" s="127">
        <v>0</v>
      </c>
      <c r="AV222" s="127">
        <v>0</v>
      </c>
      <c r="AW222" s="127">
        <v>0</v>
      </c>
      <c r="AX222" s="127">
        <v>0</v>
      </c>
      <c r="AY222" s="127">
        <v>0</v>
      </c>
    </row>
    <row r="223" spans="1:51" x14ac:dyDescent="0.2">
      <c r="A223" s="126"/>
      <c r="B223" s="136">
        <v>15</v>
      </c>
      <c r="C223" s="123">
        <v>0</v>
      </c>
      <c r="D223" s="127">
        <v>0</v>
      </c>
      <c r="E223" s="127">
        <v>0</v>
      </c>
      <c r="F223" s="127">
        <v>0</v>
      </c>
      <c r="G223" s="127">
        <v>0</v>
      </c>
      <c r="H223" s="127">
        <v>0</v>
      </c>
      <c r="I223" s="127">
        <v>0</v>
      </c>
      <c r="J223" s="127">
        <v>0</v>
      </c>
      <c r="K223" s="127">
        <v>0</v>
      </c>
      <c r="L223" s="127">
        <v>0</v>
      </c>
      <c r="M223" s="127">
        <v>0</v>
      </c>
      <c r="N223" s="127">
        <v>0</v>
      </c>
      <c r="O223" s="127">
        <v>0</v>
      </c>
      <c r="P223" s="127">
        <v>0</v>
      </c>
      <c r="Q223" s="127">
        <v>0</v>
      </c>
      <c r="R223" s="127">
        <v>0</v>
      </c>
      <c r="S223" s="127">
        <v>0</v>
      </c>
      <c r="T223" s="127">
        <v>0</v>
      </c>
      <c r="U223" s="127">
        <v>0</v>
      </c>
      <c r="V223" s="127">
        <v>0</v>
      </c>
      <c r="W223" s="127">
        <v>0</v>
      </c>
      <c r="X223" s="127">
        <v>0</v>
      </c>
      <c r="Y223" s="127">
        <v>0</v>
      </c>
      <c r="Z223" s="127">
        <v>0</v>
      </c>
      <c r="AA223" s="127">
        <v>0</v>
      </c>
      <c r="AB223" s="127">
        <v>0</v>
      </c>
      <c r="AC223" s="127">
        <v>0</v>
      </c>
      <c r="AD223" s="127">
        <v>0</v>
      </c>
      <c r="AE223" s="127">
        <v>0</v>
      </c>
      <c r="AF223" s="127">
        <v>0</v>
      </c>
      <c r="AG223" s="127">
        <v>0</v>
      </c>
      <c r="AH223" s="127">
        <v>0</v>
      </c>
      <c r="AI223" s="127">
        <v>0</v>
      </c>
      <c r="AJ223" s="127">
        <v>0</v>
      </c>
      <c r="AK223" s="127">
        <v>0</v>
      </c>
      <c r="AL223" s="127">
        <v>0</v>
      </c>
      <c r="AM223" s="127">
        <v>0</v>
      </c>
      <c r="AN223" s="127">
        <v>0</v>
      </c>
      <c r="AO223" s="127">
        <v>0</v>
      </c>
      <c r="AP223" s="127">
        <v>0</v>
      </c>
      <c r="AQ223" s="127">
        <v>0</v>
      </c>
      <c r="AR223" s="127">
        <v>0</v>
      </c>
      <c r="AS223" s="127">
        <v>0</v>
      </c>
      <c r="AT223" s="127">
        <v>0</v>
      </c>
      <c r="AU223" s="127">
        <v>0</v>
      </c>
      <c r="AV223" s="127">
        <v>0</v>
      </c>
      <c r="AW223" s="127">
        <v>0</v>
      </c>
      <c r="AX223" s="127">
        <v>0</v>
      </c>
      <c r="AY223" s="127">
        <v>0</v>
      </c>
    </row>
    <row r="224" spans="1:51" x14ac:dyDescent="0.2">
      <c r="A224" s="126"/>
      <c r="B224" s="136">
        <v>16</v>
      </c>
      <c r="C224" s="123">
        <v>0</v>
      </c>
      <c r="D224" s="127">
        <v>0</v>
      </c>
      <c r="E224" s="127">
        <v>0</v>
      </c>
      <c r="F224" s="127">
        <v>0</v>
      </c>
      <c r="G224" s="127">
        <v>0</v>
      </c>
      <c r="H224" s="127">
        <v>0</v>
      </c>
      <c r="I224" s="127">
        <v>0</v>
      </c>
      <c r="J224" s="127">
        <v>0</v>
      </c>
      <c r="K224" s="127">
        <v>0</v>
      </c>
      <c r="L224" s="127">
        <v>0</v>
      </c>
      <c r="M224" s="127">
        <v>0</v>
      </c>
      <c r="N224" s="127">
        <v>0</v>
      </c>
      <c r="O224" s="127">
        <v>0</v>
      </c>
      <c r="P224" s="127">
        <v>0</v>
      </c>
      <c r="Q224" s="127">
        <v>0</v>
      </c>
      <c r="R224" s="127">
        <v>0</v>
      </c>
      <c r="S224" s="127">
        <v>0</v>
      </c>
      <c r="T224" s="127">
        <v>0</v>
      </c>
      <c r="U224" s="127">
        <v>0</v>
      </c>
      <c r="V224" s="127">
        <v>0</v>
      </c>
      <c r="W224" s="127">
        <v>0</v>
      </c>
      <c r="X224" s="127">
        <v>0</v>
      </c>
      <c r="Y224" s="127">
        <v>0</v>
      </c>
      <c r="Z224" s="127">
        <v>0</v>
      </c>
      <c r="AA224" s="127">
        <v>0</v>
      </c>
      <c r="AB224" s="127">
        <v>0</v>
      </c>
      <c r="AC224" s="127">
        <v>0</v>
      </c>
      <c r="AD224" s="127">
        <v>0</v>
      </c>
      <c r="AE224" s="127">
        <v>0</v>
      </c>
      <c r="AF224" s="127">
        <v>0</v>
      </c>
      <c r="AG224" s="127">
        <v>0</v>
      </c>
      <c r="AH224" s="127">
        <v>0</v>
      </c>
      <c r="AI224" s="127">
        <v>0</v>
      </c>
      <c r="AJ224" s="127">
        <v>0</v>
      </c>
      <c r="AK224" s="127">
        <v>0</v>
      </c>
      <c r="AL224" s="127">
        <v>0</v>
      </c>
      <c r="AM224" s="127">
        <v>0</v>
      </c>
      <c r="AN224" s="127">
        <v>0</v>
      </c>
      <c r="AO224" s="127">
        <v>0</v>
      </c>
      <c r="AP224" s="127">
        <v>0</v>
      </c>
      <c r="AQ224" s="127">
        <v>0</v>
      </c>
      <c r="AR224" s="127">
        <v>0</v>
      </c>
      <c r="AS224" s="127">
        <v>0</v>
      </c>
      <c r="AT224" s="127">
        <v>0</v>
      </c>
      <c r="AU224" s="127">
        <v>0</v>
      </c>
      <c r="AV224" s="127">
        <v>0</v>
      </c>
      <c r="AW224" s="127">
        <v>0</v>
      </c>
      <c r="AX224" s="127">
        <v>0</v>
      </c>
      <c r="AY224" s="127">
        <v>0</v>
      </c>
    </row>
    <row r="225" spans="1:51" x14ac:dyDescent="0.2">
      <c r="A225" s="126"/>
      <c r="B225" s="136">
        <v>17</v>
      </c>
      <c r="C225" s="123">
        <v>0</v>
      </c>
      <c r="D225" s="127">
        <v>0</v>
      </c>
      <c r="E225" s="127">
        <v>0</v>
      </c>
      <c r="F225" s="127">
        <v>0</v>
      </c>
      <c r="G225" s="127">
        <v>0</v>
      </c>
      <c r="H225" s="127">
        <v>0</v>
      </c>
      <c r="I225" s="127">
        <v>0</v>
      </c>
      <c r="J225" s="127">
        <v>0</v>
      </c>
      <c r="K225" s="127">
        <v>0</v>
      </c>
      <c r="L225" s="127">
        <v>0</v>
      </c>
      <c r="M225" s="127">
        <v>0</v>
      </c>
      <c r="N225" s="127">
        <v>0</v>
      </c>
      <c r="O225" s="127">
        <v>0</v>
      </c>
      <c r="P225" s="127">
        <v>0</v>
      </c>
      <c r="Q225" s="127">
        <v>0</v>
      </c>
      <c r="R225" s="127">
        <v>0</v>
      </c>
      <c r="S225" s="127">
        <v>0</v>
      </c>
      <c r="T225" s="127">
        <v>0</v>
      </c>
      <c r="U225" s="127">
        <v>0</v>
      </c>
      <c r="V225" s="127">
        <v>0</v>
      </c>
      <c r="W225" s="127">
        <v>0</v>
      </c>
      <c r="X225" s="127">
        <v>0</v>
      </c>
      <c r="Y225" s="127">
        <v>0</v>
      </c>
      <c r="Z225" s="127">
        <v>0</v>
      </c>
      <c r="AA225" s="127">
        <v>0</v>
      </c>
      <c r="AB225" s="127">
        <v>0</v>
      </c>
      <c r="AC225" s="127">
        <v>0</v>
      </c>
      <c r="AD225" s="127">
        <v>0</v>
      </c>
      <c r="AE225" s="127">
        <v>0</v>
      </c>
      <c r="AF225" s="127">
        <v>0</v>
      </c>
      <c r="AG225" s="127">
        <v>0</v>
      </c>
      <c r="AH225" s="127">
        <v>0</v>
      </c>
      <c r="AI225" s="127">
        <v>0</v>
      </c>
      <c r="AJ225" s="127">
        <v>0</v>
      </c>
      <c r="AK225" s="127">
        <v>0</v>
      </c>
      <c r="AL225" s="127">
        <v>0</v>
      </c>
      <c r="AM225" s="127">
        <v>0</v>
      </c>
      <c r="AN225" s="127">
        <v>0</v>
      </c>
      <c r="AO225" s="127">
        <v>0</v>
      </c>
      <c r="AP225" s="127">
        <v>0</v>
      </c>
      <c r="AQ225" s="127">
        <v>0</v>
      </c>
      <c r="AR225" s="127">
        <v>0</v>
      </c>
      <c r="AS225" s="127">
        <v>0</v>
      </c>
      <c r="AT225" s="127">
        <v>0</v>
      </c>
      <c r="AU225" s="127">
        <v>0</v>
      </c>
      <c r="AV225" s="127">
        <v>0</v>
      </c>
      <c r="AW225" s="127">
        <v>0</v>
      </c>
      <c r="AX225" s="127">
        <v>0</v>
      </c>
      <c r="AY225" s="127">
        <v>0</v>
      </c>
    </row>
    <row r="226" spans="1:51" x14ac:dyDescent="0.2">
      <c r="A226" s="126"/>
      <c r="B226" s="136">
        <v>18</v>
      </c>
      <c r="C226" s="123">
        <v>0</v>
      </c>
      <c r="D226" s="127">
        <v>0</v>
      </c>
      <c r="E226" s="127">
        <v>0</v>
      </c>
      <c r="F226" s="127">
        <v>0</v>
      </c>
      <c r="G226" s="127">
        <v>0</v>
      </c>
      <c r="H226" s="127">
        <v>0</v>
      </c>
      <c r="I226" s="127">
        <v>0</v>
      </c>
      <c r="J226" s="127">
        <v>0</v>
      </c>
      <c r="K226" s="127">
        <v>0</v>
      </c>
      <c r="L226" s="127">
        <v>0</v>
      </c>
      <c r="M226" s="127">
        <v>0</v>
      </c>
      <c r="N226" s="127">
        <v>0</v>
      </c>
      <c r="O226" s="127">
        <v>0</v>
      </c>
      <c r="P226" s="127">
        <v>0</v>
      </c>
      <c r="Q226" s="127">
        <v>0</v>
      </c>
      <c r="R226" s="127">
        <v>0</v>
      </c>
      <c r="S226" s="127">
        <v>0</v>
      </c>
      <c r="T226" s="127">
        <v>0</v>
      </c>
      <c r="U226" s="127">
        <v>0</v>
      </c>
      <c r="V226" s="127">
        <v>0</v>
      </c>
      <c r="W226" s="127">
        <v>0</v>
      </c>
      <c r="X226" s="127">
        <v>0</v>
      </c>
      <c r="Y226" s="127">
        <v>0</v>
      </c>
      <c r="Z226" s="127">
        <v>0</v>
      </c>
      <c r="AA226" s="127">
        <v>0</v>
      </c>
      <c r="AB226" s="127">
        <v>0</v>
      </c>
      <c r="AC226" s="127">
        <v>0</v>
      </c>
      <c r="AD226" s="127">
        <v>0</v>
      </c>
      <c r="AE226" s="127">
        <v>0</v>
      </c>
      <c r="AF226" s="127">
        <v>0</v>
      </c>
      <c r="AG226" s="127">
        <v>0</v>
      </c>
      <c r="AH226" s="127">
        <v>0</v>
      </c>
      <c r="AI226" s="127">
        <v>0</v>
      </c>
      <c r="AJ226" s="127">
        <v>0</v>
      </c>
      <c r="AK226" s="127">
        <v>0</v>
      </c>
      <c r="AL226" s="127">
        <v>0</v>
      </c>
      <c r="AM226" s="127">
        <v>0</v>
      </c>
      <c r="AN226" s="127">
        <v>0</v>
      </c>
      <c r="AO226" s="127">
        <v>0</v>
      </c>
      <c r="AP226" s="127">
        <v>0</v>
      </c>
      <c r="AQ226" s="127">
        <v>0</v>
      </c>
      <c r="AR226" s="127">
        <v>0</v>
      </c>
      <c r="AS226" s="127">
        <v>0</v>
      </c>
      <c r="AT226" s="127">
        <v>0</v>
      </c>
      <c r="AU226" s="127">
        <v>0</v>
      </c>
      <c r="AV226" s="127">
        <v>0</v>
      </c>
      <c r="AW226" s="127">
        <v>0</v>
      </c>
      <c r="AX226" s="127">
        <v>0</v>
      </c>
      <c r="AY226" s="127">
        <v>0</v>
      </c>
    </row>
    <row r="227" spans="1:51" x14ac:dyDescent="0.2">
      <c r="A227" s="126"/>
      <c r="B227" s="136">
        <v>19</v>
      </c>
      <c r="C227" s="123">
        <v>0</v>
      </c>
      <c r="D227" s="127">
        <v>0</v>
      </c>
      <c r="E227" s="127">
        <v>0</v>
      </c>
      <c r="F227" s="127">
        <v>0</v>
      </c>
      <c r="G227" s="127">
        <v>0</v>
      </c>
      <c r="H227" s="127">
        <v>0</v>
      </c>
      <c r="I227" s="127">
        <v>0</v>
      </c>
      <c r="J227" s="127">
        <v>0</v>
      </c>
      <c r="K227" s="127">
        <v>0</v>
      </c>
      <c r="L227" s="127">
        <v>0</v>
      </c>
      <c r="M227" s="127">
        <v>0</v>
      </c>
      <c r="N227" s="127">
        <v>0</v>
      </c>
      <c r="O227" s="127">
        <v>0</v>
      </c>
      <c r="P227" s="127">
        <v>0</v>
      </c>
      <c r="Q227" s="127">
        <v>0</v>
      </c>
      <c r="R227" s="127">
        <v>0</v>
      </c>
      <c r="S227" s="127">
        <v>0</v>
      </c>
      <c r="T227" s="127">
        <v>0</v>
      </c>
      <c r="U227" s="127">
        <v>0</v>
      </c>
      <c r="V227" s="127">
        <v>0</v>
      </c>
      <c r="W227" s="127">
        <v>0</v>
      </c>
      <c r="X227" s="127">
        <v>0</v>
      </c>
      <c r="Y227" s="127">
        <v>0</v>
      </c>
      <c r="Z227" s="127">
        <v>0</v>
      </c>
      <c r="AA227" s="127">
        <v>0</v>
      </c>
      <c r="AB227" s="127">
        <v>0</v>
      </c>
      <c r="AC227" s="127">
        <v>0</v>
      </c>
      <c r="AD227" s="127">
        <v>0</v>
      </c>
      <c r="AE227" s="127">
        <v>0</v>
      </c>
      <c r="AF227" s="127">
        <v>0</v>
      </c>
      <c r="AG227" s="127">
        <v>0</v>
      </c>
      <c r="AH227" s="127">
        <v>0</v>
      </c>
      <c r="AI227" s="127">
        <v>0</v>
      </c>
      <c r="AJ227" s="127">
        <v>0</v>
      </c>
      <c r="AK227" s="127">
        <v>0</v>
      </c>
      <c r="AL227" s="127">
        <v>0</v>
      </c>
      <c r="AM227" s="127">
        <v>0</v>
      </c>
      <c r="AN227" s="127">
        <v>0</v>
      </c>
      <c r="AO227" s="127">
        <v>0</v>
      </c>
      <c r="AP227" s="127">
        <v>0</v>
      </c>
      <c r="AQ227" s="127">
        <v>0</v>
      </c>
      <c r="AR227" s="127">
        <v>0</v>
      </c>
      <c r="AS227" s="127">
        <v>0</v>
      </c>
      <c r="AT227" s="127">
        <v>0</v>
      </c>
      <c r="AU227" s="127">
        <v>0</v>
      </c>
      <c r="AV227" s="127">
        <v>0</v>
      </c>
      <c r="AW227" s="127">
        <v>0</v>
      </c>
      <c r="AX227" s="127">
        <v>0</v>
      </c>
      <c r="AY227" s="127">
        <v>0</v>
      </c>
    </row>
    <row r="228" spans="1:51" x14ac:dyDescent="0.2">
      <c r="A228" s="126"/>
      <c r="B228" s="136">
        <v>20</v>
      </c>
      <c r="C228" s="123">
        <v>0</v>
      </c>
      <c r="D228" s="127">
        <v>0</v>
      </c>
      <c r="E228" s="127">
        <v>0</v>
      </c>
      <c r="F228" s="127">
        <v>0</v>
      </c>
      <c r="G228" s="127">
        <v>0</v>
      </c>
      <c r="H228" s="127">
        <v>0</v>
      </c>
      <c r="I228" s="127">
        <v>0</v>
      </c>
      <c r="J228" s="127">
        <v>0</v>
      </c>
      <c r="K228" s="127">
        <v>0</v>
      </c>
      <c r="L228" s="127">
        <v>0</v>
      </c>
      <c r="M228" s="127">
        <v>0</v>
      </c>
      <c r="N228" s="127">
        <v>0</v>
      </c>
      <c r="O228" s="127">
        <v>0</v>
      </c>
      <c r="P228" s="127">
        <v>0</v>
      </c>
      <c r="Q228" s="127">
        <v>0</v>
      </c>
      <c r="R228" s="127">
        <v>0</v>
      </c>
      <c r="S228" s="127">
        <v>0</v>
      </c>
      <c r="T228" s="127">
        <v>0</v>
      </c>
      <c r="U228" s="127">
        <v>0</v>
      </c>
      <c r="V228" s="127">
        <v>0</v>
      </c>
      <c r="W228" s="127">
        <v>0</v>
      </c>
      <c r="X228" s="127">
        <v>0</v>
      </c>
      <c r="Y228" s="127">
        <v>0</v>
      </c>
      <c r="Z228" s="127">
        <v>0</v>
      </c>
      <c r="AA228" s="127">
        <v>0</v>
      </c>
      <c r="AB228" s="127">
        <v>0</v>
      </c>
      <c r="AC228" s="127">
        <v>0</v>
      </c>
      <c r="AD228" s="127">
        <v>0</v>
      </c>
      <c r="AE228" s="127">
        <v>0</v>
      </c>
      <c r="AF228" s="127">
        <v>0</v>
      </c>
      <c r="AG228" s="127">
        <v>0</v>
      </c>
      <c r="AH228" s="127">
        <v>0</v>
      </c>
      <c r="AI228" s="127">
        <v>0</v>
      </c>
      <c r="AJ228" s="127">
        <v>0</v>
      </c>
      <c r="AK228" s="127">
        <v>0</v>
      </c>
      <c r="AL228" s="127">
        <v>0</v>
      </c>
      <c r="AM228" s="127">
        <v>0</v>
      </c>
      <c r="AN228" s="127">
        <v>0</v>
      </c>
      <c r="AO228" s="127">
        <v>0</v>
      </c>
      <c r="AP228" s="127">
        <v>0</v>
      </c>
      <c r="AQ228" s="127">
        <v>0</v>
      </c>
      <c r="AR228" s="127">
        <v>0</v>
      </c>
      <c r="AS228" s="127">
        <v>0</v>
      </c>
      <c r="AT228" s="127">
        <v>0</v>
      </c>
      <c r="AU228" s="127">
        <v>0</v>
      </c>
      <c r="AV228" s="127">
        <v>0</v>
      </c>
      <c r="AW228" s="127">
        <v>0</v>
      </c>
      <c r="AX228" s="127">
        <v>0</v>
      </c>
      <c r="AY228" s="127">
        <v>0</v>
      </c>
    </row>
    <row r="229" spans="1:51" x14ac:dyDescent="0.2">
      <c r="A229" s="126"/>
      <c r="B229" s="136">
        <v>21</v>
      </c>
      <c r="C229" s="123">
        <v>0</v>
      </c>
      <c r="D229" s="127">
        <v>0</v>
      </c>
      <c r="E229" s="127">
        <v>0</v>
      </c>
      <c r="F229" s="127">
        <v>0</v>
      </c>
      <c r="G229" s="127">
        <v>0</v>
      </c>
      <c r="H229" s="127">
        <v>0</v>
      </c>
      <c r="I229" s="127">
        <v>0</v>
      </c>
      <c r="J229" s="127">
        <v>0</v>
      </c>
      <c r="K229" s="127">
        <v>0</v>
      </c>
      <c r="L229" s="127">
        <v>0</v>
      </c>
      <c r="M229" s="127">
        <v>0</v>
      </c>
      <c r="N229" s="127">
        <v>0</v>
      </c>
      <c r="O229" s="127">
        <v>0</v>
      </c>
      <c r="P229" s="127">
        <v>0</v>
      </c>
      <c r="Q229" s="127">
        <v>0</v>
      </c>
      <c r="R229" s="127">
        <v>0</v>
      </c>
      <c r="S229" s="127">
        <v>0</v>
      </c>
      <c r="T229" s="127">
        <v>0</v>
      </c>
      <c r="U229" s="127">
        <v>0</v>
      </c>
      <c r="V229" s="127">
        <v>0</v>
      </c>
      <c r="W229" s="127">
        <v>0</v>
      </c>
      <c r="X229" s="127">
        <v>0</v>
      </c>
      <c r="Y229" s="127">
        <v>0</v>
      </c>
      <c r="Z229" s="127">
        <v>0</v>
      </c>
      <c r="AA229" s="127">
        <v>0</v>
      </c>
      <c r="AB229" s="127">
        <v>0</v>
      </c>
      <c r="AC229" s="127">
        <v>0</v>
      </c>
      <c r="AD229" s="127">
        <v>0</v>
      </c>
      <c r="AE229" s="127">
        <v>0</v>
      </c>
      <c r="AF229" s="127">
        <v>0</v>
      </c>
      <c r="AG229" s="127">
        <v>0</v>
      </c>
      <c r="AH229" s="127">
        <v>0</v>
      </c>
      <c r="AI229" s="127">
        <v>0</v>
      </c>
      <c r="AJ229" s="127">
        <v>0</v>
      </c>
      <c r="AK229" s="127">
        <v>0</v>
      </c>
      <c r="AL229" s="127">
        <v>0</v>
      </c>
      <c r="AM229" s="127">
        <v>0</v>
      </c>
      <c r="AN229" s="127">
        <v>0</v>
      </c>
      <c r="AO229" s="127">
        <v>0</v>
      </c>
      <c r="AP229" s="127">
        <v>0</v>
      </c>
      <c r="AQ229" s="127">
        <v>0</v>
      </c>
      <c r="AR229" s="127">
        <v>0</v>
      </c>
      <c r="AS229" s="127">
        <v>0</v>
      </c>
      <c r="AT229" s="127">
        <v>0</v>
      </c>
      <c r="AU229" s="127">
        <v>0</v>
      </c>
      <c r="AV229" s="127">
        <v>0</v>
      </c>
      <c r="AW229" s="127">
        <v>0</v>
      </c>
      <c r="AX229" s="127">
        <v>0</v>
      </c>
      <c r="AY229" s="127">
        <v>0</v>
      </c>
    </row>
    <row r="230" spans="1:51" x14ac:dyDescent="0.2">
      <c r="A230" s="126"/>
      <c r="B230" s="136">
        <v>22</v>
      </c>
      <c r="C230" s="123">
        <v>0</v>
      </c>
      <c r="D230" s="127">
        <v>0</v>
      </c>
      <c r="E230" s="127">
        <v>0</v>
      </c>
      <c r="F230" s="127">
        <v>0</v>
      </c>
      <c r="G230" s="127">
        <v>0</v>
      </c>
      <c r="H230" s="127">
        <v>0</v>
      </c>
      <c r="I230" s="127">
        <v>0</v>
      </c>
      <c r="J230" s="127">
        <v>0</v>
      </c>
      <c r="K230" s="127">
        <v>0</v>
      </c>
      <c r="L230" s="127">
        <v>0</v>
      </c>
      <c r="M230" s="127">
        <v>0</v>
      </c>
      <c r="N230" s="127">
        <v>0</v>
      </c>
      <c r="O230" s="127">
        <v>0</v>
      </c>
      <c r="P230" s="127">
        <v>0</v>
      </c>
      <c r="Q230" s="127">
        <v>0</v>
      </c>
      <c r="R230" s="127">
        <v>0</v>
      </c>
      <c r="S230" s="127">
        <v>0</v>
      </c>
      <c r="T230" s="127">
        <v>0</v>
      </c>
      <c r="U230" s="127">
        <v>0</v>
      </c>
      <c r="V230" s="127">
        <v>0</v>
      </c>
      <c r="W230" s="127">
        <v>0</v>
      </c>
      <c r="X230" s="127">
        <v>0</v>
      </c>
      <c r="Y230" s="127">
        <v>0</v>
      </c>
      <c r="Z230" s="127">
        <v>0</v>
      </c>
      <c r="AA230" s="127">
        <v>0</v>
      </c>
      <c r="AB230" s="127">
        <v>0</v>
      </c>
      <c r="AC230" s="127">
        <v>0</v>
      </c>
      <c r="AD230" s="127">
        <v>0</v>
      </c>
      <c r="AE230" s="127">
        <v>0</v>
      </c>
      <c r="AF230" s="127">
        <v>0</v>
      </c>
      <c r="AG230" s="127">
        <v>0</v>
      </c>
      <c r="AH230" s="127">
        <v>0</v>
      </c>
      <c r="AI230" s="127">
        <v>0</v>
      </c>
      <c r="AJ230" s="127">
        <v>0</v>
      </c>
      <c r="AK230" s="127">
        <v>0</v>
      </c>
      <c r="AL230" s="127">
        <v>0</v>
      </c>
      <c r="AM230" s="127">
        <v>0</v>
      </c>
      <c r="AN230" s="127">
        <v>0</v>
      </c>
      <c r="AO230" s="127">
        <v>0</v>
      </c>
      <c r="AP230" s="127">
        <v>0</v>
      </c>
      <c r="AQ230" s="127">
        <v>0</v>
      </c>
      <c r="AR230" s="127">
        <v>0</v>
      </c>
      <c r="AS230" s="127">
        <v>0</v>
      </c>
      <c r="AT230" s="127">
        <v>0</v>
      </c>
      <c r="AU230" s="127">
        <v>0</v>
      </c>
      <c r="AV230" s="127">
        <v>0</v>
      </c>
      <c r="AW230" s="127">
        <v>0</v>
      </c>
      <c r="AX230" s="127">
        <v>0</v>
      </c>
      <c r="AY230" s="127">
        <v>0</v>
      </c>
    </row>
    <row r="231" spans="1:51" x14ac:dyDescent="0.2">
      <c r="A231" s="126"/>
      <c r="B231" s="136">
        <v>23</v>
      </c>
      <c r="C231" s="123">
        <v>0</v>
      </c>
      <c r="D231" s="127">
        <v>0</v>
      </c>
      <c r="E231" s="127">
        <v>0</v>
      </c>
      <c r="F231" s="127">
        <v>0</v>
      </c>
      <c r="G231" s="127">
        <v>0</v>
      </c>
      <c r="H231" s="127">
        <v>0</v>
      </c>
      <c r="I231" s="127">
        <v>0</v>
      </c>
      <c r="J231" s="127">
        <v>0</v>
      </c>
      <c r="K231" s="127">
        <v>0</v>
      </c>
      <c r="L231" s="127">
        <v>0</v>
      </c>
      <c r="M231" s="127">
        <v>0</v>
      </c>
      <c r="N231" s="127">
        <v>0</v>
      </c>
      <c r="O231" s="127">
        <v>0</v>
      </c>
      <c r="P231" s="127">
        <v>0</v>
      </c>
      <c r="Q231" s="127">
        <v>0</v>
      </c>
      <c r="R231" s="127">
        <v>0</v>
      </c>
      <c r="S231" s="127">
        <v>0</v>
      </c>
      <c r="T231" s="127">
        <v>0</v>
      </c>
      <c r="U231" s="127">
        <v>0</v>
      </c>
      <c r="V231" s="127">
        <v>0</v>
      </c>
      <c r="W231" s="127">
        <v>0</v>
      </c>
      <c r="X231" s="127">
        <v>0</v>
      </c>
      <c r="Y231" s="127">
        <v>0</v>
      </c>
      <c r="Z231" s="127">
        <v>0</v>
      </c>
      <c r="AA231" s="127">
        <v>0</v>
      </c>
      <c r="AB231" s="127">
        <v>0</v>
      </c>
      <c r="AC231" s="127">
        <v>0</v>
      </c>
      <c r="AD231" s="127">
        <v>0</v>
      </c>
      <c r="AE231" s="127">
        <v>0</v>
      </c>
      <c r="AF231" s="127">
        <v>0</v>
      </c>
      <c r="AG231" s="127">
        <v>0</v>
      </c>
      <c r="AH231" s="127">
        <v>0</v>
      </c>
      <c r="AI231" s="127">
        <v>0</v>
      </c>
      <c r="AJ231" s="127">
        <v>0</v>
      </c>
      <c r="AK231" s="127">
        <v>0</v>
      </c>
      <c r="AL231" s="127">
        <v>0</v>
      </c>
      <c r="AM231" s="127">
        <v>0</v>
      </c>
      <c r="AN231" s="127">
        <v>0</v>
      </c>
      <c r="AO231" s="127">
        <v>0</v>
      </c>
      <c r="AP231" s="127">
        <v>0</v>
      </c>
      <c r="AQ231" s="127">
        <v>0</v>
      </c>
      <c r="AR231" s="127">
        <v>0</v>
      </c>
      <c r="AS231" s="127">
        <v>0</v>
      </c>
      <c r="AT231" s="127">
        <v>0</v>
      </c>
      <c r="AU231" s="127">
        <v>0</v>
      </c>
      <c r="AV231" s="127">
        <v>0</v>
      </c>
      <c r="AW231" s="127">
        <v>0</v>
      </c>
      <c r="AX231" s="127">
        <v>0</v>
      </c>
      <c r="AY231" s="127">
        <v>0</v>
      </c>
    </row>
    <row r="232" spans="1:51" x14ac:dyDescent="0.2">
      <c r="A232" s="126"/>
      <c r="B232" s="136">
        <v>24</v>
      </c>
      <c r="C232" s="123">
        <v>0</v>
      </c>
      <c r="D232" s="127">
        <v>0</v>
      </c>
      <c r="E232" s="127">
        <v>0</v>
      </c>
      <c r="F232" s="127">
        <v>0</v>
      </c>
      <c r="G232" s="127">
        <v>0</v>
      </c>
      <c r="H232" s="127">
        <v>0</v>
      </c>
      <c r="I232" s="127">
        <v>0</v>
      </c>
      <c r="J232" s="127">
        <v>0</v>
      </c>
      <c r="K232" s="127">
        <v>0</v>
      </c>
      <c r="L232" s="127">
        <v>0</v>
      </c>
      <c r="M232" s="127">
        <v>0</v>
      </c>
      <c r="N232" s="127">
        <v>0</v>
      </c>
      <c r="O232" s="127">
        <v>0</v>
      </c>
      <c r="P232" s="127">
        <v>0</v>
      </c>
      <c r="Q232" s="127">
        <v>0</v>
      </c>
      <c r="R232" s="127">
        <v>0</v>
      </c>
      <c r="S232" s="127">
        <v>0</v>
      </c>
      <c r="T232" s="127">
        <v>0</v>
      </c>
      <c r="U232" s="127">
        <v>0</v>
      </c>
      <c r="V232" s="127">
        <v>0</v>
      </c>
      <c r="W232" s="127">
        <v>0</v>
      </c>
      <c r="X232" s="127">
        <v>0</v>
      </c>
      <c r="Y232" s="127">
        <v>0</v>
      </c>
      <c r="Z232" s="127">
        <v>0</v>
      </c>
      <c r="AA232" s="127">
        <v>0</v>
      </c>
      <c r="AB232" s="127">
        <v>0</v>
      </c>
      <c r="AC232" s="127">
        <v>0</v>
      </c>
      <c r="AD232" s="127">
        <v>0</v>
      </c>
      <c r="AE232" s="127">
        <v>0</v>
      </c>
      <c r="AF232" s="127">
        <v>0</v>
      </c>
      <c r="AG232" s="127">
        <v>0</v>
      </c>
      <c r="AH232" s="127">
        <v>0</v>
      </c>
      <c r="AI232" s="127">
        <v>0</v>
      </c>
      <c r="AJ232" s="127">
        <v>0</v>
      </c>
      <c r="AK232" s="127">
        <v>0</v>
      </c>
      <c r="AL232" s="127">
        <v>0</v>
      </c>
      <c r="AM232" s="127">
        <v>0</v>
      </c>
      <c r="AN232" s="127">
        <v>0</v>
      </c>
      <c r="AO232" s="127">
        <v>0</v>
      </c>
      <c r="AP232" s="127">
        <v>0</v>
      </c>
      <c r="AQ232" s="127">
        <v>0</v>
      </c>
      <c r="AR232" s="127">
        <v>0</v>
      </c>
      <c r="AS232" s="127">
        <v>0</v>
      </c>
      <c r="AT232" s="127">
        <v>0</v>
      </c>
      <c r="AU232" s="127">
        <v>0</v>
      </c>
      <c r="AV232" s="127">
        <v>0</v>
      </c>
      <c r="AW232" s="127">
        <v>0</v>
      </c>
      <c r="AX232" s="127">
        <v>0</v>
      </c>
      <c r="AY232" s="127">
        <v>0</v>
      </c>
    </row>
    <row r="233" spans="1:51" x14ac:dyDescent="0.2">
      <c r="A233" s="126"/>
      <c r="B233" s="143">
        <v>25</v>
      </c>
      <c r="C233" s="123">
        <v>0</v>
      </c>
      <c r="D233" s="127">
        <v>0</v>
      </c>
      <c r="E233" s="127">
        <v>0</v>
      </c>
      <c r="F233" s="127">
        <v>0</v>
      </c>
      <c r="G233" s="127">
        <v>0</v>
      </c>
      <c r="H233" s="127">
        <v>0</v>
      </c>
      <c r="I233" s="127">
        <v>0</v>
      </c>
      <c r="J233" s="127">
        <v>0</v>
      </c>
      <c r="K233" s="127">
        <v>0</v>
      </c>
      <c r="L233" s="127">
        <v>0</v>
      </c>
      <c r="M233" s="127">
        <v>0</v>
      </c>
      <c r="N233" s="127">
        <v>0</v>
      </c>
      <c r="O233" s="127">
        <v>0</v>
      </c>
      <c r="P233" s="127">
        <v>0</v>
      </c>
      <c r="Q233" s="127">
        <v>0</v>
      </c>
      <c r="R233" s="127">
        <v>0</v>
      </c>
      <c r="S233" s="127">
        <v>0</v>
      </c>
      <c r="T233" s="127">
        <v>0</v>
      </c>
      <c r="U233" s="127">
        <v>0</v>
      </c>
      <c r="V233" s="127">
        <v>0</v>
      </c>
      <c r="W233" s="127">
        <v>0</v>
      </c>
      <c r="X233" s="127">
        <v>0</v>
      </c>
      <c r="Y233" s="127">
        <v>0</v>
      </c>
      <c r="Z233" s="127">
        <v>0</v>
      </c>
      <c r="AA233" s="127">
        <v>0</v>
      </c>
      <c r="AB233" s="127">
        <v>0</v>
      </c>
      <c r="AC233" s="127">
        <v>0</v>
      </c>
      <c r="AD233" s="127">
        <v>0</v>
      </c>
      <c r="AE233" s="127">
        <v>0</v>
      </c>
      <c r="AF233" s="127">
        <v>0</v>
      </c>
      <c r="AG233" s="127">
        <v>0</v>
      </c>
      <c r="AH233" s="127">
        <v>0</v>
      </c>
      <c r="AI233" s="127">
        <v>0</v>
      </c>
      <c r="AJ233" s="127">
        <v>0</v>
      </c>
      <c r="AK233" s="127">
        <v>0</v>
      </c>
      <c r="AL233" s="127">
        <v>0</v>
      </c>
      <c r="AM233" s="127">
        <v>0</v>
      </c>
      <c r="AN233" s="127">
        <v>0</v>
      </c>
      <c r="AO233" s="127">
        <v>0</v>
      </c>
      <c r="AP233" s="127">
        <v>0</v>
      </c>
      <c r="AQ233" s="127">
        <v>0</v>
      </c>
      <c r="AR233" s="127">
        <v>0</v>
      </c>
      <c r="AS233" s="127">
        <v>0</v>
      </c>
      <c r="AT233" s="127">
        <v>0</v>
      </c>
      <c r="AU233" s="127">
        <v>0</v>
      </c>
      <c r="AV233" s="127">
        <v>0</v>
      </c>
      <c r="AW233" s="127">
        <v>0</v>
      </c>
      <c r="AX233" s="127">
        <v>0</v>
      </c>
      <c r="AY233" s="127">
        <v>0</v>
      </c>
    </row>
    <row r="234" spans="1:51" x14ac:dyDescent="0.2">
      <c r="A234" s="126"/>
      <c r="B234" s="143">
        <v>26</v>
      </c>
      <c r="C234" s="123">
        <v>0</v>
      </c>
      <c r="D234" s="127">
        <v>0</v>
      </c>
      <c r="E234" s="127">
        <v>0</v>
      </c>
      <c r="F234" s="127">
        <v>0</v>
      </c>
      <c r="G234" s="127">
        <v>0</v>
      </c>
      <c r="H234" s="127">
        <v>0</v>
      </c>
      <c r="I234" s="127">
        <v>0</v>
      </c>
      <c r="J234" s="127">
        <v>0</v>
      </c>
      <c r="K234" s="127">
        <v>0</v>
      </c>
      <c r="L234" s="127">
        <v>0</v>
      </c>
      <c r="M234" s="127">
        <v>0</v>
      </c>
      <c r="N234" s="127">
        <v>0</v>
      </c>
      <c r="O234" s="127">
        <v>0</v>
      </c>
      <c r="P234" s="127">
        <v>0</v>
      </c>
      <c r="Q234" s="127">
        <v>0</v>
      </c>
      <c r="R234" s="127">
        <v>0</v>
      </c>
      <c r="S234" s="127">
        <v>0</v>
      </c>
      <c r="T234" s="127">
        <v>0</v>
      </c>
      <c r="U234" s="127">
        <v>0</v>
      </c>
      <c r="V234" s="127">
        <v>0</v>
      </c>
      <c r="W234" s="127">
        <v>0</v>
      </c>
      <c r="X234" s="127">
        <v>0</v>
      </c>
      <c r="Y234" s="127">
        <v>0</v>
      </c>
      <c r="Z234" s="127">
        <v>0</v>
      </c>
      <c r="AA234" s="127">
        <v>0</v>
      </c>
      <c r="AB234" s="127">
        <v>0</v>
      </c>
      <c r="AC234" s="127">
        <v>0</v>
      </c>
      <c r="AD234" s="127">
        <v>0</v>
      </c>
      <c r="AE234" s="127">
        <v>0</v>
      </c>
      <c r="AF234" s="127">
        <v>0</v>
      </c>
      <c r="AG234" s="127">
        <v>0</v>
      </c>
      <c r="AH234" s="127">
        <v>0</v>
      </c>
      <c r="AI234" s="127">
        <v>0</v>
      </c>
      <c r="AJ234" s="127">
        <v>0</v>
      </c>
      <c r="AK234" s="127">
        <v>0</v>
      </c>
      <c r="AL234" s="127">
        <v>0</v>
      </c>
      <c r="AM234" s="127">
        <v>0</v>
      </c>
      <c r="AN234" s="127">
        <v>0</v>
      </c>
      <c r="AO234" s="127">
        <v>0</v>
      </c>
      <c r="AP234" s="127">
        <v>0</v>
      </c>
      <c r="AQ234" s="127">
        <v>0</v>
      </c>
      <c r="AR234" s="127">
        <v>0</v>
      </c>
      <c r="AS234" s="127">
        <v>0</v>
      </c>
      <c r="AT234" s="127">
        <v>0</v>
      </c>
      <c r="AU234" s="127">
        <v>0</v>
      </c>
      <c r="AV234" s="127">
        <v>0</v>
      </c>
      <c r="AW234" s="127">
        <v>0</v>
      </c>
      <c r="AX234" s="127">
        <v>0</v>
      </c>
      <c r="AY234" s="127">
        <v>0</v>
      </c>
    </row>
    <row r="235" spans="1:51" x14ac:dyDescent="0.2">
      <c r="A235" s="126"/>
      <c r="B235" s="143">
        <v>27</v>
      </c>
      <c r="C235" s="123">
        <v>0</v>
      </c>
      <c r="D235" s="127">
        <v>0</v>
      </c>
      <c r="E235" s="127">
        <v>0</v>
      </c>
      <c r="F235" s="127">
        <v>0</v>
      </c>
      <c r="G235" s="127">
        <v>0</v>
      </c>
      <c r="H235" s="127">
        <v>0</v>
      </c>
      <c r="I235" s="127">
        <v>0</v>
      </c>
      <c r="J235" s="127">
        <v>0</v>
      </c>
      <c r="K235" s="127">
        <v>0</v>
      </c>
      <c r="L235" s="127">
        <v>0</v>
      </c>
      <c r="M235" s="127">
        <v>0</v>
      </c>
      <c r="N235" s="127">
        <v>0</v>
      </c>
      <c r="O235" s="127">
        <v>0</v>
      </c>
      <c r="P235" s="127">
        <v>0</v>
      </c>
      <c r="Q235" s="127">
        <v>0</v>
      </c>
      <c r="R235" s="127">
        <v>0</v>
      </c>
      <c r="S235" s="127">
        <v>0</v>
      </c>
      <c r="T235" s="127">
        <v>0</v>
      </c>
      <c r="U235" s="127">
        <v>0</v>
      </c>
      <c r="V235" s="127">
        <v>0</v>
      </c>
      <c r="W235" s="127">
        <v>0</v>
      </c>
      <c r="X235" s="127">
        <v>0</v>
      </c>
      <c r="Y235" s="127">
        <v>0</v>
      </c>
      <c r="Z235" s="127">
        <v>0</v>
      </c>
      <c r="AA235" s="127">
        <v>0</v>
      </c>
      <c r="AB235" s="127">
        <v>0</v>
      </c>
      <c r="AC235" s="127">
        <v>0</v>
      </c>
      <c r="AD235" s="127">
        <v>0</v>
      </c>
      <c r="AE235" s="127">
        <v>0</v>
      </c>
      <c r="AF235" s="127">
        <v>0</v>
      </c>
      <c r="AG235" s="127">
        <v>0</v>
      </c>
      <c r="AH235" s="127">
        <v>0</v>
      </c>
      <c r="AI235" s="127">
        <v>0</v>
      </c>
      <c r="AJ235" s="127">
        <v>0</v>
      </c>
      <c r="AK235" s="127">
        <v>0</v>
      </c>
      <c r="AL235" s="127">
        <v>0</v>
      </c>
      <c r="AM235" s="127">
        <v>0</v>
      </c>
      <c r="AN235" s="127">
        <v>0</v>
      </c>
      <c r="AO235" s="127">
        <v>0</v>
      </c>
      <c r="AP235" s="127">
        <v>0</v>
      </c>
      <c r="AQ235" s="127">
        <v>0</v>
      </c>
      <c r="AR235" s="127">
        <v>0</v>
      </c>
      <c r="AS235" s="127">
        <v>0</v>
      </c>
      <c r="AT235" s="127">
        <v>0</v>
      </c>
      <c r="AU235" s="127">
        <v>0</v>
      </c>
      <c r="AV235" s="127">
        <v>0</v>
      </c>
      <c r="AW235" s="127">
        <v>0</v>
      </c>
      <c r="AX235" s="127">
        <v>0</v>
      </c>
      <c r="AY235" s="127">
        <v>0</v>
      </c>
    </row>
    <row r="236" spans="1:51" x14ac:dyDescent="0.2">
      <c r="A236" s="126"/>
      <c r="B236" s="143">
        <v>28</v>
      </c>
      <c r="C236" s="123">
        <v>0</v>
      </c>
      <c r="D236" s="127">
        <v>0</v>
      </c>
      <c r="E236" s="127">
        <v>0</v>
      </c>
      <c r="F236" s="127">
        <v>0</v>
      </c>
      <c r="G236" s="127">
        <v>0</v>
      </c>
      <c r="H236" s="127">
        <v>0</v>
      </c>
      <c r="I236" s="127">
        <v>0</v>
      </c>
      <c r="J236" s="127">
        <v>0</v>
      </c>
      <c r="K236" s="127">
        <v>0</v>
      </c>
      <c r="L236" s="127">
        <v>0</v>
      </c>
      <c r="M236" s="127">
        <v>0</v>
      </c>
      <c r="N236" s="127">
        <v>0</v>
      </c>
      <c r="O236" s="127">
        <v>0</v>
      </c>
      <c r="P236" s="127">
        <v>0</v>
      </c>
      <c r="Q236" s="127">
        <v>0</v>
      </c>
      <c r="R236" s="127">
        <v>0</v>
      </c>
      <c r="S236" s="127">
        <v>0</v>
      </c>
      <c r="T236" s="127">
        <v>0</v>
      </c>
      <c r="U236" s="127">
        <v>0</v>
      </c>
      <c r="V236" s="127">
        <v>0</v>
      </c>
      <c r="W236" s="127">
        <v>0</v>
      </c>
      <c r="X236" s="127">
        <v>0</v>
      </c>
      <c r="Y236" s="127">
        <v>0</v>
      </c>
      <c r="Z236" s="127">
        <v>0</v>
      </c>
      <c r="AA236" s="127">
        <v>0</v>
      </c>
      <c r="AB236" s="127">
        <v>0</v>
      </c>
      <c r="AC236" s="127">
        <v>0</v>
      </c>
      <c r="AD236" s="127">
        <v>0</v>
      </c>
      <c r="AE236" s="127">
        <v>0</v>
      </c>
      <c r="AF236" s="127">
        <v>0</v>
      </c>
      <c r="AG236" s="127">
        <v>0</v>
      </c>
      <c r="AH236" s="127">
        <v>0</v>
      </c>
      <c r="AI236" s="127">
        <v>0</v>
      </c>
      <c r="AJ236" s="127">
        <v>0</v>
      </c>
      <c r="AK236" s="127">
        <v>0</v>
      </c>
      <c r="AL236" s="127">
        <v>0</v>
      </c>
      <c r="AM236" s="127">
        <v>0</v>
      </c>
      <c r="AN236" s="127">
        <v>0</v>
      </c>
      <c r="AO236" s="127">
        <v>0</v>
      </c>
      <c r="AP236" s="127">
        <v>0</v>
      </c>
      <c r="AQ236" s="127">
        <v>0</v>
      </c>
      <c r="AR236" s="127">
        <v>0</v>
      </c>
      <c r="AS236" s="127">
        <v>0</v>
      </c>
      <c r="AT236" s="127">
        <v>0</v>
      </c>
      <c r="AU236" s="127">
        <v>0</v>
      </c>
      <c r="AV236" s="127">
        <v>0</v>
      </c>
      <c r="AW236" s="127">
        <v>0</v>
      </c>
      <c r="AX236" s="127">
        <v>0</v>
      </c>
      <c r="AY236" s="127">
        <v>0</v>
      </c>
    </row>
    <row r="237" spans="1:51" x14ac:dyDescent="0.2">
      <c r="A237" s="126"/>
      <c r="B237" s="143">
        <v>29</v>
      </c>
      <c r="C237" s="123">
        <v>0</v>
      </c>
      <c r="D237" s="127">
        <v>0</v>
      </c>
      <c r="E237" s="127">
        <v>0</v>
      </c>
      <c r="F237" s="127">
        <v>0</v>
      </c>
      <c r="G237" s="127">
        <v>0</v>
      </c>
      <c r="H237" s="127">
        <v>0</v>
      </c>
      <c r="I237" s="127">
        <v>0</v>
      </c>
      <c r="J237" s="127">
        <v>0</v>
      </c>
      <c r="K237" s="127">
        <v>0</v>
      </c>
      <c r="L237" s="127">
        <v>0</v>
      </c>
      <c r="M237" s="127">
        <v>0</v>
      </c>
      <c r="N237" s="127">
        <v>0</v>
      </c>
      <c r="O237" s="127">
        <v>0</v>
      </c>
      <c r="P237" s="127">
        <v>0</v>
      </c>
      <c r="Q237" s="127">
        <v>0</v>
      </c>
      <c r="R237" s="127">
        <v>0</v>
      </c>
      <c r="S237" s="127">
        <v>0</v>
      </c>
      <c r="T237" s="127">
        <v>0</v>
      </c>
      <c r="U237" s="127">
        <v>0</v>
      </c>
      <c r="V237" s="127">
        <v>0</v>
      </c>
      <c r="W237" s="127">
        <v>0</v>
      </c>
      <c r="X237" s="127">
        <v>0</v>
      </c>
      <c r="Y237" s="127">
        <v>0</v>
      </c>
      <c r="Z237" s="127">
        <v>0</v>
      </c>
      <c r="AA237" s="127">
        <v>0</v>
      </c>
      <c r="AB237" s="127">
        <v>0</v>
      </c>
      <c r="AC237" s="127">
        <v>0</v>
      </c>
      <c r="AD237" s="127">
        <v>0</v>
      </c>
      <c r="AE237" s="127">
        <v>0</v>
      </c>
      <c r="AF237" s="127">
        <v>0</v>
      </c>
      <c r="AG237" s="127">
        <v>0</v>
      </c>
      <c r="AH237" s="127">
        <v>0</v>
      </c>
      <c r="AI237" s="127">
        <v>0</v>
      </c>
      <c r="AJ237" s="127">
        <v>0</v>
      </c>
      <c r="AK237" s="127">
        <v>0</v>
      </c>
      <c r="AL237" s="127">
        <v>0</v>
      </c>
      <c r="AM237" s="127">
        <v>0</v>
      </c>
      <c r="AN237" s="127">
        <v>0</v>
      </c>
      <c r="AO237" s="127">
        <v>0</v>
      </c>
      <c r="AP237" s="127">
        <v>0</v>
      </c>
      <c r="AQ237" s="127">
        <v>0</v>
      </c>
      <c r="AR237" s="127">
        <v>0</v>
      </c>
      <c r="AS237" s="127">
        <v>0</v>
      </c>
      <c r="AT237" s="127">
        <v>0</v>
      </c>
      <c r="AU237" s="127">
        <v>0</v>
      </c>
      <c r="AV237" s="127">
        <v>0</v>
      </c>
      <c r="AW237" s="127">
        <v>0</v>
      </c>
      <c r="AX237" s="127">
        <v>0</v>
      </c>
      <c r="AY237" s="127">
        <v>0</v>
      </c>
    </row>
    <row r="238" spans="1:51" x14ac:dyDescent="0.2">
      <c r="A238" s="126"/>
      <c r="B238" s="143">
        <v>30</v>
      </c>
      <c r="C238" s="123">
        <v>0</v>
      </c>
      <c r="D238" s="127">
        <v>0</v>
      </c>
      <c r="E238" s="127">
        <v>0</v>
      </c>
      <c r="F238" s="127">
        <v>0</v>
      </c>
      <c r="G238" s="127">
        <v>0</v>
      </c>
      <c r="H238" s="127">
        <v>0</v>
      </c>
      <c r="I238" s="127">
        <v>0</v>
      </c>
      <c r="J238" s="127">
        <v>0</v>
      </c>
      <c r="K238" s="127">
        <v>0</v>
      </c>
      <c r="L238" s="127">
        <v>0</v>
      </c>
      <c r="M238" s="127">
        <v>0</v>
      </c>
      <c r="N238" s="127">
        <v>0</v>
      </c>
      <c r="O238" s="127">
        <v>0</v>
      </c>
      <c r="P238" s="127">
        <v>0</v>
      </c>
      <c r="Q238" s="127">
        <v>0</v>
      </c>
      <c r="R238" s="127">
        <v>0</v>
      </c>
      <c r="S238" s="127">
        <v>0</v>
      </c>
      <c r="T238" s="127">
        <v>0</v>
      </c>
      <c r="U238" s="127">
        <v>0</v>
      </c>
      <c r="V238" s="127">
        <v>0</v>
      </c>
      <c r="W238" s="127">
        <v>0</v>
      </c>
      <c r="X238" s="127">
        <v>0</v>
      </c>
      <c r="Y238" s="127">
        <v>0</v>
      </c>
      <c r="Z238" s="127">
        <v>0</v>
      </c>
      <c r="AA238" s="127">
        <v>0</v>
      </c>
      <c r="AB238" s="127">
        <v>0</v>
      </c>
      <c r="AC238" s="127">
        <v>0</v>
      </c>
      <c r="AD238" s="127">
        <v>0</v>
      </c>
      <c r="AE238" s="127">
        <v>0</v>
      </c>
      <c r="AF238" s="127">
        <v>0</v>
      </c>
      <c r="AG238" s="127">
        <v>0</v>
      </c>
      <c r="AH238" s="127">
        <v>0</v>
      </c>
      <c r="AI238" s="127">
        <v>0</v>
      </c>
      <c r="AJ238" s="127">
        <v>0</v>
      </c>
      <c r="AK238" s="127">
        <v>0</v>
      </c>
      <c r="AL238" s="127">
        <v>0</v>
      </c>
      <c r="AM238" s="127">
        <v>0</v>
      </c>
      <c r="AN238" s="127">
        <v>0</v>
      </c>
      <c r="AO238" s="127">
        <v>0</v>
      </c>
      <c r="AP238" s="127">
        <v>0</v>
      </c>
      <c r="AQ238" s="127">
        <v>0</v>
      </c>
      <c r="AR238" s="127">
        <v>0</v>
      </c>
      <c r="AS238" s="127">
        <v>0</v>
      </c>
      <c r="AT238" s="127">
        <v>0</v>
      </c>
      <c r="AU238" s="127">
        <v>0</v>
      </c>
      <c r="AV238" s="127">
        <v>0</v>
      </c>
      <c r="AW238" s="127">
        <v>0</v>
      </c>
      <c r="AX238" s="127">
        <v>0</v>
      </c>
      <c r="AY238" s="127">
        <v>0</v>
      </c>
    </row>
    <row r="239" spans="1:51" x14ac:dyDescent="0.2">
      <c r="A239" s="126"/>
      <c r="B239" s="143">
        <v>31</v>
      </c>
      <c r="C239" s="123">
        <v>0</v>
      </c>
      <c r="D239" s="127">
        <v>0</v>
      </c>
      <c r="E239" s="127">
        <v>0</v>
      </c>
      <c r="F239" s="127">
        <v>0</v>
      </c>
      <c r="G239" s="127">
        <v>0</v>
      </c>
      <c r="H239" s="127">
        <v>0</v>
      </c>
      <c r="I239" s="127">
        <v>0</v>
      </c>
      <c r="J239" s="127">
        <v>0</v>
      </c>
      <c r="K239" s="127">
        <v>0</v>
      </c>
      <c r="L239" s="127">
        <v>0</v>
      </c>
      <c r="M239" s="127">
        <v>0</v>
      </c>
      <c r="N239" s="127">
        <v>0</v>
      </c>
      <c r="O239" s="127">
        <v>0</v>
      </c>
      <c r="P239" s="127">
        <v>0</v>
      </c>
      <c r="Q239" s="127">
        <v>0</v>
      </c>
      <c r="R239" s="127">
        <v>0</v>
      </c>
      <c r="S239" s="127">
        <v>0</v>
      </c>
      <c r="T239" s="127">
        <v>0</v>
      </c>
      <c r="U239" s="127">
        <v>0</v>
      </c>
      <c r="V239" s="127">
        <v>0</v>
      </c>
      <c r="W239" s="127">
        <v>0</v>
      </c>
      <c r="X239" s="127">
        <v>0</v>
      </c>
      <c r="Y239" s="127">
        <v>0</v>
      </c>
      <c r="Z239" s="127">
        <v>0</v>
      </c>
      <c r="AA239" s="127">
        <v>0</v>
      </c>
      <c r="AB239" s="127">
        <v>0</v>
      </c>
      <c r="AC239" s="127">
        <v>0</v>
      </c>
      <c r="AD239" s="127">
        <v>0</v>
      </c>
      <c r="AE239" s="127">
        <v>0</v>
      </c>
      <c r="AF239" s="127">
        <v>0</v>
      </c>
      <c r="AG239" s="127">
        <v>0</v>
      </c>
      <c r="AH239" s="127">
        <v>0</v>
      </c>
      <c r="AI239" s="127">
        <v>0</v>
      </c>
      <c r="AJ239" s="127">
        <v>0</v>
      </c>
      <c r="AK239" s="127">
        <v>0</v>
      </c>
      <c r="AL239" s="127">
        <v>0</v>
      </c>
      <c r="AM239" s="127">
        <v>0</v>
      </c>
      <c r="AN239" s="127">
        <v>0</v>
      </c>
      <c r="AO239" s="127">
        <v>0</v>
      </c>
      <c r="AP239" s="127">
        <v>0</v>
      </c>
      <c r="AQ239" s="127">
        <v>0</v>
      </c>
      <c r="AR239" s="127">
        <v>0</v>
      </c>
      <c r="AS239" s="127">
        <v>0</v>
      </c>
      <c r="AT239" s="127">
        <v>0</v>
      </c>
      <c r="AU239" s="127">
        <v>0</v>
      </c>
      <c r="AV239" s="127">
        <v>0</v>
      </c>
      <c r="AW239" s="127">
        <v>0</v>
      </c>
      <c r="AX239" s="127">
        <v>0</v>
      </c>
      <c r="AY239" s="127">
        <v>0</v>
      </c>
    </row>
    <row r="240" spans="1:51" x14ac:dyDescent="0.2">
      <c r="A240" s="126"/>
      <c r="B240" s="143">
        <v>32</v>
      </c>
      <c r="C240" s="123">
        <v>0</v>
      </c>
      <c r="D240" s="127">
        <v>0</v>
      </c>
      <c r="E240" s="127">
        <v>0</v>
      </c>
      <c r="F240" s="127">
        <v>0</v>
      </c>
      <c r="G240" s="127">
        <v>0</v>
      </c>
      <c r="H240" s="127">
        <v>0</v>
      </c>
      <c r="I240" s="127">
        <v>0</v>
      </c>
      <c r="J240" s="127">
        <v>0</v>
      </c>
      <c r="K240" s="127">
        <v>0</v>
      </c>
      <c r="L240" s="127">
        <v>0</v>
      </c>
      <c r="M240" s="127">
        <v>0</v>
      </c>
      <c r="N240" s="127">
        <v>0</v>
      </c>
      <c r="O240" s="127">
        <v>0</v>
      </c>
      <c r="P240" s="127">
        <v>0</v>
      </c>
      <c r="Q240" s="127">
        <v>0</v>
      </c>
      <c r="R240" s="127">
        <v>0</v>
      </c>
      <c r="S240" s="127">
        <v>0</v>
      </c>
      <c r="T240" s="127">
        <v>0</v>
      </c>
      <c r="U240" s="127">
        <v>0</v>
      </c>
      <c r="V240" s="127">
        <v>0</v>
      </c>
      <c r="W240" s="127">
        <v>0</v>
      </c>
      <c r="X240" s="127">
        <v>0</v>
      </c>
      <c r="Y240" s="127">
        <v>0</v>
      </c>
      <c r="Z240" s="127">
        <v>0</v>
      </c>
      <c r="AA240" s="127">
        <v>0</v>
      </c>
      <c r="AB240" s="127">
        <v>0</v>
      </c>
      <c r="AC240" s="127">
        <v>0</v>
      </c>
      <c r="AD240" s="127">
        <v>0</v>
      </c>
      <c r="AE240" s="127">
        <v>0</v>
      </c>
      <c r="AF240" s="127">
        <v>0</v>
      </c>
      <c r="AG240" s="127">
        <v>0</v>
      </c>
      <c r="AH240" s="127">
        <v>0</v>
      </c>
      <c r="AI240" s="127">
        <v>0</v>
      </c>
      <c r="AJ240" s="127">
        <v>0</v>
      </c>
      <c r="AK240" s="127">
        <v>0</v>
      </c>
      <c r="AL240" s="127">
        <v>0</v>
      </c>
      <c r="AM240" s="127">
        <v>0</v>
      </c>
      <c r="AN240" s="127">
        <v>0</v>
      </c>
      <c r="AO240" s="127">
        <v>0</v>
      </c>
      <c r="AP240" s="127">
        <v>0</v>
      </c>
      <c r="AQ240" s="127">
        <v>0</v>
      </c>
      <c r="AR240" s="127">
        <v>0</v>
      </c>
      <c r="AS240" s="127">
        <v>0</v>
      </c>
      <c r="AT240" s="127">
        <v>0</v>
      </c>
      <c r="AU240" s="127">
        <v>0</v>
      </c>
      <c r="AV240" s="127">
        <v>0</v>
      </c>
      <c r="AW240" s="127">
        <v>0</v>
      </c>
      <c r="AX240" s="127">
        <v>0</v>
      </c>
      <c r="AY240" s="127">
        <v>0</v>
      </c>
    </row>
    <row r="241" spans="1:51" x14ac:dyDescent="0.2">
      <c r="A241" s="126"/>
      <c r="B241" s="143">
        <v>33</v>
      </c>
      <c r="C241" s="123">
        <v>0</v>
      </c>
      <c r="D241" s="127">
        <v>0</v>
      </c>
      <c r="E241" s="127">
        <v>0</v>
      </c>
      <c r="F241" s="127">
        <v>0</v>
      </c>
      <c r="G241" s="127">
        <v>0</v>
      </c>
      <c r="H241" s="127">
        <v>0</v>
      </c>
      <c r="I241" s="127">
        <v>0</v>
      </c>
      <c r="J241" s="127">
        <v>0</v>
      </c>
      <c r="K241" s="127">
        <v>0</v>
      </c>
      <c r="L241" s="127">
        <v>0</v>
      </c>
      <c r="M241" s="127">
        <v>0</v>
      </c>
      <c r="N241" s="127">
        <v>0</v>
      </c>
      <c r="O241" s="127">
        <v>0</v>
      </c>
      <c r="P241" s="127">
        <v>0</v>
      </c>
      <c r="Q241" s="127">
        <v>0</v>
      </c>
      <c r="R241" s="127">
        <v>0</v>
      </c>
      <c r="S241" s="127">
        <v>0</v>
      </c>
      <c r="T241" s="127">
        <v>0</v>
      </c>
      <c r="U241" s="127">
        <v>0</v>
      </c>
      <c r="V241" s="127">
        <v>0</v>
      </c>
      <c r="W241" s="127">
        <v>0</v>
      </c>
      <c r="X241" s="127">
        <v>0</v>
      </c>
      <c r="Y241" s="127">
        <v>0</v>
      </c>
      <c r="Z241" s="127">
        <v>0</v>
      </c>
      <c r="AA241" s="127">
        <v>0</v>
      </c>
      <c r="AB241" s="127">
        <v>0</v>
      </c>
      <c r="AC241" s="127">
        <v>0</v>
      </c>
      <c r="AD241" s="127">
        <v>0</v>
      </c>
      <c r="AE241" s="127">
        <v>0</v>
      </c>
      <c r="AF241" s="127">
        <v>0</v>
      </c>
      <c r="AG241" s="127">
        <v>0</v>
      </c>
      <c r="AH241" s="127">
        <v>0</v>
      </c>
      <c r="AI241" s="127">
        <v>0</v>
      </c>
      <c r="AJ241" s="127">
        <v>0</v>
      </c>
      <c r="AK241" s="127">
        <v>0</v>
      </c>
      <c r="AL241" s="127">
        <v>0</v>
      </c>
      <c r="AM241" s="127">
        <v>0</v>
      </c>
      <c r="AN241" s="127">
        <v>0</v>
      </c>
      <c r="AO241" s="127">
        <v>0</v>
      </c>
      <c r="AP241" s="127">
        <v>0</v>
      </c>
      <c r="AQ241" s="127">
        <v>0</v>
      </c>
      <c r="AR241" s="127">
        <v>0</v>
      </c>
      <c r="AS241" s="127">
        <v>0</v>
      </c>
      <c r="AT241" s="127">
        <v>0</v>
      </c>
      <c r="AU241" s="127">
        <v>0</v>
      </c>
      <c r="AV241" s="127">
        <v>0</v>
      </c>
      <c r="AW241" s="127">
        <v>0</v>
      </c>
      <c r="AX241" s="127">
        <v>0</v>
      </c>
      <c r="AY241" s="127">
        <v>0</v>
      </c>
    </row>
    <row r="242" spans="1:51" x14ac:dyDescent="0.2">
      <c r="A242" s="126"/>
      <c r="B242" s="143">
        <v>34</v>
      </c>
      <c r="C242" s="123">
        <v>0</v>
      </c>
      <c r="D242" s="127">
        <v>0</v>
      </c>
      <c r="E242" s="127">
        <v>0</v>
      </c>
      <c r="F242" s="127">
        <v>0</v>
      </c>
      <c r="G242" s="127">
        <v>0</v>
      </c>
      <c r="H242" s="127">
        <v>0</v>
      </c>
      <c r="I242" s="127">
        <v>0</v>
      </c>
      <c r="J242" s="127">
        <v>0</v>
      </c>
      <c r="K242" s="127">
        <v>0</v>
      </c>
      <c r="L242" s="127">
        <v>0</v>
      </c>
      <c r="M242" s="127">
        <v>0</v>
      </c>
      <c r="N242" s="127">
        <v>0</v>
      </c>
      <c r="O242" s="127">
        <v>0</v>
      </c>
      <c r="P242" s="127">
        <v>0</v>
      </c>
      <c r="Q242" s="127">
        <v>0</v>
      </c>
      <c r="R242" s="127">
        <v>0</v>
      </c>
      <c r="S242" s="127">
        <v>0</v>
      </c>
      <c r="T242" s="127">
        <v>0</v>
      </c>
      <c r="U242" s="127">
        <v>0</v>
      </c>
      <c r="V242" s="127">
        <v>0</v>
      </c>
      <c r="W242" s="127">
        <v>0</v>
      </c>
      <c r="X242" s="127">
        <v>0</v>
      </c>
      <c r="Y242" s="127">
        <v>0</v>
      </c>
      <c r="Z242" s="127">
        <v>0</v>
      </c>
      <c r="AA242" s="127">
        <v>0</v>
      </c>
      <c r="AB242" s="127">
        <v>0</v>
      </c>
      <c r="AC242" s="127">
        <v>0</v>
      </c>
      <c r="AD242" s="127">
        <v>0</v>
      </c>
      <c r="AE242" s="127">
        <v>0</v>
      </c>
      <c r="AF242" s="127">
        <v>0</v>
      </c>
      <c r="AG242" s="127">
        <v>0</v>
      </c>
      <c r="AH242" s="127">
        <v>0</v>
      </c>
      <c r="AI242" s="127">
        <v>0</v>
      </c>
      <c r="AJ242" s="127">
        <v>0</v>
      </c>
      <c r="AK242" s="127">
        <v>0</v>
      </c>
      <c r="AL242" s="127">
        <v>0</v>
      </c>
      <c r="AM242" s="127">
        <v>0</v>
      </c>
      <c r="AN242" s="127">
        <v>0</v>
      </c>
      <c r="AO242" s="127">
        <v>0</v>
      </c>
      <c r="AP242" s="127">
        <v>0</v>
      </c>
      <c r="AQ242" s="127">
        <v>0</v>
      </c>
      <c r="AR242" s="127">
        <v>0</v>
      </c>
      <c r="AS242" s="127">
        <v>0</v>
      </c>
      <c r="AT242" s="127">
        <v>0</v>
      </c>
      <c r="AU242" s="127">
        <v>0</v>
      </c>
      <c r="AV242" s="127">
        <v>0</v>
      </c>
      <c r="AW242" s="127">
        <v>0</v>
      </c>
      <c r="AX242" s="127">
        <v>0</v>
      </c>
      <c r="AY242" s="127">
        <v>0</v>
      </c>
    </row>
    <row r="243" spans="1:51" x14ac:dyDescent="0.2">
      <c r="A243" s="126"/>
      <c r="B243" s="143">
        <v>35</v>
      </c>
      <c r="C243" s="123">
        <v>0</v>
      </c>
      <c r="D243" s="127">
        <v>0</v>
      </c>
      <c r="E243" s="127">
        <v>0</v>
      </c>
      <c r="F243" s="127">
        <v>0</v>
      </c>
      <c r="G243" s="127">
        <v>0</v>
      </c>
      <c r="H243" s="127">
        <v>0</v>
      </c>
      <c r="I243" s="127">
        <v>0</v>
      </c>
      <c r="J243" s="127">
        <v>0</v>
      </c>
      <c r="K243" s="127">
        <v>0</v>
      </c>
      <c r="L243" s="127">
        <v>0</v>
      </c>
      <c r="M243" s="127">
        <v>0</v>
      </c>
      <c r="N243" s="127">
        <v>0</v>
      </c>
      <c r="O243" s="127">
        <v>0</v>
      </c>
      <c r="P243" s="127">
        <v>0</v>
      </c>
      <c r="Q243" s="127">
        <v>0</v>
      </c>
      <c r="R243" s="127">
        <v>0</v>
      </c>
      <c r="S243" s="127">
        <v>0</v>
      </c>
      <c r="T243" s="127">
        <v>0</v>
      </c>
      <c r="U243" s="127">
        <v>0</v>
      </c>
      <c r="V243" s="127">
        <v>0</v>
      </c>
      <c r="W243" s="127">
        <v>0</v>
      </c>
      <c r="X243" s="127">
        <v>0</v>
      </c>
      <c r="Y243" s="127">
        <v>0</v>
      </c>
      <c r="Z243" s="127">
        <v>0</v>
      </c>
      <c r="AA243" s="127">
        <v>0</v>
      </c>
      <c r="AB243" s="127">
        <v>0</v>
      </c>
      <c r="AC243" s="127">
        <v>0</v>
      </c>
      <c r="AD243" s="127">
        <v>0</v>
      </c>
      <c r="AE243" s="127">
        <v>0</v>
      </c>
      <c r="AF243" s="127">
        <v>0</v>
      </c>
      <c r="AG243" s="127">
        <v>0</v>
      </c>
      <c r="AH243" s="127">
        <v>0</v>
      </c>
      <c r="AI243" s="127">
        <v>0</v>
      </c>
      <c r="AJ243" s="127">
        <v>0</v>
      </c>
      <c r="AK243" s="127">
        <v>0</v>
      </c>
      <c r="AL243" s="127">
        <v>0</v>
      </c>
      <c r="AM243" s="127">
        <v>0</v>
      </c>
      <c r="AN243" s="127">
        <v>0</v>
      </c>
      <c r="AO243" s="127">
        <v>0</v>
      </c>
      <c r="AP243" s="127">
        <v>0</v>
      </c>
      <c r="AQ243" s="127">
        <v>0</v>
      </c>
      <c r="AR243" s="127">
        <v>0</v>
      </c>
      <c r="AS243" s="127">
        <v>0</v>
      </c>
      <c r="AT243" s="127">
        <v>0</v>
      </c>
      <c r="AU243" s="127">
        <v>0</v>
      </c>
      <c r="AV243" s="127">
        <v>0</v>
      </c>
      <c r="AW243" s="127">
        <v>0</v>
      </c>
      <c r="AX243" s="127">
        <v>0</v>
      </c>
      <c r="AY243" s="127">
        <v>0</v>
      </c>
    </row>
    <row r="244" spans="1:51" x14ac:dyDescent="0.2">
      <c r="A244" s="126"/>
      <c r="B244" s="143">
        <v>36</v>
      </c>
      <c r="C244" s="123">
        <v>0</v>
      </c>
      <c r="D244" s="127">
        <v>0</v>
      </c>
      <c r="E244" s="127">
        <v>0</v>
      </c>
      <c r="F244" s="127">
        <v>0</v>
      </c>
      <c r="G244" s="127">
        <v>0</v>
      </c>
      <c r="H244" s="127">
        <v>0</v>
      </c>
      <c r="I244" s="127">
        <v>0</v>
      </c>
      <c r="J244" s="127">
        <v>0</v>
      </c>
      <c r="K244" s="127">
        <v>0</v>
      </c>
      <c r="L244" s="127">
        <v>0</v>
      </c>
      <c r="M244" s="127">
        <v>0</v>
      </c>
      <c r="N244" s="127">
        <v>0</v>
      </c>
      <c r="O244" s="127">
        <v>0</v>
      </c>
      <c r="P244" s="127">
        <v>0</v>
      </c>
      <c r="Q244" s="127">
        <v>0</v>
      </c>
      <c r="R244" s="127">
        <v>0</v>
      </c>
      <c r="S244" s="127">
        <v>0</v>
      </c>
      <c r="T244" s="127">
        <v>0</v>
      </c>
      <c r="U244" s="127">
        <v>0</v>
      </c>
      <c r="V244" s="127">
        <v>0</v>
      </c>
      <c r="W244" s="127">
        <v>0</v>
      </c>
      <c r="X244" s="127">
        <v>0</v>
      </c>
      <c r="Y244" s="127">
        <v>0</v>
      </c>
      <c r="Z244" s="127">
        <v>0</v>
      </c>
      <c r="AA244" s="127">
        <v>0</v>
      </c>
      <c r="AB244" s="127">
        <v>0</v>
      </c>
      <c r="AC244" s="127">
        <v>0</v>
      </c>
      <c r="AD244" s="127">
        <v>0</v>
      </c>
      <c r="AE244" s="127">
        <v>0</v>
      </c>
      <c r="AF244" s="127">
        <v>0</v>
      </c>
      <c r="AG244" s="127">
        <v>0</v>
      </c>
      <c r="AH244" s="127">
        <v>0</v>
      </c>
      <c r="AI244" s="127">
        <v>0</v>
      </c>
      <c r="AJ244" s="127">
        <v>0</v>
      </c>
      <c r="AK244" s="127">
        <v>0</v>
      </c>
      <c r="AL244" s="127">
        <v>0</v>
      </c>
      <c r="AM244" s="127">
        <v>0</v>
      </c>
      <c r="AN244" s="127">
        <v>0</v>
      </c>
      <c r="AO244" s="127">
        <v>0</v>
      </c>
      <c r="AP244" s="127">
        <v>0</v>
      </c>
      <c r="AQ244" s="127">
        <v>0</v>
      </c>
      <c r="AR244" s="127">
        <v>0</v>
      </c>
      <c r="AS244" s="127">
        <v>0</v>
      </c>
      <c r="AT244" s="127">
        <v>0</v>
      </c>
      <c r="AU244" s="127">
        <v>0</v>
      </c>
      <c r="AV244" s="127">
        <v>0</v>
      </c>
      <c r="AW244" s="127">
        <v>0</v>
      </c>
      <c r="AX244" s="127">
        <v>0</v>
      </c>
      <c r="AY244" s="127">
        <v>0</v>
      </c>
    </row>
    <row r="245" spans="1:51" x14ac:dyDescent="0.2">
      <c r="A245" s="126"/>
      <c r="B245" s="146">
        <v>37</v>
      </c>
      <c r="C245" s="123">
        <v>0</v>
      </c>
      <c r="D245" s="127">
        <v>0</v>
      </c>
      <c r="E245" s="127">
        <v>0</v>
      </c>
      <c r="F245" s="127">
        <v>0</v>
      </c>
      <c r="G245" s="127">
        <v>0</v>
      </c>
      <c r="H245" s="127">
        <v>0</v>
      </c>
      <c r="I245" s="127">
        <v>0</v>
      </c>
      <c r="J245" s="127">
        <v>0</v>
      </c>
      <c r="K245" s="127">
        <v>0</v>
      </c>
      <c r="L245" s="127">
        <v>0</v>
      </c>
      <c r="M245" s="127">
        <v>0</v>
      </c>
      <c r="N245" s="127">
        <v>0</v>
      </c>
      <c r="O245" s="127">
        <v>0</v>
      </c>
      <c r="P245" s="127">
        <v>0</v>
      </c>
      <c r="Q245" s="127">
        <v>0</v>
      </c>
      <c r="R245" s="127">
        <v>0</v>
      </c>
      <c r="S245" s="127">
        <v>0</v>
      </c>
      <c r="T245" s="127">
        <v>0</v>
      </c>
      <c r="U245" s="127">
        <v>0</v>
      </c>
      <c r="V245" s="127">
        <v>0</v>
      </c>
      <c r="W245" s="127">
        <v>0</v>
      </c>
      <c r="X245" s="127">
        <v>0</v>
      </c>
      <c r="Y245" s="127">
        <v>0</v>
      </c>
      <c r="Z245" s="127">
        <v>0</v>
      </c>
      <c r="AA245" s="127">
        <v>0</v>
      </c>
      <c r="AB245" s="127">
        <v>0</v>
      </c>
      <c r="AC245" s="127">
        <v>0</v>
      </c>
      <c r="AD245" s="127">
        <v>0</v>
      </c>
      <c r="AE245" s="127">
        <v>0</v>
      </c>
      <c r="AF245" s="127">
        <v>0</v>
      </c>
      <c r="AG245" s="127">
        <v>0</v>
      </c>
      <c r="AH245" s="127">
        <v>0</v>
      </c>
      <c r="AI245" s="127">
        <v>0</v>
      </c>
      <c r="AJ245" s="127">
        <v>0</v>
      </c>
      <c r="AK245" s="127">
        <v>0</v>
      </c>
      <c r="AL245" s="127">
        <v>0</v>
      </c>
      <c r="AM245" s="127">
        <v>0</v>
      </c>
      <c r="AN245" s="127">
        <v>0</v>
      </c>
      <c r="AO245" s="127">
        <v>0</v>
      </c>
      <c r="AP245" s="127">
        <v>0</v>
      </c>
      <c r="AQ245" s="127">
        <v>0</v>
      </c>
      <c r="AR245" s="127">
        <v>0</v>
      </c>
      <c r="AS245" s="127">
        <v>0</v>
      </c>
      <c r="AT245" s="127">
        <v>0</v>
      </c>
      <c r="AU245" s="127">
        <v>0</v>
      </c>
      <c r="AV245" s="127">
        <v>0</v>
      </c>
      <c r="AW245" s="127">
        <v>0</v>
      </c>
      <c r="AX245" s="127">
        <v>0</v>
      </c>
      <c r="AY245" s="127">
        <v>0</v>
      </c>
    </row>
    <row r="246" spans="1:51" x14ac:dyDescent="0.2">
      <c r="A246" s="126"/>
      <c r="B246" s="146">
        <v>38</v>
      </c>
      <c r="C246" s="123">
        <v>0</v>
      </c>
      <c r="D246" s="127">
        <v>0</v>
      </c>
      <c r="E246" s="127">
        <v>0</v>
      </c>
      <c r="F246" s="127">
        <v>0</v>
      </c>
      <c r="G246" s="127">
        <v>0</v>
      </c>
      <c r="H246" s="127">
        <v>0</v>
      </c>
      <c r="I246" s="127">
        <v>0</v>
      </c>
      <c r="J246" s="127">
        <v>0</v>
      </c>
      <c r="K246" s="127">
        <v>0</v>
      </c>
      <c r="L246" s="127">
        <v>0</v>
      </c>
      <c r="M246" s="127">
        <v>0</v>
      </c>
      <c r="N246" s="127">
        <v>0</v>
      </c>
      <c r="O246" s="127">
        <v>0</v>
      </c>
      <c r="P246" s="127">
        <v>0</v>
      </c>
      <c r="Q246" s="127">
        <v>0</v>
      </c>
      <c r="R246" s="127">
        <v>0</v>
      </c>
      <c r="S246" s="127">
        <v>0</v>
      </c>
      <c r="T246" s="127">
        <v>0</v>
      </c>
      <c r="U246" s="127">
        <v>0</v>
      </c>
      <c r="V246" s="127">
        <v>0</v>
      </c>
      <c r="W246" s="127">
        <v>0</v>
      </c>
      <c r="X246" s="127">
        <v>0</v>
      </c>
      <c r="Y246" s="127">
        <v>0</v>
      </c>
      <c r="Z246" s="127">
        <v>0</v>
      </c>
      <c r="AA246" s="127">
        <v>0</v>
      </c>
      <c r="AB246" s="127">
        <v>0</v>
      </c>
      <c r="AC246" s="127">
        <v>0</v>
      </c>
      <c r="AD246" s="127">
        <v>0</v>
      </c>
      <c r="AE246" s="127">
        <v>0</v>
      </c>
      <c r="AF246" s="127">
        <v>0</v>
      </c>
      <c r="AG246" s="127">
        <v>0</v>
      </c>
      <c r="AH246" s="127">
        <v>0</v>
      </c>
      <c r="AI246" s="127">
        <v>0</v>
      </c>
      <c r="AJ246" s="127">
        <v>0</v>
      </c>
      <c r="AK246" s="127">
        <v>0</v>
      </c>
      <c r="AL246" s="127">
        <v>0</v>
      </c>
      <c r="AM246" s="127">
        <v>0</v>
      </c>
      <c r="AN246" s="127">
        <v>0</v>
      </c>
      <c r="AO246" s="127">
        <v>0</v>
      </c>
      <c r="AP246" s="127">
        <v>0</v>
      </c>
      <c r="AQ246" s="127">
        <v>0</v>
      </c>
      <c r="AR246" s="127">
        <v>0</v>
      </c>
      <c r="AS246" s="127">
        <v>0</v>
      </c>
      <c r="AT246" s="127">
        <v>0</v>
      </c>
      <c r="AU246" s="127">
        <v>0</v>
      </c>
      <c r="AV246" s="127">
        <v>0</v>
      </c>
      <c r="AW246" s="127">
        <v>0</v>
      </c>
      <c r="AX246" s="127">
        <v>0</v>
      </c>
      <c r="AY246" s="127">
        <v>0</v>
      </c>
    </row>
    <row r="247" spans="1:51" x14ac:dyDescent="0.2">
      <c r="A247" s="126"/>
      <c r="B247" s="146">
        <v>39</v>
      </c>
      <c r="C247" s="123">
        <v>0</v>
      </c>
      <c r="D247" s="127">
        <v>0</v>
      </c>
      <c r="E247" s="127">
        <v>0</v>
      </c>
      <c r="F247" s="127">
        <v>0</v>
      </c>
      <c r="G247" s="127">
        <v>0</v>
      </c>
      <c r="H247" s="127">
        <v>0</v>
      </c>
      <c r="I247" s="127">
        <v>0</v>
      </c>
      <c r="J247" s="127">
        <v>0</v>
      </c>
      <c r="K247" s="127">
        <v>0</v>
      </c>
      <c r="L247" s="127">
        <v>0</v>
      </c>
      <c r="M247" s="127">
        <v>0</v>
      </c>
      <c r="N247" s="127">
        <v>0</v>
      </c>
      <c r="O247" s="127">
        <v>0</v>
      </c>
      <c r="P247" s="127">
        <v>0</v>
      </c>
      <c r="Q247" s="127">
        <v>0</v>
      </c>
      <c r="R247" s="127">
        <v>0</v>
      </c>
      <c r="S247" s="127">
        <v>0</v>
      </c>
      <c r="T247" s="127">
        <v>0</v>
      </c>
      <c r="U247" s="127">
        <v>0</v>
      </c>
      <c r="V247" s="127">
        <v>0</v>
      </c>
      <c r="W247" s="127">
        <v>0</v>
      </c>
      <c r="X247" s="127">
        <v>0</v>
      </c>
      <c r="Y247" s="127">
        <v>0</v>
      </c>
      <c r="Z247" s="127">
        <v>0</v>
      </c>
      <c r="AA247" s="127">
        <v>0</v>
      </c>
      <c r="AB247" s="127">
        <v>0</v>
      </c>
      <c r="AC247" s="127">
        <v>0</v>
      </c>
      <c r="AD247" s="127">
        <v>0</v>
      </c>
      <c r="AE247" s="127">
        <v>0</v>
      </c>
      <c r="AF247" s="127">
        <v>0</v>
      </c>
      <c r="AG247" s="127">
        <v>0</v>
      </c>
      <c r="AH247" s="127">
        <v>0</v>
      </c>
      <c r="AI247" s="127">
        <v>0</v>
      </c>
      <c r="AJ247" s="127">
        <v>0</v>
      </c>
      <c r="AK247" s="127">
        <v>0</v>
      </c>
      <c r="AL247" s="127">
        <v>0</v>
      </c>
      <c r="AM247" s="127">
        <v>0</v>
      </c>
      <c r="AN247" s="127">
        <v>0</v>
      </c>
      <c r="AO247" s="127">
        <v>0</v>
      </c>
      <c r="AP247" s="127">
        <v>0</v>
      </c>
      <c r="AQ247" s="127">
        <v>0</v>
      </c>
      <c r="AR247" s="127">
        <v>0</v>
      </c>
      <c r="AS247" s="127">
        <v>0</v>
      </c>
      <c r="AT247" s="127">
        <v>0</v>
      </c>
      <c r="AU247" s="127">
        <v>0</v>
      </c>
      <c r="AV247" s="127">
        <v>0</v>
      </c>
      <c r="AW247" s="127">
        <v>0</v>
      </c>
      <c r="AX247" s="127">
        <v>0</v>
      </c>
      <c r="AY247" s="127">
        <v>0</v>
      </c>
    </row>
    <row r="248" spans="1:51" x14ac:dyDescent="0.2">
      <c r="A248" s="126"/>
      <c r="B248" s="146">
        <v>40</v>
      </c>
      <c r="C248" s="123">
        <v>0</v>
      </c>
      <c r="D248" s="127">
        <v>0</v>
      </c>
      <c r="E248" s="127">
        <v>0</v>
      </c>
      <c r="F248" s="127">
        <v>0</v>
      </c>
      <c r="G248" s="127">
        <v>0</v>
      </c>
      <c r="H248" s="127">
        <v>0</v>
      </c>
      <c r="I248" s="127">
        <v>0</v>
      </c>
      <c r="J248" s="127">
        <v>0</v>
      </c>
      <c r="K248" s="127">
        <v>0</v>
      </c>
      <c r="L248" s="127">
        <v>0</v>
      </c>
      <c r="M248" s="127">
        <v>0</v>
      </c>
      <c r="N248" s="127">
        <v>0</v>
      </c>
      <c r="O248" s="127">
        <v>0</v>
      </c>
      <c r="P248" s="127">
        <v>0</v>
      </c>
      <c r="Q248" s="127">
        <v>0</v>
      </c>
      <c r="R248" s="127">
        <v>0</v>
      </c>
      <c r="S248" s="127">
        <v>0</v>
      </c>
      <c r="T248" s="127">
        <v>0</v>
      </c>
      <c r="U248" s="127">
        <v>0</v>
      </c>
      <c r="V248" s="127">
        <v>0</v>
      </c>
      <c r="W248" s="127">
        <v>0</v>
      </c>
      <c r="X248" s="127">
        <v>0</v>
      </c>
      <c r="Y248" s="127">
        <v>0</v>
      </c>
      <c r="Z248" s="127">
        <v>0</v>
      </c>
      <c r="AA248" s="127">
        <v>0</v>
      </c>
      <c r="AB248" s="127">
        <v>0</v>
      </c>
      <c r="AC248" s="127">
        <v>0</v>
      </c>
      <c r="AD248" s="127">
        <v>0</v>
      </c>
      <c r="AE248" s="127">
        <v>0</v>
      </c>
      <c r="AF248" s="127">
        <v>0</v>
      </c>
      <c r="AG248" s="127">
        <v>0</v>
      </c>
      <c r="AH248" s="127">
        <v>0</v>
      </c>
      <c r="AI248" s="127">
        <v>0</v>
      </c>
      <c r="AJ248" s="127">
        <v>0</v>
      </c>
      <c r="AK248" s="127">
        <v>0</v>
      </c>
      <c r="AL248" s="127">
        <v>0</v>
      </c>
      <c r="AM248" s="127">
        <v>0</v>
      </c>
      <c r="AN248" s="127">
        <v>0</v>
      </c>
      <c r="AO248" s="127">
        <v>0</v>
      </c>
      <c r="AP248" s="127">
        <v>0</v>
      </c>
      <c r="AQ248" s="127">
        <v>0</v>
      </c>
      <c r="AR248" s="127">
        <v>0</v>
      </c>
      <c r="AS248" s="127">
        <v>0</v>
      </c>
      <c r="AT248" s="127">
        <v>0</v>
      </c>
      <c r="AU248" s="127">
        <v>0</v>
      </c>
      <c r="AV248" s="127">
        <v>0</v>
      </c>
      <c r="AW248" s="127">
        <v>0</v>
      </c>
      <c r="AX248" s="127">
        <v>0</v>
      </c>
      <c r="AY248" s="127">
        <v>0</v>
      </c>
    </row>
    <row r="249" spans="1:51" x14ac:dyDescent="0.2">
      <c r="A249" s="126"/>
      <c r="B249" s="146">
        <v>41</v>
      </c>
      <c r="C249" s="123">
        <v>0</v>
      </c>
      <c r="D249" s="127">
        <v>0</v>
      </c>
      <c r="E249" s="127">
        <v>0</v>
      </c>
      <c r="F249" s="127">
        <v>0</v>
      </c>
      <c r="G249" s="127">
        <v>0</v>
      </c>
      <c r="H249" s="127">
        <v>0</v>
      </c>
      <c r="I249" s="127">
        <v>0</v>
      </c>
      <c r="J249" s="127">
        <v>0</v>
      </c>
      <c r="K249" s="127">
        <v>0</v>
      </c>
      <c r="L249" s="127">
        <v>0</v>
      </c>
      <c r="M249" s="127">
        <v>0</v>
      </c>
      <c r="N249" s="127">
        <v>0</v>
      </c>
      <c r="O249" s="127">
        <v>0</v>
      </c>
      <c r="P249" s="127">
        <v>0</v>
      </c>
      <c r="Q249" s="127">
        <v>0</v>
      </c>
      <c r="R249" s="127">
        <v>0</v>
      </c>
      <c r="S249" s="127">
        <v>0</v>
      </c>
      <c r="T249" s="127">
        <v>0</v>
      </c>
      <c r="U249" s="127">
        <v>0</v>
      </c>
      <c r="V249" s="127">
        <v>0</v>
      </c>
      <c r="W249" s="127">
        <v>0</v>
      </c>
      <c r="X249" s="127">
        <v>0</v>
      </c>
      <c r="Y249" s="127">
        <v>0</v>
      </c>
      <c r="Z249" s="127">
        <v>0</v>
      </c>
      <c r="AA249" s="127">
        <v>0</v>
      </c>
      <c r="AB249" s="127">
        <v>0</v>
      </c>
      <c r="AC249" s="127">
        <v>0</v>
      </c>
      <c r="AD249" s="127">
        <v>0</v>
      </c>
      <c r="AE249" s="127">
        <v>0</v>
      </c>
      <c r="AF249" s="127">
        <v>0</v>
      </c>
      <c r="AG249" s="127">
        <v>0</v>
      </c>
      <c r="AH249" s="127">
        <v>0</v>
      </c>
      <c r="AI249" s="127">
        <v>0</v>
      </c>
      <c r="AJ249" s="127">
        <v>0</v>
      </c>
      <c r="AK249" s="127">
        <v>0</v>
      </c>
      <c r="AL249" s="127">
        <v>0</v>
      </c>
      <c r="AM249" s="127">
        <v>0</v>
      </c>
      <c r="AN249" s="127">
        <v>0</v>
      </c>
      <c r="AO249" s="127">
        <v>0</v>
      </c>
      <c r="AP249" s="127">
        <v>0</v>
      </c>
      <c r="AQ249" s="127">
        <v>0</v>
      </c>
      <c r="AR249" s="127">
        <v>0</v>
      </c>
      <c r="AS249" s="127">
        <v>0</v>
      </c>
      <c r="AT249" s="127">
        <v>0</v>
      </c>
      <c r="AU249" s="127">
        <v>0</v>
      </c>
      <c r="AV249" s="127">
        <v>0</v>
      </c>
      <c r="AW249" s="127">
        <v>0</v>
      </c>
      <c r="AX249" s="127">
        <v>0</v>
      </c>
      <c r="AY249" s="127">
        <v>0</v>
      </c>
    </row>
    <row r="250" spans="1:51" x14ac:dyDescent="0.2">
      <c r="A250" s="126"/>
      <c r="B250" s="146">
        <v>42</v>
      </c>
      <c r="C250" s="123">
        <v>0</v>
      </c>
      <c r="D250" s="127">
        <v>0</v>
      </c>
      <c r="E250" s="127">
        <v>0</v>
      </c>
      <c r="F250" s="127">
        <v>0</v>
      </c>
      <c r="G250" s="127">
        <v>0</v>
      </c>
      <c r="H250" s="127">
        <v>0</v>
      </c>
      <c r="I250" s="127">
        <v>0</v>
      </c>
      <c r="J250" s="127">
        <v>0</v>
      </c>
      <c r="K250" s="127">
        <v>0</v>
      </c>
      <c r="L250" s="127">
        <v>0</v>
      </c>
      <c r="M250" s="127">
        <v>0</v>
      </c>
      <c r="N250" s="127">
        <v>0</v>
      </c>
      <c r="O250" s="127">
        <v>0</v>
      </c>
      <c r="P250" s="127">
        <v>0</v>
      </c>
      <c r="Q250" s="127">
        <v>0</v>
      </c>
      <c r="R250" s="127">
        <v>0</v>
      </c>
      <c r="S250" s="127">
        <v>0</v>
      </c>
      <c r="T250" s="127">
        <v>0</v>
      </c>
      <c r="U250" s="127">
        <v>0</v>
      </c>
      <c r="V250" s="127">
        <v>0</v>
      </c>
      <c r="W250" s="127">
        <v>0</v>
      </c>
      <c r="X250" s="127">
        <v>0</v>
      </c>
      <c r="Y250" s="127">
        <v>0</v>
      </c>
      <c r="Z250" s="127">
        <v>0</v>
      </c>
      <c r="AA250" s="127">
        <v>0</v>
      </c>
      <c r="AB250" s="127">
        <v>0</v>
      </c>
      <c r="AC250" s="127">
        <v>0</v>
      </c>
      <c r="AD250" s="127">
        <v>0</v>
      </c>
      <c r="AE250" s="127">
        <v>0</v>
      </c>
      <c r="AF250" s="127">
        <v>0</v>
      </c>
      <c r="AG250" s="127">
        <v>0</v>
      </c>
      <c r="AH250" s="127">
        <v>0</v>
      </c>
      <c r="AI250" s="127">
        <v>0</v>
      </c>
      <c r="AJ250" s="127">
        <v>0</v>
      </c>
      <c r="AK250" s="127">
        <v>0</v>
      </c>
      <c r="AL250" s="127">
        <v>0</v>
      </c>
      <c r="AM250" s="127">
        <v>0</v>
      </c>
      <c r="AN250" s="127">
        <v>0</v>
      </c>
      <c r="AO250" s="127">
        <v>0</v>
      </c>
      <c r="AP250" s="127">
        <v>0</v>
      </c>
      <c r="AQ250" s="127">
        <v>0</v>
      </c>
      <c r="AR250" s="127">
        <v>0</v>
      </c>
      <c r="AS250" s="127">
        <v>0</v>
      </c>
      <c r="AT250" s="127">
        <v>0</v>
      </c>
      <c r="AU250" s="127">
        <v>0</v>
      </c>
      <c r="AV250" s="127">
        <v>0</v>
      </c>
      <c r="AW250" s="127">
        <v>0</v>
      </c>
      <c r="AX250" s="127">
        <v>0</v>
      </c>
      <c r="AY250" s="127">
        <v>0</v>
      </c>
    </row>
    <row r="251" spans="1:51" x14ac:dyDescent="0.2">
      <c r="A251" s="126"/>
      <c r="B251" s="146">
        <v>43</v>
      </c>
      <c r="C251" s="123">
        <v>0</v>
      </c>
      <c r="D251" s="127">
        <v>0</v>
      </c>
      <c r="E251" s="127">
        <v>0</v>
      </c>
      <c r="F251" s="127">
        <v>0</v>
      </c>
      <c r="G251" s="127">
        <v>0</v>
      </c>
      <c r="H251" s="127">
        <v>0</v>
      </c>
      <c r="I251" s="127">
        <v>0</v>
      </c>
      <c r="J251" s="127">
        <v>0</v>
      </c>
      <c r="K251" s="127">
        <v>0</v>
      </c>
      <c r="L251" s="127">
        <v>0</v>
      </c>
      <c r="M251" s="127">
        <v>0</v>
      </c>
      <c r="N251" s="127">
        <v>0</v>
      </c>
      <c r="O251" s="127">
        <v>0</v>
      </c>
      <c r="P251" s="127">
        <v>0</v>
      </c>
      <c r="Q251" s="127">
        <v>0</v>
      </c>
      <c r="R251" s="127">
        <v>0</v>
      </c>
      <c r="S251" s="127">
        <v>0</v>
      </c>
      <c r="T251" s="127">
        <v>0</v>
      </c>
      <c r="U251" s="127">
        <v>0</v>
      </c>
      <c r="V251" s="127">
        <v>0</v>
      </c>
      <c r="W251" s="127">
        <v>0</v>
      </c>
      <c r="X251" s="127">
        <v>0</v>
      </c>
      <c r="Y251" s="127">
        <v>0</v>
      </c>
      <c r="Z251" s="127">
        <v>0</v>
      </c>
      <c r="AA251" s="127">
        <v>0</v>
      </c>
      <c r="AB251" s="127">
        <v>0</v>
      </c>
      <c r="AC251" s="127">
        <v>0</v>
      </c>
      <c r="AD251" s="127">
        <v>0</v>
      </c>
      <c r="AE251" s="127">
        <v>0</v>
      </c>
      <c r="AF251" s="127">
        <v>0</v>
      </c>
      <c r="AG251" s="127">
        <v>0</v>
      </c>
      <c r="AH251" s="127">
        <v>0</v>
      </c>
      <c r="AI251" s="127">
        <v>0</v>
      </c>
      <c r="AJ251" s="127">
        <v>0</v>
      </c>
      <c r="AK251" s="127">
        <v>0</v>
      </c>
      <c r="AL251" s="127">
        <v>0</v>
      </c>
      <c r="AM251" s="127">
        <v>0</v>
      </c>
      <c r="AN251" s="127">
        <v>0</v>
      </c>
      <c r="AO251" s="127">
        <v>0</v>
      </c>
      <c r="AP251" s="127">
        <v>0</v>
      </c>
      <c r="AQ251" s="127">
        <v>0</v>
      </c>
      <c r="AR251" s="127">
        <v>0</v>
      </c>
      <c r="AS251" s="127">
        <v>0</v>
      </c>
      <c r="AT251" s="127">
        <v>0</v>
      </c>
      <c r="AU251" s="127">
        <v>0</v>
      </c>
      <c r="AV251" s="127">
        <v>0</v>
      </c>
      <c r="AW251" s="127">
        <v>0</v>
      </c>
      <c r="AX251" s="127">
        <v>0</v>
      </c>
      <c r="AY251" s="127">
        <v>0</v>
      </c>
    </row>
    <row r="252" spans="1:51" x14ac:dyDescent="0.2">
      <c r="A252" s="126"/>
      <c r="B252" s="146">
        <v>44</v>
      </c>
      <c r="C252" s="123">
        <v>0</v>
      </c>
      <c r="D252" s="127">
        <v>0</v>
      </c>
      <c r="E252" s="127">
        <v>0</v>
      </c>
      <c r="F252" s="127">
        <v>0</v>
      </c>
      <c r="G252" s="127">
        <v>0</v>
      </c>
      <c r="H252" s="127">
        <v>0</v>
      </c>
      <c r="I252" s="127">
        <v>0</v>
      </c>
      <c r="J252" s="127">
        <v>0</v>
      </c>
      <c r="K252" s="127">
        <v>0</v>
      </c>
      <c r="L252" s="127">
        <v>0</v>
      </c>
      <c r="M252" s="127">
        <v>0</v>
      </c>
      <c r="N252" s="127">
        <v>0</v>
      </c>
      <c r="O252" s="127">
        <v>0</v>
      </c>
      <c r="P252" s="127">
        <v>0</v>
      </c>
      <c r="Q252" s="127">
        <v>0</v>
      </c>
      <c r="R252" s="127">
        <v>0</v>
      </c>
      <c r="S252" s="127">
        <v>0</v>
      </c>
      <c r="T252" s="127">
        <v>0</v>
      </c>
      <c r="U252" s="127">
        <v>0</v>
      </c>
      <c r="V252" s="127">
        <v>0</v>
      </c>
      <c r="W252" s="127">
        <v>0</v>
      </c>
      <c r="X252" s="127">
        <v>0</v>
      </c>
      <c r="Y252" s="127">
        <v>0</v>
      </c>
      <c r="Z252" s="127">
        <v>0</v>
      </c>
      <c r="AA252" s="127">
        <v>0</v>
      </c>
      <c r="AB252" s="127">
        <v>0</v>
      </c>
      <c r="AC252" s="127">
        <v>0</v>
      </c>
      <c r="AD252" s="127">
        <v>0</v>
      </c>
      <c r="AE252" s="127">
        <v>0</v>
      </c>
      <c r="AF252" s="127">
        <v>0</v>
      </c>
      <c r="AG252" s="127">
        <v>0</v>
      </c>
      <c r="AH252" s="127">
        <v>0</v>
      </c>
      <c r="AI252" s="127">
        <v>0</v>
      </c>
      <c r="AJ252" s="127">
        <v>0</v>
      </c>
      <c r="AK252" s="127">
        <v>0</v>
      </c>
      <c r="AL252" s="127">
        <v>0</v>
      </c>
      <c r="AM252" s="127">
        <v>0</v>
      </c>
      <c r="AN252" s="127">
        <v>0</v>
      </c>
      <c r="AO252" s="127">
        <v>0</v>
      </c>
      <c r="AP252" s="127">
        <v>0</v>
      </c>
      <c r="AQ252" s="127">
        <v>0</v>
      </c>
      <c r="AR252" s="127">
        <v>0</v>
      </c>
      <c r="AS252" s="127">
        <v>0</v>
      </c>
      <c r="AT252" s="127">
        <v>0</v>
      </c>
      <c r="AU252" s="127">
        <v>0</v>
      </c>
      <c r="AV252" s="127">
        <v>0</v>
      </c>
      <c r="AW252" s="127">
        <v>0</v>
      </c>
      <c r="AX252" s="127">
        <v>0</v>
      </c>
      <c r="AY252" s="127">
        <v>0</v>
      </c>
    </row>
    <row r="253" spans="1:51" x14ac:dyDescent="0.2">
      <c r="A253" s="126"/>
      <c r="B253" s="146">
        <v>45</v>
      </c>
      <c r="C253" s="123">
        <v>0</v>
      </c>
      <c r="D253" s="127">
        <v>0</v>
      </c>
      <c r="E253" s="127">
        <v>0</v>
      </c>
      <c r="F253" s="127">
        <v>0</v>
      </c>
      <c r="G253" s="127">
        <v>0</v>
      </c>
      <c r="H253" s="127">
        <v>0</v>
      </c>
      <c r="I253" s="127">
        <v>0</v>
      </c>
      <c r="J253" s="127">
        <v>0</v>
      </c>
      <c r="K253" s="127">
        <v>0</v>
      </c>
      <c r="L253" s="127">
        <v>0</v>
      </c>
      <c r="M253" s="127">
        <v>0</v>
      </c>
      <c r="N253" s="127">
        <v>0</v>
      </c>
      <c r="O253" s="127">
        <v>0</v>
      </c>
      <c r="P253" s="127">
        <v>0</v>
      </c>
      <c r="Q253" s="127">
        <v>0</v>
      </c>
      <c r="R253" s="127">
        <v>0</v>
      </c>
      <c r="S253" s="127">
        <v>0</v>
      </c>
      <c r="T253" s="127">
        <v>0</v>
      </c>
      <c r="U253" s="127">
        <v>0</v>
      </c>
      <c r="V253" s="127">
        <v>0</v>
      </c>
      <c r="W253" s="127">
        <v>0</v>
      </c>
      <c r="X253" s="127">
        <v>0</v>
      </c>
      <c r="Y253" s="127">
        <v>0</v>
      </c>
      <c r="Z253" s="127">
        <v>0</v>
      </c>
      <c r="AA253" s="127">
        <v>0</v>
      </c>
      <c r="AB253" s="127">
        <v>0</v>
      </c>
      <c r="AC253" s="127">
        <v>0</v>
      </c>
      <c r="AD253" s="127">
        <v>0</v>
      </c>
      <c r="AE253" s="127">
        <v>0</v>
      </c>
      <c r="AF253" s="127">
        <v>0</v>
      </c>
      <c r="AG253" s="127">
        <v>0</v>
      </c>
      <c r="AH253" s="127">
        <v>0</v>
      </c>
      <c r="AI253" s="127">
        <v>0</v>
      </c>
      <c r="AJ253" s="127">
        <v>0</v>
      </c>
      <c r="AK253" s="127">
        <v>0</v>
      </c>
      <c r="AL253" s="127">
        <v>0</v>
      </c>
      <c r="AM253" s="127">
        <v>0</v>
      </c>
      <c r="AN253" s="127">
        <v>0</v>
      </c>
      <c r="AO253" s="127">
        <v>0</v>
      </c>
      <c r="AP253" s="127">
        <v>0</v>
      </c>
      <c r="AQ253" s="127">
        <v>0</v>
      </c>
      <c r="AR253" s="127">
        <v>0</v>
      </c>
      <c r="AS253" s="127">
        <v>0</v>
      </c>
      <c r="AT253" s="127">
        <v>0</v>
      </c>
      <c r="AU253" s="127">
        <v>0</v>
      </c>
      <c r="AV253" s="127">
        <v>0</v>
      </c>
      <c r="AW253" s="127">
        <v>0</v>
      </c>
      <c r="AX253" s="127">
        <v>0</v>
      </c>
      <c r="AY253" s="127">
        <v>0</v>
      </c>
    </row>
    <row r="254" spans="1:51" x14ac:dyDescent="0.2">
      <c r="A254" s="126"/>
      <c r="B254" s="146">
        <v>46</v>
      </c>
      <c r="C254" s="123">
        <v>0</v>
      </c>
      <c r="D254" s="127">
        <v>0</v>
      </c>
      <c r="E254" s="127">
        <v>0</v>
      </c>
      <c r="F254" s="127">
        <v>0</v>
      </c>
      <c r="G254" s="127">
        <v>0</v>
      </c>
      <c r="H254" s="127">
        <v>0</v>
      </c>
      <c r="I254" s="127">
        <v>0</v>
      </c>
      <c r="J254" s="127">
        <v>0</v>
      </c>
      <c r="K254" s="127">
        <v>0</v>
      </c>
      <c r="L254" s="127">
        <v>0</v>
      </c>
      <c r="M254" s="127">
        <v>0</v>
      </c>
      <c r="N254" s="127">
        <v>0</v>
      </c>
      <c r="O254" s="127">
        <v>0</v>
      </c>
      <c r="P254" s="127">
        <v>0</v>
      </c>
      <c r="Q254" s="127">
        <v>0</v>
      </c>
      <c r="R254" s="127">
        <v>0</v>
      </c>
      <c r="S254" s="127">
        <v>0</v>
      </c>
      <c r="T254" s="127">
        <v>0</v>
      </c>
      <c r="U254" s="127">
        <v>0</v>
      </c>
      <c r="V254" s="127">
        <v>0</v>
      </c>
      <c r="W254" s="127">
        <v>0</v>
      </c>
      <c r="X254" s="127">
        <v>0</v>
      </c>
      <c r="Y254" s="127">
        <v>0</v>
      </c>
      <c r="Z254" s="127">
        <v>0</v>
      </c>
      <c r="AA254" s="127">
        <v>0</v>
      </c>
      <c r="AB254" s="127">
        <v>0</v>
      </c>
      <c r="AC254" s="127">
        <v>0</v>
      </c>
      <c r="AD254" s="127">
        <v>0</v>
      </c>
      <c r="AE254" s="127">
        <v>0</v>
      </c>
      <c r="AF254" s="127">
        <v>0</v>
      </c>
      <c r="AG254" s="127">
        <v>0</v>
      </c>
      <c r="AH254" s="127">
        <v>0</v>
      </c>
      <c r="AI254" s="127">
        <v>0</v>
      </c>
      <c r="AJ254" s="127">
        <v>0</v>
      </c>
      <c r="AK254" s="127">
        <v>0</v>
      </c>
      <c r="AL254" s="127">
        <v>0</v>
      </c>
      <c r="AM254" s="127">
        <v>0</v>
      </c>
      <c r="AN254" s="127">
        <v>0</v>
      </c>
      <c r="AO254" s="127">
        <v>0</v>
      </c>
      <c r="AP254" s="127">
        <v>0</v>
      </c>
      <c r="AQ254" s="127">
        <v>0</v>
      </c>
      <c r="AR254" s="127">
        <v>0</v>
      </c>
      <c r="AS254" s="127">
        <v>0</v>
      </c>
      <c r="AT254" s="127">
        <v>0</v>
      </c>
      <c r="AU254" s="127">
        <v>0</v>
      </c>
      <c r="AV254" s="127">
        <v>0</v>
      </c>
      <c r="AW254" s="127">
        <v>0</v>
      </c>
      <c r="AX254" s="127">
        <v>0</v>
      </c>
      <c r="AY254" s="127">
        <v>0</v>
      </c>
    </row>
    <row r="255" spans="1:51" x14ac:dyDescent="0.2">
      <c r="A255" s="126"/>
      <c r="B255" s="146">
        <v>47</v>
      </c>
      <c r="C255" s="123">
        <v>0</v>
      </c>
      <c r="D255" s="127">
        <v>0</v>
      </c>
      <c r="E255" s="127">
        <v>0</v>
      </c>
      <c r="F255" s="127">
        <v>0</v>
      </c>
      <c r="G255" s="127">
        <v>0</v>
      </c>
      <c r="H255" s="127">
        <v>0</v>
      </c>
      <c r="I255" s="127">
        <v>0</v>
      </c>
      <c r="J255" s="127">
        <v>0</v>
      </c>
      <c r="K255" s="127">
        <v>0</v>
      </c>
      <c r="L255" s="127">
        <v>0</v>
      </c>
      <c r="M255" s="127">
        <v>0</v>
      </c>
      <c r="N255" s="127">
        <v>0</v>
      </c>
      <c r="O255" s="127">
        <v>0</v>
      </c>
      <c r="P255" s="127">
        <v>0</v>
      </c>
      <c r="Q255" s="127">
        <v>0</v>
      </c>
      <c r="R255" s="127">
        <v>0</v>
      </c>
      <c r="S255" s="127">
        <v>0</v>
      </c>
      <c r="T255" s="127">
        <v>0</v>
      </c>
      <c r="U255" s="127">
        <v>0</v>
      </c>
      <c r="V255" s="127">
        <v>0</v>
      </c>
      <c r="W255" s="127">
        <v>0</v>
      </c>
      <c r="X255" s="127">
        <v>0</v>
      </c>
      <c r="Y255" s="127">
        <v>0</v>
      </c>
      <c r="Z255" s="127">
        <v>0</v>
      </c>
      <c r="AA255" s="127">
        <v>0</v>
      </c>
      <c r="AB255" s="127">
        <v>0</v>
      </c>
      <c r="AC255" s="127">
        <v>0</v>
      </c>
      <c r="AD255" s="127">
        <v>0</v>
      </c>
      <c r="AE255" s="127">
        <v>0</v>
      </c>
      <c r="AF255" s="127">
        <v>0</v>
      </c>
      <c r="AG255" s="127">
        <v>0</v>
      </c>
      <c r="AH255" s="127">
        <v>0</v>
      </c>
      <c r="AI255" s="127">
        <v>0</v>
      </c>
      <c r="AJ255" s="127">
        <v>0</v>
      </c>
      <c r="AK255" s="127">
        <v>0</v>
      </c>
      <c r="AL255" s="127">
        <v>0</v>
      </c>
      <c r="AM255" s="127">
        <v>0</v>
      </c>
      <c r="AN255" s="127">
        <v>0</v>
      </c>
      <c r="AO255" s="127">
        <v>0</v>
      </c>
      <c r="AP255" s="127">
        <v>0</v>
      </c>
      <c r="AQ255" s="127">
        <v>0</v>
      </c>
      <c r="AR255" s="127">
        <v>0</v>
      </c>
      <c r="AS255" s="127">
        <v>0</v>
      </c>
      <c r="AT255" s="127">
        <v>0</v>
      </c>
      <c r="AU255" s="127">
        <v>0</v>
      </c>
      <c r="AV255" s="127">
        <v>0</v>
      </c>
      <c r="AW255" s="127">
        <v>0</v>
      </c>
      <c r="AX255" s="127">
        <v>0</v>
      </c>
      <c r="AY255" s="127">
        <v>0</v>
      </c>
    </row>
    <row r="256" spans="1:51" x14ac:dyDescent="0.2">
      <c r="A256" s="144"/>
      <c r="B256" s="145">
        <v>48</v>
      </c>
      <c r="C256" s="130">
        <v>0</v>
      </c>
      <c r="D256" s="141">
        <v>0</v>
      </c>
      <c r="E256" s="141">
        <v>0</v>
      </c>
      <c r="F256" s="141">
        <v>0</v>
      </c>
      <c r="G256" s="141">
        <v>0</v>
      </c>
      <c r="H256" s="141">
        <v>0</v>
      </c>
      <c r="I256" s="141">
        <v>0</v>
      </c>
      <c r="J256" s="141">
        <v>0</v>
      </c>
      <c r="K256" s="141">
        <v>0</v>
      </c>
      <c r="L256" s="141">
        <v>0</v>
      </c>
      <c r="M256" s="141">
        <v>0</v>
      </c>
      <c r="N256" s="141">
        <v>0</v>
      </c>
      <c r="O256" s="141">
        <v>0</v>
      </c>
      <c r="P256" s="141">
        <v>0</v>
      </c>
      <c r="Q256" s="141">
        <v>0</v>
      </c>
      <c r="R256" s="141">
        <v>0</v>
      </c>
      <c r="S256" s="141">
        <v>0</v>
      </c>
      <c r="T256" s="141">
        <v>0</v>
      </c>
      <c r="U256" s="141">
        <v>0</v>
      </c>
      <c r="V256" s="141">
        <v>0</v>
      </c>
      <c r="W256" s="141">
        <v>0</v>
      </c>
      <c r="X256" s="141">
        <v>0</v>
      </c>
      <c r="Y256" s="141">
        <v>0</v>
      </c>
      <c r="Z256" s="141">
        <v>0</v>
      </c>
      <c r="AA256" s="141">
        <v>0</v>
      </c>
      <c r="AB256" s="141">
        <v>0</v>
      </c>
      <c r="AC256" s="141">
        <v>0</v>
      </c>
      <c r="AD256" s="141">
        <v>0</v>
      </c>
      <c r="AE256" s="141">
        <v>0</v>
      </c>
      <c r="AF256" s="141">
        <v>0</v>
      </c>
      <c r="AG256" s="141">
        <v>0</v>
      </c>
      <c r="AH256" s="141">
        <v>0</v>
      </c>
      <c r="AI256" s="141">
        <v>0</v>
      </c>
      <c r="AJ256" s="141">
        <v>0</v>
      </c>
      <c r="AK256" s="141">
        <v>0</v>
      </c>
      <c r="AL256" s="141">
        <v>0</v>
      </c>
      <c r="AM256" s="141">
        <v>0</v>
      </c>
      <c r="AN256" s="141">
        <v>0</v>
      </c>
      <c r="AO256" s="141">
        <v>0</v>
      </c>
      <c r="AP256" s="141">
        <v>0</v>
      </c>
      <c r="AQ256" s="141">
        <v>0</v>
      </c>
      <c r="AR256" s="141">
        <v>0</v>
      </c>
      <c r="AS256" s="141">
        <v>0</v>
      </c>
      <c r="AT256" s="141">
        <v>0</v>
      </c>
      <c r="AU256" s="141">
        <v>0</v>
      </c>
      <c r="AV256" s="141">
        <v>0</v>
      </c>
      <c r="AW256" s="141">
        <v>0</v>
      </c>
      <c r="AX256" s="141">
        <v>0</v>
      </c>
      <c r="AY256" s="141">
        <v>0</v>
      </c>
    </row>
    <row r="258" spans="1:52" x14ac:dyDescent="0.2">
      <c r="A258" s="1" t="s">
        <v>301</v>
      </c>
    </row>
    <row r="259" spans="1:52" x14ac:dyDescent="0.2">
      <c r="A259" s="153" t="s">
        <v>124</v>
      </c>
      <c r="B259" s="154">
        <v>650</v>
      </c>
      <c r="C259" s="140" t="s">
        <v>293</v>
      </c>
      <c r="D259" s="140">
        <f>E$14*$B$259</f>
        <v>1314743.5295603035</v>
      </c>
      <c r="E259" s="140">
        <f t="shared" ref="E259:AX259" si="5">F$14*$B$259</f>
        <v>1973087.0235681324</v>
      </c>
      <c r="F259" s="140">
        <f t="shared" si="5"/>
        <v>2423576.4123630016</v>
      </c>
      <c r="G259" s="140">
        <f t="shared" si="5"/>
        <v>2566922.4351679054</v>
      </c>
      <c r="H259" s="140">
        <f t="shared" si="5"/>
        <v>2965987.6243101959</v>
      </c>
      <c r="I259" s="140">
        <f t="shared" si="5"/>
        <v>2981323.8004784803</v>
      </c>
      <c r="J259" s="140">
        <f t="shared" si="5"/>
        <v>3029087.7876750585</v>
      </c>
      <c r="K259" s="140">
        <f t="shared" si="5"/>
        <v>2897363.8196826242</v>
      </c>
      <c r="L259" s="140">
        <f t="shared" si="5"/>
        <v>3078673.8178076958</v>
      </c>
      <c r="M259" s="140">
        <f t="shared" si="5"/>
        <v>3139165.2095960239</v>
      </c>
      <c r="N259" s="140">
        <f t="shared" si="5"/>
        <v>3076116.7407857063</v>
      </c>
      <c r="O259" s="140">
        <f t="shared" si="5"/>
        <v>3102827.9752843166</v>
      </c>
      <c r="P259" s="140">
        <f t="shared" si="5"/>
        <v>3107631.6582142129</v>
      </c>
      <c r="Q259" s="140">
        <f t="shared" si="5"/>
        <v>3079801.3917477843</v>
      </c>
      <c r="R259" s="140">
        <f t="shared" si="5"/>
        <v>3124024.1545322603</v>
      </c>
      <c r="S259" s="140">
        <f t="shared" si="5"/>
        <v>2968994.5346995215</v>
      </c>
      <c r="T259" s="140">
        <f t="shared" si="5"/>
        <v>3053763.4739882774</v>
      </c>
      <c r="U259" s="140">
        <f t="shared" si="5"/>
        <v>3217252.4848443796</v>
      </c>
      <c r="V259" s="140">
        <f t="shared" si="5"/>
        <v>3151235.1596683837</v>
      </c>
      <c r="W259" s="140">
        <f t="shared" si="5"/>
        <v>3154594.0732446825</v>
      </c>
      <c r="X259" s="140">
        <f t="shared" si="5"/>
        <v>3042060.5173173589</v>
      </c>
      <c r="Y259" s="140">
        <f t="shared" si="5"/>
        <v>3061249.1891396404</v>
      </c>
      <c r="Z259" s="140">
        <f t="shared" si="5"/>
        <v>3157222.8065185398</v>
      </c>
      <c r="AA259" s="140">
        <f t="shared" si="5"/>
        <v>3276686.2349543753</v>
      </c>
      <c r="AB259" s="140">
        <f t="shared" si="5"/>
        <v>3178345.546469395</v>
      </c>
      <c r="AC259" s="140">
        <f t="shared" si="5"/>
        <v>3115751.8347919802</v>
      </c>
      <c r="AD259" s="140">
        <f t="shared" si="5"/>
        <v>3067463.4532554452</v>
      </c>
      <c r="AE259" s="140">
        <f t="shared" si="5"/>
        <v>3141044.220441794</v>
      </c>
      <c r="AF259" s="140">
        <f t="shared" si="5"/>
        <v>3097795.2574534491</v>
      </c>
      <c r="AG259" s="140">
        <f t="shared" si="5"/>
        <v>3098306.9825368077</v>
      </c>
      <c r="AH259" s="140">
        <f t="shared" si="5"/>
        <v>3121656.5357375182</v>
      </c>
      <c r="AI259" s="140">
        <f t="shared" si="5"/>
        <v>2900953.3125270298</v>
      </c>
      <c r="AJ259" s="140">
        <f t="shared" si="5"/>
        <v>3180627.1791402283</v>
      </c>
      <c r="AK259" s="140">
        <f t="shared" si="5"/>
        <v>2932911.6873497418</v>
      </c>
      <c r="AL259" s="140">
        <f t="shared" si="5"/>
        <v>3121567.6502804067</v>
      </c>
      <c r="AM259" s="140">
        <f t="shared" si="5"/>
        <v>2999167.6812646538</v>
      </c>
      <c r="AN259" s="140">
        <f t="shared" si="5"/>
        <v>2953985.3962535686</v>
      </c>
      <c r="AO259" s="140">
        <f t="shared" si="5"/>
        <v>2996909.1861569164</v>
      </c>
      <c r="AP259" s="140">
        <f t="shared" si="5"/>
        <v>3250647.0977191464</v>
      </c>
      <c r="AQ259" s="140">
        <f t="shared" si="5"/>
        <v>3206892.9182600142</v>
      </c>
      <c r="AR259" s="140">
        <f t="shared" si="5"/>
        <v>3158048.6315476634</v>
      </c>
      <c r="AS259" s="140">
        <f t="shared" si="5"/>
        <v>2970222.0405081455</v>
      </c>
      <c r="AT259" s="140">
        <f t="shared" si="5"/>
        <v>2875709.21205138</v>
      </c>
      <c r="AU259" s="140">
        <f t="shared" si="5"/>
        <v>2824618.9833078817</v>
      </c>
      <c r="AV259" s="140">
        <f t="shared" si="5"/>
        <v>2993299.1370453336</v>
      </c>
      <c r="AW259" s="140">
        <f t="shared" si="5"/>
        <v>3029160.1631807177</v>
      </c>
      <c r="AX259" s="140">
        <f t="shared" si="5"/>
        <v>3057757.835555858</v>
      </c>
      <c r="AY259" s="140">
        <f>AZ$14*$B$259</f>
        <v>2897018.7046773322</v>
      </c>
      <c r="AZ259" s="155">
        <f>SUM($D259:$AY259)</f>
        <v>143113252.50266126</v>
      </c>
    </row>
    <row r="260" spans="1:52" x14ac:dyDescent="0.2">
      <c r="A260" s="156" t="s">
        <v>302</v>
      </c>
      <c r="B260" s="130">
        <v>60</v>
      </c>
      <c r="C260" s="141" t="s">
        <v>293</v>
      </c>
      <c r="D260" s="141">
        <f>(D$175-D$176+D$177-D$178+D$179-D$180+D$181-D$182)*$B$260</f>
        <v>1337863.8654449044</v>
      </c>
      <c r="E260" s="141">
        <f t="shared" ref="E260:AY260" si="6">(E$175-E$176+E$177-E$178+E$179-E$180+E$181-E$182)*$B$260</f>
        <v>1610378.9824907975</v>
      </c>
      <c r="F260" s="141">
        <f t="shared" si="6"/>
        <v>1937908.6518992437</v>
      </c>
      <c r="G260" s="141">
        <f t="shared" si="6"/>
        <v>2125013.8257722147</v>
      </c>
      <c r="H260" s="141">
        <f t="shared" si="6"/>
        <v>2038376.5269867512</v>
      </c>
      <c r="I260" s="141">
        <f t="shared" si="6"/>
        <v>2021900.8799558324</v>
      </c>
      <c r="J260" s="141">
        <f t="shared" si="6"/>
        <v>2012631.8965223024</v>
      </c>
      <c r="K260" s="141">
        <f t="shared" si="6"/>
        <v>2035051.0320292963</v>
      </c>
      <c r="L260" s="141">
        <f t="shared" si="6"/>
        <v>2029354.7245100585</v>
      </c>
      <c r="M260" s="141">
        <f t="shared" si="6"/>
        <v>2081130.903729598</v>
      </c>
      <c r="N260" s="141">
        <f t="shared" si="6"/>
        <v>2067510.7623890114</v>
      </c>
      <c r="O260" s="141">
        <f t="shared" si="6"/>
        <v>2059825.109973755</v>
      </c>
      <c r="P260" s="141">
        <f t="shared" si="6"/>
        <v>2081581.6930879187</v>
      </c>
      <c r="Q260" s="141">
        <f t="shared" si="6"/>
        <v>2083610.6407617428</v>
      </c>
      <c r="R260" s="141">
        <f t="shared" si="6"/>
        <v>2093628.5395816374</v>
      </c>
      <c r="S260" s="141">
        <f t="shared" si="6"/>
        <v>2105685.1297578439</v>
      </c>
      <c r="T260" s="141">
        <f t="shared" si="6"/>
        <v>2088594.1408626204</v>
      </c>
      <c r="U260" s="141">
        <f t="shared" si="6"/>
        <v>2080102.8475528262</v>
      </c>
      <c r="V260" s="141">
        <f t="shared" si="6"/>
        <v>2079896.754492149</v>
      </c>
      <c r="W260" s="141">
        <f t="shared" si="6"/>
        <v>2083366.7009312597</v>
      </c>
      <c r="X260" s="141">
        <f t="shared" si="6"/>
        <v>2083554.41378609</v>
      </c>
      <c r="Y260" s="141">
        <f t="shared" si="6"/>
        <v>2088263.1517717256</v>
      </c>
      <c r="Z260" s="141">
        <f t="shared" si="6"/>
        <v>2106404.0486290581</v>
      </c>
      <c r="AA260" s="141">
        <f t="shared" si="6"/>
        <v>2082656.6552349806</v>
      </c>
      <c r="AB260" s="141">
        <f t="shared" si="6"/>
        <v>2059274.2572489791</v>
      </c>
      <c r="AC260" s="141">
        <f t="shared" si="6"/>
        <v>2078492.1383268943</v>
      </c>
      <c r="AD260" s="141">
        <f t="shared" si="6"/>
        <v>2067649.5273918048</v>
      </c>
      <c r="AE260" s="141">
        <f t="shared" si="6"/>
        <v>2061337.4565746039</v>
      </c>
      <c r="AF260" s="141">
        <f t="shared" si="6"/>
        <v>2069049.6685427588</v>
      </c>
      <c r="AG260" s="141">
        <f t="shared" si="6"/>
        <v>2087542.4323812178</v>
      </c>
      <c r="AH260" s="141">
        <f t="shared" si="6"/>
        <v>2072907.0890088445</v>
      </c>
      <c r="AI260" s="141">
        <f t="shared" si="6"/>
        <v>2169218.8981923163</v>
      </c>
      <c r="AJ260" s="141">
        <f t="shared" si="6"/>
        <v>2064943.645002441</v>
      </c>
      <c r="AK260" s="141">
        <f t="shared" si="6"/>
        <v>2110868.7834804459</v>
      </c>
      <c r="AL260" s="141">
        <f t="shared" si="6"/>
        <v>2074355.2938202703</v>
      </c>
      <c r="AM260" s="141">
        <f t="shared" si="6"/>
        <v>2091166.0601198175</v>
      </c>
      <c r="AN260" s="141">
        <f t="shared" si="6"/>
        <v>2123477.7434995156</v>
      </c>
      <c r="AO260" s="141">
        <f t="shared" si="6"/>
        <v>2160274.2733230121</v>
      </c>
      <c r="AP260" s="141">
        <f t="shared" si="6"/>
        <v>2059380.2679028476</v>
      </c>
      <c r="AQ260" s="141">
        <f t="shared" si="6"/>
        <v>2070979.1152375371</v>
      </c>
      <c r="AR260" s="141">
        <f t="shared" si="6"/>
        <v>2051727.8186263696</v>
      </c>
      <c r="AS260" s="141">
        <f t="shared" si="6"/>
        <v>2113316.4024928464</v>
      </c>
      <c r="AT260" s="141">
        <f t="shared" si="6"/>
        <v>2184265.4791587554</v>
      </c>
      <c r="AU260" s="141">
        <f t="shared" si="6"/>
        <v>2169888.2313997671</v>
      </c>
      <c r="AV260" s="141">
        <f t="shared" si="6"/>
        <v>2081995.4642727382</v>
      </c>
      <c r="AW260" s="141">
        <f t="shared" si="6"/>
        <v>2087025.2157063952</v>
      </c>
      <c r="AX260" s="141">
        <f t="shared" si="6"/>
        <v>2088765.4305640748</v>
      </c>
      <c r="AY260" s="141">
        <f t="shared" si="6"/>
        <v>2099342.8887990154</v>
      </c>
      <c r="AZ260" s="157">
        <f>SUM($D260:$AY260)</f>
        <v>98711535.459226921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sheetData>
    <row r="2" spans="1:99" x14ac:dyDescent="0.2">
      <c r="B2" s="1" t="s">
        <v>272</v>
      </c>
    </row>
    <row r="3" spans="1:99" x14ac:dyDescent="0.2">
      <c r="B3" s="120" t="s">
        <v>283</v>
      </c>
    </row>
    <row r="4" spans="1:99" x14ac:dyDescent="0.2">
      <c r="A4" s="119"/>
      <c r="B4" s="119"/>
      <c r="C4" s="118" t="s">
        <v>274</v>
      </c>
      <c r="D4" s="118" t="s">
        <v>92</v>
      </c>
      <c r="E4" s="119"/>
      <c r="F4" s="119"/>
      <c r="G4" s="119"/>
      <c r="H4" s="119"/>
      <c r="I4" s="119"/>
      <c r="J4" s="119"/>
      <c r="K4" s="119"/>
      <c r="L4" s="118" t="s">
        <v>93</v>
      </c>
      <c r="M4" s="119"/>
      <c r="N4" s="119"/>
      <c r="O4" s="119"/>
      <c r="P4" s="119"/>
      <c r="Q4" s="119"/>
      <c r="R4" s="119"/>
      <c r="S4" s="119"/>
      <c r="T4" s="118" t="s">
        <v>94</v>
      </c>
      <c r="U4" s="119"/>
      <c r="V4" s="119"/>
      <c r="W4" s="119"/>
      <c r="X4" s="119"/>
      <c r="Y4" s="119"/>
      <c r="Z4" s="119"/>
      <c r="AA4" s="119"/>
      <c r="AB4" s="118" t="s">
        <v>95</v>
      </c>
      <c r="AC4" s="119"/>
      <c r="AD4" s="119"/>
      <c r="AE4" s="119"/>
      <c r="AF4" s="119"/>
      <c r="AG4" s="119"/>
      <c r="AH4" s="119"/>
      <c r="AI4" s="119"/>
      <c r="AJ4" s="118" t="s">
        <v>96</v>
      </c>
      <c r="AK4" s="119"/>
      <c r="AL4" s="119"/>
      <c r="AM4" s="119"/>
      <c r="AN4" s="119"/>
      <c r="AO4" s="119"/>
      <c r="AP4" s="119"/>
      <c r="AQ4" s="119"/>
      <c r="AR4" s="118" t="s">
        <v>97</v>
      </c>
      <c r="AS4" s="119"/>
      <c r="AT4" s="119"/>
      <c r="AU4" s="119"/>
      <c r="AV4" s="119"/>
      <c r="AW4" s="119"/>
      <c r="AX4" s="119"/>
      <c r="AY4" s="119"/>
      <c r="AZ4" s="118" t="s">
        <v>98</v>
      </c>
      <c r="BA4" s="119"/>
      <c r="BB4" s="119"/>
      <c r="BC4" s="119"/>
      <c r="BD4" s="119"/>
      <c r="BE4" s="119"/>
      <c r="BF4" s="119"/>
      <c r="BG4" s="119"/>
      <c r="BH4" s="118" t="s">
        <v>99</v>
      </c>
      <c r="BI4" s="119"/>
      <c r="BJ4" s="119"/>
      <c r="BK4" s="119"/>
      <c r="BL4" s="119"/>
      <c r="BM4" s="119"/>
      <c r="BN4" s="119"/>
      <c r="BO4" s="119"/>
      <c r="BP4" s="118" t="s">
        <v>100</v>
      </c>
      <c r="BQ4" s="119"/>
      <c r="BR4" s="119"/>
      <c r="BS4" s="119"/>
      <c r="BT4" s="119"/>
      <c r="BU4" s="119"/>
      <c r="BV4" s="119"/>
      <c r="BW4" s="119"/>
      <c r="BX4" s="118" t="s">
        <v>101</v>
      </c>
      <c r="BY4" s="119"/>
      <c r="BZ4" s="119"/>
      <c r="CA4" s="119"/>
      <c r="CB4" s="119"/>
      <c r="CC4" s="119"/>
      <c r="CD4" s="119"/>
      <c r="CE4" s="119"/>
      <c r="CF4" s="118" t="s">
        <v>102</v>
      </c>
      <c r="CG4" s="119"/>
      <c r="CH4" s="119"/>
      <c r="CI4" s="119"/>
      <c r="CJ4" s="119"/>
      <c r="CK4" s="119"/>
      <c r="CL4" s="119"/>
      <c r="CM4" s="119"/>
      <c r="CN4" s="118" t="s">
        <v>103</v>
      </c>
      <c r="CO4" s="119"/>
      <c r="CP4" s="119"/>
      <c r="CQ4" s="119"/>
      <c r="CR4" s="119"/>
      <c r="CS4" s="119"/>
      <c r="CT4" s="119"/>
      <c r="CU4" s="119"/>
    </row>
    <row r="5" spans="1:99" x14ac:dyDescent="0.2">
      <c r="B5" s="118" t="s">
        <v>167</v>
      </c>
      <c r="C5" s="118" t="s">
        <v>275</v>
      </c>
      <c r="D5" s="118">
        <v>1</v>
      </c>
      <c r="E5" s="118"/>
      <c r="F5" s="118">
        <v>2</v>
      </c>
      <c r="G5" s="118"/>
      <c r="H5" s="118">
        <v>3</v>
      </c>
      <c r="I5" s="118"/>
      <c r="J5" s="118">
        <v>4</v>
      </c>
      <c r="K5" s="118"/>
      <c r="L5" s="118">
        <v>1</v>
      </c>
      <c r="M5" s="118"/>
      <c r="N5" s="118">
        <v>2</v>
      </c>
      <c r="O5" s="118"/>
      <c r="P5" s="118">
        <v>3</v>
      </c>
      <c r="Q5" s="118"/>
      <c r="R5" s="118">
        <v>4</v>
      </c>
      <c r="S5" s="118"/>
      <c r="T5" s="118">
        <v>1</v>
      </c>
      <c r="U5" s="118"/>
      <c r="V5" s="118">
        <v>2</v>
      </c>
      <c r="W5" s="118"/>
      <c r="X5" s="118">
        <v>3</v>
      </c>
      <c r="Y5" s="118"/>
      <c r="Z5" s="118">
        <v>4</v>
      </c>
      <c r="AA5" s="118"/>
      <c r="AB5" s="118">
        <v>1</v>
      </c>
      <c r="AC5" s="118"/>
      <c r="AD5" s="118">
        <v>2</v>
      </c>
      <c r="AE5" s="118"/>
      <c r="AF5" s="118">
        <v>3</v>
      </c>
      <c r="AG5" s="118"/>
      <c r="AH5" s="118">
        <v>4</v>
      </c>
      <c r="AI5" s="118"/>
      <c r="AJ5" s="118">
        <v>1</v>
      </c>
      <c r="AK5" s="118"/>
      <c r="AL5" s="118">
        <v>2</v>
      </c>
      <c r="AM5" s="118"/>
      <c r="AN5" s="118">
        <v>3</v>
      </c>
      <c r="AO5" s="118"/>
      <c r="AP5" s="118">
        <v>4</v>
      </c>
      <c r="AQ5" s="118"/>
      <c r="AR5" s="118">
        <v>1</v>
      </c>
      <c r="AS5" s="118"/>
      <c r="AT5" s="118">
        <v>2</v>
      </c>
      <c r="AU5" s="118"/>
      <c r="AV5" s="118">
        <v>3</v>
      </c>
      <c r="AW5" s="118"/>
      <c r="AX5" s="118">
        <v>4</v>
      </c>
      <c r="AY5" s="118"/>
      <c r="AZ5" s="118">
        <v>1</v>
      </c>
      <c r="BA5" s="118"/>
      <c r="BB5" s="118">
        <v>2</v>
      </c>
      <c r="BC5" s="118"/>
      <c r="BD5" s="118">
        <v>3</v>
      </c>
      <c r="BE5" s="118"/>
      <c r="BF5" s="118">
        <v>4</v>
      </c>
      <c r="BG5" s="118"/>
      <c r="BH5" s="118">
        <v>1</v>
      </c>
      <c r="BI5" s="118"/>
      <c r="BJ5" s="118">
        <v>2</v>
      </c>
      <c r="BK5" s="118"/>
      <c r="BL5" s="118">
        <v>3</v>
      </c>
      <c r="BM5" s="118"/>
      <c r="BN5" s="118">
        <v>4</v>
      </c>
      <c r="BO5" s="118"/>
      <c r="BP5" s="118">
        <v>1</v>
      </c>
      <c r="BQ5" s="118"/>
      <c r="BR5" s="118">
        <v>2</v>
      </c>
      <c r="BS5" s="118"/>
      <c r="BT5" s="118">
        <v>3</v>
      </c>
      <c r="BU5" s="118"/>
      <c r="BV5" s="118">
        <v>4</v>
      </c>
      <c r="BW5" s="118"/>
      <c r="BX5" s="118">
        <v>1</v>
      </c>
      <c r="BY5" s="118"/>
      <c r="BZ5" s="118">
        <v>2</v>
      </c>
      <c r="CA5" s="118"/>
      <c r="CB5" s="118">
        <v>3</v>
      </c>
      <c r="CC5" s="118"/>
      <c r="CD5" s="118">
        <v>4</v>
      </c>
      <c r="CE5" s="118"/>
      <c r="CF5" s="118">
        <v>1</v>
      </c>
      <c r="CG5" s="118"/>
      <c r="CH5" s="118">
        <v>2</v>
      </c>
      <c r="CI5" s="118"/>
      <c r="CJ5" s="118">
        <v>3</v>
      </c>
      <c r="CK5" s="118"/>
      <c r="CL5" s="118">
        <v>4</v>
      </c>
      <c r="CM5" s="118"/>
      <c r="CN5" s="118">
        <v>1</v>
      </c>
      <c r="CO5" s="118"/>
      <c r="CP5" s="118">
        <v>2</v>
      </c>
      <c r="CQ5" s="118"/>
      <c r="CR5" s="118">
        <v>3</v>
      </c>
      <c r="CS5" s="118"/>
      <c r="CT5" s="118">
        <v>4</v>
      </c>
      <c r="CU5" s="118"/>
    </row>
    <row r="6" spans="1:99" x14ac:dyDescent="0.2">
      <c r="B6" s="118" t="s">
        <v>126</v>
      </c>
      <c r="C6" s="118" t="s">
        <v>172</v>
      </c>
      <c r="D6">
        <v>13</v>
      </c>
      <c r="E6">
        <v>7519.2</v>
      </c>
      <c r="F6">
        <v>12</v>
      </c>
      <c r="G6">
        <v>6940.7999999999993</v>
      </c>
      <c r="H6">
        <v>14</v>
      </c>
      <c r="I6">
        <v>8097.5999999999995</v>
      </c>
      <c r="J6">
        <v>13</v>
      </c>
      <c r="K6">
        <v>7519.2</v>
      </c>
      <c r="L6">
        <v>13</v>
      </c>
      <c r="M6">
        <v>7519.2</v>
      </c>
      <c r="N6">
        <v>12</v>
      </c>
      <c r="O6">
        <v>6940.7999999999993</v>
      </c>
      <c r="P6">
        <v>20</v>
      </c>
      <c r="Q6">
        <v>11568</v>
      </c>
      <c r="R6">
        <v>20</v>
      </c>
      <c r="S6">
        <v>11568</v>
      </c>
      <c r="T6">
        <v>20</v>
      </c>
      <c r="U6">
        <v>11568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</row>
    <row r="7" spans="1:99" x14ac:dyDescent="0.2">
      <c r="C7" s="118" t="s">
        <v>173</v>
      </c>
      <c r="D7">
        <v>13</v>
      </c>
      <c r="E7">
        <v>10249.199999999999</v>
      </c>
      <c r="F7">
        <v>11</v>
      </c>
      <c r="G7">
        <v>8672.4</v>
      </c>
      <c r="H7">
        <v>15</v>
      </c>
      <c r="I7">
        <v>11826</v>
      </c>
      <c r="J7">
        <v>13</v>
      </c>
      <c r="K7">
        <v>10249.199999999999</v>
      </c>
      <c r="L7">
        <v>13</v>
      </c>
      <c r="M7">
        <v>10249.199999999999</v>
      </c>
      <c r="N7">
        <v>12</v>
      </c>
      <c r="O7">
        <v>9460.7999999999993</v>
      </c>
      <c r="P7">
        <v>19</v>
      </c>
      <c r="Q7">
        <v>14979.6</v>
      </c>
      <c r="R7">
        <v>21</v>
      </c>
      <c r="S7">
        <v>16556.399999999998</v>
      </c>
      <c r="T7">
        <v>17</v>
      </c>
      <c r="U7">
        <v>13402.8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</row>
    <row r="8" spans="1:99" x14ac:dyDescent="0.2">
      <c r="C8" s="118" t="s">
        <v>174</v>
      </c>
      <c r="D8">
        <v>13</v>
      </c>
      <c r="E8">
        <v>4024.7999999999997</v>
      </c>
      <c r="F8">
        <v>12</v>
      </c>
      <c r="G8">
        <v>3715.2</v>
      </c>
      <c r="H8">
        <v>14</v>
      </c>
      <c r="I8">
        <v>4334.3999999999996</v>
      </c>
      <c r="J8">
        <v>16</v>
      </c>
      <c r="K8">
        <v>4953.5999999999995</v>
      </c>
      <c r="L8">
        <v>14</v>
      </c>
      <c r="M8">
        <v>4334.3999999999996</v>
      </c>
      <c r="N8">
        <v>12</v>
      </c>
      <c r="O8">
        <v>3715.2</v>
      </c>
      <c r="P8">
        <v>21</v>
      </c>
      <c r="Q8">
        <v>6501.5999999999995</v>
      </c>
      <c r="R8">
        <v>22</v>
      </c>
      <c r="S8">
        <v>6811.1999999999989</v>
      </c>
      <c r="T8">
        <v>20</v>
      </c>
      <c r="U8">
        <v>6191.9999999999991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</row>
    <row r="9" spans="1:99" x14ac:dyDescent="0.2">
      <c r="C9" s="118" t="s">
        <v>175</v>
      </c>
      <c r="D9">
        <v>15</v>
      </c>
      <c r="E9">
        <v>10530</v>
      </c>
      <c r="F9">
        <v>12</v>
      </c>
      <c r="G9">
        <v>8424</v>
      </c>
      <c r="H9">
        <v>15</v>
      </c>
      <c r="I9">
        <v>10530</v>
      </c>
      <c r="J9">
        <v>13</v>
      </c>
      <c r="K9">
        <v>9126</v>
      </c>
      <c r="L9">
        <v>13</v>
      </c>
      <c r="M9">
        <v>9126</v>
      </c>
      <c r="N9">
        <v>11</v>
      </c>
      <c r="O9">
        <v>7722</v>
      </c>
      <c r="P9">
        <v>20</v>
      </c>
      <c r="Q9">
        <v>14040</v>
      </c>
      <c r="R9">
        <v>19</v>
      </c>
      <c r="S9">
        <v>13338</v>
      </c>
      <c r="T9">
        <v>17</v>
      </c>
      <c r="U9">
        <v>11934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</row>
    <row r="10" spans="1:99" x14ac:dyDescent="0.2">
      <c r="C10" s="118" t="s">
        <v>176</v>
      </c>
      <c r="D10">
        <v>14</v>
      </c>
      <c r="E10">
        <v>7627.1999999999989</v>
      </c>
      <c r="F10">
        <v>13</v>
      </c>
      <c r="G10">
        <v>7082.4</v>
      </c>
      <c r="H10">
        <v>15</v>
      </c>
      <c r="I10">
        <v>8171.9999999999991</v>
      </c>
      <c r="J10">
        <v>15</v>
      </c>
      <c r="K10">
        <v>8171.9999999999991</v>
      </c>
      <c r="L10">
        <v>14</v>
      </c>
      <c r="M10">
        <v>7627.1999999999989</v>
      </c>
      <c r="N10">
        <v>11</v>
      </c>
      <c r="O10">
        <v>5992.7999999999993</v>
      </c>
      <c r="P10">
        <v>20</v>
      </c>
      <c r="Q10">
        <v>10896</v>
      </c>
      <c r="R10">
        <v>22</v>
      </c>
      <c r="S10">
        <v>11985.599999999999</v>
      </c>
      <c r="T10">
        <v>18</v>
      </c>
      <c r="U10">
        <v>9806.4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</row>
    <row r="11" spans="1:99" x14ac:dyDescent="0.2">
      <c r="C11" s="118" t="s">
        <v>177</v>
      </c>
      <c r="D11">
        <v>15</v>
      </c>
      <c r="E11">
        <v>7991.9999999999991</v>
      </c>
      <c r="F11">
        <v>12</v>
      </c>
      <c r="G11">
        <v>6393.5999999999995</v>
      </c>
      <c r="H11">
        <v>15</v>
      </c>
      <c r="I11">
        <v>7991.9999999999991</v>
      </c>
      <c r="J11">
        <v>13</v>
      </c>
      <c r="K11">
        <v>6926.4</v>
      </c>
      <c r="L11">
        <v>13</v>
      </c>
      <c r="M11">
        <v>6926.4</v>
      </c>
      <c r="N11">
        <v>11</v>
      </c>
      <c r="O11">
        <v>5860.7999999999993</v>
      </c>
      <c r="P11">
        <v>22</v>
      </c>
      <c r="Q11">
        <v>11721.599999999999</v>
      </c>
      <c r="R11">
        <v>20</v>
      </c>
      <c r="S11">
        <v>10656</v>
      </c>
      <c r="T11">
        <v>20</v>
      </c>
      <c r="U11">
        <v>10656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</row>
    <row r="12" spans="1:99" x14ac:dyDescent="0.2">
      <c r="C12" s="118" t="s">
        <v>178</v>
      </c>
      <c r="D12">
        <v>15</v>
      </c>
      <c r="E12">
        <v>8442</v>
      </c>
      <c r="F12">
        <v>13</v>
      </c>
      <c r="G12">
        <v>7316.4</v>
      </c>
      <c r="H12">
        <v>14</v>
      </c>
      <c r="I12">
        <v>7879.1999999999989</v>
      </c>
      <c r="J12">
        <v>15</v>
      </c>
      <c r="K12">
        <v>8442</v>
      </c>
      <c r="L12">
        <v>12</v>
      </c>
      <c r="M12">
        <v>6753.5999999999995</v>
      </c>
      <c r="N12">
        <v>13</v>
      </c>
      <c r="O12">
        <v>7316.4</v>
      </c>
      <c r="P12">
        <v>23</v>
      </c>
      <c r="Q12">
        <v>12944.4</v>
      </c>
      <c r="R12">
        <v>20</v>
      </c>
      <c r="S12">
        <v>11256</v>
      </c>
      <c r="T12">
        <v>17</v>
      </c>
      <c r="U12">
        <v>9567.5999999999985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</row>
    <row r="13" spans="1:99" x14ac:dyDescent="0.2">
      <c r="C13" s="118" t="s">
        <v>179</v>
      </c>
      <c r="D13">
        <v>15</v>
      </c>
      <c r="E13">
        <v>1278</v>
      </c>
      <c r="F13">
        <v>12</v>
      </c>
      <c r="G13">
        <v>1022.4000000000001</v>
      </c>
      <c r="H13">
        <v>16</v>
      </c>
      <c r="I13">
        <v>1363.2</v>
      </c>
      <c r="J13">
        <v>16</v>
      </c>
      <c r="K13">
        <v>1363.2</v>
      </c>
      <c r="L13">
        <v>13</v>
      </c>
      <c r="M13">
        <v>1107.6000000000001</v>
      </c>
      <c r="N13">
        <v>13</v>
      </c>
      <c r="O13">
        <v>1107.6000000000001</v>
      </c>
      <c r="P13">
        <v>21</v>
      </c>
      <c r="Q13">
        <v>1789.2</v>
      </c>
      <c r="R13">
        <v>23</v>
      </c>
      <c r="S13">
        <v>1959.6000000000001</v>
      </c>
      <c r="T13">
        <v>21</v>
      </c>
      <c r="U13">
        <v>1789.2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</row>
    <row r="14" spans="1:99" x14ac:dyDescent="0.2">
      <c r="C14" s="118" t="s">
        <v>180</v>
      </c>
      <c r="D14">
        <v>14</v>
      </c>
      <c r="E14">
        <v>6837.5999999999995</v>
      </c>
      <c r="F14">
        <v>12</v>
      </c>
      <c r="G14">
        <v>5860.7999999999993</v>
      </c>
      <c r="H14">
        <v>16</v>
      </c>
      <c r="I14">
        <v>7814.4</v>
      </c>
      <c r="J14">
        <v>14</v>
      </c>
      <c r="K14">
        <v>6837.5999999999995</v>
      </c>
      <c r="L14">
        <v>12</v>
      </c>
      <c r="M14">
        <v>5860.7999999999993</v>
      </c>
      <c r="N14">
        <v>11</v>
      </c>
      <c r="O14">
        <v>5372.4</v>
      </c>
      <c r="P14">
        <v>20</v>
      </c>
      <c r="Q14">
        <v>9768</v>
      </c>
      <c r="R14">
        <v>19</v>
      </c>
      <c r="S14">
        <v>9279.6</v>
      </c>
      <c r="T14">
        <v>20</v>
      </c>
      <c r="U14">
        <v>9768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</row>
    <row r="15" spans="1:99" x14ac:dyDescent="0.2">
      <c r="C15" s="118" t="s">
        <v>181</v>
      </c>
      <c r="D15">
        <v>13</v>
      </c>
      <c r="E15">
        <v>9921.5999999999985</v>
      </c>
      <c r="F15">
        <v>13</v>
      </c>
      <c r="G15">
        <v>9921.5999999999985</v>
      </c>
      <c r="H15">
        <v>15</v>
      </c>
      <c r="I15">
        <v>11447.999999999998</v>
      </c>
      <c r="J15">
        <v>15</v>
      </c>
      <c r="K15">
        <v>11447.999999999998</v>
      </c>
      <c r="L15">
        <v>12</v>
      </c>
      <c r="M15">
        <v>9158.4</v>
      </c>
      <c r="N15">
        <v>11</v>
      </c>
      <c r="O15">
        <v>8395.1999999999989</v>
      </c>
      <c r="P15">
        <v>22</v>
      </c>
      <c r="Q15">
        <v>16790.399999999998</v>
      </c>
      <c r="R15">
        <v>21</v>
      </c>
      <c r="S15">
        <v>16027.199999999999</v>
      </c>
      <c r="T15">
        <v>18</v>
      </c>
      <c r="U15">
        <v>13737.599999999999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</row>
    <row r="16" spans="1:99" x14ac:dyDescent="0.2">
      <c r="C16" s="118" t="s">
        <v>182</v>
      </c>
      <c r="D16">
        <v>16</v>
      </c>
      <c r="E16">
        <v>5452.8</v>
      </c>
      <c r="F16">
        <v>12</v>
      </c>
      <c r="G16">
        <v>4089.6000000000004</v>
      </c>
      <c r="H16">
        <v>16</v>
      </c>
      <c r="I16">
        <v>5452.8</v>
      </c>
      <c r="J16">
        <v>15</v>
      </c>
      <c r="K16">
        <v>5112</v>
      </c>
      <c r="L16">
        <v>14</v>
      </c>
      <c r="M16">
        <v>4771.2</v>
      </c>
      <c r="N16">
        <v>13</v>
      </c>
      <c r="O16">
        <v>4430.4000000000005</v>
      </c>
      <c r="P16">
        <v>21</v>
      </c>
      <c r="Q16">
        <v>7156.8</v>
      </c>
      <c r="R16">
        <v>20</v>
      </c>
      <c r="S16">
        <v>6816</v>
      </c>
      <c r="T16">
        <v>21</v>
      </c>
      <c r="U16">
        <v>7156.8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</row>
    <row r="17" spans="2:99" x14ac:dyDescent="0.2">
      <c r="C17" s="118" t="s">
        <v>183</v>
      </c>
      <c r="D17">
        <v>15</v>
      </c>
      <c r="E17">
        <v>6336</v>
      </c>
      <c r="F17">
        <v>12</v>
      </c>
      <c r="G17">
        <v>5068.7999999999993</v>
      </c>
      <c r="H17">
        <v>14</v>
      </c>
      <c r="I17">
        <v>5913.5999999999995</v>
      </c>
      <c r="J17">
        <v>14</v>
      </c>
      <c r="K17">
        <v>5913.5999999999995</v>
      </c>
      <c r="L17">
        <v>14</v>
      </c>
      <c r="M17">
        <v>5913.5999999999995</v>
      </c>
      <c r="N17">
        <v>12</v>
      </c>
      <c r="O17">
        <v>5068.7999999999993</v>
      </c>
      <c r="P17">
        <v>21</v>
      </c>
      <c r="Q17">
        <v>8870.4</v>
      </c>
      <c r="R17">
        <v>22</v>
      </c>
      <c r="S17">
        <v>9292.7999999999993</v>
      </c>
      <c r="T17">
        <v>18</v>
      </c>
      <c r="U17">
        <v>7603.2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</row>
    <row r="18" spans="2:99" x14ac:dyDescent="0.2">
      <c r="C18" s="118" t="s">
        <v>184</v>
      </c>
      <c r="D18">
        <v>12</v>
      </c>
      <c r="E18">
        <v>7833.5999999999995</v>
      </c>
      <c r="F18">
        <v>11</v>
      </c>
      <c r="G18">
        <v>7180.7999999999993</v>
      </c>
      <c r="H18">
        <v>14</v>
      </c>
      <c r="I18">
        <v>9139.1999999999989</v>
      </c>
      <c r="J18">
        <v>14</v>
      </c>
      <c r="K18">
        <v>9139.1999999999989</v>
      </c>
      <c r="L18">
        <v>12</v>
      </c>
      <c r="M18">
        <v>7833.5999999999995</v>
      </c>
      <c r="N18">
        <v>13</v>
      </c>
      <c r="O18">
        <v>8486.4</v>
      </c>
      <c r="P18">
        <v>19</v>
      </c>
      <c r="Q18">
        <v>12403.199999999999</v>
      </c>
      <c r="R18">
        <v>19</v>
      </c>
      <c r="S18">
        <v>12403.199999999999</v>
      </c>
      <c r="T18">
        <v>19</v>
      </c>
      <c r="U18">
        <v>12403.199999999999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</row>
    <row r="19" spans="2:99" x14ac:dyDescent="0.2">
      <c r="C19" s="118" t="s">
        <v>185</v>
      </c>
      <c r="D19">
        <v>13</v>
      </c>
      <c r="E19">
        <v>4290</v>
      </c>
      <c r="F19">
        <v>12</v>
      </c>
      <c r="G19">
        <v>3960</v>
      </c>
      <c r="H19">
        <v>15</v>
      </c>
      <c r="I19">
        <v>4950</v>
      </c>
      <c r="J19">
        <v>16</v>
      </c>
      <c r="K19">
        <v>5280</v>
      </c>
      <c r="L19">
        <v>14</v>
      </c>
      <c r="M19">
        <v>4620</v>
      </c>
      <c r="N19">
        <v>12</v>
      </c>
      <c r="O19">
        <v>3960</v>
      </c>
      <c r="P19">
        <v>20</v>
      </c>
      <c r="Q19">
        <v>6600</v>
      </c>
      <c r="R19">
        <v>20</v>
      </c>
      <c r="S19">
        <v>6600</v>
      </c>
      <c r="T19">
        <v>18</v>
      </c>
      <c r="U19">
        <v>5940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</row>
    <row r="20" spans="2:99" x14ac:dyDescent="0.2">
      <c r="B20" s="118" t="s">
        <v>127</v>
      </c>
      <c r="C20" s="118" t="s">
        <v>186</v>
      </c>
      <c r="D20">
        <v>18</v>
      </c>
      <c r="E20">
        <v>5162.4000000000005</v>
      </c>
      <c r="F20">
        <v>26</v>
      </c>
      <c r="G20">
        <v>7456.8</v>
      </c>
      <c r="H20">
        <v>31</v>
      </c>
      <c r="I20">
        <v>8890.8000000000011</v>
      </c>
      <c r="J20">
        <v>22</v>
      </c>
      <c r="K20">
        <v>6309.6</v>
      </c>
      <c r="L20">
        <v>19</v>
      </c>
      <c r="M20">
        <v>5449.2</v>
      </c>
      <c r="N20">
        <v>22</v>
      </c>
      <c r="O20">
        <v>6309.6</v>
      </c>
      <c r="P20">
        <v>29</v>
      </c>
      <c r="Q20">
        <v>8317.2000000000007</v>
      </c>
      <c r="R20">
        <v>19</v>
      </c>
      <c r="S20">
        <v>5449.2</v>
      </c>
      <c r="T20">
        <v>23</v>
      </c>
      <c r="U20">
        <v>6596.4000000000005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</row>
    <row r="21" spans="2:99" x14ac:dyDescent="0.2">
      <c r="C21" s="118" t="s">
        <v>187</v>
      </c>
      <c r="D21">
        <v>21</v>
      </c>
      <c r="E21">
        <v>1310.3999999999999</v>
      </c>
      <c r="F21">
        <v>25</v>
      </c>
      <c r="G21">
        <v>1560</v>
      </c>
      <c r="H21">
        <v>31</v>
      </c>
      <c r="I21">
        <v>1934.3999999999999</v>
      </c>
      <c r="J21">
        <v>22</v>
      </c>
      <c r="K21">
        <v>1372.8</v>
      </c>
      <c r="L21">
        <v>23</v>
      </c>
      <c r="M21">
        <v>1435.2</v>
      </c>
      <c r="N21">
        <v>20</v>
      </c>
      <c r="O21">
        <v>1248</v>
      </c>
      <c r="P21">
        <v>25</v>
      </c>
      <c r="Q21">
        <v>1560</v>
      </c>
      <c r="R21">
        <v>20</v>
      </c>
      <c r="S21">
        <v>1248</v>
      </c>
      <c r="T21">
        <v>21</v>
      </c>
      <c r="U21">
        <v>1310.3999999999999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</row>
    <row r="22" spans="2:99" x14ac:dyDescent="0.2">
      <c r="C22" s="118" t="s">
        <v>188</v>
      </c>
      <c r="D22">
        <v>19</v>
      </c>
      <c r="E22">
        <v>3556.7999999999997</v>
      </c>
      <c r="F22">
        <v>24</v>
      </c>
      <c r="G22">
        <v>4492.7999999999993</v>
      </c>
      <c r="H22">
        <v>31</v>
      </c>
      <c r="I22">
        <v>5803.2</v>
      </c>
      <c r="J22">
        <v>19</v>
      </c>
      <c r="K22">
        <v>3556.7999999999997</v>
      </c>
      <c r="L22">
        <v>22</v>
      </c>
      <c r="M22">
        <v>4118.3999999999996</v>
      </c>
      <c r="N22">
        <v>22</v>
      </c>
      <c r="O22">
        <v>4118.3999999999996</v>
      </c>
      <c r="P22">
        <v>28</v>
      </c>
      <c r="Q22">
        <v>5241.5999999999995</v>
      </c>
      <c r="R22">
        <v>19</v>
      </c>
      <c r="S22">
        <v>3556.7999999999997</v>
      </c>
      <c r="T22">
        <v>22</v>
      </c>
      <c r="U22">
        <v>4118.3999999999996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</row>
    <row r="23" spans="2:99" x14ac:dyDescent="0.2">
      <c r="C23" s="118" t="s">
        <v>189</v>
      </c>
      <c r="D23">
        <v>21</v>
      </c>
      <c r="E23">
        <v>6174</v>
      </c>
      <c r="F23">
        <v>26</v>
      </c>
      <c r="G23">
        <v>7644</v>
      </c>
      <c r="H23">
        <v>29</v>
      </c>
      <c r="I23">
        <v>8526</v>
      </c>
      <c r="J23">
        <v>20</v>
      </c>
      <c r="K23">
        <v>5880</v>
      </c>
      <c r="L23">
        <v>22</v>
      </c>
      <c r="M23">
        <v>6468</v>
      </c>
      <c r="N23">
        <v>22</v>
      </c>
      <c r="O23">
        <v>6468</v>
      </c>
      <c r="P23">
        <v>29</v>
      </c>
      <c r="Q23">
        <v>8526</v>
      </c>
      <c r="R23">
        <v>19</v>
      </c>
      <c r="S23">
        <v>5586</v>
      </c>
      <c r="T23">
        <v>22</v>
      </c>
      <c r="U23">
        <v>6468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</row>
    <row r="24" spans="2:99" x14ac:dyDescent="0.2">
      <c r="C24" s="118" t="s">
        <v>190</v>
      </c>
      <c r="D24">
        <v>19</v>
      </c>
      <c r="E24">
        <v>6976.8</v>
      </c>
      <c r="F24">
        <v>24</v>
      </c>
      <c r="G24">
        <v>8812.7999999999993</v>
      </c>
      <c r="H24">
        <v>28</v>
      </c>
      <c r="I24">
        <v>10281.6</v>
      </c>
      <c r="J24">
        <v>20</v>
      </c>
      <c r="K24">
        <v>7344</v>
      </c>
      <c r="L24">
        <v>21</v>
      </c>
      <c r="M24">
        <v>7711.2</v>
      </c>
      <c r="N24">
        <v>20</v>
      </c>
      <c r="O24">
        <v>7344</v>
      </c>
      <c r="P24">
        <v>24</v>
      </c>
      <c r="Q24">
        <v>8812.7999999999993</v>
      </c>
      <c r="R24">
        <v>18</v>
      </c>
      <c r="S24">
        <v>6609.5999999999995</v>
      </c>
      <c r="T24">
        <v>22</v>
      </c>
      <c r="U24">
        <v>8078.4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</row>
    <row r="25" spans="2:99" x14ac:dyDescent="0.2">
      <c r="C25" s="118" t="s">
        <v>191</v>
      </c>
      <c r="D25">
        <v>20</v>
      </c>
      <c r="E25">
        <v>10608</v>
      </c>
      <c r="F25">
        <v>22</v>
      </c>
      <c r="G25">
        <v>11668.8</v>
      </c>
      <c r="H25">
        <v>28</v>
      </c>
      <c r="I25">
        <v>14851.199999999999</v>
      </c>
      <c r="J25">
        <v>19</v>
      </c>
      <c r="K25">
        <v>10077.6</v>
      </c>
      <c r="L25">
        <v>21</v>
      </c>
      <c r="M25">
        <v>11138.4</v>
      </c>
      <c r="N25">
        <v>22</v>
      </c>
      <c r="O25">
        <v>11668.8</v>
      </c>
      <c r="P25">
        <v>26</v>
      </c>
      <c r="Q25">
        <v>13790.4</v>
      </c>
      <c r="R25">
        <v>21</v>
      </c>
      <c r="S25">
        <v>11138.4</v>
      </c>
      <c r="T25">
        <v>20</v>
      </c>
      <c r="U25">
        <v>10608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</row>
    <row r="26" spans="2:99" x14ac:dyDescent="0.2">
      <c r="C26" s="118" t="s">
        <v>192</v>
      </c>
      <c r="D26">
        <v>21</v>
      </c>
      <c r="E26">
        <v>10206</v>
      </c>
      <c r="F26">
        <v>24</v>
      </c>
      <c r="G26">
        <v>11664</v>
      </c>
      <c r="H26">
        <v>30</v>
      </c>
      <c r="I26">
        <v>14580</v>
      </c>
      <c r="J26">
        <v>19</v>
      </c>
      <c r="K26">
        <v>9234</v>
      </c>
      <c r="L26">
        <v>19</v>
      </c>
      <c r="M26">
        <v>9234</v>
      </c>
      <c r="N26">
        <v>21</v>
      </c>
      <c r="O26">
        <v>10206</v>
      </c>
      <c r="P26">
        <v>24</v>
      </c>
      <c r="Q26">
        <v>11664</v>
      </c>
      <c r="R26">
        <v>20</v>
      </c>
      <c r="S26">
        <v>9720</v>
      </c>
      <c r="T26">
        <v>23</v>
      </c>
      <c r="U26">
        <v>11178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</row>
    <row r="27" spans="2:99" x14ac:dyDescent="0.2">
      <c r="C27" s="118" t="s">
        <v>193</v>
      </c>
      <c r="D27">
        <v>18</v>
      </c>
      <c r="E27">
        <v>7689.5999999999995</v>
      </c>
      <c r="F27">
        <v>25</v>
      </c>
      <c r="G27">
        <v>10680</v>
      </c>
      <c r="H27">
        <v>29</v>
      </c>
      <c r="I27">
        <v>12388.8</v>
      </c>
      <c r="J27">
        <v>21</v>
      </c>
      <c r="K27">
        <v>8971.1999999999989</v>
      </c>
      <c r="L27">
        <v>22</v>
      </c>
      <c r="M27">
        <v>9398.4</v>
      </c>
      <c r="N27">
        <v>20</v>
      </c>
      <c r="O27">
        <v>8544</v>
      </c>
      <c r="P27">
        <v>27</v>
      </c>
      <c r="Q27">
        <v>11534.4</v>
      </c>
      <c r="R27">
        <v>17</v>
      </c>
      <c r="S27">
        <v>7262.4</v>
      </c>
      <c r="T27">
        <v>23</v>
      </c>
      <c r="U27">
        <v>9825.6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</row>
    <row r="28" spans="2:99" x14ac:dyDescent="0.2">
      <c r="C28" s="118" t="s">
        <v>194</v>
      </c>
      <c r="D28">
        <v>18</v>
      </c>
      <c r="E28">
        <v>13284</v>
      </c>
      <c r="F28">
        <v>24</v>
      </c>
      <c r="G28">
        <v>17712</v>
      </c>
      <c r="H28">
        <v>27</v>
      </c>
      <c r="I28">
        <v>19926</v>
      </c>
      <c r="J28">
        <v>18</v>
      </c>
      <c r="K28">
        <v>13284</v>
      </c>
      <c r="L28">
        <v>20</v>
      </c>
      <c r="M28">
        <v>14760</v>
      </c>
      <c r="N28">
        <v>20</v>
      </c>
      <c r="O28">
        <v>14760</v>
      </c>
      <c r="P28">
        <v>27</v>
      </c>
      <c r="Q28">
        <v>19926</v>
      </c>
      <c r="R28">
        <v>18</v>
      </c>
      <c r="S28">
        <v>13284</v>
      </c>
      <c r="T28">
        <v>20</v>
      </c>
      <c r="U28">
        <v>14760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</row>
    <row r="29" spans="2:99" x14ac:dyDescent="0.2">
      <c r="C29" s="118" t="s">
        <v>195</v>
      </c>
      <c r="D29">
        <v>18</v>
      </c>
      <c r="E29">
        <v>6091.2</v>
      </c>
      <c r="F29">
        <v>22</v>
      </c>
      <c r="G29">
        <v>7444.7999999999993</v>
      </c>
      <c r="H29">
        <v>29</v>
      </c>
      <c r="I29">
        <v>9813.5999999999985</v>
      </c>
      <c r="J29">
        <v>21</v>
      </c>
      <c r="K29">
        <v>7106.4</v>
      </c>
      <c r="L29">
        <v>21</v>
      </c>
      <c r="M29">
        <v>7106.4</v>
      </c>
      <c r="N29">
        <v>21</v>
      </c>
      <c r="O29">
        <v>7106.4</v>
      </c>
      <c r="P29">
        <v>28</v>
      </c>
      <c r="Q29">
        <v>9475.1999999999989</v>
      </c>
      <c r="R29">
        <v>20</v>
      </c>
      <c r="S29">
        <v>6768</v>
      </c>
      <c r="T29">
        <v>23</v>
      </c>
      <c r="U29">
        <v>7783.2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</row>
    <row r="30" spans="2:99" x14ac:dyDescent="0.2">
      <c r="C30" s="118" t="s">
        <v>196</v>
      </c>
      <c r="D30">
        <v>22</v>
      </c>
      <c r="E30">
        <v>3062.3999999999996</v>
      </c>
      <c r="F30">
        <v>24</v>
      </c>
      <c r="G30">
        <v>3340.7999999999997</v>
      </c>
      <c r="H30">
        <v>30</v>
      </c>
      <c r="I30">
        <v>4176</v>
      </c>
      <c r="J30">
        <v>22</v>
      </c>
      <c r="K30">
        <v>3062.3999999999996</v>
      </c>
      <c r="L30">
        <v>21</v>
      </c>
      <c r="M30">
        <v>2923.2</v>
      </c>
      <c r="N30">
        <v>20</v>
      </c>
      <c r="O30">
        <v>2784</v>
      </c>
      <c r="P30">
        <v>25</v>
      </c>
      <c r="Q30">
        <v>3479.9999999999995</v>
      </c>
      <c r="R30">
        <v>18</v>
      </c>
      <c r="S30">
        <v>2505.6</v>
      </c>
      <c r="T30">
        <v>23</v>
      </c>
      <c r="U30">
        <v>3201.6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</row>
    <row r="31" spans="2:99" x14ac:dyDescent="0.2">
      <c r="C31" s="118" t="s">
        <v>197</v>
      </c>
      <c r="D31">
        <v>19</v>
      </c>
      <c r="E31">
        <v>6475.2</v>
      </c>
      <c r="F31">
        <v>24</v>
      </c>
      <c r="G31">
        <v>8179.2000000000007</v>
      </c>
      <c r="H31">
        <v>29</v>
      </c>
      <c r="I31">
        <v>9883.2000000000007</v>
      </c>
      <c r="J31">
        <v>19</v>
      </c>
      <c r="K31">
        <v>6475.2</v>
      </c>
      <c r="L31">
        <v>22</v>
      </c>
      <c r="M31">
        <v>7497.6</v>
      </c>
      <c r="N31">
        <v>21</v>
      </c>
      <c r="O31">
        <v>7156.8</v>
      </c>
      <c r="P31">
        <v>26</v>
      </c>
      <c r="Q31">
        <v>8860.8000000000011</v>
      </c>
      <c r="R31">
        <v>20</v>
      </c>
      <c r="S31">
        <v>6816</v>
      </c>
      <c r="T31">
        <v>24</v>
      </c>
      <c r="U31">
        <v>8179.2000000000007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</row>
    <row r="32" spans="2:99" x14ac:dyDescent="0.2">
      <c r="C32" s="118" t="s">
        <v>198</v>
      </c>
      <c r="D32">
        <v>17</v>
      </c>
      <c r="E32">
        <v>14280</v>
      </c>
      <c r="F32">
        <v>21</v>
      </c>
      <c r="G32">
        <v>17640</v>
      </c>
      <c r="H32">
        <v>26</v>
      </c>
      <c r="I32">
        <v>21840</v>
      </c>
      <c r="J32">
        <v>19</v>
      </c>
      <c r="K32">
        <v>15960</v>
      </c>
      <c r="L32">
        <v>21</v>
      </c>
      <c r="M32">
        <v>17640</v>
      </c>
      <c r="N32">
        <v>21</v>
      </c>
      <c r="O32">
        <v>17640</v>
      </c>
      <c r="P32">
        <v>24</v>
      </c>
      <c r="Q32">
        <v>20160</v>
      </c>
      <c r="R32">
        <v>19</v>
      </c>
      <c r="S32">
        <v>15960</v>
      </c>
      <c r="T32">
        <v>19</v>
      </c>
      <c r="U32">
        <v>15960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</row>
    <row r="33" spans="2:99" x14ac:dyDescent="0.2">
      <c r="C33" s="118" t="s">
        <v>199</v>
      </c>
      <c r="D33">
        <v>17</v>
      </c>
      <c r="E33">
        <v>8058</v>
      </c>
      <c r="F33">
        <v>23</v>
      </c>
      <c r="G33">
        <v>10902</v>
      </c>
      <c r="H33">
        <v>27</v>
      </c>
      <c r="I33">
        <v>12798</v>
      </c>
      <c r="J33">
        <v>21</v>
      </c>
      <c r="K33">
        <v>9954</v>
      </c>
      <c r="L33">
        <v>20</v>
      </c>
      <c r="M33">
        <v>9480</v>
      </c>
      <c r="N33">
        <v>22</v>
      </c>
      <c r="O33">
        <v>10428</v>
      </c>
      <c r="P33">
        <v>24</v>
      </c>
      <c r="Q33">
        <v>11376</v>
      </c>
      <c r="R33">
        <v>19</v>
      </c>
      <c r="S33">
        <v>9006</v>
      </c>
      <c r="T33">
        <v>23</v>
      </c>
      <c r="U33">
        <v>10902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</row>
    <row r="34" spans="2:99" x14ac:dyDescent="0.2">
      <c r="C34" s="118" t="s">
        <v>200</v>
      </c>
      <c r="D34">
        <v>17</v>
      </c>
      <c r="E34">
        <v>9322.7999999999993</v>
      </c>
      <c r="F34">
        <v>21</v>
      </c>
      <c r="G34">
        <v>11516.4</v>
      </c>
      <c r="H34">
        <v>29</v>
      </c>
      <c r="I34">
        <v>15903.599999999999</v>
      </c>
      <c r="J34">
        <v>20</v>
      </c>
      <c r="K34">
        <v>10968</v>
      </c>
      <c r="L34">
        <v>22</v>
      </c>
      <c r="M34">
        <v>12064.8</v>
      </c>
      <c r="N34">
        <v>23</v>
      </c>
      <c r="O34">
        <v>12613.199999999999</v>
      </c>
      <c r="P34">
        <v>25</v>
      </c>
      <c r="Q34">
        <v>13710</v>
      </c>
      <c r="R34">
        <v>18</v>
      </c>
      <c r="S34">
        <v>9871.1999999999989</v>
      </c>
      <c r="T34">
        <v>23</v>
      </c>
      <c r="U34">
        <v>12613.199999999999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</row>
    <row r="35" spans="2:99" x14ac:dyDescent="0.2">
      <c r="C35" s="118" t="s">
        <v>201</v>
      </c>
      <c r="D35">
        <v>21</v>
      </c>
      <c r="E35">
        <v>10558.799999999997</v>
      </c>
      <c r="F35">
        <v>25</v>
      </c>
      <c r="G35">
        <v>12569.999999999998</v>
      </c>
      <c r="H35">
        <v>26</v>
      </c>
      <c r="I35">
        <v>13072.799999999997</v>
      </c>
      <c r="J35">
        <v>22</v>
      </c>
      <c r="K35">
        <v>11061.599999999999</v>
      </c>
      <c r="L35">
        <v>22</v>
      </c>
      <c r="M35">
        <v>11061.599999999999</v>
      </c>
      <c r="N35">
        <v>20</v>
      </c>
      <c r="O35">
        <v>10055.999999999998</v>
      </c>
      <c r="P35">
        <v>27</v>
      </c>
      <c r="Q35">
        <v>13575.599999999997</v>
      </c>
      <c r="R35">
        <v>20</v>
      </c>
      <c r="S35">
        <v>10055.999999999998</v>
      </c>
      <c r="T35">
        <v>20</v>
      </c>
      <c r="U35">
        <v>10055.999999999998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</row>
    <row r="36" spans="2:99" x14ac:dyDescent="0.2">
      <c r="C36" s="118" t="s">
        <v>202</v>
      </c>
      <c r="D36">
        <v>17</v>
      </c>
      <c r="E36">
        <v>12933.599999999999</v>
      </c>
      <c r="F36">
        <v>24</v>
      </c>
      <c r="G36">
        <v>18259.199999999997</v>
      </c>
      <c r="H36">
        <v>28</v>
      </c>
      <c r="I36">
        <v>21302.399999999998</v>
      </c>
      <c r="J36">
        <v>20</v>
      </c>
      <c r="K36">
        <v>15216</v>
      </c>
      <c r="L36">
        <v>19</v>
      </c>
      <c r="M36">
        <v>14455.199999999999</v>
      </c>
      <c r="N36">
        <v>20</v>
      </c>
      <c r="O36">
        <v>15216</v>
      </c>
      <c r="P36">
        <v>26</v>
      </c>
      <c r="Q36">
        <v>19780.8</v>
      </c>
      <c r="R36">
        <v>19</v>
      </c>
      <c r="S36">
        <v>14455.199999999999</v>
      </c>
      <c r="T36">
        <v>20</v>
      </c>
      <c r="U36">
        <v>15216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</row>
    <row r="37" spans="2:99" x14ac:dyDescent="0.2">
      <c r="B37" s="118" t="s">
        <v>128</v>
      </c>
      <c r="C37" s="118" t="s">
        <v>203</v>
      </c>
      <c r="D37">
        <v>15</v>
      </c>
      <c r="E37">
        <v>12906</v>
      </c>
      <c r="F37">
        <v>15</v>
      </c>
      <c r="G37">
        <v>12906</v>
      </c>
      <c r="H37">
        <v>16</v>
      </c>
      <c r="I37">
        <v>13766.4</v>
      </c>
      <c r="J37">
        <v>23</v>
      </c>
      <c r="K37">
        <v>19789.2</v>
      </c>
      <c r="L37">
        <v>14</v>
      </c>
      <c r="M37">
        <v>12045.6</v>
      </c>
      <c r="N37">
        <v>14</v>
      </c>
      <c r="O37">
        <v>12045.6</v>
      </c>
      <c r="P37">
        <v>19</v>
      </c>
      <c r="Q37">
        <v>16347.6</v>
      </c>
      <c r="R37">
        <v>17</v>
      </c>
      <c r="S37">
        <v>14626.8</v>
      </c>
      <c r="T37">
        <v>27</v>
      </c>
      <c r="U37">
        <v>23230.799999999999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</row>
    <row r="38" spans="2:99" x14ac:dyDescent="0.2">
      <c r="C38" s="118" t="s">
        <v>204</v>
      </c>
      <c r="D38">
        <v>14</v>
      </c>
      <c r="E38">
        <v>17388</v>
      </c>
      <c r="F38">
        <v>15</v>
      </c>
      <c r="G38">
        <v>18630</v>
      </c>
      <c r="H38">
        <v>16</v>
      </c>
      <c r="I38">
        <v>19872</v>
      </c>
      <c r="J38">
        <v>21</v>
      </c>
      <c r="K38">
        <v>26082</v>
      </c>
      <c r="L38">
        <v>14</v>
      </c>
      <c r="M38">
        <v>17388</v>
      </c>
      <c r="N38">
        <v>13</v>
      </c>
      <c r="O38">
        <v>16146</v>
      </c>
      <c r="P38">
        <v>21</v>
      </c>
      <c r="Q38">
        <v>26082</v>
      </c>
      <c r="R38">
        <v>16</v>
      </c>
      <c r="S38">
        <v>19872</v>
      </c>
      <c r="T38">
        <v>26</v>
      </c>
      <c r="U38">
        <v>32292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</row>
    <row r="39" spans="2:99" x14ac:dyDescent="0.2">
      <c r="C39" s="118" t="s">
        <v>205</v>
      </c>
      <c r="D39">
        <v>13</v>
      </c>
      <c r="E39">
        <v>18501.600000000002</v>
      </c>
      <c r="F39">
        <v>14</v>
      </c>
      <c r="G39">
        <v>19924.8</v>
      </c>
      <c r="H39">
        <v>15</v>
      </c>
      <c r="I39">
        <v>21348</v>
      </c>
      <c r="J39">
        <v>22</v>
      </c>
      <c r="K39">
        <v>31310.400000000001</v>
      </c>
      <c r="L39">
        <v>13</v>
      </c>
      <c r="M39">
        <v>18501.600000000002</v>
      </c>
      <c r="N39">
        <v>13</v>
      </c>
      <c r="O39">
        <v>18501.600000000002</v>
      </c>
      <c r="P39">
        <v>20</v>
      </c>
      <c r="Q39">
        <v>28464</v>
      </c>
      <c r="R39">
        <v>16</v>
      </c>
      <c r="S39">
        <v>22771.200000000001</v>
      </c>
      <c r="T39">
        <v>25</v>
      </c>
      <c r="U39">
        <v>35580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</row>
    <row r="40" spans="2:99" x14ac:dyDescent="0.2">
      <c r="C40" s="118" t="s">
        <v>206</v>
      </c>
      <c r="D40">
        <v>14</v>
      </c>
      <c r="E40">
        <v>10147.199999999999</v>
      </c>
      <c r="F40">
        <v>14</v>
      </c>
      <c r="G40">
        <v>10147.199999999999</v>
      </c>
      <c r="H40">
        <v>19</v>
      </c>
      <c r="I40">
        <v>13771.199999999999</v>
      </c>
      <c r="J40">
        <v>23</v>
      </c>
      <c r="K40">
        <v>16670.399999999998</v>
      </c>
      <c r="L40">
        <v>16</v>
      </c>
      <c r="M40">
        <v>11596.8</v>
      </c>
      <c r="N40">
        <v>13</v>
      </c>
      <c r="O40">
        <v>9422.4</v>
      </c>
      <c r="P40">
        <v>22</v>
      </c>
      <c r="Q40">
        <v>15945.599999999999</v>
      </c>
      <c r="R40">
        <v>15</v>
      </c>
      <c r="S40">
        <v>10872</v>
      </c>
      <c r="T40">
        <v>27</v>
      </c>
      <c r="U40">
        <v>19569.599999999999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</row>
    <row r="41" spans="2:99" x14ac:dyDescent="0.2">
      <c r="C41" s="118" t="s">
        <v>207</v>
      </c>
      <c r="D41">
        <v>17</v>
      </c>
      <c r="E41">
        <v>11220</v>
      </c>
      <c r="F41">
        <v>15</v>
      </c>
      <c r="G41">
        <v>9900</v>
      </c>
      <c r="H41">
        <v>16</v>
      </c>
      <c r="I41">
        <v>10560</v>
      </c>
      <c r="J41">
        <v>24</v>
      </c>
      <c r="K41">
        <v>15840</v>
      </c>
      <c r="L41">
        <v>16</v>
      </c>
      <c r="M41">
        <v>10560</v>
      </c>
      <c r="N41">
        <v>13</v>
      </c>
      <c r="O41">
        <v>8580</v>
      </c>
      <c r="P41">
        <v>22</v>
      </c>
      <c r="Q41">
        <v>14520</v>
      </c>
      <c r="R41">
        <v>18</v>
      </c>
      <c r="S41">
        <v>11880</v>
      </c>
      <c r="T41">
        <v>28</v>
      </c>
      <c r="U41">
        <v>18480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</row>
    <row r="42" spans="2:99" x14ac:dyDescent="0.2">
      <c r="C42" s="118" t="s">
        <v>208</v>
      </c>
      <c r="D42">
        <v>16</v>
      </c>
      <c r="E42">
        <v>13536</v>
      </c>
      <c r="F42">
        <v>14</v>
      </c>
      <c r="G42">
        <v>11844</v>
      </c>
      <c r="H42">
        <v>16</v>
      </c>
      <c r="I42">
        <v>13536</v>
      </c>
      <c r="J42">
        <v>22</v>
      </c>
      <c r="K42">
        <v>18612</v>
      </c>
      <c r="L42">
        <v>16</v>
      </c>
      <c r="M42">
        <v>13536</v>
      </c>
      <c r="N42">
        <v>15</v>
      </c>
      <c r="O42">
        <v>12690</v>
      </c>
      <c r="P42">
        <v>19</v>
      </c>
      <c r="Q42">
        <v>16074</v>
      </c>
      <c r="R42">
        <v>16</v>
      </c>
      <c r="S42">
        <v>13536</v>
      </c>
      <c r="T42">
        <v>26</v>
      </c>
      <c r="U42">
        <v>21996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</row>
    <row r="43" spans="2:99" x14ac:dyDescent="0.2">
      <c r="C43" s="118" t="s">
        <v>209</v>
      </c>
      <c r="D43">
        <v>16</v>
      </c>
      <c r="E43">
        <v>16358.4</v>
      </c>
      <c r="F43">
        <v>15</v>
      </c>
      <c r="G43">
        <v>15336</v>
      </c>
      <c r="H43">
        <v>16</v>
      </c>
      <c r="I43">
        <v>16358.4</v>
      </c>
      <c r="J43">
        <v>23</v>
      </c>
      <c r="K43">
        <v>23515.200000000001</v>
      </c>
      <c r="L43">
        <v>16</v>
      </c>
      <c r="M43">
        <v>16358.4</v>
      </c>
      <c r="N43">
        <v>15</v>
      </c>
      <c r="O43">
        <v>15336</v>
      </c>
      <c r="P43">
        <v>20</v>
      </c>
      <c r="Q43">
        <v>20448</v>
      </c>
      <c r="R43">
        <v>16</v>
      </c>
      <c r="S43">
        <v>16358.4</v>
      </c>
      <c r="T43">
        <v>25</v>
      </c>
      <c r="U43">
        <v>25560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</row>
    <row r="44" spans="2:99" x14ac:dyDescent="0.2">
      <c r="C44" s="118" t="s">
        <v>210</v>
      </c>
      <c r="D44">
        <v>15</v>
      </c>
      <c r="E44">
        <v>15336</v>
      </c>
      <c r="F44">
        <v>13</v>
      </c>
      <c r="G44">
        <v>13291.199999999999</v>
      </c>
      <c r="H44">
        <v>16</v>
      </c>
      <c r="I44">
        <v>16358.4</v>
      </c>
      <c r="J44">
        <v>26</v>
      </c>
      <c r="K44">
        <v>26582.399999999998</v>
      </c>
      <c r="L44">
        <v>15</v>
      </c>
      <c r="M44">
        <v>15336</v>
      </c>
      <c r="N44">
        <v>14</v>
      </c>
      <c r="O44">
        <v>14313.6</v>
      </c>
      <c r="P44">
        <v>20</v>
      </c>
      <c r="Q44">
        <v>20448</v>
      </c>
      <c r="R44">
        <v>15</v>
      </c>
      <c r="S44">
        <v>15336</v>
      </c>
      <c r="T44">
        <v>29</v>
      </c>
      <c r="U44">
        <v>29649.599999999999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</row>
    <row r="45" spans="2:99" x14ac:dyDescent="0.2">
      <c r="C45" s="118" t="s">
        <v>211</v>
      </c>
      <c r="D45">
        <v>13</v>
      </c>
      <c r="E45">
        <v>16239.6</v>
      </c>
      <c r="F45">
        <v>12</v>
      </c>
      <c r="G45">
        <v>14990.400000000001</v>
      </c>
      <c r="H45">
        <v>15</v>
      </c>
      <c r="I45">
        <v>18738</v>
      </c>
      <c r="J45">
        <v>22</v>
      </c>
      <c r="K45">
        <v>27482.400000000001</v>
      </c>
      <c r="L45">
        <v>14</v>
      </c>
      <c r="M45">
        <v>17488.8</v>
      </c>
      <c r="N45">
        <v>15</v>
      </c>
      <c r="O45">
        <v>18738</v>
      </c>
      <c r="P45">
        <v>20</v>
      </c>
      <c r="Q45">
        <v>24984</v>
      </c>
      <c r="R45">
        <v>16</v>
      </c>
      <c r="S45">
        <v>19987.2</v>
      </c>
      <c r="T45">
        <v>26</v>
      </c>
      <c r="U45">
        <v>32479.200000000001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</row>
    <row r="46" spans="2:99" x14ac:dyDescent="0.2">
      <c r="C46" s="118" t="s">
        <v>212</v>
      </c>
      <c r="D46">
        <v>15</v>
      </c>
      <c r="E46">
        <v>18180</v>
      </c>
      <c r="F46">
        <v>15</v>
      </c>
      <c r="G46">
        <v>18180</v>
      </c>
      <c r="H46">
        <v>17</v>
      </c>
      <c r="I46">
        <v>20604</v>
      </c>
      <c r="J46">
        <v>22</v>
      </c>
      <c r="K46">
        <v>26664</v>
      </c>
      <c r="L46">
        <v>15</v>
      </c>
      <c r="M46">
        <v>18180</v>
      </c>
      <c r="N46">
        <v>14</v>
      </c>
      <c r="O46">
        <v>16968</v>
      </c>
      <c r="P46">
        <v>22</v>
      </c>
      <c r="Q46">
        <v>26664</v>
      </c>
      <c r="R46">
        <v>16</v>
      </c>
      <c r="S46">
        <v>19392</v>
      </c>
      <c r="T46">
        <v>28</v>
      </c>
      <c r="U46">
        <v>33936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</row>
    <row r="47" spans="2:99" x14ac:dyDescent="0.2">
      <c r="C47" s="118" t="s">
        <v>213</v>
      </c>
      <c r="D47">
        <v>15</v>
      </c>
      <c r="E47">
        <v>22914</v>
      </c>
      <c r="F47">
        <v>13</v>
      </c>
      <c r="G47">
        <v>19858.8</v>
      </c>
      <c r="H47">
        <v>16</v>
      </c>
      <c r="I47">
        <v>24441.599999999999</v>
      </c>
      <c r="J47">
        <v>20</v>
      </c>
      <c r="K47">
        <v>30552</v>
      </c>
      <c r="L47">
        <v>13</v>
      </c>
      <c r="M47">
        <v>19858.8</v>
      </c>
      <c r="N47">
        <v>13</v>
      </c>
      <c r="O47">
        <v>19858.8</v>
      </c>
      <c r="P47">
        <v>18</v>
      </c>
      <c r="Q47">
        <v>27496.799999999999</v>
      </c>
      <c r="R47">
        <v>15</v>
      </c>
      <c r="S47">
        <v>22914</v>
      </c>
      <c r="T47">
        <v>23</v>
      </c>
      <c r="U47">
        <v>35134.799999999996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</row>
    <row r="48" spans="2:99" x14ac:dyDescent="0.2">
      <c r="C48" s="118" t="s">
        <v>214</v>
      </c>
      <c r="D48">
        <v>16</v>
      </c>
      <c r="E48">
        <v>13881.6</v>
      </c>
      <c r="F48">
        <v>14</v>
      </c>
      <c r="G48">
        <v>12146.4</v>
      </c>
      <c r="H48">
        <v>16</v>
      </c>
      <c r="I48">
        <v>13881.6</v>
      </c>
      <c r="J48">
        <v>25</v>
      </c>
      <c r="K48">
        <v>21690</v>
      </c>
      <c r="L48">
        <v>16</v>
      </c>
      <c r="M48">
        <v>13881.6</v>
      </c>
      <c r="N48">
        <v>15</v>
      </c>
      <c r="O48">
        <v>13014</v>
      </c>
      <c r="P48">
        <v>19</v>
      </c>
      <c r="Q48">
        <v>16484.400000000001</v>
      </c>
      <c r="R48">
        <v>17</v>
      </c>
      <c r="S48">
        <v>14749.2</v>
      </c>
      <c r="T48">
        <v>30</v>
      </c>
      <c r="U48">
        <v>26028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</row>
    <row r="49" spans="2:99" x14ac:dyDescent="0.2">
      <c r="B49" s="118" t="s">
        <v>129</v>
      </c>
      <c r="C49" s="118" t="s">
        <v>215</v>
      </c>
      <c r="D49">
        <v>0</v>
      </c>
      <c r="E49">
        <v>0</v>
      </c>
      <c r="F49">
        <v>0</v>
      </c>
      <c r="G49">
        <v>0</v>
      </c>
      <c r="H49">
        <v>7.0524963098130122</v>
      </c>
      <c r="I49">
        <v>6948.1193644277791</v>
      </c>
      <c r="J49">
        <v>16</v>
      </c>
      <c r="K49">
        <v>15763.199999999999</v>
      </c>
      <c r="L49">
        <v>16</v>
      </c>
      <c r="M49">
        <v>15763.199999999999</v>
      </c>
      <c r="N49">
        <v>13</v>
      </c>
      <c r="O49">
        <v>12807.599999999999</v>
      </c>
      <c r="P49">
        <v>16</v>
      </c>
      <c r="Q49">
        <v>15763.199999999999</v>
      </c>
      <c r="R49">
        <v>13</v>
      </c>
      <c r="S49">
        <v>12807.599999999999</v>
      </c>
      <c r="T49">
        <v>10</v>
      </c>
      <c r="U49">
        <v>9852</v>
      </c>
      <c r="V49">
        <v>14</v>
      </c>
      <c r="W49">
        <v>13792.8</v>
      </c>
      <c r="X49">
        <v>16</v>
      </c>
      <c r="Y49">
        <v>15763.199999999999</v>
      </c>
      <c r="Z49">
        <v>15</v>
      </c>
      <c r="AA49">
        <v>14777.999999999998</v>
      </c>
      <c r="AB49">
        <v>18</v>
      </c>
      <c r="AC49">
        <v>17733.599999999999</v>
      </c>
      <c r="AD49">
        <v>19</v>
      </c>
      <c r="AE49">
        <v>18718.8</v>
      </c>
      <c r="AF49">
        <v>13</v>
      </c>
      <c r="AG49">
        <v>12807.599999999999</v>
      </c>
      <c r="AH49">
        <v>10</v>
      </c>
      <c r="AI49">
        <v>9852</v>
      </c>
      <c r="AJ49">
        <v>17</v>
      </c>
      <c r="AK49">
        <v>16748.399999999998</v>
      </c>
      <c r="AL49">
        <v>11</v>
      </c>
      <c r="AM49">
        <v>10837.199999999999</v>
      </c>
      <c r="AN49">
        <v>17</v>
      </c>
      <c r="AO49">
        <v>16748.399999999998</v>
      </c>
      <c r="AP49">
        <v>11</v>
      </c>
      <c r="AQ49">
        <v>10837.199999999999</v>
      </c>
      <c r="AR49">
        <v>9</v>
      </c>
      <c r="AS49">
        <v>8866.7999999999993</v>
      </c>
      <c r="AT49">
        <v>14</v>
      </c>
      <c r="AU49">
        <v>13792.8</v>
      </c>
      <c r="AV49">
        <v>13</v>
      </c>
      <c r="AW49">
        <v>12807.599999999999</v>
      </c>
      <c r="AX49">
        <v>9</v>
      </c>
      <c r="AY49">
        <v>8866.7999999999993</v>
      </c>
      <c r="AZ49">
        <v>13</v>
      </c>
      <c r="BA49">
        <v>12807.599999999999</v>
      </c>
      <c r="BB49">
        <v>12</v>
      </c>
      <c r="BC49">
        <v>11822.4</v>
      </c>
      <c r="BD49">
        <v>14</v>
      </c>
      <c r="BE49">
        <v>13792.8</v>
      </c>
      <c r="BF49">
        <v>16</v>
      </c>
      <c r="BG49">
        <v>15763.199999999999</v>
      </c>
      <c r="BH49">
        <v>13</v>
      </c>
      <c r="BI49">
        <v>12807.599999999999</v>
      </c>
      <c r="BJ49">
        <v>16</v>
      </c>
      <c r="BK49">
        <v>15763.199999999999</v>
      </c>
      <c r="BL49">
        <v>10</v>
      </c>
      <c r="BM49">
        <v>9852</v>
      </c>
      <c r="BN49">
        <v>13</v>
      </c>
      <c r="BO49">
        <v>12807.599999999999</v>
      </c>
      <c r="BP49">
        <v>12</v>
      </c>
      <c r="BQ49">
        <v>11822.4</v>
      </c>
      <c r="BR49">
        <v>10</v>
      </c>
      <c r="BS49">
        <v>9852</v>
      </c>
      <c r="BT49">
        <v>18</v>
      </c>
      <c r="BU49">
        <v>17733.599999999999</v>
      </c>
      <c r="BV49">
        <v>11</v>
      </c>
      <c r="BW49">
        <v>10837.199999999999</v>
      </c>
      <c r="BX49">
        <v>11</v>
      </c>
      <c r="BY49">
        <v>10837.199999999999</v>
      </c>
      <c r="BZ49">
        <v>10</v>
      </c>
      <c r="CA49">
        <v>9852</v>
      </c>
      <c r="CB49">
        <v>13</v>
      </c>
      <c r="CC49">
        <v>12807.599999999999</v>
      </c>
      <c r="CD49">
        <v>15</v>
      </c>
      <c r="CE49">
        <v>14777.999999999998</v>
      </c>
      <c r="CF49">
        <v>11</v>
      </c>
      <c r="CG49">
        <v>10837.199999999999</v>
      </c>
      <c r="CH49">
        <v>12</v>
      </c>
      <c r="CI49">
        <v>11822.4</v>
      </c>
      <c r="CJ49">
        <v>9</v>
      </c>
      <c r="CK49">
        <v>8866.7999999999993</v>
      </c>
      <c r="CL49">
        <v>19</v>
      </c>
      <c r="CM49">
        <v>18718.8</v>
      </c>
      <c r="CN49">
        <v>14</v>
      </c>
      <c r="CO49">
        <v>13792.8</v>
      </c>
      <c r="CP49">
        <v>14</v>
      </c>
      <c r="CQ49">
        <v>13792.8</v>
      </c>
      <c r="CR49">
        <v>15</v>
      </c>
      <c r="CS49">
        <v>14777.999999999998</v>
      </c>
      <c r="CT49">
        <v>9</v>
      </c>
      <c r="CU49">
        <v>8866.7999999999993</v>
      </c>
    </row>
    <row r="50" spans="2:99" x14ac:dyDescent="0.2">
      <c r="C50" s="118" t="s">
        <v>216</v>
      </c>
      <c r="D50">
        <v>11</v>
      </c>
      <c r="E50">
        <v>3102</v>
      </c>
      <c r="F50">
        <v>14</v>
      </c>
      <c r="G50">
        <v>3948</v>
      </c>
      <c r="H50">
        <v>14</v>
      </c>
      <c r="I50">
        <v>3948</v>
      </c>
      <c r="J50">
        <v>16</v>
      </c>
      <c r="K50">
        <v>4512</v>
      </c>
      <c r="L50">
        <v>18</v>
      </c>
      <c r="M50">
        <v>5076</v>
      </c>
      <c r="N50">
        <v>13</v>
      </c>
      <c r="O50">
        <v>3666</v>
      </c>
      <c r="P50">
        <v>19</v>
      </c>
      <c r="Q50">
        <v>5358</v>
      </c>
      <c r="R50">
        <v>17</v>
      </c>
      <c r="S50">
        <v>4794</v>
      </c>
      <c r="T50">
        <v>10</v>
      </c>
      <c r="U50">
        <v>2820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</row>
    <row r="51" spans="2:99" x14ac:dyDescent="0.2">
      <c r="C51" s="118" t="s">
        <v>217</v>
      </c>
      <c r="D51">
        <v>10</v>
      </c>
      <c r="E51">
        <v>8544</v>
      </c>
      <c r="F51">
        <v>12</v>
      </c>
      <c r="G51">
        <v>10252.799999999999</v>
      </c>
      <c r="H51">
        <v>15</v>
      </c>
      <c r="I51">
        <v>12816</v>
      </c>
      <c r="J51">
        <v>16</v>
      </c>
      <c r="K51">
        <v>13670.4</v>
      </c>
      <c r="L51">
        <v>15</v>
      </c>
      <c r="M51">
        <v>12816</v>
      </c>
      <c r="N51">
        <v>13</v>
      </c>
      <c r="O51">
        <v>11107.199999999999</v>
      </c>
      <c r="P51">
        <v>20</v>
      </c>
      <c r="Q51">
        <v>17088</v>
      </c>
      <c r="R51">
        <v>15</v>
      </c>
      <c r="S51">
        <v>12816</v>
      </c>
      <c r="T51">
        <v>10</v>
      </c>
      <c r="U51">
        <v>8544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</row>
    <row r="52" spans="2:99" x14ac:dyDescent="0.2">
      <c r="C52" s="118" t="s">
        <v>218</v>
      </c>
      <c r="D52">
        <v>10</v>
      </c>
      <c r="E52">
        <v>5400</v>
      </c>
      <c r="F52">
        <v>13</v>
      </c>
      <c r="G52">
        <v>7020</v>
      </c>
      <c r="H52">
        <v>15</v>
      </c>
      <c r="I52">
        <v>8100</v>
      </c>
      <c r="J52">
        <v>17</v>
      </c>
      <c r="K52">
        <v>9180</v>
      </c>
      <c r="L52">
        <v>16</v>
      </c>
      <c r="M52">
        <v>8640</v>
      </c>
      <c r="N52">
        <v>14</v>
      </c>
      <c r="O52">
        <v>7560</v>
      </c>
      <c r="P52">
        <v>19</v>
      </c>
      <c r="Q52">
        <v>10260</v>
      </c>
      <c r="R52">
        <v>16</v>
      </c>
      <c r="S52">
        <v>8640</v>
      </c>
      <c r="T52">
        <v>11</v>
      </c>
      <c r="U52">
        <v>5940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</row>
    <row r="53" spans="2:99" x14ac:dyDescent="0.2">
      <c r="C53" s="118" t="s">
        <v>219</v>
      </c>
      <c r="D53">
        <v>11</v>
      </c>
      <c r="E53">
        <v>4474.8</v>
      </c>
      <c r="F53">
        <v>13</v>
      </c>
      <c r="G53">
        <v>5288.4000000000005</v>
      </c>
      <c r="H53">
        <v>14</v>
      </c>
      <c r="I53">
        <v>5695.2</v>
      </c>
      <c r="J53">
        <v>17</v>
      </c>
      <c r="K53">
        <v>6915.6</v>
      </c>
      <c r="L53">
        <v>14</v>
      </c>
      <c r="M53">
        <v>5695.2</v>
      </c>
      <c r="N53">
        <v>14</v>
      </c>
      <c r="O53">
        <v>5695.2</v>
      </c>
      <c r="P53">
        <v>18</v>
      </c>
      <c r="Q53">
        <v>7322.4000000000005</v>
      </c>
      <c r="R53">
        <v>17</v>
      </c>
      <c r="S53">
        <v>6915.6</v>
      </c>
      <c r="T53">
        <v>10</v>
      </c>
      <c r="U53">
        <v>4068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</row>
    <row r="54" spans="2:99" x14ac:dyDescent="0.2">
      <c r="C54" s="118" t="s">
        <v>220</v>
      </c>
      <c r="D54">
        <v>11</v>
      </c>
      <c r="E54">
        <v>3682.8</v>
      </c>
      <c r="F54">
        <v>15</v>
      </c>
      <c r="G54">
        <v>5022</v>
      </c>
      <c r="H54">
        <v>14</v>
      </c>
      <c r="I54">
        <v>4687.2</v>
      </c>
      <c r="J54">
        <v>16</v>
      </c>
      <c r="K54">
        <v>5356.8</v>
      </c>
      <c r="L54">
        <v>16</v>
      </c>
      <c r="M54">
        <v>5356.8</v>
      </c>
      <c r="N54">
        <v>13</v>
      </c>
      <c r="O54">
        <v>4352.4000000000005</v>
      </c>
      <c r="P54">
        <v>18</v>
      </c>
      <c r="Q54">
        <v>6026.4000000000005</v>
      </c>
      <c r="R54">
        <v>15</v>
      </c>
      <c r="S54">
        <v>5022</v>
      </c>
      <c r="T54">
        <v>10</v>
      </c>
      <c r="U54">
        <v>3348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</row>
    <row r="55" spans="2:99" x14ac:dyDescent="0.2">
      <c r="C55" s="118" t="s">
        <v>221</v>
      </c>
      <c r="D55">
        <v>11</v>
      </c>
      <c r="E55">
        <v>7299.6</v>
      </c>
      <c r="F55">
        <v>12</v>
      </c>
      <c r="G55">
        <v>7963.2000000000007</v>
      </c>
      <c r="H55">
        <v>14</v>
      </c>
      <c r="I55">
        <v>9290.4</v>
      </c>
      <c r="J55">
        <v>15</v>
      </c>
      <c r="K55">
        <v>9954</v>
      </c>
      <c r="L55">
        <v>15</v>
      </c>
      <c r="M55">
        <v>9954</v>
      </c>
      <c r="N55">
        <v>14</v>
      </c>
      <c r="O55">
        <v>9290.4</v>
      </c>
      <c r="P55">
        <v>19</v>
      </c>
      <c r="Q55">
        <v>12608.4</v>
      </c>
      <c r="R55">
        <v>15</v>
      </c>
      <c r="S55">
        <v>9954</v>
      </c>
      <c r="T55">
        <v>11</v>
      </c>
      <c r="U55">
        <v>7299.6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</row>
    <row r="56" spans="2:99" x14ac:dyDescent="0.2">
      <c r="C56" s="118" t="s">
        <v>222</v>
      </c>
      <c r="D56">
        <v>0</v>
      </c>
      <c r="E56">
        <v>0</v>
      </c>
      <c r="F56">
        <v>0</v>
      </c>
      <c r="G56">
        <v>0</v>
      </c>
      <c r="H56">
        <v>6.582329889158812</v>
      </c>
      <c r="I56">
        <v>7574.9452364439603</v>
      </c>
      <c r="J56">
        <v>14</v>
      </c>
      <c r="K56">
        <v>16111.199999999999</v>
      </c>
      <c r="L56">
        <v>14</v>
      </c>
      <c r="M56">
        <v>16111.199999999999</v>
      </c>
      <c r="N56">
        <v>13</v>
      </c>
      <c r="O56">
        <v>14960.4</v>
      </c>
      <c r="P56">
        <v>18</v>
      </c>
      <c r="Q56">
        <v>20714.399999999998</v>
      </c>
      <c r="R56">
        <v>15</v>
      </c>
      <c r="S56">
        <v>17262</v>
      </c>
      <c r="T56">
        <v>10</v>
      </c>
      <c r="U56">
        <v>11508</v>
      </c>
      <c r="V56">
        <v>13</v>
      </c>
      <c r="W56">
        <v>14960.4</v>
      </c>
      <c r="X56">
        <v>16</v>
      </c>
      <c r="Y56">
        <v>18412.8</v>
      </c>
      <c r="Z56">
        <v>15</v>
      </c>
      <c r="AA56">
        <v>17262</v>
      </c>
      <c r="AB56">
        <v>17</v>
      </c>
      <c r="AC56">
        <v>19563.599999999999</v>
      </c>
      <c r="AD56">
        <v>16</v>
      </c>
      <c r="AE56">
        <v>18412.8</v>
      </c>
      <c r="AF56">
        <v>14</v>
      </c>
      <c r="AG56">
        <v>16111.199999999999</v>
      </c>
      <c r="AH56">
        <v>11</v>
      </c>
      <c r="AI56">
        <v>12658.8</v>
      </c>
      <c r="AJ56">
        <v>17</v>
      </c>
      <c r="AK56">
        <v>19563.599999999999</v>
      </c>
      <c r="AL56">
        <v>9</v>
      </c>
      <c r="AM56">
        <v>10357.199999999999</v>
      </c>
      <c r="AN56">
        <v>14</v>
      </c>
      <c r="AO56">
        <v>16111.199999999999</v>
      </c>
      <c r="AP56">
        <v>11</v>
      </c>
      <c r="AQ56">
        <v>12658.8</v>
      </c>
      <c r="AR56">
        <v>10</v>
      </c>
      <c r="AS56">
        <v>11508</v>
      </c>
      <c r="AT56">
        <v>14</v>
      </c>
      <c r="AU56">
        <v>16111.199999999999</v>
      </c>
      <c r="AV56">
        <v>15</v>
      </c>
      <c r="AW56">
        <v>17262</v>
      </c>
      <c r="AX56">
        <v>10</v>
      </c>
      <c r="AY56">
        <v>11508</v>
      </c>
      <c r="AZ56">
        <v>13</v>
      </c>
      <c r="BA56">
        <v>14960.4</v>
      </c>
      <c r="BB56">
        <v>11</v>
      </c>
      <c r="BC56">
        <v>12658.8</v>
      </c>
      <c r="BD56">
        <v>16</v>
      </c>
      <c r="BE56">
        <v>18412.8</v>
      </c>
      <c r="BF56">
        <v>15</v>
      </c>
      <c r="BG56">
        <v>17262</v>
      </c>
      <c r="BH56">
        <v>14</v>
      </c>
      <c r="BI56">
        <v>16111.199999999999</v>
      </c>
      <c r="BJ56">
        <v>16</v>
      </c>
      <c r="BK56">
        <v>18412.8</v>
      </c>
      <c r="BL56">
        <v>10</v>
      </c>
      <c r="BM56">
        <v>11508</v>
      </c>
      <c r="BN56">
        <v>13</v>
      </c>
      <c r="BO56">
        <v>14960.4</v>
      </c>
      <c r="BP56">
        <v>12</v>
      </c>
      <c r="BQ56">
        <v>13809.599999999999</v>
      </c>
      <c r="BR56">
        <v>9</v>
      </c>
      <c r="BS56">
        <v>10357.199999999999</v>
      </c>
      <c r="BT56">
        <v>15</v>
      </c>
      <c r="BU56">
        <v>17262</v>
      </c>
      <c r="BV56">
        <v>10</v>
      </c>
      <c r="BW56">
        <v>11508</v>
      </c>
      <c r="BX56">
        <v>11</v>
      </c>
      <c r="BY56">
        <v>12658.8</v>
      </c>
      <c r="BZ56">
        <v>11</v>
      </c>
      <c r="CA56">
        <v>12658.8</v>
      </c>
      <c r="CB56">
        <v>12</v>
      </c>
      <c r="CC56">
        <v>13809.599999999999</v>
      </c>
      <c r="CD56">
        <v>15</v>
      </c>
      <c r="CE56">
        <v>17262</v>
      </c>
      <c r="CF56">
        <v>13</v>
      </c>
      <c r="CG56">
        <v>14960.4</v>
      </c>
      <c r="CH56">
        <v>11</v>
      </c>
      <c r="CI56">
        <v>12658.8</v>
      </c>
      <c r="CJ56">
        <v>10</v>
      </c>
      <c r="CK56">
        <v>11508</v>
      </c>
      <c r="CL56">
        <v>18</v>
      </c>
      <c r="CM56">
        <v>20714.399999999998</v>
      </c>
      <c r="CN56">
        <v>13</v>
      </c>
      <c r="CO56">
        <v>14960.4</v>
      </c>
      <c r="CP56">
        <v>15</v>
      </c>
      <c r="CQ56">
        <v>17262</v>
      </c>
      <c r="CR56">
        <v>18</v>
      </c>
      <c r="CS56">
        <v>20714.399999999998</v>
      </c>
      <c r="CT56">
        <v>10</v>
      </c>
      <c r="CU56">
        <v>11508</v>
      </c>
    </row>
    <row r="57" spans="2:99" x14ac:dyDescent="0.2">
      <c r="C57" s="118" t="s">
        <v>223</v>
      </c>
      <c r="D57">
        <v>10</v>
      </c>
      <c r="E57">
        <v>14112</v>
      </c>
      <c r="F57">
        <v>13</v>
      </c>
      <c r="G57">
        <v>18345.600000000002</v>
      </c>
      <c r="H57">
        <v>14</v>
      </c>
      <c r="I57">
        <v>19756.8</v>
      </c>
      <c r="J57">
        <v>14</v>
      </c>
      <c r="K57">
        <v>19756.8</v>
      </c>
      <c r="L57">
        <v>15</v>
      </c>
      <c r="M57">
        <v>21168</v>
      </c>
      <c r="N57">
        <v>13</v>
      </c>
      <c r="O57">
        <v>18345.600000000002</v>
      </c>
      <c r="P57">
        <v>16</v>
      </c>
      <c r="Q57">
        <v>22579.200000000001</v>
      </c>
      <c r="R57">
        <v>15</v>
      </c>
      <c r="S57">
        <v>21168</v>
      </c>
      <c r="T57">
        <v>9</v>
      </c>
      <c r="U57">
        <v>12700.800000000001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</row>
    <row r="58" spans="2:99" x14ac:dyDescent="0.2">
      <c r="C58" s="118" t="s">
        <v>224</v>
      </c>
      <c r="D58">
        <v>0</v>
      </c>
      <c r="E58">
        <v>0</v>
      </c>
      <c r="F58">
        <v>0</v>
      </c>
      <c r="G58">
        <v>0</v>
      </c>
      <c r="H58">
        <v>6.582329889158812</v>
      </c>
      <c r="I58">
        <v>7748.7187455177536</v>
      </c>
      <c r="J58">
        <v>16</v>
      </c>
      <c r="K58">
        <v>18835.2</v>
      </c>
      <c r="L58">
        <v>14</v>
      </c>
      <c r="M58">
        <v>16480.8</v>
      </c>
      <c r="N58">
        <v>12</v>
      </c>
      <c r="O58">
        <v>14126.400000000001</v>
      </c>
      <c r="P58">
        <v>18</v>
      </c>
      <c r="Q58">
        <v>21189.600000000002</v>
      </c>
      <c r="R58">
        <v>14</v>
      </c>
      <c r="S58">
        <v>16480.8</v>
      </c>
      <c r="T58">
        <v>10</v>
      </c>
      <c r="U58">
        <v>11772</v>
      </c>
      <c r="V58">
        <v>13</v>
      </c>
      <c r="W58">
        <v>15303.6</v>
      </c>
      <c r="X58">
        <v>15</v>
      </c>
      <c r="Y58">
        <v>17658</v>
      </c>
      <c r="Z58">
        <v>13</v>
      </c>
      <c r="AA58">
        <v>15303.6</v>
      </c>
      <c r="AB58">
        <v>15</v>
      </c>
      <c r="AC58">
        <v>17658</v>
      </c>
      <c r="AD58">
        <v>16</v>
      </c>
      <c r="AE58">
        <v>18835.2</v>
      </c>
      <c r="AF58">
        <v>13</v>
      </c>
      <c r="AG58">
        <v>15303.6</v>
      </c>
      <c r="AH58">
        <v>9</v>
      </c>
      <c r="AI58">
        <v>10594.800000000001</v>
      </c>
      <c r="AJ58">
        <v>16</v>
      </c>
      <c r="AK58">
        <v>18835.2</v>
      </c>
      <c r="AL58">
        <v>10</v>
      </c>
      <c r="AM58">
        <v>11772</v>
      </c>
      <c r="AN58">
        <v>15</v>
      </c>
      <c r="AO58">
        <v>17658</v>
      </c>
      <c r="AP58">
        <v>12</v>
      </c>
      <c r="AQ58">
        <v>14126.400000000001</v>
      </c>
      <c r="AR58">
        <v>9</v>
      </c>
      <c r="AS58">
        <v>10594.800000000001</v>
      </c>
      <c r="AT58">
        <v>15</v>
      </c>
      <c r="AU58">
        <v>17658</v>
      </c>
      <c r="AV58">
        <v>14</v>
      </c>
      <c r="AW58">
        <v>16480.8</v>
      </c>
      <c r="AX58">
        <v>9</v>
      </c>
      <c r="AY58">
        <v>10594.800000000001</v>
      </c>
      <c r="AZ58">
        <v>13</v>
      </c>
      <c r="BA58">
        <v>15303.6</v>
      </c>
      <c r="BB58">
        <v>12</v>
      </c>
      <c r="BC58">
        <v>14126.400000000001</v>
      </c>
      <c r="BD58">
        <v>15</v>
      </c>
      <c r="BE58">
        <v>17658</v>
      </c>
      <c r="BF58">
        <v>14</v>
      </c>
      <c r="BG58">
        <v>16480.8</v>
      </c>
      <c r="BH58">
        <v>12</v>
      </c>
      <c r="BI58">
        <v>14126.400000000001</v>
      </c>
      <c r="BJ58">
        <v>18</v>
      </c>
      <c r="BK58">
        <v>21189.600000000002</v>
      </c>
      <c r="BL58">
        <v>10</v>
      </c>
      <c r="BM58">
        <v>11772</v>
      </c>
      <c r="BN58">
        <v>14</v>
      </c>
      <c r="BO58">
        <v>16480.8</v>
      </c>
      <c r="BP58">
        <v>12</v>
      </c>
      <c r="BQ58">
        <v>14126.400000000001</v>
      </c>
      <c r="BR58">
        <v>9</v>
      </c>
      <c r="BS58">
        <v>10594.800000000001</v>
      </c>
      <c r="BT58">
        <v>19</v>
      </c>
      <c r="BU58">
        <v>22366.799999999999</v>
      </c>
      <c r="BV58">
        <v>11</v>
      </c>
      <c r="BW58">
        <v>12949.2</v>
      </c>
      <c r="BX58">
        <v>10</v>
      </c>
      <c r="BY58">
        <v>11772</v>
      </c>
      <c r="BZ58">
        <v>11</v>
      </c>
      <c r="CA58">
        <v>12949.2</v>
      </c>
      <c r="CB58">
        <v>12</v>
      </c>
      <c r="CC58">
        <v>14126.400000000001</v>
      </c>
      <c r="CD58">
        <v>16</v>
      </c>
      <c r="CE58">
        <v>18835.2</v>
      </c>
      <c r="CF58">
        <v>12</v>
      </c>
      <c r="CG58">
        <v>14126.400000000001</v>
      </c>
      <c r="CH58">
        <v>10</v>
      </c>
      <c r="CI58">
        <v>11772</v>
      </c>
      <c r="CJ58">
        <v>11</v>
      </c>
      <c r="CK58">
        <v>12949.2</v>
      </c>
      <c r="CL58">
        <v>17</v>
      </c>
      <c r="CM58">
        <v>20012.400000000001</v>
      </c>
      <c r="CN58">
        <v>13</v>
      </c>
      <c r="CO58">
        <v>15303.6</v>
      </c>
      <c r="CP58">
        <v>14</v>
      </c>
      <c r="CQ58">
        <v>16480.8</v>
      </c>
      <c r="CR58">
        <v>17</v>
      </c>
      <c r="CS58">
        <v>20012.400000000001</v>
      </c>
      <c r="CT58">
        <v>8</v>
      </c>
      <c r="CU58">
        <v>9417.6</v>
      </c>
    </row>
    <row r="59" spans="2:99" x14ac:dyDescent="0.2">
      <c r="C59" s="118" t="s">
        <v>225</v>
      </c>
      <c r="D59">
        <v>11</v>
      </c>
      <c r="E59">
        <v>3339.5999999999995</v>
      </c>
      <c r="F59">
        <v>14</v>
      </c>
      <c r="G59">
        <v>4250.3999999999996</v>
      </c>
      <c r="H59">
        <v>16</v>
      </c>
      <c r="I59">
        <v>4857.5999999999995</v>
      </c>
      <c r="J59">
        <v>15</v>
      </c>
      <c r="K59">
        <v>4553.9999999999991</v>
      </c>
      <c r="L59">
        <v>17</v>
      </c>
      <c r="M59">
        <v>5161.2</v>
      </c>
      <c r="N59">
        <v>15</v>
      </c>
      <c r="O59">
        <v>4553.9999999999991</v>
      </c>
      <c r="P59">
        <v>21</v>
      </c>
      <c r="Q59">
        <v>6375.5999999999995</v>
      </c>
      <c r="R59">
        <v>16</v>
      </c>
      <c r="S59">
        <v>4857.5999999999995</v>
      </c>
      <c r="T59">
        <v>11</v>
      </c>
      <c r="U59">
        <v>3339.5999999999995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</row>
    <row r="60" spans="2:99" x14ac:dyDescent="0.2">
      <c r="C60" s="118" t="s">
        <v>226</v>
      </c>
      <c r="D60">
        <v>10</v>
      </c>
      <c r="E60">
        <v>6516</v>
      </c>
      <c r="F60">
        <v>14</v>
      </c>
      <c r="G60">
        <v>9122.4</v>
      </c>
      <c r="H60">
        <v>15</v>
      </c>
      <c r="I60">
        <v>9774</v>
      </c>
      <c r="J60">
        <v>16</v>
      </c>
      <c r="K60">
        <v>10425.6</v>
      </c>
      <c r="L60">
        <v>14</v>
      </c>
      <c r="M60">
        <v>9122.4</v>
      </c>
      <c r="N60">
        <v>13</v>
      </c>
      <c r="O60">
        <v>8470.8000000000011</v>
      </c>
      <c r="P60">
        <v>19</v>
      </c>
      <c r="Q60">
        <v>12380.4</v>
      </c>
      <c r="R60">
        <v>16</v>
      </c>
      <c r="S60">
        <v>10425.6</v>
      </c>
      <c r="T60">
        <v>11</v>
      </c>
      <c r="U60">
        <v>7167.6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</row>
    <row r="61" spans="2:99" x14ac:dyDescent="0.2">
      <c r="C61" s="118" t="s">
        <v>227</v>
      </c>
      <c r="D61">
        <v>11</v>
      </c>
      <c r="E61">
        <v>10467.599999999999</v>
      </c>
      <c r="F61">
        <v>13</v>
      </c>
      <c r="G61">
        <v>12370.8</v>
      </c>
      <c r="H61">
        <v>14</v>
      </c>
      <c r="I61">
        <v>13322.399999999998</v>
      </c>
      <c r="J61">
        <v>13</v>
      </c>
      <c r="K61">
        <v>12370.8</v>
      </c>
      <c r="L61">
        <v>14</v>
      </c>
      <c r="M61">
        <v>13322.399999999998</v>
      </c>
      <c r="N61">
        <v>12</v>
      </c>
      <c r="O61">
        <v>11419.199999999999</v>
      </c>
      <c r="P61">
        <v>18</v>
      </c>
      <c r="Q61">
        <v>17128.8</v>
      </c>
      <c r="R61">
        <v>16</v>
      </c>
      <c r="S61">
        <v>15225.599999999999</v>
      </c>
      <c r="T61">
        <v>11</v>
      </c>
      <c r="U61">
        <v>10467.599999999999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</row>
    <row r="62" spans="2:99" x14ac:dyDescent="0.2">
      <c r="C62" s="118" t="s">
        <v>228</v>
      </c>
      <c r="D62">
        <v>10</v>
      </c>
      <c r="E62">
        <v>17052</v>
      </c>
      <c r="F62">
        <v>13</v>
      </c>
      <c r="G62">
        <v>22167.600000000002</v>
      </c>
      <c r="H62">
        <v>12</v>
      </c>
      <c r="I62">
        <v>20462.400000000001</v>
      </c>
      <c r="J62">
        <v>13</v>
      </c>
      <c r="K62">
        <v>22167.600000000002</v>
      </c>
      <c r="L62">
        <v>13</v>
      </c>
      <c r="M62">
        <v>22167.600000000002</v>
      </c>
      <c r="N62">
        <v>12</v>
      </c>
      <c r="O62">
        <v>20462.400000000001</v>
      </c>
      <c r="P62">
        <v>15</v>
      </c>
      <c r="Q62">
        <v>25578</v>
      </c>
      <c r="R62">
        <v>14</v>
      </c>
      <c r="S62">
        <v>23872.799999999999</v>
      </c>
      <c r="T62">
        <v>10</v>
      </c>
      <c r="U62">
        <v>17052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</row>
    <row r="63" spans="2:99" x14ac:dyDescent="0.2">
      <c r="C63" s="118" t="s">
        <v>229</v>
      </c>
      <c r="D63">
        <v>10</v>
      </c>
      <c r="E63">
        <v>7956</v>
      </c>
      <c r="F63">
        <v>13</v>
      </c>
      <c r="G63">
        <v>10342.800000000001</v>
      </c>
      <c r="H63">
        <v>15</v>
      </c>
      <c r="I63">
        <v>11934</v>
      </c>
      <c r="J63">
        <v>14</v>
      </c>
      <c r="K63">
        <v>11138.4</v>
      </c>
      <c r="L63">
        <v>15</v>
      </c>
      <c r="M63">
        <v>11934</v>
      </c>
      <c r="N63">
        <v>14</v>
      </c>
      <c r="O63">
        <v>11138.4</v>
      </c>
      <c r="P63">
        <v>17</v>
      </c>
      <c r="Q63">
        <v>13525.2</v>
      </c>
      <c r="R63">
        <v>15</v>
      </c>
      <c r="S63">
        <v>11934</v>
      </c>
      <c r="T63">
        <v>11</v>
      </c>
      <c r="U63">
        <v>8751.6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</row>
    <row r="64" spans="2:99" x14ac:dyDescent="0.2">
      <c r="C64" s="118" t="s">
        <v>230</v>
      </c>
      <c r="D64">
        <v>10</v>
      </c>
      <c r="E64">
        <v>10091.999999999998</v>
      </c>
      <c r="F64">
        <v>12</v>
      </c>
      <c r="G64">
        <v>12110.399999999998</v>
      </c>
      <c r="H64">
        <v>14</v>
      </c>
      <c r="I64">
        <v>14128.799999999997</v>
      </c>
      <c r="J64">
        <v>15</v>
      </c>
      <c r="K64">
        <v>15137.999999999996</v>
      </c>
      <c r="L64">
        <v>14</v>
      </c>
      <c r="M64">
        <v>14128.799999999997</v>
      </c>
      <c r="N64">
        <v>13</v>
      </c>
      <c r="O64">
        <v>13119.599999999999</v>
      </c>
      <c r="P64">
        <v>18</v>
      </c>
      <c r="Q64">
        <v>18165.599999999999</v>
      </c>
      <c r="R64">
        <v>13</v>
      </c>
      <c r="S64">
        <v>13119.599999999999</v>
      </c>
      <c r="T64">
        <v>10</v>
      </c>
      <c r="U64">
        <v>10091.999999999998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</row>
    <row r="65" spans="2:99" x14ac:dyDescent="0.2">
      <c r="C65" s="118" t="s">
        <v>231</v>
      </c>
      <c r="D65">
        <v>9</v>
      </c>
      <c r="E65">
        <v>9234</v>
      </c>
      <c r="F65">
        <v>13</v>
      </c>
      <c r="G65">
        <v>13338</v>
      </c>
      <c r="H65">
        <v>13</v>
      </c>
      <c r="I65">
        <v>13338</v>
      </c>
      <c r="J65">
        <v>15</v>
      </c>
      <c r="K65">
        <v>15390</v>
      </c>
      <c r="L65">
        <v>16</v>
      </c>
      <c r="M65">
        <v>16416</v>
      </c>
      <c r="N65">
        <v>12</v>
      </c>
      <c r="O65">
        <v>12312</v>
      </c>
      <c r="P65">
        <v>18</v>
      </c>
      <c r="Q65">
        <v>18468</v>
      </c>
      <c r="R65">
        <v>15</v>
      </c>
      <c r="S65">
        <v>15390</v>
      </c>
      <c r="T65">
        <v>10</v>
      </c>
      <c r="U65">
        <v>10260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</row>
    <row r="66" spans="2:99" x14ac:dyDescent="0.2">
      <c r="C66" s="118" t="s">
        <v>232</v>
      </c>
      <c r="D66">
        <v>9</v>
      </c>
      <c r="E66">
        <v>10713.599999999999</v>
      </c>
      <c r="F66">
        <v>13</v>
      </c>
      <c r="G66">
        <v>15475.199999999999</v>
      </c>
      <c r="H66">
        <v>13</v>
      </c>
      <c r="I66">
        <v>15475.199999999999</v>
      </c>
      <c r="J66">
        <v>14</v>
      </c>
      <c r="K66">
        <v>16665.599999999999</v>
      </c>
      <c r="L66">
        <v>16</v>
      </c>
      <c r="M66">
        <v>19046.399999999998</v>
      </c>
      <c r="N66">
        <v>14</v>
      </c>
      <c r="O66">
        <v>16665.599999999999</v>
      </c>
      <c r="P66">
        <v>17</v>
      </c>
      <c r="Q66">
        <v>20236.8</v>
      </c>
      <c r="R66">
        <v>14</v>
      </c>
      <c r="S66">
        <v>16665.599999999999</v>
      </c>
      <c r="T66">
        <v>10</v>
      </c>
      <c r="U66">
        <v>11903.999999999998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</row>
    <row r="67" spans="2:99" x14ac:dyDescent="0.2">
      <c r="C67" s="118" t="s">
        <v>233</v>
      </c>
      <c r="D67">
        <v>10</v>
      </c>
      <c r="E67">
        <v>11232</v>
      </c>
      <c r="F67">
        <v>13</v>
      </c>
      <c r="G67">
        <v>14601.6</v>
      </c>
      <c r="H67">
        <v>14</v>
      </c>
      <c r="I67">
        <v>15724.800000000001</v>
      </c>
      <c r="J67">
        <v>15</v>
      </c>
      <c r="K67">
        <v>16848</v>
      </c>
      <c r="L67">
        <v>15</v>
      </c>
      <c r="M67">
        <v>16848</v>
      </c>
      <c r="N67">
        <v>12</v>
      </c>
      <c r="O67">
        <v>13478.400000000001</v>
      </c>
      <c r="P67">
        <v>16</v>
      </c>
      <c r="Q67">
        <v>17971.2</v>
      </c>
      <c r="R67">
        <v>14</v>
      </c>
      <c r="S67">
        <v>15724.800000000001</v>
      </c>
      <c r="T67">
        <v>10</v>
      </c>
      <c r="U67">
        <v>11232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</row>
    <row r="68" spans="2:99" x14ac:dyDescent="0.2">
      <c r="C68" s="118" t="s">
        <v>234</v>
      </c>
      <c r="D68">
        <v>9</v>
      </c>
      <c r="E68">
        <v>9298.8000000000011</v>
      </c>
      <c r="F68">
        <v>12</v>
      </c>
      <c r="G68">
        <v>12398.400000000001</v>
      </c>
      <c r="H68">
        <v>15</v>
      </c>
      <c r="I68">
        <v>15498</v>
      </c>
      <c r="J68">
        <v>15</v>
      </c>
      <c r="K68">
        <v>15498</v>
      </c>
      <c r="L68">
        <v>14</v>
      </c>
      <c r="M68">
        <v>14464.800000000001</v>
      </c>
      <c r="N68">
        <v>13</v>
      </c>
      <c r="O68">
        <v>13431.6</v>
      </c>
      <c r="P68">
        <v>18</v>
      </c>
      <c r="Q68">
        <v>18597.600000000002</v>
      </c>
      <c r="R68">
        <v>13</v>
      </c>
      <c r="S68">
        <v>13431.6</v>
      </c>
      <c r="T68">
        <v>11</v>
      </c>
      <c r="U68">
        <v>11365.2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</row>
    <row r="69" spans="2:99" x14ac:dyDescent="0.2">
      <c r="C69" s="118" t="s">
        <v>235</v>
      </c>
      <c r="D69">
        <v>11</v>
      </c>
      <c r="E69">
        <v>8342.4</v>
      </c>
      <c r="F69">
        <v>14</v>
      </c>
      <c r="G69">
        <v>10617.6</v>
      </c>
      <c r="H69">
        <v>14</v>
      </c>
      <c r="I69">
        <v>10617.6</v>
      </c>
      <c r="J69">
        <v>16</v>
      </c>
      <c r="K69">
        <v>12134.4</v>
      </c>
      <c r="L69">
        <v>17</v>
      </c>
      <c r="M69">
        <v>12892.8</v>
      </c>
      <c r="N69">
        <v>15</v>
      </c>
      <c r="O69">
        <v>11376</v>
      </c>
      <c r="P69">
        <v>20</v>
      </c>
      <c r="Q69">
        <v>15168</v>
      </c>
      <c r="R69">
        <v>16</v>
      </c>
      <c r="S69">
        <v>12134.4</v>
      </c>
      <c r="T69">
        <v>11</v>
      </c>
      <c r="U69">
        <v>8342.4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</row>
    <row r="70" spans="2:99" x14ac:dyDescent="0.2">
      <c r="C70" s="118" t="s">
        <v>236</v>
      </c>
      <c r="D70">
        <v>11</v>
      </c>
      <c r="E70">
        <v>5887.1999999999989</v>
      </c>
      <c r="F70">
        <v>15</v>
      </c>
      <c r="G70">
        <v>8027.9999999999991</v>
      </c>
      <c r="H70">
        <v>15</v>
      </c>
      <c r="I70">
        <v>8027.9999999999991</v>
      </c>
      <c r="J70">
        <v>14</v>
      </c>
      <c r="K70">
        <v>7492.7999999999993</v>
      </c>
      <c r="L70">
        <v>16</v>
      </c>
      <c r="M70">
        <v>8563.1999999999989</v>
      </c>
      <c r="N70">
        <v>14</v>
      </c>
      <c r="O70">
        <v>7492.7999999999993</v>
      </c>
      <c r="P70">
        <v>18</v>
      </c>
      <c r="Q70">
        <v>9633.5999999999985</v>
      </c>
      <c r="R70">
        <v>14</v>
      </c>
      <c r="S70">
        <v>7492.7999999999993</v>
      </c>
      <c r="T70">
        <v>10</v>
      </c>
      <c r="U70">
        <v>5351.9999999999991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</row>
    <row r="71" spans="2:99" x14ac:dyDescent="0.2">
      <c r="B71" s="118" t="s">
        <v>130</v>
      </c>
      <c r="C71" s="118" t="s">
        <v>237</v>
      </c>
      <c r="D71">
        <v>0</v>
      </c>
      <c r="E71">
        <v>0</v>
      </c>
      <c r="F71">
        <v>0</v>
      </c>
      <c r="G71">
        <v>0</v>
      </c>
      <c r="H71">
        <v>5.1718306271962087</v>
      </c>
      <c r="I71">
        <v>2916.9124737386619</v>
      </c>
      <c r="J71">
        <v>10</v>
      </c>
      <c r="K71">
        <v>5640</v>
      </c>
      <c r="L71">
        <v>12</v>
      </c>
      <c r="M71">
        <v>6768</v>
      </c>
      <c r="N71">
        <v>17</v>
      </c>
      <c r="O71">
        <v>9588</v>
      </c>
      <c r="P71">
        <v>11</v>
      </c>
      <c r="Q71">
        <v>6204</v>
      </c>
      <c r="R71">
        <v>17</v>
      </c>
      <c r="S71">
        <v>9588</v>
      </c>
      <c r="T71">
        <v>19</v>
      </c>
      <c r="U71">
        <v>10716</v>
      </c>
      <c r="V71">
        <v>20</v>
      </c>
      <c r="W71">
        <v>11280</v>
      </c>
      <c r="X71">
        <v>11</v>
      </c>
      <c r="Y71">
        <v>6204</v>
      </c>
      <c r="Z71">
        <v>15</v>
      </c>
      <c r="AA71">
        <v>8460</v>
      </c>
      <c r="AB71">
        <v>16</v>
      </c>
      <c r="AC71">
        <v>9024</v>
      </c>
      <c r="AD71">
        <v>16</v>
      </c>
      <c r="AE71">
        <v>9024</v>
      </c>
      <c r="AF71">
        <v>16</v>
      </c>
      <c r="AG71">
        <v>9024</v>
      </c>
      <c r="AH71">
        <v>18</v>
      </c>
      <c r="AI71">
        <v>10152</v>
      </c>
      <c r="AJ71">
        <v>14</v>
      </c>
      <c r="AK71">
        <v>7896</v>
      </c>
      <c r="AL71">
        <v>12</v>
      </c>
      <c r="AM71">
        <v>6768</v>
      </c>
      <c r="AN71">
        <v>19</v>
      </c>
      <c r="AO71">
        <v>10716</v>
      </c>
      <c r="AP71">
        <v>11</v>
      </c>
      <c r="AQ71">
        <v>6204</v>
      </c>
      <c r="AR71">
        <v>21</v>
      </c>
      <c r="AS71">
        <v>11844</v>
      </c>
      <c r="AT71">
        <v>16</v>
      </c>
      <c r="AU71">
        <v>9024</v>
      </c>
      <c r="AV71">
        <v>19</v>
      </c>
      <c r="AW71">
        <v>10716</v>
      </c>
      <c r="AX71">
        <v>11</v>
      </c>
      <c r="AY71">
        <v>6204</v>
      </c>
      <c r="AZ71">
        <v>17</v>
      </c>
      <c r="BA71">
        <v>9588</v>
      </c>
      <c r="BB71">
        <v>13</v>
      </c>
      <c r="BC71">
        <v>7332</v>
      </c>
      <c r="BD71">
        <v>11</v>
      </c>
      <c r="BE71">
        <v>6204</v>
      </c>
      <c r="BF71">
        <v>19</v>
      </c>
      <c r="BG71">
        <v>10716</v>
      </c>
      <c r="BH71">
        <v>15</v>
      </c>
      <c r="BI71">
        <v>8460</v>
      </c>
      <c r="BJ71">
        <v>14</v>
      </c>
      <c r="BK71">
        <v>7896</v>
      </c>
      <c r="BL71">
        <v>17</v>
      </c>
      <c r="BM71">
        <v>9588</v>
      </c>
      <c r="BN71">
        <v>11</v>
      </c>
      <c r="BO71">
        <v>6204</v>
      </c>
      <c r="BP71">
        <v>18</v>
      </c>
      <c r="BQ71">
        <v>10152</v>
      </c>
      <c r="BR71">
        <v>14</v>
      </c>
      <c r="BS71">
        <v>7896</v>
      </c>
      <c r="BT71">
        <v>17</v>
      </c>
      <c r="BU71">
        <v>9588</v>
      </c>
      <c r="BV71">
        <v>19</v>
      </c>
      <c r="BW71">
        <v>10716</v>
      </c>
      <c r="BX71">
        <v>17</v>
      </c>
      <c r="BY71">
        <v>9588</v>
      </c>
      <c r="BZ71">
        <v>14</v>
      </c>
      <c r="CA71">
        <v>7896</v>
      </c>
      <c r="CB71">
        <v>16</v>
      </c>
      <c r="CC71">
        <v>9024</v>
      </c>
      <c r="CD71">
        <v>17</v>
      </c>
      <c r="CE71">
        <v>9588</v>
      </c>
      <c r="CF71">
        <v>19</v>
      </c>
      <c r="CG71">
        <v>10716</v>
      </c>
      <c r="CH71">
        <v>19</v>
      </c>
      <c r="CI71">
        <v>10716</v>
      </c>
      <c r="CJ71">
        <v>13</v>
      </c>
      <c r="CK71">
        <v>7332</v>
      </c>
      <c r="CL71">
        <v>17</v>
      </c>
      <c r="CM71">
        <v>9588</v>
      </c>
      <c r="CN71">
        <v>16</v>
      </c>
      <c r="CO71">
        <v>9024</v>
      </c>
      <c r="CP71">
        <v>17</v>
      </c>
      <c r="CQ71">
        <v>9588</v>
      </c>
      <c r="CR71">
        <v>14</v>
      </c>
      <c r="CS71">
        <v>7896</v>
      </c>
      <c r="CT71">
        <v>14</v>
      </c>
      <c r="CU71">
        <v>7896</v>
      </c>
    </row>
    <row r="72" spans="2:99" x14ac:dyDescent="0.2">
      <c r="C72" s="118" t="s">
        <v>238</v>
      </c>
      <c r="D72">
        <v>0</v>
      </c>
      <c r="E72">
        <v>0</v>
      </c>
      <c r="F72">
        <v>0</v>
      </c>
      <c r="G72">
        <v>0</v>
      </c>
      <c r="H72">
        <v>6.1121634685046109</v>
      </c>
      <c r="I72">
        <v>454.74496205674302</v>
      </c>
      <c r="J72">
        <v>11</v>
      </c>
      <c r="K72">
        <v>818.39999999999986</v>
      </c>
      <c r="L72">
        <v>13</v>
      </c>
      <c r="M72">
        <v>967.19999999999993</v>
      </c>
      <c r="N72">
        <v>19</v>
      </c>
      <c r="O72">
        <v>1413.6</v>
      </c>
      <c r="P72">
        <v>11</v>
      </c>
      <c r="Q72">
        <v>818.39999999999986</v>
      </c>
      <c r="R72">
        <v>18</v>
      </c>
      <c r="S72">
        <v>1339.1999999999998</v>
      </c>
      <c r="T72">
        <v>20</v>
      </c>
      <c r="U72">
        <v>1487.9999999999998</v>
      </c>
      <c r="V72">
        <v>18</v>
      </c>
      <c r="W72">
        <v>1339.1999999999998</v>
      </c>
      <c r="X72">
        <v>12</v>
      </c>
      <c r="Y72">
        <v>892.8</v>
      </c>
      <c r="Z72">
        <v>16</v>
      </c>
      <c r="AA72">
        <v>1190.3999999999999</v>
      </c>
      <c r="AB72">
        <v>16</v>
      </c>
      <c r="AC72">
        <v>1190.3999999999999</v>
      </c>
      <c r="AD72">
        <v>18</v>
      </c>
      <c r="AE72">
        <v>1339.1999999999998</v>
      </c>
      <c r="AF72">
        <v>18</v>
      </c>
      <c r="AG72">
        <v>1339.1999999999998</v>
      </c>
      <c r="AH72">
        <v>21</v>
      </c>
      <c r="AI72">
        <v>1562.3999999999999</v>
      </c>
      <c r="AJ72">
        <v>18</v>
      </c>
      <c r="AK72">
        <v>1339.1999999999998</v>
      </c>
      <c r="AL72">
        <v>15</v>
      </c>
      <c r="AM72">
        <v>1115.9999999999998</v>
      </c>
      <c r="AN72">
        <v>22</v>
      </c>
      <c r="AO72">
        <v>1636.7999999999997</v>
      </c>
      <c r="AP72">
        <v>12</v>
      </c>
      <c r="AQ72">
        <v>892.8</v>
      </c>
      <c r="AR72">
        <v>20</v>
      </c>
      <c r="AS72">
        <v>1487.9999999999998</v>
      </c>
      <c r="AT72">
        <v>15</v>
      </c>
      <c r="AU72">
        <v>1115.9999999999998</v>
      </c>
      <c r="AV72">
        <v>22</v>
      </c>
      <c r="AW72">
        <v>1636.7999999999997</v>
      </c>
      <c r="AX72">
        <v>12</v>
      </c>
      <c r="AY72">
        <v>892.8</v>
      </c>
      <c r="AZ72">
        <v>18</v>
      </c>
      <c r="BA72">
        <v>1339.1999999999998</v>
      </c>
      <c r="BB72">
        <v>11</v>
      </c>
      <c r="BC72">
        <v>818.39999999999986</v>
      </c>
      <c r="BD72">
        <v>12</v>
      </c>
      <c r="BE72">
        <v>892.8</v>
      </c>
      <c r="BF72">
        <v>22</v>
      </c>
      <c r="BG72">
        <v>1636.7999999999997</v>
      </c>
      <c r="BH72">
        <v>15</v>
      </c>
      <c r="BI72">
        <v>1115.9999999999998</v>
      </c>
      <c r="BJ72">
        <v>15</v>
      </c>
      <c r="BK72">
        <v>1115.9999999999998</v>
      </c>
      <c r="BL72">
        <v>19</v>
      </c>
      <c r="BM72">
        <v>1413.6</v>
      </c>
      <c r="BN72">
        <v>12</v>
      </c>
      <c r="BO72">
        <v>892.8</v>
      </c>
      <c r="BP72">
        <v>16</v>
      </c>
      <c r="BQ72">
        <v>1190.3999999999999</v>
      </c>
      <c r="BR72">
        <v>14</v>
      </c>
      <c r="BS72">
        <v>1041.5999999999999</v>
      </c>
      <c r="BT72">
        <v>18</v>
      </c>
      <c r="BU72">
        <v>1339.1999999999998</v>
      </c>
      <c r="BV72">
        <v>24</v>
      </c>
      <c r="BW72">
        <v>1785.6</v>
      </c>
      <c r="BX72">
        <v>18</v>
      </c>
      <c r="BY72">
        <v>1339.1999999999998</v>
      </c>
      <c r="BZ72">
        <v>15</v>
      </c>
      <c r="CA72">
        <v>1115.9999999999998</v>
      </c>
      <c r="CB72">
        <v>19</v>
      </c>
      <c r="CC72">
        <v>1413.6</v>
      </c>
      <c r="CD72">
        <v>18</v>
      </c>
      <c r="CE72">
        <v>1339.1999999999998</v>
      </c>
      <c r="CF72">
        <v>19</v>
      </c>
      <c r="CG72">
        <v>1413.6</v>
      </c>
      <c r="CH72">
        <v>22</v>
      </c>
      <c r="CI72">
        <v>1636.7999999999997</v>
      </c>
      <c r="CJ72">
        <v>14</v>
      </c>
      <c r="CK72">
        <v>1041.5999999999999</v>
      </c>
      <c r="CL72">
        <v>21</v>
      </c>
      <c r="CM72">
        <v>1562.3999999999999</v>
      </c>
      <c r="CN72">
        <v>16</v>
      </c>
      <c r="CO72">
        <v>1190.3999999999999</v>
      </c>
      <c r="CP72">
        <v>18</v>
      </c>
      <c r="CQ72">
        <v>1339.1999999999998</v>
      </c>
      <c r="CR72">
        <v>13</v>
      </c>
      <c r="CS72">
        <v>967.19999999999993</v>
      </c>
      <c r="CT72">
        <v>14</v>
      </c>
      <c r="CU72">
        <v>1041.5999999999999</v>
      </c>
    </row>
    <row r="73" spans="2:99" x14ac:dyDescent="0.2">
      <c r="C73" s="118" t="s">
        <v>239</v>
      </c>
      <c r="D73">
        <v>0</v>
      </c>
      <c r="E73">
        <v>0</v>
      </c>
      <c r="F73">
        <v>0</v>
      </c>
      <c r="G73">
        <v>0</v>
      </c>
      <c r="H73">
        <v>5.6419970478504098</v>
      </c>
      <c r="I73">
        <v>3155.0047491579489</v>
      </c>
      <c r="J73">
        <v>10</v>
      </c>
      <c r="K73">
        <v>5591.9999999999991</v>
      </c>
      <c r="L73">
        <v>13</v>
      </c>
      <c r="M73">
        <v>7269.5999999999995</v>
      </c>
      <c r="N73">
        <v>17</v>
      </c>
      <c r="O73">
        <v>9506.4</v>
      </c>
      <c r="P73">
        <v>10</v>
      </c>
      <c r="Q73">
        <v>5591.9999999999991</v>
      </c>
      <c r="R73">
        <v>17</v>
      </c>
      <c r="S73">
        <v>9506.4</v>
      </c>
      <c r="T73">
        <v>22</v>
      </c>
      <c r="U73">
        <v>12302.399999999998</v>
      </c>
      <c r="V73">
        <v>19</v>
      </c>
      <c r="W73">
        <v>10624.8</v>
      </c>
      <c r="X73">
        <v>13</v>
      </c>
      <c r="Y73">
        <v>7269.5999999999995</v>
      </c>
      <c r="Z73">
        <v>18</v>
      </c>
      <c r="AA73">
        <v>10065.599999999999</v>
      </c>
      <c r="AB73">
        <v>16</v>
      </c>
      <c r="AC73">
        <v>8947.1999999999989</v>
      </c>
      <c r="AD73">
        <v>15</v>
      </c>
      <c r="AE73">
        <v>8387.9999999999982</v>
      </c>
      <c r="AF73">
        <v>19</v>
      </c>
      <c r="AG73">
        <v>10624.8</v>
      </c>
      <c r="AH73">
        <v>18</v>
      </c>
      <c r="AI73">
        <v>10065.599999999999</v>
      </c>
      <c r="AJ73">
        <v>16</v>
      </c>
      <c r="AK73">
        <v>8947.1999999999989</v>
      </c>
      <c r="AL73">
        <v>13</v>
      </c>
      <c r="AM73">
        <v>7269.5999999999995</v>
      </c>
      <c r="AN73">
        <v>19</v>
      </c>
      <c r="AO73">
        <v>10624.8</v>
      </c>
      <c r="AP73">
        <v>11</v>
      </c>
      <c r="AQ73">
        <v>6151.1999999999989</v>
      </c>
      <c r="AR73">
        <v>21</v>
      </c>
      <c r="AS73">
        <v>11743.199999999999</v>
      </c>
      <c r="AT73">
        <v>16</v>
      </c>
      <c r="AU73">
        <v>8947.1999999999989</v>
      </c>
      <c r="AV73">
        <v>18</v>
      </c>
      <c r="AW73">
        <v>10065.599999999999</v>
      </c>
      <c r="AX73">
        <v>11</v>
      </c>
      <c r="AY73">
        <v>6151.1999999999989</v>
      </c>
      <c r="AZ73">
        <v>16</v>
      </c>
      <c r="BA73">
        <v>8947.1999999999989</v>
      </c>
      <c r="BB73">
        <v>12</v>
      </c>
      <c r="BC73">
        <v>6710.4</v>
      </c>
      <c r="BD73">
        <v>11</v>
      </c>
      <c r="BE73">
        <v>6151.1999999999989</v>
      </c>
      <c r="BF73">
        <v>19</v>
      </c>
      <c r="BG73">
        <v>10624.8</v>
      </c>
      <c r="BH73">
        <v>15</v>
      </c>
      <c r="BI73">
        <v>8387.9999999999982</v>
      </c>
      <c r="BJ73">
        <v>13</v>
      </c>
      <c r="BK73">
        <v>7269.5999999999995</v>
      </c>
      <c r="BL73">
        <v>17</v>
      </c>
      <c r="BM73">
        <v>9506.4</v>
      </c>
      <c r="BN73">
        <v>12</v>
      </c>
      <c r="BO73">
        <v>6710.4</v>
      </c>
      <c r="BP73">
        <v>17</v>
      </c>
      <c r="BQ73">
        <v>9506.4</v>
      </c>
      <c r="BR73">
        <v>15</v>
      </c>
      <c r="BS73">
        <v>8387.9999999999982</v>
      </c>
      <c r="BT73">
        <v>18</v>
      </c>
      <c r="BU73">
        <v>10065.599999999999</v>
      </c>
      <c r="BV73">
        <v>20</v>
      </c>
      <c r="BW73">
        <v>11183.999999999998</v>
      </c>
      <c r="BX73">
        <v>18</v>
      </c>
      <c r="BY73">
        <v>10065.599999999999</v>
      </c>
      <c r="BZ73">
        <v>16</v>
      </c>
      <c r="CA73">
        <v>8947.1999999999989</v>
      </c>
      <c r="CB73">
        <v>16</v>
      </c>
      <c r="CC73">
        <v>8947.1999999999989</v>
      </c>
      <c r="CD73">
        <v>15</v>
      </c>
      <c r="CE73">
        <v>8387.9999999999982</v>
      </c>
      <c r="CF73">
        <v>21</v>
      </c>
      <c r="CG73">
        <v>11743.199999999999</v>
      </c>
      <c r="CH73">
        <v>19</v>
      </c>
      <c r="CI73">
        <v>10624.8</v>
      </c>
      <c r="CJ73">
        <v>12</v>
      </c>
      <c r="CK73">
        <v>6710.4</v>
      </c>
      <c r="CL73">
        <v>17</v>
      </c>
      <c r="CM73">
        <v>9506.4</v>
      </c>
      <c r="CN73">
        <v>16</v>
      </c>
      <c r="CO73">
        <v>8947.1999999999989</v>
      </c>
      <c r="CP73">
        <v>16</v>
      </c>
      <c r="CQ73">
        <v>8947.1999999999989</v>
      </c>
      <c r="CR73">
        <v>13</v>
      </c>
      <c r="CS73">
        <v>7269.5999999999995</v>
      </c>
      <c r="CT73">
        <v>14</v>
      </c>
      <c r="CU73">
        <v>7828.7999999999993</v>
      </c>
    </row>
    <row r="74" spans="2:99" x14ac:dyDescent="0.2">
      <c r="C74" s="118" t="s">
        <v>240</v>
      </c>
      <c r="D74">
        <v>0</v>
      </c>
      <c r="E74">
        <v>0</v>
      </c>
      <c r="F74">
        <v>0</v>
      </c>
      <c r="G74">
        <v>0</v>
      </c>
      <c r="H74">
        <v>6.1121634685046109</v>
      </c>
      <c r="I74">
        <v>2464.4243105010592</v>
      </c>
      <c r="J74">
        <v>11</v>
      </c>
      <c r="K74">
        <v>4435.2</v>
      </c>
      <c r="L74">
        <v>13</v>
      </c>
      <c r="M74">
        <v>5241.5999999999995</v>
      </c>
      <c r="N74">
        <v>17</v>
      </c>
      <c r="O74">
        <v>6854.4</v>
      </c>
      <c r="P74">
        <v>11</v>
      </c>
      <c r="Q74">
        <v>4435.2</v>
      </c>
      <c r="R74">
        <v>15</v>
      </c>
      <c r="S74">
        <v>6048</v>
      </c>
      <c r="T74">
        <v>23</v>
      </c>
      <c r="U74">
        <v>9273.6</v>
      </c>
      <c r="V74">
        <v>20</v>
      </c>
      <c r="W74">
        <v>8064</v>
      </c>
      <c r="X74">
        <v>12</v>
      </c>
      <c r="Y74">
        <v>4838.3999999999996</v>
      </c>
      <c r="Z74">
        <v>16</v>
      </c>
      <c r="AA74">
        <v>6451.2</v>
      </c>
      <c r="AB74">
        <v>16</v>
      </c>
      <c r="AC74">
        <v>6451.2</v>
      </c>
      <c r="AD74">
        <v>15</v>
      </c>
      <c r="AE74">
        <v>6048</v>
      </c>
      <c r="AF74">
        <v>19</v>
      </c>
      <c r="AG74">
        <v>7660.8</v>
      </c>
      <c r="AH74">
        <v>21</v>
      </c>
      <c r="AI74">
        <v>8467.1999999999989</v>
      </c>
      <c r="AJ74">
        <v>17</v>
      </c>
      <c r="AK74">
        <v>6854.4</v>
      </c>
      <c r="AL74">
        <v>15</v>
      </c>
      <c r="AM74">
        <v>6048</v>
      </c>
      <c r="AN74">
        <v>19</v>
      </c>
      <c r="AO74">
        <v>7660.8</v>
      </c>
      <c r="AP74">
        <v>11</v>
      </c>
      <c r="AQ74">
        <v>4435.2</v>
      </c>
      <c r="AR74">
        <v>18</v>
      </c>
      <c r="AS74">
        <v>7257.5999999999995</v>
      </c>
      <c r="AT74">
        <v>16</v>
      </c>
      <c r="AU74">
        <v>6451.2</v>
      </c>
      <c r="AV74">
        <v>19</v>
      </c>
      <c r="AW74">
        <v>7660.8</v>
      </c>
      <c r="AX74">
        <v>11</v>
      </c>
      <c r="AY74">
        <v>4435.2</v>
      </c>
      <c r="AZ74">
        <v>17</v>
      </c>
      <c r="BA74">
        <v>6854.4</v>
      </c>
      <c r="BB74">
        <v>11</v>
      </c>
      <c r="BC74">
        <v>4435.2</v>
      </c>
      <c r="BD74">
        <v>10</v>
      </c>
      <c r="BE74">
        <v>4032</v>
      </c>
      <c r="BF74">
        <v>22</v>
      </c>
      <c r="BG74">
        <v>8870.4</v>
      </c>
      <c r="BH74">
        <v>14</v>
      </c>
      <c r="BI74">
        <v>5644.8</v>
      </c>
      <c r="BJ74">
        <v>15</v>
      </c>
      <c r="BK74">
        <v>6048</v>
      </c>
      <c r="BL74">
        <v>18</v>
      </c>
      <c r="BM74">
        <v>7257.5999999999995</v>
      </c>
      <c r="BN74">
        <v>14</v>
      </c>
      <c r="BO74">
        <v>5644.8</v>
      </c>
      <c r="BP74">
        <v>17</v>
      </c>
      <c r="BQ74">
        <v>6854.4</v>
      </c>
      <c r="BR74">
        <v>14</v>
      </c>
      <c r="BS74">
        <v>5644.8</v>
      </c>
      <c r="BT74">
        <v>19</v>
      </c>
      <c r="BU74">
        <v>7660.8</v>
      </c>
      <c r="BV74">
        <v>21</v>
      </c>
      <c r="BW74">
        <v>8467.1999999999989</v>
      </c>
      <c r="BX74">
        <v>17</v>
      </c>
      <c r="BY74">
        <v>6854.4</v>
      </c>
      <c r="BZ74">
        <v>16</v>
      </c>
      <c r="CA74">
        <v>6451.2</v>
      </c>
      <c r="CB74">
        <v>17</v>
      </c>
      <c r="CC74">
        <v>6854.4</v>
      </c>
      <c r="CD74">
        <v>17</v>
      </c>
      <c r="CE74">
        <v>6854.4</v>
      </c>
      <c r="CF74">
        <v>20</v>
      </c>
      <c r="CG74">
        <v>8064</v>
      </c>
      <c r="CH74">
        <v>20</v>
      </c>
      <c r="CI74">
        <v>8064</v>
      </c>
      <c r="CJ74">
        <v>14</v>
      </c>
      <c r="CK74">
        <v>5644.8</v>
      </c>
      <c r="CL74">
        <v>20</v>
      </c>
      <c r="CM74">
        <v>8064</v>
      </c>
      <c r="CN74">
        <v>18</v>
      </c>
      <c r="CO74">
        <v>7257.5999999999995</v>
      </c>
      <c r="CP74">
        <v>16</v>
      </c>
      <c r="CQ74">
        <v>6451.2</v>
      </c>
      <c r="CR74">
        <v>13</v>
      </c>
      <c r="CS74">
        <v>5241.5999999999995</v>
      </c>
      <c r="CT74">
        <v>15</v>
      </c>
      <c r="CU74">
        <v>6048</v>
      </c>
    </row>
    <row r="75" spans="2:99" x14ac:dyDescent="0.2">
      <c r="C75" s="118" t="s">
        <v>241</v>
      </c>
      <c r="D75">
        <v>0</v>
      </c>
      <c r="E75">
        <v>0</v>
      </c>
      <c r="F75">
        <v>0</v>
      </c>
      <c r="G75">
        <v>0</v>
      </c>
      <c r="H75">
        <v>5.6419970478504098</v>
      </c>
      <c r="I75">
        <v>3628.9325011773831</v>
      </c>
      <c r="J75">
        <v>10</v>
      </c>
      <c r="K75">
        <v>6431.9999999999991</v>
      </c>
      <c r="L75">
        <v>13</v>
      </c>
      <c r="M75">
        <v>8361.5999999999985</v>
      </c>
      <c r="N75">
        <v>16</v>
      </c>
      <c r="O75">
        <v>10291.199999999999</v>
      </c>
      <c r="P75">
        <v>10</v>
      </c>
      <c r="Q75">
        <v>6431.9999999999991</v>
      </c>
      <c r="R75">
        <v>14</v>
      </c>
      <c r="S75">
        <v>9004.7999999999993</v>
      </c>
      <c r="T75">
        <v>18</v>
      </c>
      <c r="U75">
        <v>11577.599999999999</v>
      </c>
      <c r="V75">
        <v>18</v>
      </c>
      <c r="W75">
        <v>11577.599999999999</v>
      </c>
      <c r="X75">
        <v>13</v>
      </c>
      <c r="Y75">
        <v>8361.5999999999985</v>
      </c>
      <c r="Z75">
        <v>15</v>
      </c>
      <c r="AA75">
        <v>9647.9999999999982</v>
      </c>
      <c r="AB75">
        <v>15</v>
      </c>
      <c r="AC75">
        <v>9647.9999999999982</v>
      </c>
      <c r="AD75">
        <v>15</v>
      </c>
      <c r="AE75">
        <v>9647.9999999999982</v>
      </c>
      <c r="AF75">
        <v>16</v>
      </c>
      <c r="AG75">
        <v>10291.199999999999</v>
      </c>
      <c r="AH75">
        <v>20</v>
      </c>
      <c r="AI75">
        <v>12863.999999999998</v>
      </c>
      <c r="AJ75">
        <v>15</v>
      </c>
      <c r="AK75">
        <v>9647.9999999999982</v>
      </c>
      <c r="AL75">
        <v>12</v>
      </c>
      <c r="AM75">
        <v>7718.4</v>
      </c>
      <c r="AN75">
        <v>20</v>
      </c>
      <c r="AO75">
        <v>12863.999999999998</v>
      </c>
      <c r="AP75">
        <v>11</v>
      </c>
      <c r="AQ75">
        <v>7075.1999999999989</v>
      </c>
      <c r="AR75">
        <v>20</v>
      </c>
      <c r="AS75">
        <v>12863.999999999998</v>
      </c>
      <c r="AT75">
        <v>17</v>
      </c>
      <c r="AU75">
        <v>10934.4</v>
      </c>
      <c r="AV75">
        <v>20</v>
      </c>
      <c r="AW75">
        <v>12863.999999999998</v>
      </c>
      <c r="AX75">
        <v>11</v>
      </c>
      <c r="AY75">
        <v>7075.1999999999989</v>
      </c>
      <c r="AZ75">
        <v>15</v>
      </c>
      <c r="BA75">
        <v>9647.9999999999982</v>
      </c>
      <c r="BB75">
        <v>11</v>
      </c>
      <c r="BC75">
        <v>7075.1999999999989</v>
      </c>
      <c r="BD75">
        <v>11</v>
      </c>
      <c r="BE75">
        <v>7075.1999999999989</v>
      </c>
      <c r="BF75">
        <v>22</v>
      </c>
      <c r="BG75">
        <v>14150.399999999998</v>
      </c>
      <c r="BH75">
        <v>14</v>
      </c>
      <c r="BI75">
        <v>9004.7999999999993</v>
      </c>
      <c r="BJ75">
        <v>15</v>
      </c>
      <c r="BK75">
        <v>9647.9999999999982</v>
      </c>
      <c r="BL75">
        <v>16</v>
      </c>
      <c r="BM75">
        <v>10291.199999999999</v>
      </c>
      <c r="BN75">
        <v>12</v>
      </c>
      <c r="BO75">
        <v>7718.4</v>
      </c>
      <c r="BP75">
        <v>18</v>
      </c>
      <c r="BQ75">
        <v>11577.599999999999</v>
      </c>
      <c r="BR75">
        <v>13</v>
      </c>
      <c r="BS75">
        <v>8361.5999999999985</v>
      </c>
      <c r="BT75">
        <v>16</v>
      </c>
      <c r="BU75">
        <v>10291.199999999999</v>
      </c>
      <c r="BV75">
        <v>22</v>
      </c>
      <c r="BW75">
        <v>14150.399999999998</v>
      </c>
      <c r="BX75">
        <v>16</v>
      </c>
      <c r="BY75">
        <v>10291.199999999999</v>
      </c>
      <c r="BZ75">
        <v>15</v>
      </c>
      <c r="CA75">
        <v>9647.9999999999982</v>
      </c>
      <c r="CB75">
        <v>15</v>
      </c>
      <c r="CC75">
        <v>9647.9999999999982</v>
      </c>
      <c r="CD75">
        <v>15</v>
      </c>
      <c r="CE75">
        <v>9647.9999999999982</v>
      </c>
      <c r="CF75">
        <v>21</v>
      </c>
      <c r="CG75">
        <v>13507.199999999999</v>
      </c>
      <c r="CH75">
        <v>20</v>
      </c>
      <c r="CI75">
        <v>12863.999999999998</v>
      </c>
      <c r="CJ75">
        <v>13</v>
      </c>
      <c r="CK75">
        <v>8361.5999999999985</v>
      </c>
      <c r="CL75">
        <v>18</v>
      </c>
      <c r="CM75">
        <v>11577.599999999999</v>
      </c>
      <c r="CN75">
        <v>16</v>
      </c>
      <c r="CO75">
        <v>10291.199999999999</v>
      </c>
      <c r="CP75">
        <v>16</v>
      </c>
      <c r="CQ75">
        <v>10291.199999999999</v>
      </c>
      <c r="CR75">
        <v>12</v>
      </c>
      <c r="CS75">
        <v>7718.4</v>
      </c>
      <c r="CT75">
        <v>12</v>
      </c>
      <c r="CU75">
        <v>7718.4</v>
      </c>
    </row>
    <row r="76" spans="2:99" x14ac:dyDescent="0.2">
      <c r="C76" s="118" t="s">
        <v>242</v>
      </c>
      <c r="D76">
        <v>0</v>
      </c>
      <c r="E76">
        <v>0</v>
      </c>
      <c r="F76">
        <v>0</v>
      </c>
      <c r="G76">
        <v>0</v>
      </c>
      <c r="H76">
        <v>6.1121634685046109</v>
      </c>
      <c r="I76">
        <v>4760.1529092713909</v>
      </c>
      <c r="J76">
        <v>10</v>
      </c>
      <c r="K76">
        <v>7788</v>
      </c>
      <c r="L76">
        <v>13</v>
      </c>
      <c r="M76">
        <v>10124.4</v>
      </c>
      <c r="N76">
        <v>17</v>
      </c>
      <c r="O76">
        <v>13239.599999999999</v>
      </c>
      <c r="P76">
        <v>11</v>
      </c>
      <c r="Q76">
        <v>8566.7999999999993</v>
      </c>
      <c r="R76">
        <v>14</v>
      </c>
      <c r="S76">
        <v>10903.199999999999</v>
      </c>
      <c r="T76">
        <v>21</v>
      </c>
      <c r="U76">
        <v>16354.8</v>
      </c>
      <c r="V76">
        <v>17</v>
      </c>
      <c r="W76">
        <v>13239.599999999999</v>
      </c>
      <c r="X76">
        <v>12</v>
      </c>
      <c r="Y76">
        <v>9345.5999999999985</v>
      </c>
      <c r="Z76">
        <v>17</v>
      </c>
      <c r="AA76">
        <v>13239.599999999999</v>
      </c>
      <c r="AB76">
        <v>16</v>
      </c>
      <c r="AC76">
        <v>12460.8</v>
      </c>
      <c r="AD76">
        <v>15</v>
      </c>
      <c r="AE76">
        <v>11682</v>
      </c>
      <c r="AF76">
        <v>17</v>
      </c>
      <c r="AG76">
        <v>13239.599999999999</v>
      </c>
      <c r="AH76">
        <v>17</v>
      </c>
      <c r="AI76">
        <v>13239.599999999999</v>
      </c>
      <c r="AJ76">
        <v>16</v>
      </c>
      <c r="AK76">
        <v>12460.8</v>
      </c>
      <c r="AL76">
        <v>12</v>
      </c>
      <c r="AM76">
        <v>9345.5999999999985</v>
      </c>
      <c r="AN76">
        <v>19</v>
      </c>
      <c r="AO76">
        <v>14797.199999999999</v>
      </c>
      <c r="AP76">
        <v>10</v>
      </c>
      <c r="AQ76">
        <v>7788</v>
      </c>
      <c r="AR76">
        <v>19</v>
      </c>
      <c r="AS76">
        <v>14797.199999999999</v>
      </c>
      <c r="AT76">
        <v>15</v>
      </c>
      <c r="AU76">
        <v>11682</v>
      </c>
      <c r="AV76">
        <v>18</v>
      </c>
      <c r="AW76">
        <v>14018.4</v>
      </c>
      <c r="AX76">
        <v>10</v>
      </c>
      <c r="AY76">
        <v>7788</v>
      </c>
      <c r="AZ76">
        <v>15</v>
      </c>
      <c r="BA76">
        <v>11682</v>
      </c>
      <c r="BB76">
        <v>10</v>
      </c>
      <c r="BC76">
        <v>7788</v>
      </c>
      <c r="BD76">
        <v>12</v>
      </c>
      <c r="BE76">
        <v>9345.5999999999985</v>
      </c>
      <c r="BF76">
        <v>19</v>
      </c>
      <c r="BG76">
        <v>14797.199999999999</v>
      </c>
      <c r="BH76">
        <v>14</v>
      </c>
      <c r="BI76">
        <v>10903.199999999999</v>
      </c>
      <c r="BJ76">
        <v>12</v>
      </c>
      <c r="BK76">
        <v>9345.5999999999985</v>
      </c>
      <c r="BL76">
        <v>16</v>
      </c>
      <c r="BM76">
        <v>12460.8</v>
      </c>
      <c r="BN76">
        <v>11</v>
      </c>
      <c r="BO76">
        <v>8566.7999999999993</v>
      </c>
      <c r="BP76">
        <v>15</v>
      </c>
      <c r="BQ76">
        <v>11682</v>
      </c>
      <c r="BR76">
        <v>13</v>
      </c>
      <c r="BS76">
        <v>10124.4</v>
      </c>
      <c r="BT76">
        <v>15</v>
      </c>
      <c r="BU76">
        <v>11682</v>
      </c>
      <c r="BV76">
        <v>19</v>
      </c>
      <c r="BW76">
        <v>14797.199999999999</v>
      </c>
      <c r="BX76">
        <v>19</v>
      </c>
      <c r="BY76">
        <v>14797.199999999999</v>
      </c>
      <c r="BZ76">
        <v>15</v>
      </c>
      <c r="CA76">
        <v>11682</v>
      </c>
      <c r="CB76">
        <v>17</v>
      </c>
      <c r="CC76">
        <v>13239.599999999999</v>
      </c>
      <c r="CD76">
        <v>16</v>
      </c>
      <c r="CE76">
        <v>12460.8</v>
      </c>
      <c r="CF76">
        <v>19</v>
      </c>
      <c r="CG76">
        <v>14797.199999999999</v>
      </c>
      <c r="CH76">
        <v>18</v>
      </c>
      <c r="CI76">
        <v>14018.4</v>
      </c>
      <c r="CJ76">
        <v>13</v>
      </c>
      <c r="CK76">
        <v>10124.4</v>
      </c>
      <c r="CL76">
        <v>18</v>
      </c>
      <c r="CM76">
        <v>14018.4</v>
      </c>
      <c r="CN76">
        <v>15</v>
      </c>
      <c r="CO76">
        <v>11682</v>
      </c>
      <c r="CP76">
        <v>15</v>
      </c>
      <c r="CQ76">
        <v>11682</v>
      </c>
      <c r="CR76">
        <v>14</v>
      </c>
      <c r="CS76">
        <v>10903.199999999999</v>
      </c>
      <c r="CT76">
        <v>12</v>
      </c>
      <c r="CU76">
        <v>9345.5999999999985</v>
      </c>
    </row>
    <row r="77" spans="2:99" x14ac:dyDescent="0.2">
      <c r="C77" s="118" t="s">
        <v>243</v>
      </c>
      <c r="D77">
        <v>0</v>
      </c>
      <c r="E77">
        <v>0</v>
      </c>
      <c r="F77">
        <v>0</v>
      </c>
      <c r="G77">
        <v>0</v>
      </c>
      <c r="H77">
        <v>5.6419970478504098</v>
      </c>
      <c r="I77">
        <v>1570.731978121554</v>
      </c>
      <c r="J77">
        <v>10</v>
      </c>
      <c r="K77">
        <v>2784</v>
      </c>
      <c r="L77">
        <v>14</v>
      </c>
      <c r="M77">
        <v>3897.5999999999995</v>
      </c>
      <c r="N77">
        <v>19</v>
      </c>
      <c r="O77">
        <v>5289.5999999999995</v>
      </c>
      <c r="P77">
        <v>12</v>
      </c>
      <c r="Q77">
        <v>3340.7999999999997</v>
      </c>
      <c r="R77">
        <v>15</v>
      </c>
      <c r="S77">
        <v>4176</v>
      </c>
      <c r="T77">
        <v>19</v>
      </c>
      <c r="U77">
        <v>5289.5999999999995</v>
      </c>
      <c r="V77">
        <v>18</v>
      </c>
      <c r="W77">
        <v>5011.2</v>
      </c>
      <c r="X77">
        <v>13</v>
      </c>
      <c r="Y77">
        <v>3619.2</v>
      </c>
      <c r="Z77">
        <v>18</v>
      </c>
      <c r="AA77">
        <v>5011.2</v>
      </c>
      <c r="AB77">
        <v>18</v>
      </c>
      <c r="AC77">
        <v>5011.2</v>
      </c>
      <c r="AD77">
        <v>16</v>
      </c>
      <c r="AE77">
        <v>4454.3999999999996</v>
      </c>
      <c r="AF77">
        <v>17</v>
      </c>
      <c r="AG77">
        <v>4732.7999999999993</v>
      </c>
      <c r="AH77">
        <v>20</v>
      </c>
      <c r="AI77">
        <v>5568</v>
      </c>
      <c r="AJ77">
        <v>18</v>
      </c>
      <c r="AK77">
        <v>5011.2</v>
      </c>
      <c r="AL77">
        <v>14</v>
      </c>
      <c r="AM77">
        <v>3897.5999999999995</v>
      </c>
      <c r="AN77">
        <v>21</v>
      </c>
      <c r="AO77">
        <v>5846.4</v>
      </c>
      <c r="AP77">
        <v>11</v>
      </c>
      <c r="AQ77">
        <v>3062.3999999999996</v>
      </c>
      <c r="AR77">
        <v>22</v>
      </c>
      <c r="AS77">
        <v>6124.7999999999993</v>
      </c>
      <c r="AT77">
        <v>15</v>
      </c>
      <c r="AU77">
        <v>4176</v>
      </c>
      <c r="AV77">
        <v>21</v>
      </c>
      <c r="AW77">
        <v>5846.4</v>
      </c>
      <c r="AX77">
        <v>11</v>
      </c>
      <c r="AY77">
        <v>3062.3999999999996</v>
      </c>
      <c r="AZ77">
        <v>16</v>
      </c>
      <c r="BA77">
        <v>4454.3999999999996</v>
      </c>
      <c r="BB77">
        <v>13</v>
      </c>
      <c r="BC77">
        <v>3619.2</v>
      </c>
      <c r="BD77">
        <v>12</v>
      </c>
      <c r="BE77">
        <v>3340.7999999999997</v>
      </c>
      <c r="BF77">
        <v>23</v>
      </c>
      <c r="BG77">
        <v>6403.2</v>
      </c>
      <c r="BH77">
        <v>14</v>
      </c>
      <c r="BI77">
        <v>3897.5999999999995</v>
      </c>
      <c r="BJ77">
        <v>15</v>
      </c>
      <c r="BK77">
        <v>4176</v>
      </c>
      <c r="BL77">
        <v>18</v>
      </c>
      <c r="BM77">
        <v>5011.2</v>
      </c>
      <c r="BN77">
        <v>12</v>
      </c>
      <c r="BO77">
        <v>3340.7999999999997</v>
      </c>
      <c r="BP77">
        <v>16</v>
      </c>
      <c r="BQ77">
        <v>4454.3999999999996</v>
      </c>
      <c r="BR77">
        <v>14</v>
      </c>
      <c r="BS77">
        <v>3897.5999999999995</v>
      </c>
      <c r="BT77">
        <v>16</v>
      </c>
      <c r="BU77">
        <v>4454.3999999999996</v>
      </c>
      <c r="BV77">
        <v>23</v>
      </c>
      <c r="BW77">
        <v>6403.2</v>
      </c>
      <c r="BX77">
        <v>19</v>
      </c>
      <c r="BY77">
        <v>5289.5999999999995</v>
      </c>
      <c r="BZ77">
        <v>15</v>
      </c>
      <c r="CA77">
        <v>4176</v>
      </c>
      <c r="CB77">
        <v>19</v>
      </c>
      <c r="CC77">
        <v>5289.5999999999995</v>
      </c>
      <c r="CD77">
        <v>16</v>
      </c>
      <c r="CE77">
        <v>4454.3999999999996</v>
      </c>
      <c r="CF77">
        <v>22</v>
      </c>
      <c r="CG77">
        <v>6124.7999999999993</v>
      </c>
      <c r="CH77">
        <v>21</v>
      </c>
      <c r="CI77">
        <v>5846.4</v>
      </c>
      <c r="CJ77">
        <v>13</v>
      </c>
      <c r="CK77">
        <v>3619.2</v>
      </c>
      <c r="CL77">
        <v>18</v>
      </c>
      <c r="CM77">
        <v>5011.2</v>
      </c>
      <c r="CN77">
        <v>17</v>
      </c>
      <c r="CO77">
        <v>4732.7999999999993</v>
      </c>
      <c r="CP77">
        <v>16</v>
      </c>
      <c r="CQ77">
        <v>4454.3999999999996</v>
      </c>
      <c r="CR77">
        <v>14</v>
      </c>
      <c r="CS77">
        <v>3897.5999999999995</v>
      </c>
      <c r="CT77">
        <v>14</v>
      </c>
      <c r="CU77">
        <v>3897.5999999999995</v>
      </c>
    </row>
    <row r="78" spans="2:99" x14ac:dyDescent="0.2">
      <c r="C78" s="118" t="s">
        <v>244</v>
      </c>
      <c r="D78">
        <v>0</v>
      </c>
      <c r="E78">
        <v>0</v>
      </c>
      <c r="F78">
        <v>0</v>
      </c>
      <c r="G78">
        <v>0</v>
      </c>
      <c r="H78">
        <v>5.1718306271962087</v>
      </c>
      <c r="I78">
        <v>2854.8505062123072</v>
      </c>
      <c r="J78">
        <v>10</v>
      </c>
      <c r="K78">
        <v>5520</v>
      </c>
      <c r="L78">
        <v>13</v>
      </c>
      <c r="M78">
        <v>7176</v>
      </c>
      <c r="N78">
        <v>17</v>
      </c>
      <c r="O78">
        <v>9384</v>
      </c>
      <c r="P78">
        <v>12</v>
      </c>
      <c r="Q78">
        <v>6624</v>
      </c>
      <c r="R78">
        <v>16</v>
      </c>
      <c r="S78">
        <v>8832</v>
      </c>
      <c r="T78">
        <v>22</v>
      </c>
      <c r="U78">
        <v>12144</v>
      </c>
      <c r="V78">
        <v>18</v>
      </c>
      <c r="W78">
        <v>9936</v>
      </c>
      <c r="X78">
        <v>11</v>
      </c>
      <c r="Y78">
        <v>6072</v>
      </c>
      <c r="Z78">
        <v>15</v>
      </c>
      <c r="AA78">
        <v>8280</v>
      </c>
      <c r="AB78">
        <v>16</v>
      </c>
      <c r="AC78">
        <v>8832</v>
      </c>
      <c r="AD78">
        <v>16</v>
      </c>
      <c r="AE78">
        <v>8832</v>
      </c>
      <c r="AF78">
        <v>17</v>
      </c>
      <c r="AG78">
        <v>9384</v>
      </c>
      <c r="AH78">
        <v>20</v>
      </c>
      <c r="AI78">
        <v>11040</v>
      </c>
      <c r="AJ78">
        <v>16</v>
      </c>
      <c r="AK78">
        <v>8832</v>
      </c>
      <c r="AL78">
        <v>12</v>
      </c>
      <c r="AM78">
        <v>6624</v>
      </c>
      <c r="AN78">
        <v>20</v>
      </c>
      <c r="AO78">
        <v>11040</v>
      </c>
      <c r="AP78">
        <v>12</v>
      </c>
      <c r="AQ78">
        <v>6624</v>
      </c>
      <c r="AR78">
        <v>19</v>
      </c>
      <c r="AS78">
        <v>10488</v>
      </c>
      <c r="AT78">
        <v>17</v>
      </c>
      <c r="AU78">
        <v>9384</v>
      </c>
      <c r="AV78">
        <v>19</v>
      </c>
      <c r="AW78">
        <v>10488</v>
      </c>
      <c r="AX78">
        <v>10</v>
      </c>
      <c r="AY78">
        <v>5520</v>
      </c>
      <c r="AZ78">
        <v>18</v>
      </c>
      <c r="BA78">
        <v>9936</v>
      </c>
      <c r="BB78">
        <v>11</v>
      </c>
      <c r="BC78">
        <v>6072</v>
      </c>
      <c r="BD78">
        <v>12</v>
      </c>
      <c r="BE78">
        <v>6624</v>
      </c>
      <c r="BF78">
        <v>22</v>
      </c>
      <c r="BG78">
        <v>12144</v>
      </c>
      <c r="BH78">
        <v>13</v>
      </c>
      <c r="BI78">
        <v>7176</v>
      </c>
      <c r="BJ78">
        <v>14</v>
      </c>
      <c r="BK78">
        <v>7728</v>
      </c>
      <c r="BL78">
        <v>17</v>
      </c>
      <c r="BM78">
        <v>9384</v>
      </c>
      <c r="BN78">
        <v>12</v>
      </c>
      <c r="BO78">
        <v>6624</v>
      </c>
      <c r="BP78">
        <v>16</v>
      </c>
      <c r="BQ78">
        <v>8832</v>
      </c>
      <c r="BR78">
        <v>15</v>
      </c>
      <c r="BS78">
        <v>8280</v>
      </c>
      <c r="BT78">
        <v>17</v>
      </c>
      <c r="BU78">
        <v>9384</v>
      </c>
      <c r="BV78">
        <v>18</v>
      </c>
      <c r="BW78">
        <v>9936</v>
      </c>
      <c r="BX78">
        <v>18</v>
      </c>
      <c r="BY78">
        <v>9936</v>
      </c>
      <c r="BZ78">
        <v>15</v>
      </c>
      <c r="CA78">
        <v>8280</v>
      </c>
      <c r="CB78">
        <v>17</v>
      </c>
      <c r="CC78">
        <v>9384</v>
      </c>
      <c r="CD78">
        <v>16</v>
      </c>
      <c r="CE78">
        <v>8832</v>
      </c>
      <c r="CF78">
        <v>21</v>
      </c>
      <c r="CG78">
        <v>11592</v>
      </c>
      <c r="CH78">
        <v>20</v>
      </c>
      <c r="CI78">
        <v>11040</v>
      </c>
      <c r="CJ78">
        <v>14</v>
      </c>
      <c r="CK78">
        <v>7728</v>
      </c>
      <c r="CL78">
        <v>20</v>
      </c>
      <c r="CM78">
        <v>11040</v>
      </c>
      <c r="CN78">
        <v>18</v>
      </c>
      <c r="CO78">
        <v>9936</v>
      </c>
      <c r="CP78">
        <v>16</v>
      </c>
      <c r="CQ78">
        <v>8832</v>
      </c>
      <c r="CR78">
        <v>13</v>
      </c>
      <c r="CS78">
        <v>7176</v>
      </c>
      <c r="CT78">
        <v>15</v>
      </c>
      <c r="CU78">
        <v>8280</v>
      </c>
    </row>
    <row r="79" spans="2:99" x14ac:dyDescent="0.2">
      <c r="C79" s="118" t="s">
        <v>245</v>
      </c>
      <c r="D79">
        <v>0</v>
      </c>
      <c r="E79">
        <v>0</v>
      </c>
      <c r="F79">
        <v>0</v>
      </c>
      <c r="G79">
        <v>0</v>
      </c>
      <c r="H79">
        <v>5.6419970478504098</v>
      </c>
      <c r="I79">
        <v>4272.1201646323298</v>
      </c>
      <c r="J79">
        <v>11</v>
      </c>
      <c r="K79">
        <v>8329.1999999999989</v>
      </c>
      <c r="L79">
        <v>12</v>
      </c>
      <c r="M79">
        <v>9086.4</v>
      </c>
      <c r="N79">
        <v>16</v>
      </c>
      <c r="O79">
        <v>12115.199999999999</v>
      </c>
      <c r="P79">
        <v>11</v>
      </c>
      <c r="Q79">
        <v>8329.1999999999989</v>
      </c>
      <c r="R79">
        <v>15</v>
      </c>
      <c r="S79">
        <v>11357.999999999998</v>
      </c>
      <c r="T79">
        <v>19</v>
      </c>
      <c r="U79">
        <v>14386.8</v>
      </c>
      <c r="V79">
        <v>18</v>
      </c>
      <c r="W79">
        <v>13629.599999999999</v>
      </c>
      <c r="X79">
        <v>11</v>
      </c>
      <c r="Y79">
        <v>8329.1999999999989</v>
      </c>
      <c r="Z79">
        <v>17</v>
      </c>
      <c r="AA79">
        <v>12872.4</v>
      </c>
      <c r="AB79">
        <v>16</v>
      </c>
      <c r="AC79">
        <v>12115.199999999999</v>
      </c>
      <c r="AD79">
        <v>15</v>
      </c>
      <c r="AE79">
        <v>11357.999999999998</v>
      </c>
      <c r="AF79">
        <v>18</v>
      </c>
      <c r="AG79">
        <v>13629.599999999999</v>
      </c>
      <c r="AH79">
        <v>19</v>
      </c>
      <c r="AI79">
        <v>14386.8</v>
      </c>
      <c r="AJ79">
        <v>14</v>
      </c>
      <c r="AK79">
        <v>10600.8</v>
      </c>
      <c r="AL79">
        <v>12</v>
      </c>
      <c r="AM79">
        <v>9086.4</v>
      </c>
      <c r="AN79">
        <v>19</v>
      </c>
      <c r="AO79">
        <v>14386.8</v>
      </c>
      <c r="AP79">
        <v>12</v>
      </c>
      <c r="AQ79">
        <v>9086.4</v>
      </c>
      <c r="AR79">
        <v>21</v>
      </c>
      <c r="AS79">
        <v>15901.199999999999</v>
      </c>
      <c r="AT79">
        <v>14</v>
      </c>
      <c r="AU79">
        <v>10600.8</v>
      </c>
      <c r="AV79">
        <v>19</v>
      </c>
      <c r="AW79">
        <v>14386.8</v>
      </c>
      <c r="AX79">
        <v>10</v>
      </c>
      <c r="AY79">
        <v>7571.9999999999991</v>
      </c>
      <c r="AZ79">
        <v>15</v>
      </c>
      <c r="BA79">
        <v>11357.999999999998</v>
      </c>
      <c r="BB79">
        <v>11</v>
      </c>
      <c r="BC79">
        <v>8329.1999999999989</v>
      </c>
      <c r="BD79">
        <v>11</v>
      </c>
      <c r="BE79">
        <v>8329.1999999999989</v>
      </c>
      <c r="BF79">
        <v>19</v>
      </c>
      <c r="BG79">
        <v>14386.8</v>
      </c>
      <c r="BH79">
        <v>15</v>
      </c>
      <c r="BI79">
        <v>11357.999999999998</v>
      </c>
      <c r="BJ79">
        <v>15</v>
      </c>
      <c r="BK79">
        <v>11357.999999999998</v>
      </c>
      <c r="BL79">
        <v>18</v>
      </c>
      <c r="BM79">
        <v>13629.599999999999</v>
      </c>
      <c r="BN79">
        <v>12</v>
      </c>
      <c r="BO79">
        <v>9086.4</v>
      </c>
      <c r="BP79">
        <v>16</v>
      </c>
      <c r="BQ79">
        <v>12115.199999999999</v>
      </c>
      <c r="BR79">
        <v>13</v>
      </c>
      <c r="BS79">
        <v>9843.5999999999985</v>
      </c>
      <c r="BT79">
        <v>15</v>
      </c>
      <c r="BU79">
        <v>11357.999999999998</v>
      </c>
      <c r="BV79">
        <v>20</v>
      </c>
      <c r="BW79">
        <v>15143.999999999998</v>
      </c>
      <c r="BX79">
        <v>18</v>
      </c>
      <c r="BY79">
        <v>13629.599999999999</v>
      </c>
      <c r="BZ79">
        <v>13</v>
      </c>
      <c r="CA79">
        <v>9843.5999999999985</v>
      </c>
      <c r="CB79">
        <v>17</v>
      </c>
      <c r="CC79">
        <v>12872.4</v>
      </c>
      <c r="CD79">
        <v>15</v>
      </c>
      <c r="CE79">
        <v>11357.999999999998</v>
      </c>
      <c r="CF79">
        <v>17</v>
      </c>
      <c r="CG79">
        <v>12872.4</v>
      </c>
      <c r="CH79">
        <v>18</v>
      </c>
      <c r="CI79">
        <v>13629.599999999999</v>
      </c>
      <c r="CJ79">
        <v>11</v>
      </c>
      <c r="CK79">
        <v>8329.1999999999989</v>
      </c>
      <c r="CL79">
        <v>18</v>
      </c>
      <c r="CM79">
        <v>13629.599999999999</v>
      </c>
      <c r="CN79">
        <v>17</v>
      </c>
      <c r="CO79">
        <v>12872.4</v>
      </c>
      <c r="CP79">
        <v>17</v>
      </c>
      <c r="CQ79">
        <v>12872.4</v>
      </c>
      <c r="CR79">
        <v>13</v>
      </c>
      <c r="CS79">
        <v>9843.5999999999985</v>
      </c>
      <c r="CT79">
        <v>14</v>
      </c>
      <c r="CU79">
        <v>10600.8</v>
      </c>
    </row>
    <row r="80" spans="2:99" x14ac:dyDescent="0.2">
      <c r="C80" s="118" t="s">
        <v>246</v>
      </c>
      <c r="D80">
        <v>0</v>
      </c>
      <c r="E80">
        <v>0</v>
      </c>
      <c r="F80">
        <v>0</v>
      </c>
      <c r="G80">
        <v>0</v>
      </c>
      <c r="H80">
        <v>6.1121634685046109</v>
      </c>
      <c r="I80">
        <v>4921.5140248399121</v>
      </c>
      <c r="J80">
        <v>10</v>
      </c>
      <c r="K80">
        <v>8051.9999999999991</v>
      </c>
      <c r="L80">
        <v>12</v>
      </c>
      <c r="M80">
        <v>9662.4</v>
      </c>
      <c r="N80">
        <v>18</v>
      </c>
      <c r="O80">
        <v>14493.599999999999</v>
      </c>
      <c r="P80">
        <v>11</v>
      </c>
      <c r="Q80">
        <v>8857.1999999999989</v>
      </c>
      <c r="R80">
        <v>16</v>
      </c>
      <c r="S80">
        <v>12883.199999999999</v>
      </c>
      <c r="T80">
        <v>21</v>
      </c>
      <c r="U80">
        <v>16909.199999999997</v>
      </c>
      <c r="V80">
        <v>17</v>
      </c>
      <c r="W80">
        <v>13688.4</v>
      </c>
      <c r="X80">
        <v>11</v>
      </c>
      <c r="Y80">
        <v>8857.1999999999989</v>
      </c>
      <c r="Z80">
        <v>16</v>
      </c>
      <c r="AA80">
        <v>12883.199999999999</v>
      </c>
      <c r="AB80">
        <v>15</v>
      </c>
      <c r="AC80">
        <v>12077.999999999998</v>
      </c>
      <c r="AD80">
        <v>16</v>
      </c>
      <c r="AE80">
        <v>12883.199999999999</v>
      </c>
      <c r="AF80">
        <v>16</v>
      </c>
      <c r="AG80">
        <v>12883.199999999999</v>
      </c>
      <c r="AH80">
        <v>20</v>
      </c>
      <c r="AI80">
        <v>16103.999999999998</v>
      </c>
      <c r="AJ80">
        <v>16</v>
      </c>
      <c r="AK80">
        <v>12883.199999999999</v>
      </c>
      <c r="AL80">
        <v>12</v>
      </c>
      <c r="AM80">
        <v>9662.4</v>
      </c>
      <c r="AN80">
        <v>17</v>
      </c>
      <c r="AO80">
        <v>13688.4</v>
      </c>
      <c r="AP80">
        <v>11</v>
      </c>
      <c r="AQ80">
        <v>8857.1999999999989</v>
      </c>
      <c r="AR80">
        <v>20</v>
      </c>
      <c r="AS80">
        <v>16103.999999999998</v>
      </c>
      <c r="AT80">
        <v>17</v>
      </c>
      <c r="AU80">
        <v>13688.4</v>
      </c>
      <c r="AV80">
        <v>17</v>
      </c>
      <c r="AW80">
        <v>13688.4</v>
      </c>
      <c r="AX80">
        <v>11</v>
      </c>
      <c r="AY80">
        <v>8857.1999999999989</v>
      </c>
      <c r="AZ80">
        <v>18</v>
      </c>
      <c r="BA80">
        <v>14493.599999999999</v>
      </c>
      <c r="BB80">
        <v>12</v>
      </c>
      <c r="BC80">
        <v>9662.4</v>
      </c>
      <c r="BD80">
        <v>10</v>
      </c>
      <c r="BE80">
        <v>8051.9999999999991</v>
      </c>
      <c r="BF80">
        <v>20</v>
      </c>
      <c r="BG80">
        <v>16103.999999999998</v>
      </c>
      <c r="BH80">
        <v>13</v>
      </c>
      <c r="BI80">
        <v>10467.599999999999</v>
      </c>
      <c r="BJ80">
        <v>15</v>
      </c>
      <c r="BK80">
        <v>12077.999999999998</v>
      </c>
      <c r="BL80">
        <v>18</v>
      </c>
      <c r="BM80">
        <v>14493.599999999999</v>
      </c>
      <c r="BN80">
        <v>13</v>
      </c>
      <c r="BO80">
        <v>10467.599999999999</v>
      </c>
      <c r="BP80">
        <v>16</v>
      </c>
      <c r="BQ80">
        <v>12883.199999999999</v>
      </c>
      <c r="BR80">
        <v>13</v>
      </c>
      <c r="BS80">
        <v>10467.599999999999</v>
      </c>
      <c r="BT80">
        <v>18</v>
      </c>
      <c r="BU80">
        <v>14493.599999999999</v>
      </c>
      <c r="BV80">
        <v>21</v>
      </c>
      <c r="BW80">
        <v>16909.199999999997</v>
      </c>
      <c r="BX80">
        <v>18</v>
      </c>
      <c r="BY80">
        <v>14493.599999999999</v>
      </c>
      <c r="BZ80">
        <v>15</v>
      </c>
      <c r="CA80">
        <v>12077.999999999998</v>
      </c>
      <c r="CB80">
        <v>15</v>
      </c>
      <c r="CC80">
        <v>12077.999999999998</v>
      </c>
      <c r="CD80">
        <v>17</v>
      </c>
      <c r="CE80">
        <v>13688.4</v>
      </c>
      <c r="CF80">
        <v>19</v>
      </c>
      <c r="CG80">
        <v>15298.8</v>
      </c>
      <c r="CH80">
        <v>17</v>
      </c>
      <c r="CI80">
        <v>13688.4</v>
      </c>
      <c r="CJ80">
        <v>13</v>
      </c>
      <c r="CK80">
        <v>10467.599999999999</v>
      </c>
      <c r="CL80">
        <v>19</v>
      </c>
      <c r="CM80">
        <v>15298.8</v>
      </c>
      <c r="CN80">
        <v>15</v>
      </c>
      <c r="CO80">
        <v>12077.999999999998</v>
      </c>
      <c r="CP80">
        <v>16</v>
      </c>
      <c r="CQ80">
        <v>12883.199999999999</v>
      </c>
      <c r="CR80">
        <v>13</v>
      </c>
      <c r="CS80">
        <v>10467.599999999999</v>
      </c>
      <c r="CT80">
        <v>14</v>
      </c>
      <c r="CU80">
        <v>11272.8</v>
      </c>
    </row>
    <row r="81" spans="2:99" x14ac:dyDescent="0.2">
      <c r="C81" s="118" t="s">
        <v>247</v>
      </c>
      <c r="D81">
        <v>0</v>
      </c>
      <c r="E81">
        <v>0</v>
      </c>
      <c r="F81">
        <v>0</v>
      </c>
      <c r="G81">
        <v>0</v>
      </c>
      <c r="H81">
        <v>6.1121634685046109</v>
      </c>
      <c r="I81">
        <v>4606.126389865075</v>
      </c>
      <c r="J81">
        <v>10</v>
      </c>
      <c r="K81">
        <v>7536</v>
      </c>
      <c r="L81">
        <v>13</v>
      </c>
      <c r="M81">
        <v>9796.8000000000011</v>
      </c>
      <c r="N81">
        <v>18</v>
      </c>
      <c r="O81">
        <v>13564.800000000001</v>
      </c>
      <c r="P81">
        <v>10</v>
      </c>
      <c r="Q81">
        <v>7536</v>
      </c>
      <c r="R81">
        <v>16</v>
      </c>
      <c r="S81">
        <v>12057.6</v>
      </c>
      <c r="T81">
        <v>19</v>
      </c>
      <c r="U81">
        <v>14318.4</v>
      </c>
      <c r="V81">
        <v>17</v>
      </c>
      <c r="W81">
        <v>12811.2</v>
      </c>
      <c r="X81">
        <v>11</v>
      </c>
      <c r="Y81">
        <v>8289.6</v>
      </c>
      <c r="Z81">
        <v>16</v>
      </c>
      <c r="AA81">
        <v>12057.6</v>
      </c>
      <c r="AB81">
        <v>16</v>
      </c>
      <c r="AC81">
        <v>12057.6</v>
      </c>
      <c r="AD81">
        <v>14</v>
      </c>
      <c r="AE81">
        <v>10550.4</v>
      </c>
      <c r="AF81">
        <v>16</v>
      </c>
      <c r="AG81">
        <v>12057.6</v>
      </c>
      <c r="AH81">
        <v>20</v>
      </c>
      <c r="AI81">
        <v>15072</v>
      </c>
      <c r="AJ81">
        <v>15</v>
      </c>
      <c r="AK81">
        <v>11304</v>
      </c>
      <c r="AL81">
        <v>12</v>
      </c>
      <c r="AM81">
        <v>9043.2000000000007</v>
      </c>
      <c r="AN81">
        <v>20</v>
      </c>
      <c r="AO81">
        <v>15072</v>
      </c>
      <c r="AP81">
        <v>11</v>
      </c>
      <c r="AQ81">
        <v>8289.6</v>
      </c>
      <c r="AR81">
        <v>19</v>
      </c>
      <c r="AS81">
        <v>14318.4</v>
      </c>
      <c r="AT81">
        <v>16</v>
      </c>
      <c r="AU81">
        <v>12057.6</v>
      </c>
      <c r="AV81">
        <v>18</v>
      </c>
      <c r="AW81">
        <v>13564.800000000001</v>
      </c>
      <c r="AX81">
        <v>12</v>
      </c>
      <c r="AY81">
        <v>9043.2000000000007</v>
      </c>
      <c r="AZ81">
        <v>17</v>
      </c>
      <c r="BA81">
        <v>12811.2</v>
      </c>
      <c r="BB81">
        <v>12</v>
      </c>
      <c r="BC81">
        <v>9043.2000000000007</v>
      </c>
      <c r="BD81">
        <v>12</v>
      </c>
      <c r="BE81">
        <v>9043.2000000000007</v>
      </c>
      <c r="BF81">
        <v>19</v>
      </c>
      <c r="BG81">
        <v>14318.4</v>
      </c>
      <c r="BH81">
        <v>13</v>
      </c>
      <c r="BI81">
        <v>9796.8000000000011</v>
      </c>
      <c r="BJ81">
        <v>14</v>
      </c>
      <c r="BK81">
        <v>10550.4</v>
      </c>
      <c r="BL81">
        <v>17</v>
      </c>
      <c r="BM81">
        <v>12811.2</v>
      </c>
      <c r="BN81">
        <v>11</v>
      </c>
      <c r="BO81">
        <v>8289.6</v>
      </c>
      <c r="BP81">
        <v>17</v>
      </c>
      <c r="BQ81">
        <v>12811.2</v>
      </c>
      <c r="BR81">
        <v>14</v>
      </c>
      <c r="BS81">
        <v>10550.4</v>
      </c>
      <c r="BT81">
        <v>17</v>
      </c>
      <c r="BU81">
        <v>12811.2</v>
      </c>
      <c r="BV81">
        <v>19</v>
      </c>
      <c r="BW81">
        <v>14318.4</v>
      </c>
      <c r="BX81">
        <v>18</v>
      </c>
      <c r="BY81">
        <v>13564.800000000001</v>
      </c>
      <c r="BZ81">
        <v>13</v>
      </c>
      <c r="CA81">
        <v>9796.8000000000011</v>
      </c>
      <c r="CB81">
        <v>15</v>
      </c>
      <c r="CC81">
        <v>11304</v>
      </c>
      <c r="CD81">
        <v>15</v>
      </c>
      <c r="CE81">
        <v>11304</v>
      </c>
      <c r="CF81">
        <v>20</v>
      </c>
      <c r="CG81">
        <v>15072</v>
      </c>
      <c r="CH81">
        <v>18</v>
      </c>
      <c r="CI81">
        <v>13564.800000000001</v>
      </c>
      <c r="CJ81">
        <v>14</v>
      </c>
      <c r="CK81">
        <v>10550.4</v>
      </c>
      <c r="CL81">
        <v>19</v>
      </c>
      <c r="CM81">
        <v>14318.4</v>
      </c>
      <c r="CN81">
        <v>16</v>
      </c>
      <c r="CO81">
        <v>12057.6</v>
      </c>
      <c r="CP81">
        <v>15</v>
      </c>
      <c r="CQ81">
        <v>11304</v>
      </c>
      <c r="CR81">
        <v>12</v>
      </c>
      <c r="CS81">
        <v>9043.2000000000007</v>
      </c>
      <c r="CT81">
        <v>14</v>
      </c>
      <c r="CU81">
        <v>10550.4</v>
      </c>
    </row>
    <row r="82" spans="2:99" x14ac:dyDescent="0.2">
      <c r="C82" s="118" t="s">
        <v>248</v>
      </c>
      <c r="D82">
        <v>0</v>
      </c>
      <c r="E82">
        <v>0</v>
      </c>
      <c r="F82">
        <v>0</v>
      </c>
      <c r="G82">
        <v>0</v>
      </c>
      <c r="H82">
        <v>6.1121634685046109</v>
      </c>
      <c r="I82">
        <v>3109.8687727751453</v>
      </c>
      <c r="J82">
        <v>11</v>
      </c>
      <c r="K82">
        <v>5596.7999999999993</v>
      </c>
      <c r="L82">
        <v>13</v>
      </c>
      <c r="M82">
        <v>6614.3999999999987</v>
      </c>
      <c r="N82">
        <v>17</v>
      </c>
      <c r="O82">
        <v>8649.5999999999985</v>
      </c>
      <c r="P82">
        <v>11</v>
      </c>
      <c r="Q82">
        <v>5596.7999999999993</v>
      </c>
      <c r="R82">
        <v>14</v>
      </c>
      <c r="S82">
        <v>7123.1999999999989</v>
      </c>
      <c r="T82">
        <v>20</v>
      </c>
      <c r="U82">
        <v>10175.999999999998</v>
      </c>
      <c r="V82">
        <v>18</v>
      </c>
      <c r="W82">
        <v>9158.3999999999978</v>
      </c>
      <c r="X82">
        <v>13</v>
      </c>
      <c r="Y82">
        <v>6614.3999999999987</v>
      </c>
      <c r="Z82">
        <v>15</v>
      </c>
      <c r="AA82">
        <v>7631.9999999999982</v>
      </c>
      <c r="AB82">
        <v>14</v>
      </c>
      <c r="AC82">
        <v>7123.1999999999989</v>
      </c>
      <c r="AD82">
        <v>15</v>
      </c>
      <c r="AE82">
        <v>7631.9999999999982</v>
      </c>
      <c r="AF82">
        <v>17</v>
      </c>
      <c r="AG82">
        <v>8649.5999999999985</v>
      </c>
      <c r="AH82">
        <v>18</v>
      </c>
      <c r="AI82">
        <v>9158.3999999999978</v>
      </c>
      <c r="AJ82">
        <v>16</v>
      </c>
      <c r="AK82">
        <v>8140.7999999999984</v>
      </c>
      <c r="AL82">
        <v>13</v>
      </c>
      <c r="AM82">
        <v>6614.3999999999987</v>
      </c>
      <c r="AN82">
        <v>20</v>
      </c>
      <c r="AO82">
        <v>10175.999999999998</v>
      </c>
      <c r="AP82">
        <v>10</v>
      </c>
      <c r="AQ82">
        <v>5087.9999999999991</v>
      </c>
      <c r="AR82">
        <v>22</v>
      </c>
      <c r="AS82">
        <v>11193.599999999999</v>
      </c>
      <c r="AT82">
        <v>16</v>
      </c>
      <c r="AU82">
        <v>8140.7999999999984</v>
      </c>
      <c r="AV82">
        <v>18</v>
      </c>
      <c r="AW82">
        <v>9158.3999999999978</v>
      </c>
      <c r="AX82">
        <v>11</v>
      </c>
      <c r="AY82">
        <v>5596.7999999999993</v>
      </c>
      <c r="AZ82">
        <v>16</v>
      </c>
      <c r="BA82">
        <v>8140.7999999999984</v>
      </c>
      <c r="BB82">
        <v>12</v>
      </c>
      <c r="BC82">
        <v>6105.5999999999985</v>
      </c>
      <c r="BD82">
        <v>11</v>
      </c>
      <c r="BE82">
        <v>5596.7999999999993</v>
      </c>
      <c r="BF82">
        <v>22</v>
      </c>
      <c r="BG82">
        <v>11193.599999999999</v>
      </c>
      <c r="BH82">
        <v>14</v>
      </c>
      <c r="BI82">
        <v>7123.1999999999989</v>
      </c>
      <c r="BJ82">
        <v>16</v>
      </c>
      <c r="BK82">
        <v>8140.7999999999984</v>
      </c>
      <c r="BL82">
        <v>19</v>
      </c>
      <c r="BM82">
        <v>9667.1999999999989</v>
      </c>
      <c r="BN82">
        <v>12</v>
      </c>
      <c r="BO82">
        <v>6105.5999999999985</v>
      </c>
      <c r="BP82">
        <v>17</v>
      </c>
      <c r="BQ82">
        <v>8649.5999999999985</v>
      </c>
      <c r="BR82">
        <v>14</v>
      </c>
      <c r="BS82">
        <v>7123.1999999999989</v>
      </c>
      <c r="BT82">
        <v>18</v>
      </c>
      <c r="BU82">
        <v>9158.3999999999978</v>
      </c>
      <c r="BV82">
        <v>19</v>
      </c>
      <c r="BW82">
        <v>9667.1999999999989</v>
      </c>
      <c r="BX82">
        <v>16</v>
      </c>
      <c r="BY82">
        <v>8140.7999999999984</v>
      </c>
      <c r="BZ82">
        <v>14</v>
      </c>
      <c r="CA82">
        <v>7123.1999999999989</v>
      </c>
      <c r="CB82">
        <v>18</v>
      </c>
      <c r="CC82">
        <v>9158.3999999999978</v>
      </c>
      <c r="CD82">
        <v>16</v>
      </c>
      <c r="CE82">
        <v>8140.7999999999984</v>
      </c>
      <c r="CF82">
        <v>20</v>
      </c>
      <c r="CG82">
        <v>10175.999999999998</v>
      </c>
      <c r="CH82">
        <v>18</v>
      </c>
      <c r="CI82">
        <v>9158.3999999999978</v>
      </c>
      <c r="CJ82">
        <v>14</v>
      </c>
      <c r="CK82">
        <v>7123.1999999999989</v>
      </c>
      <c r="CL82">
        <v>17</v>
      </c>
      <c r="CM82">
        <v>8649.5999999999985</v>
      </c>
      <c r="CN82">
        <v>17</v>
      </c>
      <c r="CO82">
        <v>8649.5999999999985</v>
      </c>
      <c r="CP82">
        <v>17</v>
      </c>
      <c r="CQ82">
        <v>8649.5999999999985</v>
      </c>
      <c r="CR82">
        <v>14</v>
      </c>
      <c r="CS82">
        <v>7123.1999999999989</v>
      </c>
      <c r="CT82">
        <v>15</v>
      </c>
      <c r="CU82">
        <v>7631.9999999999982</v>
      </c>
    </row>
    <row r="83" spans="2:99" x14ac:dyDescent="0.2">
      <c r="C83" s="118" t="s">
        <v>249</v>
      </c>
      <c r="D83">
        <v>0</v>
      </c>
      <c r="E83">
        <v>0</v>
      </c>
      <c r="F83">
        <v>0</v>
      </c>
      <c r="G83">
        <v>0</v>
      </c>
      <c r="H83">
        <v>5.1718306271962087</v>
      </c>
      <c r="I83">
        <v>4449.8430716396178</v>
      </c>
      <c r="J83">
        <v>12</v>
      </c>
      <c r="K83">
        <v>10324.799999999999</v>
      </c>
      <c r="L83">
        <v>12</v>
      </c>
      <c r="M83">
        <v>10324.799999999999</v>
      </c>
      <c r="N83">
        <v>16</v>
      </c>
      <c r="O83">
        <v>13766.4</v>
      </c>
      <c r="P83">
        <v>10</v>
      </c>
      <c r="Q83">
        <v>8604</v>
      </c>
      <c r="R83">
        <v>14</v>
      </c>
      <c r="S83">
        <v>12045.6</v>
      </c>
      <c r="T83">
        <v>18</v>
      </c>
      <c r="U83">
        <v>15487.199999999999</v>
      </c>
      <c r="V83">
        <v>17</v>
      </c>
      <c r="W83">
        <v>14626.8</v>
      </c>
      <c r="X83">
        <v>12</v>
      </c>
      <c r="Y83">
        <v>10324.799999999999</v>
      </c>
      <c r="Z83">
        <v>16</v>
      </c>
      <c r="AA83">
        <v>13766.4</v>
      </c>
      <c r="AB83">
        <v>17</v>
      </c>
      <c r="AC83">
        <v>14626.8</v>
      </c>
      <c r="AD83">
        <v>14</v>
      </c>
      <c r="AE83">
        <v>12045.6</v>
      </c>
      <c r="AF83">
        <v>17</v>
      </c>
      <c r="AG83">
        <v>14626.8</v>
      </c>
      <c r="AH83">
        <v>18</v>
      </c>
      <c r="AI83">
        <v>15487.199999999999</v>
      </c>
      <c r="AJ83">
        <v>15</v>
      </c>
      <c r="AK83">
        <v>12906</v>
      </c>
      <c r="AL83">
        <v>14</v>
      </c>
      <c r="AM83">
        <v>12045.6</v>
      </c>
      <c r="AN83">
        <v>18</v>
      </c>
      <c r="AO83">
        <v>15487.199999999999</v>
      </c>
      <c r="AP83">
        <v>12</v>
      </c>
      <c r="AQ83">
        <v>10324.799999999999</v>
      </c>
      <c r="AR83">
        <v>20</v>
      </c>
      <c r="AS83">
        <v>17208</v>
      </c>
      <c r="AT83">
        <v>15</v>
      </c>
      <c r="AU83">
        <v>12906</v>
      </c>
      <c r="AV83">
        <v>20</v>
      </c>
      <c r="AW83">
        <v>17208</v>
      </c>
      <c r="AX83">
        <v>10</v>
      </c>
      <c r="AY83">
        <v>8604</v>
      </c>
      <c r="AZ83">
        <v>18</v>
      </c>
      <c r="BA83">
        <v>15487.199999999999</v>
      </c>
      <c r="BB83">
        <v>11</v>
      </c>
      <c r="BC83">
        <v>9464.4</v>
      </c>
      <c r="BD83">
        <v>10</v>
      </c>
      <c r="BE83">
        <v>8604</v>
      </c>
      <c r="BF83">
        <v>22</v>
      </c>
      <c r="BG83">
        <v>18928.8</v>
      </c>
      <c r="BH83">
        <v>13</v>
      </c>
      <c r="BI83">
        <v>11185.199999999999</v>
      </c>
      <c r="BJ83">
        <v>13</v>
      </c>
      <c r="BK83">
        <v>11185.199999999999</v>
      </c>
      <c r="BL83">
        <v>16</v>
      </c>
      <c r="BM83">
        <v>13766.4</v>
      </c>
      <c r="BN83">
        <v>12</v>
      </c>
      <c r="BO83">
        <v>10324.799999999999</v>
      </c>
      <c r="BP83">
        <v>14</v>
      </c>
      <c r="BQ83">
        <v>12045.6</v>
      </c>
      <c r="BR83">
        <v>14</v>
      </c>
      <c r="BS83">
        <v>12045.6</v>
      </c>
      <c r="BT83">
        <v>17</v>
      </c>
      <c r="BU83">
        <v>14626.8</v>
      </c>
      <c r="BV83">
        <v>21</v>
      </c>
      <c r="BW83">
        <v>18068.399999999998</v>
      </c>
      <c r="BX83">
        <v>17</v>
      </c>
      <c r="BY83">
        <v>14626.8</v>
      </c>
      <c r="BZ83">
        <v>15</v>
      </c>
      <c r="CA83">
        <v>12906</v>
      </c>
      <c r="CB83">
        <v>17</v>
      </c>
      <c r="CC83">
        <v>14626.8</v>
      </c>
      <c r="CD83">
        <v>15</v>
      </c>
      <c r="CE83">
        <v>12906</v>
      </c>
      <c r="CF83">
        <v>20</v>
      </c>
      <c r="CG83">
        <v>17208</v>
      </c>
      <c r="CH83">
        <v>17</v>
      </c>
      <c r="CI83">
        <v>14626.8</v>
      </c>
      <c r="CJ83">
        <v>14</v>
      </c>
      <c r="CK83">
        <v>12045.6</v>
      </c>
      <c r="CL83">
        <v>16</v>
      </c>
      <c r="CM83">
        <v>13766.4</v>
      </c>
      <c r="CN83">
        <v>17</v>
      </c>
      <c r="CO83">
        <v>14626.8</v>
      </c>
      <c r="CP83">
        <v>15</v>
      </c>
      <c r="CQ83">
        <v>12906</v>
      </c>
      <c r="CR83">
        <v>12</v>
      </c>
      <c r="CS83">
        <v>10324.799999999999</v>
      </c>
      <c r="CT83">
        <v>13</v>
      </c>
      <c r="CU83">
        <v>11185.199999999999</v>
      </c>
    </row>
    <row r="84" spans="2:99" x14ac:dyDescent="0.2">
      <c r="C84" s="118" t="s">
        <v>250</v>
      </c>
      <c r="D84">
        <v>0</v>
      </c>
      <c r="E84">
        <v>0</v>
      </c>
      <c r="F84">
        <v>0</v>
      </c>
      <c r="G84">
        <v>0</v>
      </c>
      <c r="H84">
        <v>5.1718306271962087</v>
      </c>
      <c r="I84">
        <v>4040.2340859656779</v>
      </c>
      <c r="J84">
        <v>10</v>
      </c>
      <c r="K84">
        <v>7811.9999999999991</v>
      </c>
      <c r="L84">
        <v>11</v>
      </c>
      <c r="M84">
        <v>8593.1999999999989</v>
      </c>
      <c r="N84">
        <v>18</v>
      </c>
      <c r="O84">
        <v>14061.599999999999</v>
      </c>
      <c r="P84">
        <v>11</v>
      </c>
      <c r="Q84">
        <v>8593.1999999999989</v>
      </c>
      <c r="R84">
        <v>14</v>
      </c>
      <c r="S84">
        <v>10936.8</v>
      </c>
      <c r="T84">
        <v>19</v>
      </c>
      <c r="U84">
        <v>14842.8</v>
      </c>
      <c r="V84">
        <v>18</v>
      </c>
      <c r="W84">
        <v>14061.599999999999</v>
      </c>
      <c r="X84">
        <v>11</v>
      </c>
      <c r="Y84">
        <v>8593.1999999999989</v>
      </c>
      <c r="Z84">
        <v>16</v>
      </c>
      <c r="AA84">
        <v>12499.199999999999</v>
      </c>
      <c r="AB84">
        <v>16</v>
      </c>
      <c r="AC84">
        <v>12499.199999999999</v>
      </c>
      <c r="AD84">
        <v>16</v>
      </c>
      <c r="AE84">
        <v>12499.199999999999</v>
      </c>
      <c r="AF84">
        <v>18</v>
      </c>
      <c r="AG84">
        <v>14061.599999999999</v>
      </c>
      <c r="AH84">
        <v>20</v>
      </c>
      <c r="AI84">
        <v>15623.999999999998</v>
      </c>
      <c r="AJ84">
        <v>16</v>
      </c>
      <c r="AK84">
        <v>12499.199999999999</v>
      </c>
      <c r="AL84">
        <v>14</v>
      </c>
      <c r="AM84">
        <v>10936.8</v>
      </c>
      <c r="AN84">
        <v>20</v>
      </c>
      <c r="AO84">
        <v>15623.999999999998</v>
      </c>
      <c r="AP84">
        <v>11</v>
      </c>
      <c r="AQ84">
        <v>8593.1999999999989</v>
      </c>
      <c r="AR84">
        <v>20</v>
      </c>
      <c r="AS84">
        <v>15623.999999999998</v>
      </c>
      <c r="AT84">
        <v>16</v>
      </c>
      <c r="AU84">
        <v>12499.199999999999</v>
      </c>
      <c r="AV84">
        <v>18</v>
      </c>
      <c r="AW84">
        <v>14061.599999999999</v>
      </c>
      <c r="AX84">
        <v>10</v>
      </c>
      <c r="AY84">
        <v>7811.9999999999991</v>
      </c>
      <c r="AZ84">
        <v>16</v>
      </c>
      <c r="BA84">
        <v>12499.199999999999</v>
      </c>
      <c r="BB84">
        <v>11</v>
      </c>
      <c r="BC84">
        <v>8593.1999999999989</v>
      </c>
      <c r="BD84">
        <v>12</v>
      </c>
      <c r="BE84">
        <v>9374.4</v>
      </c>
      <c r="BF84">
        <v>22</v>
      </c>
      <c r="BG84">
        <v>17186.399999999998</v>
      </c>
      <c r="BH84">
        <v>13</v>
      </c>
      <c r="BI84">
        <v>10155.599999999999</v>
      </c>
      <c r="BJ84">
        <v>14</v>
      </c>
      <c r="BK84">
        <v>10936.8</v>
      </c>
      <c r="BL84">
        <v>16</v>
      </c>
      <c r="BM84">
        <v>12499.199999999999</v>
      </c>
      <c r="BN84">
        <v>11</v>
      </c>
      <c r="BO84">
        <v>8593.1999999999989</v>
      </c>
      <c r="BP84">
        <v>15</v>
      </c>
      <c r="BQ84">
        <v>11717.999999999998</v>
      </c>
      <c r="BR84">
        <v>14</v>
      </c>
      <c r="BS84">
        <v>10936.8</v>
      </c>
      <c r="BT84">
        <v>15</v>
      </c>
      <c r="BU84">
        <v>11717.999999999998</v>
      </c>
      <c r="BV84">
        <v>21</v>
      </c>
      <c r="BW84">
        <v>16405.199999999997</v>
      </c>
      <c r="BX84">
        <v>16</v>
      </c>
      <c r="BY84">
        <v>12499.199999999999</v>
      </c>
      <c r="BZ84">
        <v>14</v>
      </c>
      <c r="CA84">
        <v>10936.8</v>
      </c>
      <c r="CB84">
        <v>18</v>
      </c>
      <c r="CC84">
        <v>14061.599999999999</v>
      </c>
      <c r="CD84">
        <v>15</v>
      </c>
      <c r="CE84">
        <v>11717.999999999998</v>
      </c>
      <c r="CF84">
        <v>20</v>
      </c>
      <c r="CG84">
        <v>15623.999999999998</v>
      </c>
      <c r="CH84">
        <v>18</v>
      </c>
      <c r="CI84">
        <v>14061.599999999999</v>
      </c>
      <c r="CJ84">
        <v>12</v>
      </c>
      <c r="CK84">
        <v>9374.4</v>
      </c>
      <c r="CL84">
        <v>18</v>
      </c>
      <c r="CM84">
        <v>14061.599999999999</v>
      </c>
      <c r="CN84">
        <v>15</v>
      </c>
      <c r="CO84">
        <v>11717.999999999998</v>
      </c>
      <c r="CP84">
        <v>17</v>
      </c>
      <c r="CQ84">
        <v>13280.4</v>
      </c>
      <c r="CR84">
        <v>14</v>
      </c>
      <c r="CS84">
        <v>10936.8</v>
      </c>
      <c r="CT84">
        <v>12</v>
      </c>
      <c r="CU84">
        <v>9374.4</v>
      </c>
    </row>
    <row r="85" spans="2:99" x14ac:dyDescent="0.2">
      <c r="C85" s="118" t="s">
        <v>251</v>
      </c>
      <c r="D85">
        <v>0</v>
      </c>
      <c r="E85">
        <v>0</v>
      </c>
      <c r="F85">
        <v>0</v>
      </c>
      <c r="G85">
        <v>0</v>
      </c>
      <c r="H85">
        <v>6.582329889158812</v>
      </c>
      <c r="I85">
        <v>987.34948337382184</v>
      </c>
      <c r="J85">
        <v>11</v>
      </c>
      <c r="K85">
        <v>1650</v>
      </c>
      <c r="L85">
        <v>12</v>
      </c>
      <c r="M85">
        <v>1800</v>
      </c>
      <c r="N85">
        <v>19</v>
      </c>
      <c r="O85">
        <v>2850</v>
      </c>
      <c r="P85">
        <v>11</v>
      </c>
      <c r="Q85">
        <v>1650</v>
      </c>
      <c r="R85">
        <v>18</v>
      </c>
      <c r="S85">
        <v>2700</v>
      </c>
      <c r="T85">
        <v>19</v>
      </c>
      <c r="U85">
        <v>2850</v>
      </c>
      <c r="V85">
        <v>19</v>
      </c>
      <c r="W85">
        <v>2850</v>
      </c>
      <c r="X85">
        <v>13</v>
      </c>
      <c r="Y85">
        <v>1950</v>
      </c>
      <c r="Z85">
        <v>18</v>
      </c>
      <c r="AA85">
        <v>2700</v>
      </c>
      <c r="AB85">
        <v>17</v>
      </c>
      <c r="AC85">
        <v>2550</v>
      </c>
      <c r="AD85">
        <v>17</v>
      </c>
      <c r="AE85">
        <v>2550</v>
      </c>
      <c r="AF85">
        <v>19</v>
      </c>
      <c r="AG85">
        <v>2850</v>
      </c>
      <c r="AH85">
        <v>21</v>
      </c>
      <c r="AI85">
        <v>3150</v>
      </c>
      <c r="AJ85">
        <v>16</v>
      </c>
      <c r="AK85">
        <v>2400</v>
      </c>
      <c r="AL85">
        <v>15</v>
      </c>
      <c r="AM85">
        <v>2250</v>
      </c>
      <c r="AN85">
        <v>21</v>
      </c>
      <c r="AO85">
        <v>3150</v>
      </c>
      <c r="AP85">
        <v>12</v>
      </c>
      <c r="AQ85">
        <v>1800</v>
      </c>
      <c r="AR85">
        <v>22</v>
      </c>
      <c r="AS85">
        <v>3300</v>
      </c>
      <c r="AT85">
        <v>18</v>
      </c>
      <c r="AU85">
        <v>2700</v>
      </c>
      <c r="AV85">
        <v>21</v>
      </c>
      <c r="AW85">
        <v>3150</v>
      </c>
      <c r="AX85">
        <v>13</v>
      </c>
      <c r="AY85">
        <v>1950</v>
      </c>
      <c r="AZ85">
        <v>17</v>
      </c>
      <c r="BA85">
        <v>2550</v>
      </c>
      <c r="BB85">
        <v>11</v>
      </c>
      <c r="BC85">
        <v>1650</v>
      </c>
      <c r="BD85">
        <v>11</v>
      </c>
      <c r="BE85">
        <v>1650</v>
      </c>
      <c r="BF85">
        <v>21</v>
      </c>
      <c r="BG85">
        <v>3150</v>
      </c>
      <c r="BH85">
        <v>16</v>
      </c>
      <c r="BI85">
        <v>2400</v>
      </c>
      <c r="BJ85">
        <v>16</v>
      </c>
      <c r="BK85">
        <v>2400</v>
      </c>
      <c r="BL85">
        <v>20</v>
      </c>
      <c r="BM85">
        <v>3000</v>
      </c>
      <c r="BN85">
        <v>13</v>
      </c>
      <c r="BO85">
        <v>1950</v>
      </c>
      <c r="BP85">
        <v>18</v>
      </c>
      <c r="BQ85">
        <v>2700</v>
      </c>
      <c r="BR85">
        <v>16</v>
      </c>
      <c r="BS85">
        <v>2400</v>
      </c>
      <c r="BT85">
        <v>19</v>
      </c>
      <c r="BU85">
        <v>2850</v>
      </c>
      <c r="BV85">
        <v>22</v>
      </c>
      <c r="BW85">
        <v>3300</v>
      </c>
      <c r="BX85">
        <v>19</v>
      </c>
      <c r="BY85">
        <v>2850</v>
      </c>
      <c r="BZ85">
        <v>16</v>
      </c>
      <c r="CA85">
        <v>2400</v>
      </c>
      <c r="CB85">
        <v>16</v>
      </c>
      <c r="CC85">
        <v>2400</v>
      </c>
      <c r="CD85">
        <v>16</v>
      </c>
      <c r="CE85">
        <v>2400</v>
      </c>
      <c r="CF85">
        <v>19</v>
      </c>
      <c r="CG85">
        <v>2850</v>
      </c>
      <c r="CH85">
        <v>19</v>
      </c>
      <c r="CI85">
        <v>2850</v>
      </c>
      <c r="CJ85">
        <v>15</v>
      </c>
      <c r="CK85">
        <v>2250</v>
      </c>
      <c r="CL85">
        <v>20</v>
      </c>
      <c r="CM85">
        <v>3000</v>
      </c>
      <c r="CN85">
        <v>18</v>
      </c>
      <c r="CO85">
        <v>2700</v>
      </c>
      <c r="CP85">
        <v>16</v>
      </c>
      <c r="CQ85">
        <v>2400</v>
      </c>
      <c r="CR85">
        <v>13</v>
      </c>
      <c r="CS85">
        <v>1950</v>
      </c>
      <c r="CT85">
        <v>13</v>
      </c>
      <c r="CU85">
        <v>1950</v>
      </c>
    </row>
    <row r="86" spans="2:99" x14ac:dyDescent="0.2">
      <c r="C86" s="118" t="s">
        <v>252</v>
      </c>
      <c r="D86">
        <v>0</v>
      </c>
      <c r="E86">
        <v>0</v>
      </c>
      <c r="F86">
        <v>0</v>
      </c>
      <c r="G86">
        <v>0</v>
      </c>
      <c r="H86">
        <v>6.1121634685046109</v>
      </c>
      <c r="I86">
        <v>3300.5682729924897</v>
      </c>
      <c r="J86">
        <v>10</v>
      </c>
      <c r="K86">
        <v>5400</v>
      </c>
      <c r="L86">
        <v>12</v>
      </c>
      <c r="M86">
        <v>6480</v>
      </c>
      <c r="N86">
        <v>19</v>
      </c>
      <c r="O86">
        <v>10260</v>
      </c>
      <c r="P86">
        <v>12</v>
      </c>
      <c r="Q86">
        <v>6480</v>
      </c>
      <c r="R86">
        <v>15</v>
      </c>
      <c r="S86">
        <v>8100</v>
      </c>
      <c r="T86">
        <v>19</v>
      </c>
      <c r="U86">
        <v>10260</v>
      </c>
      <c r="V86">
        <v>19</v>
      </c>
      <c r="W86">
        <v>10260</v>
      </c>
      <c r="X86">
        <v>12</v>
      </c>
      <c r="Y86">
        <v>6480</v>
      </c>
      <c r="Z86">
        <v>17</v>
      </c>
      <c r="AA86">
        <v>9180</v>
      </c>
      <c r="AB86">
        <v>16</v>
      </c>
      <c r="AC86">
        <v>8640</v>
      </c>
      <c r="AD86">
        <v>16</v>
      </c>
      <c r="AE86">
        <v>8640</v>
      </c>
      <c r="AF86">
        <v>18</v>
      </c>
      <c r="AG86">
        <v>9720</v>
      </c>
      <c r="AH86">
        <v>18</v>
      </c>
      <c r="AI86">
        <v>9720</v>
      </c>
      <c r="AJ86">
        <v>16</v>
      </c>
      <c r="AK86">
        <v>8640</v>
      </c>
      <c r="AL86">
        <v>14</v>
      </c>
      <c r="AM86">
        <v>7560</v>
      </c>
      <c r="AN86">
        <v>17</v>
      </c>
      <c r="AO86">
        <v>9180</v>
      </c>
      <c r="AP86">
        <v>12</v>
      </c>
      <c r="AQ86">
        <v>6480</v>
      </c>
      <c r="AR86">
        <v>20</v>
      </c>
      <c r="AS86">
        <v>10800</v>
      </c>
      <c r="AT86">
        <v>16</v>
      </c>
      <c r="AU86">
        <v>8640</v>
      </c>
      <c r="AV86">
        <v>19</v>
      </c>
      <c r="AW86">
        <v>10260</v>
      </c>
      <c r="AX86">
        <v>10</v>
      </c>
      <c r="AY86">
        <v>5400</v>
      </c>
      <c r="AZ86">
        <v>16</v>
      </c>
      <c r="BA86">
        <v>8640</v>
      </c>
      <c r="BB86">
        <v>12</v>
      </c>
      <c r="BC86">
        <v>6480</v>
      </c>
      <c r="BD86">
        <v>11</v>
      </c>
      <c r="BE86">
        <v>5940</v>
      </c>
      <c r="BF86">
        <v>19</v>
      </c>
      <c r="BG86">
        <v>10260</v>
      </c>
      <c r="BH86">
        <v>15</v>
      </c>
      <c r="BI86">
        <v>8100</v>
      </c>
      <c r="BJ86">
        <v>14</v>
      </c>
      <c r="BK86">
        <v>7560</v>
      </c>
      <c r="BL86">
        <v>17</v>
      </c>
      <c r="BM86">
        <v>9180</v>
      </c>
      <c r="BN86">
        <v>13</v>
      </c>
      <c r="BO86">
        <v>7020</v>
      </c>
      <c r="BP86">
        <v>15</v>
      </c>
      <c r="BQ86">
        <v>8100</v>
      </c>
      <c r="BR86">
        <v>15</v>
      </c>
      <c r="BS86">
        <v>8100</v>
      </c>
      <c r="BT86">
        <v>18</v>
      </c>
      <c r="BU86">
        <v>9720</v>
      </c>
      <c r="BV86">
        <v>21</v>
      </c>
      <c r="BW86">
        <v>11340</v>
      </c>
      <c r="BX86">
        <v>18</v>
      </c>
      <c r="BY86">
        <v>9720</v>
      </c>
      <c r="BZ86">
        <v>14</v>
      </c>
      <c r="CA86">
        <v>7560</v>
      </c>
      <c r="CB86">
        <v>18</v>
      </c>
      <c r="CC86">
        <v>9720</v>
      </c>
      <c r="CD86">
        <v>18</v>
      </c>
      <c r="CE86">
        <v>9720</v>
      </c>
      <c r="CF86">
        <v>18</v>
      </c>
      <c r="CG86">
        <v>9720</v>
      </c>
      <c r="CH86">
        <v>18</v>
      </c>
      <c r="CI86">
        <v>9720</v>
      </c>
      <c r="CJ86">
        <v>13</v>
      </c>
      <c r="CK86">
        <v>7020</v>
      </c>
      <c r="CL86">
        <v>17</v>
      </c>
      <c r="CM86">
        <v>9180</v>
      </c>
      <c r="CN86">
        <v>17</v>
      </c>
      <c r="CO86">
        <v>9180</v>
      </c>
      <c r="CP86">
        <v>17</v>
      </c>
      <c r="CQ86">
        <v>9180</v>
      </c>
      <c r="CR86">
        <v>12</v>
      </c>
      <c r="CS86">
        <v>6480</v>
      </c>
      <c r="CT86">
        <v>13</v>
      </c>
      <c r="CU86">
        <v>7020</v>
      </c>
    </row>
    <row r="87" spans="2:99" x14ac:dyDescent="0.2">
      <c r="B87" s="118" t="s">
        <v>131</v>
      </c>
      <c r="C87" s="118" t="s">
        <v>253</v>
      </c>
      <c r="D87">
        <v>0</v>
      </c>
      <c r="E87">
        <v>0</v>
      </c>
      <c r="F87">
        <v>0</v>
      </c>
      <c r="G87">
        <v>0</v>
      </c>
      <c r="H87">
        <v>8.4629955717756147</v>
      </c>
      <c r="I87">
        <v>16543.463743706972</v>
      </c>
      <c r="J87">
        <v>13</v>
      </c>
      <c r="K87">
        <v>25412.399999999998</v>
      </c>
      <c r="L87">
        <v>9</v>
      </c>
      <c r="M87">
        <v>17593.2</v>
      </c>
      <c r="N87">
        <v>15</v>
      </c>
      <c r="O87">
        <v>29322</v>
      </c>
      <c r="P87">
        <v>10</v>
      </c>
      <c r="Q87">
        <v>19548</v>
      </c>
      <c r="R87">
        <v>16</v>
      </c>
      <c r="S87">
        <v>31276.799999999999</v>
      </c>
      <c r="T87">
        <v>14</v>
      </c>
      <c r="U87">
        <v>27367.200000000001</v>
      </c>
      <c r="V87">
        <v>10</v>
      </c>
      <c r="W87">
        <v>19548</v>
      </c>
      <c r="X87">
        <v>12</v>
      </c>
      <c r="Y87">
        <v>23457.599999999999</v>
      </c>
      <c r="Z87">
        <v>16</v>
      </c>
      <c r="AA87">
        <v>31276.799999999999</v>
      </c>
      <c r="AB87">
        <v>12</v>
      </c>
      <c r="AC87">
        <v>23457.599999999999</v>
      </c>
      <c r="AD87">
        <v>16</v>
      </c>
      <c r="AE87">
        <v>31276.799999999999</v>
      </c>
      <c r="AF87">
        <v>16</v>
      </c>
      <c r="AG87">
        <v>31276.799999999999</v>
      </c>
      <c r="AH87">
        <v>18</v>
      </c>
      <c r="AI87">
        <v>35186.400000000001</v>
      </c>
      <c r="AJ87">
        <v>11</v>
      </c>
      <c r="AK87">
        <v>21502.799999999999</v>
      </c>
      <c r="AL87">
        <v>11</v>
      </c>
      <c r="AM87">
        <v>21502.799999999999</v>
      </c>
      <c r="AN87">
        <v>14</v>
      </c>
      <c r="AO87">
        <v>27367.200000000001</v>
      </c>
      <c r="AP87">
        <v>17</v>
      </c>
      <c r="AQ87">
        <v>33231.599999999999</v>
      </c>
      <c r="AR87">
        <v>18</v>
      </c>
      <c r="AS87">
        <v>35186.400000000001</v>
      </c>
      <c r="AT87">
        <v>20</v>
      </c>
      <c r="AU87">
        <v>39096</v>
      </c>
      <c r="AV87">
        <v>17</v>
      </c>
      <c r="AW87">
        <v>33231.599999999999</v>
      </c>
      <c r="AX87">
        <v>16</v>
      </c>
      <c r="AY87">
        <v>31276.799999999999</v>
      </c>
      <c r="AZ87">
        <v>14</v>
      </c>
      <c r="BA87">
        <v>27367.200000000001</v>
      </c>
      <c r="BB87">
        <v>13</v>
      </c>
      <c r="BC87">
        <v>25412.399999999998</v>
      </c>
      <c r="BD87">
        <v>21</v>
      </c>
      <c r="BE87">
        <v>41050.799999999996</v>
      </c>
      <c r="BF87">
        <v>17</v>
      </c>
      <c r="BG87">
        <v>33231.599999999999</v>
      </c>
      <c r="BH87">
        <v>13</v>
      </c>
      <c r="BI87">
        <v>25412.399999999998</v>
      </c>
      <c r="BJ87">
        <v>13</v>
      </c>
      <c r="BK87">
        <v>25412.399999999998</v>
      </c>
      <c r="BL87">
        <v>14</v>
      </c>
      <c r="BM87">
        <v>27367.200000000001</v>
      </c>
      <c r="BN87">
        <v>15</v>
      </c>
      <c r="BO87">
        <v>29322</v>
      </c>
      <c r="BP87">
        <v>21</v>
      </c>
      <c r="BQ87">
        <v>41050.799999999996</v>
      </c>
      <c r="BR87">
        <v>16</v>
      </c>
      <c r="BS87">
        <v>31276.799999999999</v>
      </c>
      <c r="BT87">
        <v>11</v>
      </c>
      <c r="BU87">
        <v>21502.799999999999</v>
      </c>
      <c r="BV87">
        <v>17</v>
      </c>
      <c r="BW87">
        <v>33231.599999999999</v>
      </c>
      <c r="BX87">
        <v>19</v>
      </c>
      <c r="BY87">
        <v>37141.199999999997</v>
      </c>
      <c r="BZ87">
        <v>20</v>
      </c>
      <c r="CA87">
        <v>39096</v>
      </c>
      <c r="CB87">
        <v>16</v>
      </c>
      <c r="CC87">
        <v>31276.799999999999</v>
      </c>
      <c r="CD87">
        <v>22</v>
      </c>
      <c r="CE87">
        <v>43005.599999999999</v>
      </c>
      <c r="CF87">
        <v>17</v>
      </c>
      <c r="CG87">
        <v>33231.599999999999</v>
      </c>
      <c r="CH87">
        <v>18</v>
      </c>
      <c r="CI87">
        <v>35186.400000000001</v>
      </c>
      <c r="CJ87">
        <v>13</v>
      </c>
      <c r="CK87">
        <v>25412.399999999998</v>
      </c>
      <c r="CL87">
        <v>20</v>
      </c>
      <c r="CM87">
        <v>39096</v>
      </c>
      <c r="CN87">
        <v>19</v>
      </c>
      <c r="CO87">
        <v>37141.199999999997</v>
      </c>
      <c r="CP87">
        <v>15</v>
      </c>
      <c r="CQ87">
        <v>29322</v>
      </c>
      <c r="CR87">
        <v>18</v>
      </c>
      <c r="CS87">
        <v>35186.400000000001</v>
      </c>
      <c r="CT87">
        <v>19</v>
      </c>
      <c r="CU87">
        <v>37141.199999999997</v>
      </c>
    </row>
    <row r="88" spans="2:99" x14ac:dyDescent="0.2">
      <c r="C88" s="118" t="s">
        <v>254</v>
      </c>
      <c r="D88">
        <v>0</v>
      </c>
      <c r="E88">
        <v>0</v>
      </c>
      <c r="F88">
        <v>0</v>
      </c>
      <c r="G88">
        <v>0</v>
      </c>
      <c r="H88">
        <v>8.4629955717756147</v>
      </c>
      <c r="I88">
        <v>16015.372820028171</v>
      </c>
      <c r="J88">
        <v>14</v>
      </c>
      <c r="K88">
        <v>26493.599999999999</v>
      </c>
      <c r="L88">
        <v>10</v>
      </c>
      <c r="M88">
        <v>18924</v>
      </c>
      <c r="N88">
        <v>15</v>
      </c>
      <c r="O88">
        <v>28385.999999999996</v>
      </c>
      <c r="P88">
        <v>10</v>
      </c>
      <c r="Q88">
        <v>18924</v>
      </c>
      <c r="R88">
        <v>17</v>
      </c>
      <c r="S88">
        <v>32170.799999999999</v>
      </c>
      <c r="T88">
        <v>15</v>
      </c>
      <c r="U88">
        <v>28385.999999999996</v>
      </c>
      <c r="V88">
        <v>10</v>
      </c>
      <c r="W88">
        <v>18924</v>
      </c>
      <c r="X88">
        <v>14</v>
      </c>
      <c r="Y88">
        <v>26493.599999999999</v>
      </c>
      <c r="Z88">
        <v>19</v>
      </c>
      <c r="AA88">
        <v>35955.599999999999</v>
      </c>
      <c r="AB88">
        <v>13</v>
      </c>
      <c r="AC88">
        <v>24601.199999999997</v>
      </c>
      <c r="AD88">
        <v>17</v>
      </c>
      <c r="AE88">
        <v>32170.799999999999</v>
      </c>
      <c r="AF88">
        <v>14</v>
      </c>
      <c r="AG88">
        <v>26493.599999999999</v>
      </c>
      <c r="AH88">
        <v>18</v>
      </c>
      <c r="AI88">
        <v>34063.199999999997</v>
      </c>
      <c r="AJ88">
        <v>12</v>
      </c>
      <c r="AK88">
        <v>22708.799999999999</v>
      </c>
      <c r="AL88">
        <v>13</v>
      </c>
      <c r="AM88">
        <v>24601.199999999997</v>
      </c>
      <c r="AN88">
        <v>13</v>
      </c>
      <c r="AO88">
        <v>24601.199999999997</v>
      </c>
      <c r="AP88">
        <v>17</v>
      </c>
      <c r="AQ88">
        <v>32170.799999999999</v>
      </c>
      <c r="AR88">
        <v>19</v>
      </c>
      <c r="AS88">
        <v>35955.599999999999</v>
      </c>
      <c r="AT88">
        <v>22</v>
      </c>
      <c r="AU88">
        <v>41632.799999999996</v>
      </c>
      <c r="AV88">
        <v>20</v>
      </c>
      <c r="AW88">
        <v>37848</v>
      </c>
      <c r="AX88">
        <v>16</v>
      </c>
      <c r="AY88">
        <v>30278.399999999998</v>
      </c>
      <c r="AZ88">
        <v>13</v>
      </c>
      <c r="BA88">
        <v>24601.199999999997</v>
      </c>
      <c r="BB88">
        <v>12</v>
      </c>
      <c r="BC88">
        <v>22708.799999999999</v>
      </c>
      <c r="BD88">
        <v>22</v>
      </c>
      <c r="BE88">
        <v>41632.799999999996</v>
      </c>
      <c r="BF88">
        <v>17</v>
      </c>
      <c r="BG88">
        <v>32170.799999999999</v>
      </c>
      <c r="BH88">
        <v>14</v>
      </c>
      <c r="BI88">
        <v>26493.599999999999</v>
      </c>
      <c r="BJ88">
        <v>13</v>
      </c>
      <c r="BK88">
        <v>24601.199999999997</v>
      </c>
      <c r="BL88">
        <v>16</v>
      </c>
      <c r="BM88">
        <v>30278.399999999998</v>
      </c>
      <c r="BN88">
        <v>15</v>
      </c>
      <c r="BO88">
        <v>28385.999999999996</v>
      </c>
      <c r="BP88">
        <v>21</v>
      </c>
      <c r="BQ88">
        <v>39740.399999999994</v>
      </c>
      <c r="BR88">
        <v>18</v>
      </c>
      <c r="BS88">
        <v>34063.199999999997</v>
      </c>
      <c r="BT88">
        <v>11</v>
      </c>
      <c r="BU88">
        <v>20816.399999999998</v>
      </c>
      <c r="BV88">
        <v>18</v>
      </c>
      <c r="BW88">
        <v>34063.199999999997</v>
      </c>
      <c r="BX88">
        <v>20</v>
      </c>
      <c r="BY88">
        <v>37848</v>
      </c>
      <c r="BZ88">
        <v>19</v>
      </c>
      <c r="CA88">
        <v>35955.599999999999</v>
      </c>
      <c r="CB88">
        <v>19</v>
      </c>
      <c r="CC88">
        <v>35955.599999999999</v>
      </c>
      <c r="CD88">
        <v>18</v>
      </c>
      <c r="CE88">
        <v>34063.199999999997</v>
      </c>
      <c r="CF88">
        <v>15</v>
      </c>
      <c r="CG88">
        <v>28385.999999999996</v>
      </c>
      <c r="CH88">
        <v>18</v>
      </c>
      <c r="CI88">
        <v>34063.199999999997</v>
      </c>
      <c r="CJ88">
        <v>13</v>
      </c>
      <c r="CK88">
        <v>24601.199999999997</v>
      </c>
      <c r="CL88">
        <v>21</v>
      </c>
      <c r="CM88">
        <v>39740.399999999994</v>
      </c>
      <c r="CN88">
        <v>21</v>
      </c>
      <c r="CO88">
        <v>39740.399999999994</v>
      </c>
      <c r="CP88">
        <v>15</v>
      </c>
      <c r="CQ88">
        <v>28385.999999999996</v>
      </c>
      <c r="CR88">
        <v>19</v>
      </c>
      <c r="CS88">
        <v>35955.599999999999</v>
      </c>
      <c r="CT88">
        <v>19</v>
      </c>
      <c r="CU88">
        <v>35955.599999999999</v>
      </c>
    </row>
    <row r="89" spans="2:99" x14ac:dyDescent="0.2">
      <c r="C89" s="118" t="s">
        <v>255</v>
      </c>
      <c r="D89">
        <v>0</v>
      </c>
      <c r="E89">
        <v>0</v>
      </c>
      <c r="F89">
        <v>0</v>
      </c>
      <c r="G89">
        <v>0</v>
      </c>
      <c r="H89">
        <v>7.5226627304672133</v>
      </c>
      <c r="I89">
        <v>18036.33616256819</v>
      </c>
      <c r="J89">
        <v>14</v>
      </c>
      <c r="K89">
        <v>33566.400000000001</v>
      </c>
      <c r="L89">
        <v>11</v>
      </c>
      <c r="M89">
        <v>26373.599999999999</v>
      </c>
      <c r="N89">
        <v>16</v>
      </c>
      <c r="O89">
        <v>38361.599999999999</v>
      </c>
      <c r="P89">
        <v>10</v>
      </c>
      <c r="Q89">
        <v>23976</v>
      </c>
      <c r="R89">
        <v>15</v>
      </c>
      <c r="S89">
        <v>35964</v>
      </c>
      <c r="T89">
        <v>14</v>
      </c>
      <c r="U89">
        <v>33566.400000000001</v>
      </c>
      <c r="V89">
        <v>9</v>
      </c>
      <c r="W89">
        <v>21578.399999999998</v>
      </c>
      <c r="X89">
        <v>13</v>
      </c>
      <c r="Y89">
        <v>31168.799999999999</v>
      </c>
      <c r="Z89">
        <v>18</v>
      </c>
      <c r="AA89">
        <v>43156.799999999996</v>
      </c>
      <c r="AB89">
        <v>12</v>
      </c>
      <c r="AC89">
        <v>28771.199999999997</v>
      </c>
      <c r="AD89">
        <v>14</v>
      </c>
      <c r="AE89">
        <v>33566.400000000001</v>
      </c>
      <c r="AF89">
        <v>15</v>
      </c>
      <c r="AG89">
        <v>35964</v>
      </c>
      <c r="AH89">
        <v>17</v>
      </c>
      <c r="AI89">
        <v>40759.199999999997</v>
      </c>
      <c r="AJ89">
        <v>10</v>
      </c>
      <c r="AK89">
        <v>23976</v>
      </c>
      <c r="AL89">
        <v>10</v>
      </c>
      <c r="AM89">
        <v>23976</v>
      </c>
      <c r="AN89">
        <v>12</v>
      </c>
      <c r="AO89">
        <v>28771.199999999997</v>
      </c>
      <c r="AP89">
        <v>15</v>
      </c>
      <c r="AQ89">
        <v>35964</v>
      </c>
      <c r="AR89">
        <v>21</v>
      </c>
      <c r="AS89">
        <v>50349.599999999999</v>
      </c>
      <c r="AT89">
        <v>19</v>
      </c>
      <c r="AU89">
        <v>45554.400000000001</v>
      </c>
      <c r="AV89">
        <v>18</v>
      </c>
      <c r="AW89">
        <v>43156.799999999996</v>
      </c>
      <c r="AX89">
        <v>15</v>
      </c>
      <c r="AY89">
        <v>35964</v>
      </c>
      <c r="AZ89">
        <v>13</v>
      </c>
      <c r="BA89">
        <v>31168.799999999999</v>
      </c>
      <c r="BB89">
        <v>14</v>
      </c>
      <c r="BC89">
        <v>33566.400000000001</v>
      </c>
      <c r="BD89">
        <v>20</v>
      </c>
      <c r="BE89">
        <v>47952</v>
      </c>
      <c r="BF89">
        <v>16</v>
      </c>
      <c r="BG89">
        <v>38361.599999999999</v>
      </c>
      <c r="BH89">
        <v>13</v>
      </c>
      <c r="BI89">
        <v>31168.799999999999</v>
      </c>
      <c r="BJ89">
        <v>11</v>
      </c>
      <c r="BK89">
        <v>26373.599999999999</v>
      </c>
      <c r="BL89">
        <v>13</v>
      </c>
      <c r="BM89">
        <v>31168.799999999999</v>
      </c>
      <c r="BN89">
        <v>14</v>
      </c>
      <c r="BO89">
        <v>33566.400000000001</v>
      </c>
      <c r="BP89">
        <v>19</v>
      </c>
      <c r="BQ89">
        <v>45554.400000000001</v>
      </c>
      <c r="BR89">
        <v>18</v>
      </c>
      <c r="BS89">
        <v>43156.799999999996</v>
      </c>
      <c r="BT89">
        <v>10</v>
      </c>
      <c r="BU89">
        <v>23976</v>
      </c>
      <c r="BV89">
        <v>16</v>
      </c>
      <c r="BW89">
        <v>38361.599999999999</v>
      </c>
      <c r="BX89">
        <v>18</v>
      </c>
      <c r="BY89">
        <v>43156.799999999996</v>
      </c>
      <c r="BZ89">
        <v>21</v>
      </c>
      <c r="CA89">
        <v>50349.599999999999</v>
      </c>
      <c r="CB89">
        <v>16</v>
      </c>
      <c r="CC89">
        <v>38361.599999999999</v>
      </c>
      <c r="CD89">
        <v>19</v>
      </c>
      <c r="CE89">
        <v>45554.400000000001</v>
      </c>
      <c r="CF89">
        <v>14</v>
      </c>
      <c r="CG89">
        <v>33566.400000000001</v>
      </c>
      <c r="CH89">
        <v>15</v>
      </c>
      <c r="CI89">
        <v>35964</v>
      </c>
      <c r="CJ89">
        <v>13</v>
      </c>
      <c r="CK89">
        <v>31168.799999999999</v>
      </c>
      <c r="CL89">
        <v>17</v>
      </c>
      <c r="CM89">
        <v>40759.199999999997</v>
      </c>
      <c r="CN89">
        <v>20</v>
      </c>
      <c r="CO89">
        <v>47952</v>
      </c>
      <c r="CP89">
        <v>17</v>
      </c>
      <c r="CQ89">
        <v>40759.199999999997</v>
      </c>
      <c r="CR89">
        <v>18</v>
      </c>
      <c r="CS89">
        <v>43156.799999999996</v>
      </c>
      <c r="CT89">
        <v>19</v>
      </c>
      <c r="CU89">
        <v>45554.400000000001</v>
      </c>
    </row>
    <row r="90" spans="2:99" x14ac:dyDescent="0.2">
      <c r="C90" s="118" t="s">
        <v>256</v>
      </c>
      <c r="D90">
        <v>0</v>
      </c>
      <c r="E90">
        <v>0</v>
      </c>
      <c r="F90">
        <v>0</v>
      </c>
      <c r="G90">
        <v>0</v>
      </c>
      <c r="H90">
        <v>7.9928291511214136</v>
      </c>
      <c r="I90">
        <v>17561.844210843967</v>
      </c>
      <c r="J90">
        <v>12</v>
      </c>
      <c r="K90">
        <v>26366.399999999998</v>
      </c>
      <c r="L90">
        <v>9</v>
      </c>
      <c r="M90">
        <v>19774.8</v>
      </c>
      <c r="N90">
        <v>14</v>
      </c>
      <c r="O90">
        <v>30760.799999999996</v>
      </c>
      <c r="P90">
        <v>10</v>
      </c>
      <c r="Q90">
        <v>21972</v>
      </c>
      <c r="R90">
        <v>15</v>
      </c>
      <c r="S90">
        <v>32958</v>
      </c>
      <c r="T90">
        <v>15</v>
      </c>
      <c r="U90">
        <v>32958</v>
      </c>
      <c r="V90">
        <v>10</v>
      </c>
      <c r="W90">
        <v>21972</v>
      </c>
      <c r="X90">
        <v>12</v>
      </c>
      <c r="Y90">
        <v>26366.399999999998</v>
      </c>
      <c r="Z90">
        <v>18</v>
      </c>
      <c r="AA90">
        <v>39549.599999999999</v>
      </c>
      <c r="AB90">
        <v>14</v>
      </c>
      <c r="AC90">
        <v>30760.799999999996</v>
      </c>
      <c r="AD90">
        <v>14</v>
      </c>
      <c r="AE90">
        <v>30760.799999999996</v>
      </c>
      <c r="AF90">
        <v>14</v>
      </c>
      <c r="AG90">
        <v>30760.799999999996</v>
      </c>
      <c r="AH90">
        <v>18</v>
      </c>
      <c r="AI90">
        <v>39549.599999999999</v>
      </c>
      <c r="AJ90">
        <v>11</v>
      </c>
      <c r="AK90">
        <v>24169.199999999997</v>
      </c>
      <c r="AL90">
        <v>11</v>
      </c>
      <c r="AM90">
        <v>24169.199999999997</v>
      </c>
      <c r="AN90">
        <v>13</v>
      </c>
      <c r="AO90">
        <v>28563.599999999999</v>
      </c>
      <c r="AP90">
        <v>17</v>
      </c>
      <c r="AQ90">
        <v>37352.399999999994</v>
      </c>
      <c r="AR90">
        <v>18</v>
      </c>
      <c r="AS90">
        <v>39549.599999999999</v>
      </c>
      <c r="AT90">
        <v>18</v>
      </c>
      <c r="AU90">
        <v>39549.599999999999</v>
      </c>
      <c r="AV90">
        <v>17</v>
      </c>
      <c r="AW90">
        <v>37352.399999999994</v>
      </c>
      <c r="AX90">
        <v>15</v>
      </c>
      <c r="AY90">
        <v>32958</v>
      </c>
      <c r="AZ90">
        <v>15</v>
      </c>
      <c r="BA90">
        <v>32958</v>
      </c>
      <c r="BB90">
        <v>13</v>
      </c>
      <c r="BC90">
        <v>28563.599999999999</v>
      </c>
      <c r="BD90">
        <v>21</v>
      </c>
      <c r="BE90">
        <v>46141.2</v>
      </c>
      <c r="BF90">
        <v>16</v>
      </c>
      <c r="BG90">
        <v>35155.199999999997</v>
      </c>
      <c r="BH90">
        <v>14</v>
      </c>
      <c r="BI90">
        <v>30760.799999999996</v>
      </c>
      <c r="BJ90">
        <v>11</v>
      </c>
      <c r="BK90">
        <v>24169.199999999997</v>
      </c>
      <c r="BL90">
        <v>15</v>
      </c>
      <c r="BM90">
        <v>32958</v>
      </c>
      <c r="BN90">
        <v>15</v>
      </c>
      <c r="BO90">
        <v>32958</v>
      </c>
      <c r="BP90">
        <v>20</v>
      </c>
      <c r="BQ90">
        <v>43944</v>
      </c>
      <c r="BR90">
        <v>17</v>
      </c>
      <c r="BS90">
        <v>37352.399999999994</v>
      </c>
      <c r="BT90">
        <v>10</v>
      </c>
      <c r="BU90">
        <v>21972</v>
      </c>
      <c r="BV90">
        <v>18</v>
      </c>
      <c r="BW90">
        <v>39549.599999999999</v>
      </c>
      <c r="BX90">
        <v>19</v>
      </c>
      <c r="BY90">
        <v>41746.799999999996</v>
      </c>
      <c r="BZ90">
        <v>21</v>
      </c>
      <c r="CA90">
        <v>46141.2</v>
      </c>
      <c r="CB90">
        <v>17</v>
      </c>
      <c r="CC90">
        <v>37352.399999999994</v>
      </c>
      <c r="CD90">
        <v>18</v>
      </c>
      <c r="CE90">
        <v>39549.599999999999</v>
      </c>
      <c r="CF90">
        <v>15</v>
      </c>
      <c r="CG90">
        <v>32958</v>
      </c>
      <c r="CH90">
        <v>17</v>
      </c>
      <c r="CI90">
        <v>37352.399999999994</v>
      </c>
      <c r="CJ90">
        <v>11</v>
      </c>
      <c r="CK90">
        <v>24169.199999999997</v>
      </c>
      <c r="CL90">
        <v>19</v>
      </c>
      <c r="CM90">
        <v>41746.799999999996</v>
      </c>
      <c r="CN90">
        <v>18</v>
      </c>
      <c r="CO90">
        <v>39549.599999999999</v>
      </c>
      <c r="CP90">
        <v>17</v>
      </c>
      <c r="CQ90">
        <v>37352.399999999994</v>
      </c>
      <c r="CR90">
        <v>19</v>
      </c>
      <c r="CS90">
        <v>41746.799999999996</v>
      </c>
      <c r="CT90">
        <v>20</v>
      </c>
      <c r="CU90">
        <v>43944</v>
      </c>
    </row>
    <row r="91" spans="2:99" x14ac:dyDescent="0.2">
      <c r="C91" s="118" t="s">
        <v>257</v>
      </c>
      <c r="D91">
        <v>0</v>
      </c>
      <c r="E91">
        <v>0</v>
      </c>
      <c r="F91">
        <v>0</v>
      </c>
      <c r="G91">
        <v>0</v>
      </c>
      <c r="H91">
        <v>7.9928291511214136</v>
      </c>
      <c r="I91">
        <v>18357.92999429566</v>
      </c>
      <c r="J91">
        <v>12</v>
      </c>
      <c r="K91">
        <v>27561.599999999999</v>
      </c>
      <c r="L91">
        <v>11</v>
      </c>
      <c r="M91">
        <v>25264.799999999996</v>
      </c>
      <c r="N91">
        <v>14</v>
      </c>
      <c r="O91">
        <v>32155.199999999997</v>
      </c>
      <c r="P91">
        <v>10</v>
      </c>
      <c r="Q91">
        <v>22967.999999999996</v>
      </c>
      <c r="R91">
        <v>16</v>
      </c>
      <c r="S91">
        <v>36748.799999999996</v>
      </c>
      <c r="T91">
        <v>15</v>
      </c>
      <c r="U91">
        <v>34451.999999999993</v>
      </c>
      <c r="V91">
        <v>10</v>
      </c>
      <c r="W91">
        <v>22967.999999999996</v>
      </c>
      <c r="X91">
        <v>13</v>
      </c>
      <c r="Y91">
        <v>29858.399999999998</v>
      </c>
      <c r="Z91">
        <v>16</v>
      </c>
      <c r="AA91">
        <v>36748.799999999996</v>
      </c>
      <c r="AB91">
        <v>14</v>
      </c>
      <c r="AC91">
        <v>32155.199999999997</v>
      </c>
      <c r="AD91">
        <v>16</v>
      </c>
      <c r="AE91">
        <v>36748.799999999996</v>
      </c>
      <c r="AF91">
        <v>14</v>
      </c>
      <c r="AG91">
        <v>32155.199999999997</v>
      </c>
      <c r="AH91">
        <v>19</v>
      </c>
      <c r="AI91">
        <v>43639.199999999997</v>
      </c>
      <c r="AJ91">
        <v>11</v>
      </c>
      <c r="AK91">
        <v>25264.799999999996</v>
      </c>
      <c r="AL91">
        <v>10</v>
      </c>
      <c r="AM91">
        <v>22967.999999999996</v>
      </c>
      <c r="AN91">
        <v>12</v>
      </c>
      <c r="AO91">
        <v>27561.599999999999</v>
      </c>
      <c r="AP91">
        <v>14</v>
      </c>
      <c r="AQ91">
        <v>32155.199999999997</v>
      </c>
      <c r="AR91">
        <v>20</v>
      </c>
      <c r="AS91">
        <v>45935.999999999993</v>
      </c>
      <c r="AT91">
        <v>21</v>
      </c>
      <c r="AU91">
        <v>48232.799999999996</v>
      </c>
      <c r="AV91">
        <v>17</v>
      </c>
      <c r="AW91">
        <v>39045.599999999999</v>
      </c>
      <c r="AX91">
        <v>16</v>
      </c>
      <c r="AY91">
        <v>36748.799999999996</v>
      </c>
      <c r="AZ91">
        <v>15</v>
      </c>
      <c r="BA91">
        <v>34451.999999999993</v>
      </c>
      <c r="BB91">
        <v>12</v>
      </c>
      <c r="BC91">
        <v>27561.599999999999</v>
      </c>
      <c r="BD91">
        <v>22</v>
      </c>
      <c r="BE91">
        <v>50529.599999999991</v>
      </c>
      <c r="BF91">
        <v>17</v>
      </c>
      <c r="BG91">
        <v>39045.599999999999</v>
      </c>
      <c r="BH91">
        <v>12</v>
      </c>
      <c r="BI91">
        <v>27561.599999999999</v>
      </c>
      <c r="BJ91">
        <v>13</v>
      </c>
      <c r="BK91">
        <v>29858.399999999998</v>
      </c>
      <c r="BL91">
        <v>14</v>
      </c>
      <c r="BM91">
        <v>32155.199999999997</v>
      </c>
      <c r="BN91">
        <v>15</v>
      </c>
      <c r="BO91">
        <v>34451.999999999993</v>
      </c>
      <c r="BP91">
        <v>19</v>
      </c>
      <c r="BQ91">
        <v>43639.199999999997</v>
      </c>
      <c r="BR91">
        <v>16</v>
      </c>
      <c r="BS91">
        <v>36748.799999999996</v>
      </c>
      <c r="BT91">
        <v>11</v>
      </c>
      <c r="BU91">
        <v>25264.799999999996</v>
      </c>
      <c r="BV91">
        <v>16</v>
      </c>
      <c r="BW91">
        <v>36748.799999999996</v>
      </c>
      <c r="BX91">
        <v>17</v>
      </c>
      <c r="BY91">
        <v>39045.599999999999</v>
      </c>
      <c r="BZ91">
        <v>18</v>
      </c>
      <c r="CA91">
        <v>41342.399999999994</v>
      </c>
      <c r="CB91">
        <v>18</v>
      </c>
      <c r="CC91">
        <v>41342.399999999994</v>
      </c>
      <c r="CD91">
        <v>17</v>
      </c>
      <c r="CE91">
        <v>39045.599999999999</v>
      </c>
      <c r="CF91">
        <v>15</v>
      </c>
      <c r="CG91">
        <v>34451.999999999993</v>
      </c>
      <c r="CH91">
        <v>16</v>
      </c>
      <c r="CI91">
        <v>36748.799999999996</v>
      </c>
      <c r="CJ91">
        <v>11</v>
      </c>
      <c r="CK91">
        <v>25264.799999999996</v>
      </c>
      <c r="CL91">
        <v>19</v>
      </c>
      <c r="CM91">
        <v>43639.199999999997</v>
      </c>
      <c r="CN91">
        <v>18</v>
      </c>
      <c r="CO91">
        <v>41342.399999999994</v>
      </c>
      <c r="CP91">
        <v>16</v>
      </c>
      <c r="CQ91">
        <v>36748.799999999996</v>
      </c>
      <c r="CR91">
        <v>19</v>
      </c>
      <c r="CS91">
        <v>43639.199999999997</v>
      </c>
      <c r="CT91">
        <v>18</v>
      </c>
      <c r="CU91">
        <v>41342.399999999994</v>
      </c>
    </row>
    <row r="92" spans="2:99" x14ac:dyDescent="0.2">
      <c r="C92" s="118" t="s">
        <v>258</v>
      </c>
      <c r="D92">
        <v>0</v>
      </c>
      <c r="E92">
        <v>0</v>
      </c>
      <c r="F92">
        <v>0</v>
      </c>
      <c r="G92">
        <v>0</v>
      </c>
      <c r="H92">
        <v>8.9331619924298167</v>
      </c>
      <c r="I92">
        <v>12692.236558844283</v>
      </c>
      <c r="J92">
        <v>16</v>
      </c>
      <c r="K92">
        <v>22732.799999999999</v>
      </c>
      <c r="L92">
        <v>10</v>
      </c>
      <c r="M92">
        <v>14208</v>
      </c>
      <c r="N92">
        <v>17</v>
      </c>
      <c r="O92">
        <v>24153.599999999999</v>
      </c>
      <c r="P92">
        <v>12</v>
      </c>
      <c r="Q92">
        <v>17049.599999999999</v>
      </c>
      <c r="R92">
        <v>17</v>
      </c>
      <c r="S92">
        <v>24153.599999999999</v>
      </c>
      <c r="T92">
        <v>15</v>
      </c>
      <c r="U92">
        <v>21312</v>
      </c>
      <c r="V92">
        <v>11</v>
      </c>
      <c r="W92">
        <v>15628.8</v>
      </c>
      <c r="X92">
        <v>14</v>
      </c>
      <c r="Y92">
        <v>19891.2</v>
      </c>
      <c r="Z92">
        <v>17</v>
      </c>
      <c r="AA92">
        <v>24153.599999999999</v>
      </c>
      <c r="AB92">
        <v>13</v>
      </c>
      <c r="AC92">
        <v>18470.399999999998</v>
      </c>
      <c r="AD92">
        <v>17</v>
      </c>
      <c r="AE92">
        <v>24153.599999999999</v>
      </c>
      <c r="AF92">
        <v>15</v>
      </c>
      <c r="AG92">
        <v>21312</v>
      </c>
      <c r="AH92">
        <v>19</v>
      </c>
      <c r="AI92">
        <v>26995.200000000001</v>
      </c>
      <c r="AJ92">
        <v>11</v>
      </c>
      <c r="AK92">
        <v>15628.8</v>
      </c>
      <c r="AL92">
        <v>12</v>
      </c>
      <c r="AM92">
        <v>17049.599999999999</v>
      </c>
      <c r="AN92">
        <v>13</v>
      </c>
      <c r="AO92">
        <v>18470.399999999998</v>
      </c>
      <c r="AP92">
        <v>15</v>
      </c>
      <c r="AQ92">
        <v>21312</v>
      </c>
      <c r="AR92">
        <v>20</v>
      </c>
      <c r="AS92">
        <v>28416</v>
      </c>
      <c r="AT92">
        <v>19</v>
      </c>
      <c r="AU92">
        <v>26995.200000000001</v>
      </c>
      <c r="AV92">
        <v>18</v>
      </c>
      <c r="AW92">
        <v>25574.399999999998</v>
      </c>
      <c r="AX92">
        <v>16</v>
      </c>
      <c r="AY92">
        <v>22732.799999999999</v>
      </c>
      <c r="AZ92">
        <v>16</v>
      </c>
      <c r="BA92">
        <v>22732.799999999999</v>
      </c>
      <c r="BB92">
        <v>14</v>
      </c>
      <c r="BC92">
        <v>19891.2</v>
      </c>
      <c r="BD92">
        <v>23</v>
      </c>
      <c r="BE92">
        <v>32678.399999999998</v>
      </c>
      <c r="BF92">
        <v>20</v>
      </c>
      <c r="BG92">
        <v>28416</v>
      </c>
      <c r="BH92">
        <v>13</v>
      </c>
      <c r="BI92">
        <v>18470.399999999998</v>
      </c>
      <c r="BJ92">
        <v>14</v>
      </c>
      <c r="BK92">
        <v>19891.2</v>
      </c>
      <c r="BL92">
        <v>15</v>
      </c>
      <c r="BM92">
        <v>21312</v>
      </c>
      <c r="BN92">
        <v>17</v>
      </c>
      <c r="BO92">
        <v>24153.599999999999</v>
      </c>
      <c r="BP92">
        <v>23</v>
      </c>
      <c r="BQ92">
        <v>32678.399999999998</v>
      </c>
      <c r="BR92">
        <v>18</v>
      </c>
      <c r="BS92">
        <v>25574.399999999998</v>
      </c>
      <c r="BT92">
        <v>10</v>
      </c>
      <c r="BU92">
        <v>14208</v>
      </c>
      <c r="BV92">
        <v>20</v>
      </c>
      <c r="BW92">
        <v>28416</v>
      </c>
      <c r="BX92">
        <v>20</v>
      </c>
      <c r="BY92">
        <v>28416</v>
      </c>
      <c r="BZ92">
        <v>22</v>
      </c>
      <c r="CA92">
        <v>31257.599999999999</v>
      </c>
      <c r="CB92">
        <v>20</v>
      </c>
      <c r="CC92">
        <v>28416</v>
      </c>
      <c r="CD92">
        <v>20</v>
      </c>
      <c r="CE92">
        <v>28416</v>
      </c>
      <c r="CF92">
        <v>15</v>
      </c>
      <c r="CG92">
        <v>21312</v>
      </c>
      <c r="CH92">
        <v>20</v>
      </c>
      <c r="CI92">
        <v>28416</v>
      </c>
      <c r="CJ92">
        <v>12</v>
      </c>
      <c r="CK92">
        <v>17049.599999999999</v>
      </c>
      <c r="CL92">
        <v>20</v>
      </c>
      <c r="CM92">
        <v>28416</v>
      </c>
      <c r="CN92">
        <v>21</v>
      </c>
      <c r="CO92">
        <v>29836.799999999999</v>
      </c>
      <c r="CP92">
        <v>17</v>
      </c>
      <c r="CQ92">
        <v>24153.599999999999</v>
      </c>
      <c r="CR92">
        <v>18</v>
      </c>
      <c r="CS92">
        <v>25574.399999999998</v>
      </c>
      <c r="CT92">
        <v>18</v>
      </c>
      <c r="CU92">
        <v>25574.399999999998</v>
      </c>
    </row>
    <row r="93" spans="2:99" x14ac:dyDescent="0.2">
      <c r="C93" s="118" t="s">
        <v>259</v>
      </c>
      <c r="D93">
        <v>0</v>
      </c>
      <c r="E93">
        <v>0</v>
      </c>
      <c r="F93">
        <v>0</v>
      </c>
      <c r="G93">
        <v>0</v>
      </c>
      <c r="H93">
        <v>7.9928291511214136</v>
      </c>
      <c r="I93">
        <v>14166.490387447593</v>
      </c>
      <c r="J93">
        <v>15</v>
      </c>
      <c r="K93">
        <v>26585.999999999996</v>
      </c>
      <c r="L93">
        <v>11</v>
      </c>
      <c r="M93">
        <v>19496.399999999998</v>
      </c>
      <c r="N93">
        <v>17</v>
      </c>
      <c r="O93">
        <v>30130.799999999999</v>
      </c>
      <c r="P93">
        <v>11</v>
      </c>
      <c r="Q93">
        <v>19496.399999999998</v>
      </c>
      <c r="R93">
        <v>16</v>
      </c>
      <c r="S93">
        <v>28358.399999999998</v>
      </c>
      <c r="T93">
        <v>17</v>
      </c>
      <c r="U93">
        <v>30130.799999999999</v>
      </c>
      <c r="V93">
        <v>10</v>
      </c>
      <c r="W93">
        <v>17724</v>
      </c>
      <c r="X93">
        <v>15</v>
      </c>
      <c r="Y93">
        <v>26585.999999999996</v>
      </c>
      <c r="Z93">
        <v>17</v>
      </c>
      <c r="AA93">
        <v>30130.799999999999</v>
      </c>
      <c r="AB93">
        <v>13</v>
      </c>
      <c r="AC93">
        <v>23041.199999999997</v>
      </c>
      <c r="AD93">
        <v>14</v>
      </c>
      <c r="AE93">
        <v>24813.599999999999</v>
      </c>
      <c r="AF93">
        <v>15</v>
      </c>
      <c r="AG93">
        <v>26585.999999999996</v>
      </c>
      <c r="AH93">
        <v>19</v>
      </c>
      <c r="AI93">
        <v>33675.599999999999</v>
      </c>
      <c r="AJ93">
        <v>11</v>
      </c>
      <c r="AK93">
        <v>19496.399999999998</v>
      </c>
      <c r="AL93">
        <v>12</v>
      </c>
      <c r="AM93">
        <v>21268.799999999999</v>
      </c>
      <c r="AN93">
        <v>12</v>
      </c>
      <c r="AO93">
        <v>21268.799999999999</v>
      </c>
      <c r="AP93">
        <v>15</v>
      </c>
      <c r="AQ93">
        <v>26585.999999999996</v>
      </c>
      <c r="AR93">
        <v>20</v>
      </c>
      <c r="AS93">
        <v>35448</v>
      </c>
      <c r="AT93">
        <v>22</v>
      </c>
      <c r="AU93">
        <v>38992.799999999996</v>
      </c>
      <c r="AV93">
        <v>19</v>
      </c>
      <c r="AW93">
        <v>33675.599999999999</v>
      </c>
      <c r="AX93">
        <v>16</v>
      </c>
      <c r="AY93">
        <v>28358.399999999998</v>
      </c>
      <c r="AZ93">
        <v>15</v>
      </c>
      <c r="BA93">
        <v>26585.999999999996</v>
      </c>
      <c r="BB93">
        <v>13</v>
      </c>
      <c r="BC93">
        <v>23041.199999999997</v>
      </c>
      <c r="BD93">
        <v>21</v>
      </c>
      <c r="BE93">
        <v>37220.399999999994</v>
      </c>
      <c r="BF93">
        <v>18</v>
      </c>
      <c r="BG93">
        <v>31903.199999999997</v>
      </c>
      <c r="BH93">
        <v>13</v>
      </c>
      <c r="BI93">
        <v>23041.199999999997</v>
      </c>
      <c r="BJ93">
        <v>14</v>
      </c>
      <c r="BK93">
        <v>24813.599999999999</v>
      </c>
      <c r="BL93">
        <v>15</v>
      </c>
      <c r="BM93">
        <v>26585.999999999996</v>
      </c>
      <c r="BN93">
        <v>16</v>
      </c>
      <c r="BO93">
        <v>28358.399999999998</v>
      </c>
      <c r="BP93">
        <v>23</v>
      </c>
      <c r="BQ93">
        <v>40765.199999999997</v>
      </c>
      <c r="BR93">
        <v>18</v>
      </c>
      <c r="BS93">
        <v>31903.199999999997</v>
      </c>
      <c r="BT93">
        <v>10</v>
      </c>
      <c r="BU93">
        <v>17724</v>
      </c>
      <c r="BV93">
        <v>16</v>
      </c>
      <c r="BW93">
        <v>28358.399999999998</v>
      </c>
      <c r="BX93">
        <v>18</v>
      </c>
      <c r="BY93">
        <v>31903.199999999997</v>
      </c>
      <c r="BZ93">
        <v>22</v>
      </c>
      <c r="CA93">
        <v>38992.799999999996</v>
      </c>
      <c r="CB93">
        <v>19</v>
      </c>
      <c r="CC93">
        <v>33675.599999999999</v>
      </c>
      <c r="CD93">
        <v>19</v>
      </c>
      <c r="CE93">
        <v>33675.599999999999</v>
      </c>
      <c r="CF93">
        <v>17</v>
      </c>
      <c r="CG93">
        <v>30130.799999999999</v>
      </c>
      <c r="CH93">
        <v>17</v>
      </c>
      <c r="CI93">
        <v>30130.799999999999</v>
      </c>
      <c r="CJ93">
        <v>13</v>
      </c>
      <c r="CK93">
        <v>23041.199999999997</v>
      </c>
      <c r="CL93">
        <v>22</v>
      </c>
      <c r="CM93">
        <v>38992.799999999996</v>
      </c>
      <c r="CN93">
        <v>19</v>
      </c>
      <c r="CO93">
        <v>33675.599999999999</v>
      </c>
      <c r="CP93">
        <v>17</v>
      </c>
      <c r="CQ93">
        <v>30130.799999999999</v>
      </c>
      <c r="CR93">
        <v>17</v>
      </c>
      <c r="CS93">
        <v>30130.799999999999</v>
      </c>
      <c r="CT93">
        <v>19</v>
      </c>
      <c r="CU93">
        <v>33675.599999999999</v>
      </c>
    </row>
    <row r="94" spans="2:99" x14ac:dyDescent="0.2">
      <c r="C94" s="118" t="s">
        <v>260</v>
      </c>
      <c r="D94">
        <v>0</v>
      </c>
      <c r="E94">
        <v>0</v>
      </c>
      <c r="F94">
        <v>0</v>
      </c>
      <c r="G94">
        <v>0</v>
      </c>
      <c r="H94">
        <v>7.5226627304672133</v>
      </c>
      <c r="I94">
        <v>18018.281772015067</v>
      </c>
      <c r="J94">
        <v>14</v>
      </c>
      <c r="K94">
        <v>33532.799999999996</v>
      </c>
      <c r="L94">
        <v>11</v>
      </c>
      <c r="M94">
        <v>26347.199999999997</v>
      </c>
      <c r="N94">
        <v>14</v>
      </c>
      <c r="O94">
        <v>33532.799999999996</v>
      </c>
      <c r="P94">
        <v>10</v>
      </c>
      <c r="Q94">
        <v>23952</v>
      </c>
      <c r="R94">
        <v>16</v>
      </c>
      <c r="S94">
        <v>38323.199999999997</v>
      </c>
      <c r="T94">
        <v>13</v>
      </c>
      <c r="U94">
        <v>31137.599999999999</v>
      </c>
      <c r="V94">
        <v>10</v>
      </c>
      <c r="W94">
        <v>23952</v>
      </c>
      <c r="X94">
        <v>13</v>
      </c>
      <c r="Y94">
        <v>31137.599999999999</v>
      </c>
      <c r="Z94">
        <v>17</v>
      </c>
      <c r="AA94">
        <v>40718.399999999994</v>
      </c>
      <c r="AB94">
        <v>13</v>
      </c>
      <c r="AC94">
        <v>31137.599999999999</v>
      </c>
      <c r="AD94">
        <v>13</v>
      </c>
      <c r="AE94">
        <v>31137.599999999999</v>
      </c>
      <c r="AF94">
        <v>14</v>
      </c>
      <c r="AG94">
        <v>33532.799999999996</v>
      </c>
      <c r="AH94">
        <v>17</v>
      </c>
      <c r="AI94">
        <v>40718.399999999994</v>
      </c>
      <c r="AJ94">
        <v>11</v>
      </c>
      <c r="AK94">
        <v>26347.199999999997</v>
      </c>
      <c r="AL94">
        <v>11</v>
      </c>
      <c r="AM94">
        <v>26347.199999999997</v>
      </c>
      <c r="AN94">
        <v>13</v>
      </c>
      <c r="AO94">
        <v>31137.599999999999</v>
      </c>
      <c r="AP94">
        <v>14</v>
      </c>
      <c r="AQ94">
        <v>33532.799999999996</v>
      </c>
      <c r="AR94">
        <v>18</v>
      </c>
      <c r="AS94">
        <v>43113.599999999999</v>
      </c>
      <c r="AT94">
        <v>20</v>
      </c>
      <c r="AU94">
        <v>47904</v>
      </c>
      <c r="AV94">
        <v>19</v>
      </c>
      <c r="AW94">
        <v>45508.799999999996</v>
      </c>
      <c r="AX94">
        <v>14</v>
      </c>
      <c r="AY94">
        <v>33532.799999999996</v>
      </c>
      <c r="AZ94">
        <v>14</v>
      </c>
      <c r="BA94">
        <v>33532.799999999996</v>
      </c>
      <c r="BB94">
        <v>13</v>
      </c>
      <c r="BC94">
        <v>31137.599999999999</v>
      </c>
      <c r="BD94">
        <v>20</v>
      </c>
      <c r="BE94">
        <v>47904</v>
      </c>
      <c r="BF94">
        <v>16</v>
      </c>
      <c r="BG94">
        <v>38323.199999999997</v>
      </c>
      <c r="BH94">
        <v>13</v>
      </c>
      <c r="BI94">
        <v>31137.599999999999</v>
      </c>
      <c r="BJ94">
        <v>11</v>
      </c>
      <c r="BK94">
        <v>26347.199999999997</v>
      </c>
      <c r="BL94">
        <v>15</v>
      </c>
      <c r="BM94">
        <v>35928</v>
      </c>
      <c r="BN94">
        <v>15</v>
      </c>
      <c r="BO94">
        <v>35928</v>
      </c>
      <c r="BP94">
        <v>19</v>
      </c>
      <c r="BQ94">
        <v>45508.799999999996</v>
      </c>
      <c r="BR94">
        <v>15</v>
      </c>
      <c r="BS94">
        <v>35928</v>
      </c>
      <c r="BT94">
        <v>11</v>
      </c>
      <c r="BU94">
        <v>26347.199999999997</v>
      </c>
      <c r="BV94">
        <v>18</v>
      </c>
      <c r="BW94">
        <v>43113.599999999999</v>
      </c>
      <c r="BX94">
        <v>18</v>
      </c>
      <c r="BY94">
        <v>43113.599999999999</v>
      </c>
      <c r="BZ94">
        <v>20</v>
      </c>
      <c r="CA94">
        <v>47904</v>
      </c>
      <c r="CB94">
        <v>17</v>
      </c>
      <c r="CC94">
        <v>40718.399999999994</v>
      </c>
      <c r="CD94">
        <v>20</v>
      </c>
      <c r="CE94">
        <v>47904</v>
      </c>
      <c r="CF94">
        <v>14</v>
      </c>
      <c r="CG94">
        <v>33532.799999999996</v>
      </c>
      <c r="CH94">
        <v>17</v>
      </c>
      <c r="CI94">
        <v>40718.399999999994</v>
      </c>
      <c r="CJ94">
        <v>12</v>
      </c>
      <c r="CK94">
        <v>28742.399999999998</v>
      </c>
      <c r="CL94">
        <v>20</v>
      </c>
      <c r="CM94">
        <v>47904</v>
      </c>
      <c r="CN94">
        <v>18</v>
      </c>
      <c r="CO94">
        <v>43113.599999999999</v>
      </c>
      <c r="CP94">
        <v>14</v>
      </c>
      <c r="CQ94">
        <v>33532.799999999996</v>
      </c>
      <c r="CR94">
        <v>18</v>
      </c>
      <c r="CS94">
        <v>43113.599999999999</v>
      </c>
      <c r="CT94">
        <v>17</v>
      </c>
      <c r="CU94">
        <v>40718.399999999994</v>
      </c>
    </row>
    <row r="95" spans="2:99" x14ac:dyDescent="0.2">
      <c r="B95" s="118" t="s">
        <v>132</v>
      </c>
      <c r="C95" s="118" t="s">
        <v>261</v>
      </c>
      <c r="D95">
        <v>0</v>
      </c>
      <c r="E95">
        <v>0</v>
      </c>
      <c r="F95">
        <v>0</v>
      </c>
      <c r="G95">
        <v>0</v>
      </c>
      <c r="H95">
        <v>7.5226627304672133</v>
      </c>
      <c r="I95">
        <v>13035.269979353587</v>
      </c>
      <c r="J95">
        <v>11</v>
      </c>
      <c r="K95">
        <v>19060.8</v>
      </c>
      <c r="L95">
        <v>12</v>
      </c>
      <c r="M95">
        <v>20793.599999999999</v>
      </c>
      <c r="N95">
        <v>14</v>
      </c>
      <c r="O95">
        <v>24259.200000000001</v>
      </c>
      <c r="P95">
        <v>19</v>
      </c>
      <c r="Q95">
        <v>32923.199999999997</v>
      </c>
      <c r="R95">
        <v>20</v>
      </c>
      <c r="S95">
        <v>34656</v>
      </c>
      <c r="T95">
        <v>16</v>
      </c>
      <c r="U95">
        <v>27724.799999999999</v>
      </c>
      <c r="V95">
        <v>16</v>
      </c>
      <c r="W95">
        <v>27724.799999999999</v>
      </c>
      <c r="X95">
        <v>18</v>
      </c>
      <c r="Y95">
        <v>31190.399999999998</v>
      </c>
      <c r="Z95">
        <v>16</v>
      </c>
      <c r="AA95">
        <v>27724.799999999999</v>
      </c>
      <c r="AB95">
        <v>20</v>
      </c>
      <c r="AC95">
        <v>34656</v>
      </c>
      <c r="AD95">
        <v>11</v>
      </c>
      <c r="AE95">
        <v>19060.8</v>
      </c>
      <c r="AF95">
        <v>13</v>
      </c>
      <c r="AG95">
        <v>22526.399999999998</v>
      </c>
      <c r="AH95">
        <v>12</v>
      </c>
      <c r="AI95">
        <v>20793.599999999999</v>
      </c>
      <c r="AJ95">
        <v>14</v>
      </c>
      <c r="AK95">
        <v>24259.200000000001</v>
      </c>
      <c r="AL95">
        <v>13</v>
      </c>
      <c r="AM95">
        <v>22526.399999999998</v>
      </c>
      <c r="AN95">
        <v>18</v>
      </c>
      <c r="AO95">
        <v>31190.399999999998</v>
      </c>
      <c r="AP95">
        <v>14</v>
      </c>
      <c r="AQ95">
        <v>24259.200000000001</v>
      </c>
      <c r="AR95">
        <v>19</v>
      </c>
      <c r="AS95">
        <v>32923.199999999997</v>
      </c>
      <c r="AT95">
        <v>15</v>
      </c>
      <c r="AU95">
        <v>25992</v>
      </c>
      <c r="AV95">
        <v>11</v>
      </c>
      <c r="AW95">
        <v>19060.8</v>
      </c>
      <c r="AX95">
        <v>13</v>
      </c>
      <c r="AY95">
        <v>22526.399999999998</v>
      </c>
      <c r="AZ95">
        <v>16</v>
      </c>
      <c r="BA95">
        <v>27724.799999999999</v>
      </c>
      <c r="BB95">
        <v>17</v>
      </c>
      <c r="BC95">
        <v>29457.599999999999</v>
      </c>
      <c r="BD95">
        <v>12</v>
      </c>
      <c r="BE95">
        <v>20793.599999999999</v>
      </c>
      <c r="BF95">
        <v>17</v>
      </c>
      <c r="BG95">
        <v>29457.599999999999</v>
      </c>
      <c r="BH95">
        <v>14</v>
      </c>
      <c r="BI95">
        <v>24259.200000000001</v>
      </c>
      <c r="BJ95">
        <v>11</v>
      </c>
      <c r="BK95">
        <v>19060.8</v>
      </c>
      <c r="BL95">
        <v>15</v>
      </c>
      <c r="BM95">
        <v>25992</v>
      </c>
      <c r="BN95">
        <v>14</v>
      </c>
      <c r="BO95">
        <v>24259.200000000001</v>
      </c>
      <c r="BP95">
        <v>14</v>
      </c>
      <c r="BQ95">
        <v>24259.200000000001</v>
      </c>
      <c r="BR95">
        <v>16</v>
      </c>
      <c r="BS95">
        <v>27724.799999999999</v>
      </c>
      <c r="BT95">
        <v>18</v>
      </c>
      <c r="BU95">
        <v>31190.399999999998</v>
      </c>
      <c r="BV95">
        <v>20</v>
      </c>
      <c r="BW95">
        <v>34656</v>
      </c>
      <c r="BX95">
        <v>11</v>
      </c>
      <c r="BY95">
        <v>19060.8</v>
      </c>
      <c r="BZ95">
        <v>18</v>
      </c>
      <c r="CA95">
        <v>31190.399999999998</v>
      </c>
      <c r="CB95">
        <v>14</v>
      </c>
      <c r="CC95">
        <v>24259.200000000001</v>
      </c>
      <c r="CD95">
        <v>11</v>
      </c>
      <c r="CE95">
        <v>19060.8</v>
      </c>
      <c r="CF95">
        <v>18</v>
      </c>
      <c r="CG95">
        <v>31190.399999999998</v>
      </c>
      <c r="CH95">
        <v>11</v>
      </c>
      <c r="CI95">
        <v>19060.8</v>
      </c>
      <c r="CJ95">
        <v>11</v>
      </c>
      <c r="CK95">
        <v>19060.8</v>
      </c>
      <c r="CL95">
        <v>17</v>
      </c>
      <c r="CM95">
        <v>29457.599999999999</v>
      </c>
      <c r="CN95">
        <v>15</v>
      </c>
      <c r="CO95">
        <v>25992</v>
      </c>
      <c r="CP95">
        <v>18</v>
      </c>
      <c r="CQ95">
        <v>31190.399999999998</v>
      </c>
      <c r="CR95">
        <v>19</v>
      </c>
      <c r="CS95">
        <v>32923.199999999997</v>
      </c>
      <c r="CT95">
        <v>15</v>
      </c>
      <c r="CU95">
        <v>25992</v>
      </c>
    </row>
    <row r="96" spans="2:99" x14ac:dyDescent="0.2">
      <c r="C96" s="118" t="s">
        <v>262</v>
      </c>
      <c r="D96">
        <v>0</v>
      </c>
      <c r="E96">
        <v>0</v>
      </c>
      <c r="F96">
        <v>0</v>
      </c>
      <c r="G96">
        <v>0</v>
      </c>
      <c r="H96">
        <v>7.0524963098130122</v>
      </c>
      <c r="I96">
        <v>5805.6149622380708</v>
      </c>
      <c r="J96">
        <v>12</v>
      </c>
      <c r="K96">
        <v>9878.4</v>
      </c>
      <c r="L96">
        <v>13</v>
      </c>
      <c r="M96">
        <v>10701.599999999999</v>
      </c>
      <c r="N96">
        <v>15</v>
      </c>
      <c r="O96">
        <v>12347.999999999998</v>
      </c>
      <c r="P96">
        <v>19</v>
      </c>
      <c r="Q96">
        <v>15640.8</v>
      </c>
      <c r="R96">
        <v>22</v>
      </c>
      <c r="S96">
        <v>18110.399999999998</v>
      </c>
      <c r="T96">
        <v>21</v>
      </c>
      <c r="U96">
        <v>17287.199999999997</v>
      </c>
      <c r="V96">
        <v>17</v>
      </c>
      <c r="W96">
        <v>13994.4</v>
      </c>
      <c r="X96">
        <v>21</v>
      </c>
      <c r="Y96">
        <v>17287.199999999997</v>
      </c>
      <c r="Z96">
        <v>15</v>
      </c>
      <c r="AA96">
        <v>12347.999999999998</v>
      </c>
      <c r="AB96">
        <v>19</v>
      </c>
      <c r="AC96">
        <v>15640.8</v>
      </c>
      <c r="AD96">
        <v>12</v>
      </c>
      <c r="AE96">
        <v>9878.4</v>
      </c>
      <c r="AF96">
        <v>15</v>
      </c>
      <c r="AG96">
        <v>12347.999999999998</v>
      </c>
      <c r="AH96">
        <v>13</v>
      </c>
      <c r="AI96">
        <v>10701.599999999999</v>
      </c>
      <c r="AJ96">
        <v>18</v>
      </c>
      <c r="AK96">
        <v>14817.599999999999</v>
      </c>
      <c r="AL96">
        <v>13</v>
      </c>
      <c r="AM96">
        <v>10701.599999999999</v>
      </c>
      <c r="AN96">
        <v>21</v>
      </c>
      <c r="AO96">
        <v>17287.199999999997</v>
      </c>
      <c r="AP96">
        <v>15</v>
      </c>
      <c r="AQ96">
        <v>12347.999999999998</v>
      </c>
      <c r="AR96">
        <v>20</v>
      </c>
      <c r="AS96">
        <v>16464</v>
      </c>
      <c r="AT96">
        <v>15</v>
      </c>
      <c r="AU96">
        <v>12347.999999999998</v>
      </c>
      <c r="AV96">
        <v>14</v>
      </c>
      <c r="AW96">
        <v>11524.8</v>
      </c>
      <c r="AX96">
        <v>13</v>
      </c>
      <c r="AY96">
        <v>10701.599999999999</v>
      </c>
      <c r="AZ96">
        <v>17</v>
      </c>
      <c r="BA96">
        <v>13994.4</v>
      </c>
      <c r="BB96">
        <v>20</v>
      </c>
      <c r="BC96">
        <v>16464</v>
      </c>
      <c r="BD96">
        <v>14</v>
      </c>
      <c r="BE96">
        <v>11524.8</v>
      </c>
      <c r="BF96">
        <v>20</v>
      </c>
      <c r="BG96">
        <v>16464</v>
      </c>
      <c r="BH96">
        <v>13</v>
      </c>
      <c r="BI96">
        <v>10701.599999999999</v>
      </c>
      <c r="BJ96">
        <v>13</v>
      </c>
      <c r="BK96">
        <v>10701.599999999999</v>
      </c>
      <c r="BL96">
        <v>18</v>
      </c>
      <c r="BM96">
        <v>14817.599999999999</v>
      </c>
      <c r="BN96">
        <v>15</v>
      </c>
      <c r="BO96">
        <v>12347.999999999998</v>
      </c>
      <c r="BP96">
        <v>15</v>
      </c>
      <c r="BQ96">
        <v>12347.999999999998</v>
      </c>
      <c r="BR96">
        <v>17</v>
      </c>
      <c r="BS96">
        <v>13994.4</v>
      </c>
      <c r="BT96">
        <v>21</v>
      </c>
      <c r="BU96">
        <v>17287.199999999997</v>
      </c>
      <c r="BV96">
        <v>22</v>
      </c>
      <c r="BW96">
        <v>18110.399999999998</v>
      </c>
      <c r="BX96">
        <v>11</v>
      </c>
      <c r="BY96">
        <v>9055.1999999999989</v>
      </c>
      <c r="BZ96">
        <v>22</v>
      </c>
      <c r="CA96">
        <v>18110.399999999998</v>
      </c>
      <c r="CB96">
        <v>16</v>
      </c>
      <c r="CC96">
        <v>13171.199999999999</v>
      </c>
      <c r="CD96">
        <v>12</v>
      </c>
      <c r="CE96">
        <v>9878.4</v>
      </c>
      <c r="CF96">
        <v>23</v>
      </c>
      <c r="CG96">
        <v>18933.599999999999</v>
      </c>
      <c r="CH96">
        <v>12</v>
      </c>
      <c r="CI96">
        <v>9878.4</v>
      </c>
      <c r="CJ96">
        <v>15</v>
      </c>
      <c r="CK96">
        <v>12347.999999999998</v>
      </c>
      <c r="CL96">
        <v>22</v>
      </c>
      <c r="CM96">
        <v>18110.399999999998</v>
      </c>
      <c r="CN96">
        <v>16</v>
      </c>
      <c r="CO96">
        <v>13171.199999999999</v>
      </c>
      <c r="CP96">
        <v>20</v>
      </c>
      <c r="CQ96">
        <v>16464</v>
      </c>
      <c r="CR96">
        <v>19</v>
      </c>
      <c r="CS96">
        <v>15640.8</v>
      </c>
      <c r="CT96">
        <v>15</v>
      </c>
      <c r="CU96">
        <v>12347.999999999998</v>
      </c>
    </row>
    <row r="97" spans="2:99" x14ac:dyDescent="0.2">
      <c r="C97" s="118" t="s">
        <v>263</v>
      </c>
      <c r="D97">
        <v>0</v>
      </c>
      <c r="E97">
        <v>0</v>
      </c>
      <c r="F97">
        <v>0</v>
      </c>
      <c r="G97">
        <v>0</v>
      </c>
      <c r="H97">
        <v>7.0524963098130122</v>
      </c>
      <c r="I97">
        <v>12897.605251386036</v>
      </c>
      <c r="J97">
        <v>10</v>
      </c>
      <c r="K97">
        <v>18288</v>
      </c>
      <c r="L97">
        <v>11</v>
      </c>
      <c r="M97">
        <v>20116.8</v>
      </c>
      <c r="N97">
        <v>12</v>
      </c>
      <c r="O97">
        <v>21945.599999999999</v>
      </c>
      <c r="P97">
        <v>17</v>
      </c>
      <c r="Q97">
        <v>31089.599999999999</v>
      </c>
      <c r="R97">
        <v>18</v>
      </c>
      <c r="S97">
        <v>32918.400000000001</v>
      </c>
      <c r="T97">
        <v>17</v>
      </c>
      <c r="U97">
        <v>31089.599999999999</v>
      </c>
      <c r="V97">
        <v>15</v>
      </c>
      <c r="W97">
        <v>27432</v>
      </c>
      <c r="X97">
        <v>17</v>
      </c>
      <c r="Y97">
        <v>31089.599999999999</v>
      </c>
      <c r="Z97">
        <v>16</v>
      </c>
      <c r="AA97">
        <v>29260.799999999999</v>
      </c>
      <c r="AB97">
        <v>21</v>
      </c>
      <c r="AC97">
        <v>38404.799999999996</v>
      </c>
      <c r="AD97">
        <v>12</v>
      </c>
      <c r="AE97">
        <v>21945.599999999999</v>
      </c>
      <c r="AF97">
        <v>13</v>
      </c>
      <c r="AG97">
        <v>23774.399999999998</v>
      </c>
      <c r="AH97">
        <v>11</v>
      </c>
      <c r="AI97">
        <v>20116.8</v>
      </c>
      <c r="AJ97">
        <v>15</v>
      </c>
      <c r="AK97">
        <v>27432</v>
      </c>
      <c r="AL97">
        <v>13</v>
      </c>
      <c r="AM97">
        <v>23774.399999999998</v>
      </c>
      <c r="AN97">
        <v>20</v>
      </c>
      <c r="AO97">
        <v>36576</v>
      </c>
      <c r="AP97">
        <v>14</v>
      </c>
      <c r="AQ97">
        <v>25603.200000000001</v>
      </c>
      <c r="AR97">
        <v>18</v>
      </c>
      <c r="AS97">
        <v>32918.400000000001</v>
      </c>
      <c r="AT97">
        <v>15</v>
      </c>
      <c r="AU97">
        <v>27432</v>
      </c>
      <c r="AV97">
        <v>12</v>
      </c>
      <c r="AW97">
        <v>21945.599999999999</v>
      </c>
      <c r="AX97">
        <v>11</v>
      </c>
      <c r="AY97">
        <v>20116.8</v>
      </c>
      <c r="AZ97">
        <v>16</v>
      </c>
      <c r="BA97">
        <v>29260.799999999999</v>
      </c>
      <c r="BB97">
        <v>18</v>
      </c>
      <c r="BC97">
        <v>32918.400000000001</v>
      </c>
      <c r="BD97">
        <v>13</v>
      </c>
      <c r="BE97">
        <v>23774.399999999998</v>
      </c>
      <c r="BF97">
        <v>17</v>
      </c>
      <c r="BG97">
        <v>31089.599999999999</v>
      </c>
      <c r="BH97">
        <v>13</v>
      </c>
      <c r="BI97">
        <v>23774.399999999998</v>
      </c>
      <c r="BJ97">
        <v>12</v>
      </c>
      <c r="BK97">
        <v>21945.599999999999</v>
      </c>
      <c r="BL97">
        <v>16</v>
      </c>
      <c r="BM97">
        <v>29260.799999999999</v>
      </c>
      <c r="BN97">
        <v>15</v>
      </c>
      <c r="BO97">
        <v>27432</v>
      </c>
      <c r="BP97">
        <v>16</v>
      </c>
      <c r="BQ97">
        <v>29260.799999999999</v>
      </c>
      <c r="BR97">
        <v>14</v>
      </c>
      <c r="BS97">
        <v>25603.200000000001</v>
      </c>
      <c r="BT97">
        <v>16</v>
      </c>
      <c r="BU97">
        <v>29260.799999999999</v>
      </c>
      <c r="BV97">
        <v>21</v>
      </c>
      <c r="BW97">
        <v>38404.799999999996</v>
      </c>
      <c r="BX97">
        <v>10</v>
      </c>
      <c r="BY97">
        <v>18288</v>
      </c>
      <c r="BZ97">
        <v>20</v>
      </c>
      <c r="CA97">
        <v>36576</v>
      </c>
      <c r="CB97">
        <v>12</v>
      </c>
      <c r="CC97">
        <v>21945.599999999999</v>
      </c>
      <c r="CD97">
        <v>10</v>
      </c>
      <c r="CE97">
        <v>18288</v>
      </c>
      <c r="CF97">
        <v>20</v>
      </c>
      <c r="CG97">
        <v>36576</v>
      </c>
      <c r="CH97">
        <v>11</v>
      </c>
      <c r="CI97">
        <v>20116.8</v>
      </c>
      <c r="CJ97">
        <v>13</v>
      </c>
      <c r="CK97">
        <v>23774.399999999998</v>
      </c>
      <c r="CL97">
        <v>17</v>
      </c>
      <c r="CM97">
        <v>31089.599999999999</v>
      </c>
      <c r="CN97">
        <v>14</v>
      </c>
      <c r="CO97">
        <v>25603.200000000001</v>
      </c>
      <c r="CP97">
        <v>18</v>
      </c>
      <c r="CQ97">
        <v>32918.400000000001</v>
      </c>
      <c r="CR97">
        <v>19</v>
      </c>
      <c r="CS97">
        <v>34747.199999999997</v>
      </c>
      <c r="CT97">
        <v>15</v>
      </c>
      <c r="CU97">
        <v>27432</v>
      </c>
    </row>
    <row r="98" spans="2:99" x14ac:dyDescent="0.2">
      <c r="C98" s="118" t="s">
        <v>264</v>
      </c>
      <c r="D98">
        <v>0</v>
      </c>
      <c r="E98">
        <v>0</v>
      </c>
      <c r="F98">
        <v>0</v>
      </c>
      <c r="G98">
        <v>0</v>
      </c>
      <c r="H98">
        <v>6.582329889158812</v>
      </c>
      <c r="I98">
        <v>8317.4320479410744</v>
      </c>
      <c r="J98">
        <v>11</v>
      </c>
      <c r="K98">
        <v>13899.599999999999</v>
      </c>
      <c r="L98">
        <v>11</v>
      </c>
      <c r="M98">
        <v>13899.599999999999</v>
      </c>
      <c r="N98">
        <v>16</v>
      </c>
      <c r="O98">
        <v>20217.599999999999</v>
      </c>
      <c r="P98">
        <v>22</v>
      </c>
      <c r="Q98">
        <v>27799.199999999997</v>
      </c>
      <c r="R98">
        <v>21</v>
      </c>
      <c r="S98">
        <v>26535.599999999999</v>
      </c>
      <c r="T98">
        <v>20</v>
      </c>
      <c r="U98">
        <v>25272</v>
      </c>
      <c r="V98">
        <v>15</v>
      </c>
      <c r="W98">
        <v>18954</v>
      </c>
      <c r="X98">
        <v>20</v>
      </c>
      <c r="Y98">
        <v>25272</v>
      </c>
      <c r="Z98">
        <v>16</v>
      </c>
      <c r="AA98">
        <v>20217.599999999999</v>
      </c>
      <c r="AB98">
        <v>22</v>
      </c>
      <c r="AC98">
        <v>27799.199999999997</v>
      </c>
      <c r="AD98">
        <v>12</v>
      </c>
      <c r="AE98">
        <v>15163.199999999999</v>
      </c>
      <c r="AF98">
        <v>13</v>
      </c>
      <c r="AG98">
        <v>16426.8</v>
      </c>
      <c r="AH98">
        <v>12</v>
      </c>
      <c r="AI98">
        <v>15163.199999999999</v>
      </c>
      <c r="AJ98">
        <v>14</v>
      </c>
      <c r="AK98">
        <v>17690.399999999998</v>
      </c>
      <c r="AL98">
        <v>13</v>
      </c>
      <c r="AM98">
        <v>16426.8</v>
      </c>
      <c r="AN98">
        <v>20</v>
      </c>
      <c r="AO98">
        <v>25272</v>
      </c>
      <c r="AP98">
        <v>13</v>
      </c>
      <c r="AQ98">
        <v>16426.8</v>
      </c>
      <c r="AR98">
        <v>17</v>
      </c>
      <c r="AS98">
        <v>21481.199999999997</v>
      </c>
      <c r="AT98">
        <v>15</v>
      </c>
      <c r="AU98">
        <v>18954</v>
      </c>
      <c r="AV98">
        <v>14</v>
      </c>
      <c r="AW98">
        <v>17690.399999999998</v>
      </c>
      <c r="AX98">
        <v>12</v>
      </c>
      <c r="AY98">
        <v>15163.199999999999</v>
      </c>
      <c r="AZ98">
        <v>17</v>
      </c>
      <c r="BA98">
        <v>21481.199999999997</v>
      </c>
      <c r="BB98">
        <v>19</v>
      </c>
      <c r="BC98">
        <v>24008.399999999998</v>
      </c>
      <c r="BD98">
        <v>12</v>
      </c>
      <c r="BE98">
        <v>15163.199999999999</v>
      </c>
      <c r="BF98">
        <v>17</v>
      </c>
      <c r="BG98">
        <v>21481.199999999997</v>
      </c>
      <c r="BH98">
        <v>14</v>
      </c>
      <c r="BI98">
        <v>17690.399999999998</v>
      </c>
      <c r="BJ98">
        <v>12</v>
      </c>
      <c r="BK98">
        <v>15163.199999999999</v>
      </c>
      <c r="BL98">
        <v>17</v>
      </c>
      <c r="BM98">
        <v>21481.199999999997</v>
      </c>
      <c r="BN98">
        <v>15</v>
      </c>
      <c r="BO98">
        <v>18954</v>
      </c>
      <c r="BP98">
        <v>15</v>
      </c>
      <c r="BQ98">
        <v>18954</v>
      </c>
      <c r="BR98">
        <v>16</v>
      </c>
      <c r="BS98">
        <v>20217.599999999999</v>
      </c>
      <c r="BT98">
        <v>17</v>
      </c>
      <c r="BU98">
        <v>21481.199999999997</v>
      </c>
      <c r="BV98">
        <v>23</v>
      </c>
      <c r="BW98">
        <v>29062.799999999999</v>
      </c>
      <c r="BX98">
        <v>11</v>
      </c>
      <c r="BY98">
        <v>13899.599999999999</v>
      </c>
      <c r="BZ98">
        <v>23</v>
      </c>
      <c r="CA98">
        <v>29062.799999999999</v>
      </c>
      <c r="CB98">
        <v>13</v>
      </c>
      <c r="CC98">
        <v>16426.8</v>
      </c>
      <c r="CD98">
        <v>12</v>
      </c>
      <c r="CE98">
        <v>15163.199999999999</v>
      </c>
      <c r="CF98">
        <v>19</v>
      </c>
      <c r="CG98">
        <v>24008.399999999998</v>
      </c>
      <c r="CH98">
        <v>11</v>
      </c>
      <c r="CI98">
        <v>13899.599999999999</v>
      </c>
      <c r="CJ98">
        <v>14</v>
      </c>
      <c r="CK98">
        <v>17690.399999999998</v>
      </c>
      <c r="CL98">
        <v>21</v>
      </c>
      <c r="CM98">
        <v>26535.599999999999</v>
      </c>
      <c r="CN98">
        <v>15</v>
      </c>
      <c r="CO98">
        <v>18954</v>
      </c>
      <c r="CP98">
        <v>17</v>
      </c>
      <c r="CQ98">
        <v>21481.199999999997</v>
      </c>
      <c r="CR98">
        <v>21</v>
      </c>
      <c r="CS98">
        <v>26535.599999999999</v>
      </c>
      <c r="CT98">
        <v>15</v>
      </c>
      <c r="CU98">
        <v>18954</v>
      </c>
    </row>
    <row r="99" spans="2:99" x14ac:dyDescent="0.2">
      <c r="C99" s="118" t="s">
        <v>265</v>
      </c>
      <c r="D99">
        <v>0</v>
      </c>
      <c r="E99">
        <v>0</v>
      </c>
      <c r="F99">
        <v>0</v>
      </c>
      <c r="G99">
        <v>0</v>
      </c>
      <c r="H99">
        <v>5.1718306271962087</v>
      </c>
      <c r="I99">
        <v>28349.906766038734</v>
      </c>
      <c r="J99">
        <v>7</v>
      </c>
      <c r="K99">
        <v>38371.199999999997</v>
      </c>
      <c r="L99">
        <v>8</v>
      </c>
      <c r="M99">
        <v>43852.799999999996</v>
      </c>
      <c r="N99">
        <v>10</v>
      </c>
      <c r="O99">
        <v>54815.999999999993</v>
      </c>
      <c r="P99">
        <v>12</v>
      </c>
      <c r="Q99">
        <v>65779.199999999997</v>
      </c>
      <c r="R99">
        <v>14</v>
      </c>
      <c r="S99">
        <v>76742.399999999994</v>
      </c>
      <c r="T99">
        <v>12</v>
      </c>
      <c r="U99">
        <v>65779.199999999997</v>
      </c>
      <c r="V99">
        <v>11</v>
      </c>
      <c r="W99">
        <v>60297.599999999991</v>
      </c>
      <c r="X99">
        <v>12</v>
      </c>
      <c r="Y99">
        <v>65779.199999999997</v>
      </c>
      <c r="Z99">
        <v>10</v>
      </c>
      <c r="AA99">
        <v>54815.999999999993</v>
      </c>
      <c r="AB99">
        <v>13</v>
      </c>
      <c r="AC99">
        <v>71260.799999999988</v>
      </c>
      <c r="AD99">
        <v>9</v>
      </c>
      <c r="AE99">
        <v>49334.399999999994</v>
      </c>
      <c r="AF99">
        <v>9</v>
      </c>
      <c r="AG99">
        <v>49334.399999999994</v>
      </c>
      <c r="AH99">
        <v>7</v>
      </c>
      <c r="AI99">
        <v>38371.199999999997</v>
      </c>
      <c r="AJ99">
        <v>11</v>
      </c>
      <c r="AK99">
        <v>60297.599999999991</v>
      </c>
      <c r="AL99">
        <v>9</v>
      </c>
      <c r="AM99">
        <v>49334.399999999994</v>
      </c>
      <c r="AN99">
        <v>12</v>
      </c>
      <c r="AO99">
        <v>65779.199999999997</v>
      </c>
      <c r="AP99">
        <v>10</v>
      </c>
      <c r="AQ99">
        <v>54815.999999999993</v>
      </c>
      <c r="AR99">
        <v>11</v>
      </c>
      <c r="AS99">
        <v>60297.599999999991</v>
      </c>
      <c r="AT99">
        <v>9</v>
      </c>
      <c r="AU99">
        <v>49334.399999999994</v>
      </c>
      <c r="AV99">
        <v>8</v>
      </c>
      <c r="AW99">
        <v>43852.799999999996</v>
      </c>
      <c r="AX99">
        <v>9</v>
      </c>
      <c r="AY99">
        <v>49334.399999999994</v>
      </c>
      <c r="AZ99">
        <v>12</v>
      </c>
      <c r="BA99">
        <v>65779.199999999997</v>
      </c>
      <c r="BB99">
        <v>11</v>
      </c>
      <c r="BC99">
        <v>60297.599999999991</v>
      </c>
      <c r="BD99">
        <v>8</v>
      </c>
      <c r="BE99">
        <v>43852.799999999996</v>
      </c>
      <c r="BF99">
        <v>13</v>
      </c>
      <c r="BG99">
        <v>71260.799999999988</v>
      </c>
      <c r="BH99">
        <v>9</v>
      </c>
      <c r="BI99">
        <v>49334.399999999994</v>
      </c>
      <c r="BJ99">
        <v>8</v>
      </c>
      <c r="BK99">
        <v>43852.799999999996</v>
      </c>
      <c r="BL99">
        <v>11</v>
      </c>
      <c r="BM99">
        <v>60297.599999999991</v>
      </c>
      <c r="BN99">
        <v>9</v>
      </c>
      <c r="BO99">
        <v>49334.399999999994</v>
      </c>
      <c r="BP99">
        <v>11</v>
      </c>
      <c r="BQ99">
        <v>60297.599999999991</v>
      </c>
      <c r="BR99">
        <v>11</v>
      </c>
      <c r="BS99">
        <v>60297.599999999991</v>
      </c>
      <c r="BT99">
        <v>12</v>
      </c>
      <c r="BU99">
        <v>65779.199999999997</v>
      </c>
      <c r="BV99">
        <v>15</v>
      </c>
      <c r="BW99">
        <v>82223.999999999985</v>
      </c>
      <c r="BX99">
        <v>8</v>
      </c>
      <c r="BY99">
        <v>43852.799999999996</v>
      </c>
      <c r="BZ99">
        <v>13</v>
      </c>
      <c r="CA99">
        <v>71260.799999999988</v>
      </c>
      <c r="CB99">
        <v>8</v>
      </c>
      <c r="CC99">
        <v>43852.799999999996</v>
      </c>
      <c r="CD99">
        <v>7</v>
      </c>
      <c r="CE99">
        <v>38371.199999999997</v>
      </c>
      <c r="CF99">
        <v>15</v>
      </c>
      <c r="CG99">
        <v>82223.999999999985</v>
      </c>
      <c r="CH99">
        <v>8</v>
      </c>
      <c r="CI99">
        <v>43852.799999999996</v>
      </c>
      <c r="CJ99">
        <v>8</v>
      </c>
      <c r="CK99">
        <v>43852.799999999996</v>
      </c>
      <c r="CL99">
        <v>12</v>
      </c>
      <c r="CM99">
        <v>65779.199999999997</v>
      </c>
      <c r="CN99">
        <v>11</v>
      </c>
      <c r="CO99">
        <v>60297.599999999991</v>
      </c>
      <c r="CP99">
        <v>13</v>
      </c>
      <c r="CQ99">
        <v>71260.799999999988</v>
      </c>
      <c r="CR99">
        <v>12</v>
      </c>
      <c r="CS99">
        <v>65779.199999999997</v>
      </c>
      <c r="CT99">
        <v>10</v>
      </c>
      <c r="CU99">
        <v>54815.999999999993</v>
      </c>
    </row>
    <row r="100" spans="2:99" x14ac:dyDescent="0.2">
      <c r="C100" s="118" t="s">
        <v>266</v>
      </c>
      <c r="D100">
        <v>0</v>
      </c>
      <c r="E100">
        <v>0</v>
      </c>
      <c r="F100">
        <v>0</v>
      </c>
      <c r="G100">
        <v>0</v>
      </c>
      <c r="H100">
        <v>7.0524963098130122</v>
      </c>
      <c r="I100">
        <v>11441.970013040631</v>
      </c>
      <c r="J100">
        <v>11</v>
      </c>
      <c r="K100">
        <v>17846.399999999998</v>
      </c>
      <c r="L100">
        <v>11</v>
      </c>
      <c r="M100">
        <v>17846.399999999998</v>
      </c>
      <c r="N100">
        <v>14</v>
      </c>
      <c r="O100">
        <v>22713.599999999999</v>
      </c>
      <c r="P100">
        <v>20</v>
      </c>
      <c r="Q100">
        <v>32447.999999999996</v>
      </c>
      <c r="R100">
        <v>21</v>
      </c>
      <c r="S100">
        <v>34070.399999999994</v>
      </c>
      <c r="T100">
        <v>17</v>
      </c>
      <c r="U100">
        <v>27580.799999999999</v>
      </c>
      <c r="V100">
        <v>14</v>
      </c>
      <c r="W100">
        <v>22713.599999999999</v>
      </c>
      <c r="X100">
        <v>19</v>
      </c>
      <c r="Y100">
        <v>30825.599999999999</v>
      </c>
      <c r="Z100">
        <v>15</v>
      </c>
      <c r="AA100">
        <v>24335.999999999996</v>
      </c>
      <c r="AB100">
        <v>21</v>
      </c>
      <c r="AC100">
        <v>34070.399999999994</v>
      </c>
      <c r="AD100">
        <v>12</v>
      </c>
      <c r="AE100">
        <v>19468.8</v>
      </c>
      <c r="AF100">
        <v>12</v>
      </c>
      <c r="AG100">
        <v>19468.8</v>
      </c>
      <c r="AH100">
        <v>11</v>
      </c>
      <c r="AI100">
        <v>17846.399999999998</v>
      </c>
      <c r="AJ100">
        <v>15</v>
      </c>
      <c r="AK100">
        <v>24335.999999999996</v>
      </c>
      <c r="AL100">
        <v>13</v>
      </c>
      <c r="AM100">
        <v>21091.199999999997</v>
      </c>
      <c r="AN100">
        <v>20</v>
      </c>
      <c r="AO100">
        <v>32447.999999999996</v>
      </c>
      <c r="AP100">
        <v>14</v>
      </c>
      <c r="AQ100">
        <v>22713.599999999999</v>
      </c>
      <c r="AR100">
        <v>19</v>
      </c>
      <c r="AS100">
        <v>30825.599999999999</v>
      </c>
      <c r="AT100">
        <v>14</v>
      </c>
      <c r="AU100">
        <v>22713.599999999999</v>
      </c>
      <c r="AV100">
        <v>13</v>
      </c>
      <c r="AW100">
        <v>21091.199999999997</v>
      </c>
      <c r="AX100">
        <v>12</v>
      </c>
      <c r="AY100">
        <v>19468.8</v>
      </c>
      <c r="AZ100">
        <v>17</v>
      </c>
      <c r="BA100">
        <v>27580.799999999999</v>
      </c>
      <c r="BB100">
        <v>18</v>
      </c>
      <c r="BC100">
        <v>29203.199999999997</v>
      </c>
      <c r="BD100">
        <v>12</v>
      </c>
      <c r="BE100">
        <v>19468.8</v>
      </c>
      <c r="BF100">
        <v>20</v>
      </c>
      <c r="BG100">
        <v>32447.999999999996</v>
      </c>
      <c r="BH100">
        <v>14</v>
      </c>
      <c r="BI100">
        <v>22713.599999999999</v>
      </c>
      <c r="BJ100">
        <v>11</v>
      </c>
      <c r="BK100">
        <v>17846.399999999998</v>
      </c>
      <c r="BL100">
        <v>14</v>
      </c>
      <c r="BM100">
        <v>22713.599999999999</v>
      </c>
      <c r="BN100">
        <v>15</v>
      </c>
      <c r="BO100">
        <v>24335.999999999996</v>
      </c>
      <c r="BP100">
        <v>14</v>
      </c>
      <c r="BQ100">
        <v>22713.599999999999</v>
      </c>
      <c r="BR100">
        <v>14</v>
      </c>
      <c r="BS100">
        <v>22713.599999999999</v>
      </c>
      <c r="BT100">
        <v>19</v>
      </c>
      <c r="BU100">
        <v>30825.599999999999</v>
      </c>
      <c r="BV100">
        <v>21</v>
      </c>
      <c r="BW100">
        <v>34070.399999999994</v>
      </c>
      <c r="BX100">
        <v>11</v>
      </c>
      <c r="BY100">
        <v>17846.399999999998</v>
      </c>
      <c r="BZ100">
        <v>20</v>
      </c>
      <c r="CA100">
        <v>32447.999999999996</v>
      </c>
      <c r="CB100">
        <v>14</v>
      </c>
      <c r="CC100">
        <v>22713.599999999999</v>
      </c>
      <c r="CD100">
        <v>11</v>
      </c>
      <c r="CE100">
        <v>17846.399999999998</v>
      </c>
      <c r="CF100">
        <v>19</v>
      </c>
      <c r="CG100">
        <v>30825.599999999999</v>
      </c>
      <c r="CH100">
        <v>11</v>
      </c>
      <c r="CI100">
        <v>17846.399999999998</v>
      </c>
      <c r="CJ100">
        <v>13</v>
      </c>
      <c r="CK100">
        <v>21091.199999999997</v>
      </c>
      <c r="CL100">
        <v>21</v>
      </c>
      <c r="CM100">
        <v>34070.399999999994</v>
      </c>
      <c r="CN100">
        <v>15</v>
      </c>
      <c r="CO100">
        <v>24335.999999999996</v>
      </c>
      <c r="CP100">
        <v>16</v>
      </c>
      <c r="CQ100">
        <v>25958.399999999998</v>
      </c>
      <c r="CR100">
        <v>18</v>
      </c>
      <c r="CS100">
        <v>29203.199999999997</v>
      </c>
      <c r="CT100">
        <v>14</v>
      </c>
      <c r="CU100">
        <v>22713.599999999999</v>
      </c>
    </row>
    <row r="101" spans="2:99" x14ac:dyDescent="0.2">
      <c r="C101" s="118" t="s">
        <v>267</v>
      </c>
      <c r="D101">
        <v>0</v>
      </c>
      <c r="E101">
        <v>0</v>
      </c>
      <c r="F101">
        <v>0</v>
      </c>
      <c r="G101">
        <v>0</v>
      </c>
      <c r="H101">
        <v>7.5226627304672133</v>
      </c>
      <c r="I101">
        <v>8954.9777143481697</v>
      </c>
      <c r="J101">
        <v>12</v>
      </c>
      <c r="K101">
        <v>14284.8</v>
      </c>
      <c r="L101">
        <v>12</v>
      </c>
      <c r="M101">
        <v>14284.8</v>
      </c>
      <c r="N101">
        <v>16</v>
      </c>
      <c r="O101">
        <v>19046.399999999998</v>
      </c>
      <c r="P101">
        <v>21</v>
      </c>
      <c r="Q101">
        <v>24998.399999999998</v>
      </c>
      <c r="R101">
        <v>21</v>
      </c>
      <c r="S101">
        <v>24998.399999999998</v>
      </c>
      <c r="T101">
        <v>19</v>
      </c>
      <c r="U101">
        <v>22617.599999999999</v>
      </c>
      <c r="V101">
        <v>15</v>
      </c>
      <c r="W101">
        <v>17855.999999999996</v>
      </c>
      <c r="X101">
        <v>18</v>
      </c>
      <c r="Y101">
        <v>21427.199999999997</v>
      </c>
      <c r="Z101">
        <v>17</v>
      </c>
      <c r="AA101">
        <v>20236.8</v>
      </c>
      <c r="AB101">
        <v>21</v>
      </c>
      <c r="AC101">
        <v>24998.399999999998</v>
      </c>
      <c r="AD101">
        <v>12</v>
      </c>
      <c r="AE101">
        <v>14284.8</v>
      </c>
      <c r="AF101">
        <v>14</v>
      </c>
      <c r="AG101">
        <v>16665.599999999999</v>
      </c>
      <c r="AH101">
        <v>13</v>
      </c>
      <c r="AI101">
        <v>15475.199999999999</v>
      </c>
      <c r="AJ101">
        <v>16</v>
      </c>
      <c r="AK101">
        <v>19046.399999999998</v>
      </c>
      <c r="AL101">
        <v>14</v>
      </c>
      <c r="AM101">
        <v>16665.599999999999</v>
      </c>
      <c r="AN101">
        <v>19</v>
      </c>
      <c r="AO101">
        <v>22617.599999999999</v>
      </c>
      <c r="AP101">
        <v>13</v>
      </c>
      <c r="AQ101">
        <v>15475.199999999999</v>
      </c>
      <c r="AR101">
        <v>20</v>
      </c>
      <c r="AS101">
        <v>23807.999999999996</v>
      </c>
      <c r="AT101">
        <v>14</v>
      </c>
      <c r="AU101">
        <v>16665.599999999999</v>
      </c>
      <c r="AV101">
        <v>12</v>
      </c>
      <c r="AW101">
        <v>14284.8</v>
      </c>
      <c r="AX101">
        <v>13</v>
      </c>
      <c r="AY101">
        <v>15475.199999999999</v>
      </c>
      <c r="AZ101">
        <v>16</v>
      </c>
      <c r="BA101">
        <v>19046.399999999998</v>
      </c>
      <c r="BB101">
        <v>20</v>
      </c>
      <c r="BC101">
        <v>23807.999999999996</v>
      </c>
      <c r="BD101">
        <v>13</v>
      </c>
      <c r="BE101">
        <v>15475.199999999999</v>
      </c>
      <c r="BF101">
        <v>20</v>
      </c>
      <c r="BG101">
        <v>23807.999999999996</v>
      </c>
      <c r="BH101">
        <v>14</v>
      </c>
      <c r="BI101">
        <v>16665.599999999999</v>
      </c>
      <c r="BJ101">
        <v>11</v>
      </c>
      <c r="BK101">
        <v>13094.399999999998</v>
      </c>
      <c r="BL101">
        <v>15</v>
      </c>
      <c r="BM101">
        <v>17855.999999999996</v>
      </c>
      <c r="BN101">
        <v>17</v>
      </c>
      <c r="BO101">
        <v>20236.8</v>
      </c>
      <c r="BP101">
        <v>17</v>
      </c>
      <c r="BQ101">
        <v>20236.8</v>
      </c>
      <c r="BR101">
        <v>15</v>
      </c>
      <c r="BS101">
        <v>17855.999999999996</v>
      </c>
      <c r="BT101">
        <v>18</v>
      </c>
      <c r="BU101">
        <v>21427.199999999997</v>
      </c>
      <c r="BV101">
        <v>20</v>
      </c>
      <c r="BW101">
        <v>23807.999999999996</v>
      </c>
      <c r="BX101">
        <v>11</v>
      </c>
      <c r="BY101">
        <v>13094.399999999998</v>
      </c>
      <c r="BZ101">
        <v>22</v>
      </c>
      <c r="CA101">
        <v>26188.799999999996</v>
      </c>
      <c r="CB101">
        <v>15</v>
      </c>
      <c r="CC101">
        <v>17855.999999999996</v>
      </c>
      <c r="CD101">
        <v>12</v>
      </c>
      <c r="CE101">
        <v>14284.8</v>
      </c>
      <c r="CF101">
        <v>22</v>
      </c>
      <c r="CG101">
        <v>26188.799999999996</v>
      </c>
      <c r="CH101">
        <v>13</v>
      </c>
      <c r="CI101">
        <v>15475.199999999999</v>
      </c>
      <c r="CJ101">
        <v>13</v>
      </c>
      <c r="CK101">
        <v>15475.199999999999</v>
      </c>
      <c r="CL101">
        <v>18</v>
      </c>
      <c r="CM101">
        <v>21427.199999999997</v>
      </c>
      <c r="CN101">
        <v>17</v>
      </c>
      <c r="CO101">
        <v>20236.8</v>
      </c>
      <c r="CP101">
        <v>17</v>
      </c>
      <c r="CQ101">
        <v>20236.8</v>
      </c>
      <c r="CR101">
        <v>21</v>
      </c>
      <c r="CS101">
        <v>24998.399999999998</v>
      </c>
      <c r="CT101">
        <v>16</v>
      </c>
      <c r="CU101">
        <v>19046.399999999998</v>
      </c>
    </row>
    <row r="102" spans="2:99" x14ac:dyDescent="0.2">
      <c r="C102" s="118" t="s">
        <v>268</v>
      </c>
      <c r="D102">
        <v>0</v>
      </c>
      <c r="E102">
        <v>0</v>
      </c>
      <c r="F102">
        <v>0</v>
      </c>
      <c r="G102">
        <v>0</v>
      </c>
      <c r="H102">
        <v>6.582329889158812</v>
      </c>
      <c r="I102">
        <v>12764.454121056768</v>
      </c>
      <c r="J102">
        <v>11</v>
      </c>
      <c r="K102">
        <v>21331.199999999997</v>
      </c>
      <c r="L102">
        <v>11</v>
      </c>
      <c r="M102">
        <v>21331.199999999997</v>
      </c>
      <c r="N102">
        <v>13</v>
      </c>
      <c r="O102">
        <v>25209.599999999999</v>
      </c>
      <c r="P102">
        <v>19</v>
      </c>
      <c r="Q102">
        <v>36844.799999999996</v>
      </c>
      <c r="R102">
        <v>21</v>
      </c>
      <c r="S102">
        <v>40723.199999999997</v>
      </c>
      <c r="T102">
        <v>17</v>
      </c>
      <c r="U102">
        <v>32966.399999999994</v>
      </c>
      <c r="V102">
        <v>13</v>
      </c>
      <c r="W102">
        <v>25209.599999999999</v>
      </c>
      <c r="X102">
        <v>18</v>
      </c>
      <c r="Y102">
        <v>34905.599999999999</v>
      </c>
      <c r="Z102">
        <v>15</v>
      </c>
      <c r="AA102">
        <v>29087.999999999996</v>
      </c>
      <c r="AB102">
        <v>18</v>
      </c>
      <c r="AC102">
        <v>34905.599999999999</v>
      </c>
      <c r="AD102">
        <v>12</v>
      </c>
      <c r="AE102">
        <v>23270.399999999998</v>
      </c>
      <c r="AF102">
        <v>13</v>
      </c>
      <c r="AG102">
        <v>25209.599999999999</v>
      </c>
      <c r="AH102">
        <v>10</v>
      </c>
      <c r="AI102">
        <v>19392</v>
      </c>
      <c r="AJ102">
        <v>16</v>
      </c>
      <c r="AK102">
        <v>31027.199999999997</v>
      </c>
      <c r="AL102">
        <v>13</v>
      </c>
      <c r="AM102">
        <v>25209.599999999999</v>
      </c>
      <c r="AN102">
        <v>19</v>
      </c>
      <c r="AO102">
        <v>36844.799999999996</v>
      </c>
      <c r="AP102">
        <v>14</v>
      </c>
      <c r="AQ102">
        <v>27148.799999999996</v>
      </c>
      <c r="AR102">
        <v>19</v>
      </c>
      <c r="AS102">
        <v>36844.799999999996</v>
      </c>
      <c r="AT102">
        <v>13</v>
      </c>
      <c r="AU102">
        <v>25209.599999999999</v>
      </c>
      <c r="AV102">
        <v>11</v>
      </c>
      <c r="AW102">
        <v>21331.199999999997</v>
      </c>
      <c r="AX102">
        <v>11</v>
      </c>
      <c r="AY102">
        <v>21331.199999999997</v>
      </c>
      <c r="AZ102">
        <v>15</v>
      </c>
      <c r="BA102">
        <v>29087.999999999996</v>
      </c>
      <c r="BB102">
        <v>19</v>
      </c>
      <c r="BC102">
        <v>36844.799999999996</v>
      </c>
      <c r="BD102">
        <v>12</v>
      </c>
      <c r="BE102">
        <v>23270.399999999998</v>
      </c>
      <c r="BF102">
        <v>18</v>
      </c>
      <c r="BG102">
        <v>34905.599999999999</v>
      </c>
      <c r="BH102">
        <v>14</v>
      </c>
      <c r="BI102">
        <v>27148.799999999996</v>
      </c>
      <c r="BJ102">
        <v>11</v>
      </c>
      <c r="BK102">
        <v>21331.199999999997</v>
      </c>
      <c r="BL102">
        <v>15</v>
      </c>
      <c r="BM102">
        <v>29087.999999999996</v>
      </c>
      <c r="BN102">
        <v>14</v>
      </c>
      <c r="BO102">
        <v>27148.799999999996</v>
      </c>
      <c r="BP102">
        <v>15</v>
      </c>
      <c r="BQ102">
        <v>29087.999999999996</v>
      </c>
      <c r="BR102">
        <v>14</v>
      </c>
      <c r="BS102">
        <v>27148.799999999996</v>
      </c>
      <c r="BT102">
        <v>17</v>
      </c>
      <c r="BU102">
        <v>32966.399999999994</v>
      </c>
      <c r="BV102">
        <v>18</v>
      </c>
      <c r="BW102">
        <v>34905.599999999999</v>
      </c>
      <c r="BX102">
        <v>10</v>
      </c>
      <c r="BY102">
        <v>19392</v>
      </c>
      <c r="BZ102">
        <v>20</v>
      </c>
      <c r="CA102">
        <v>38784</v>
      </c>
      <c r="CB102">
        <v>14</v>
      </c>
      <c r="CC102">
        <v>27148.799999999996</v>
      </c>
      <c r="CD102">
        <v>11</v>
      </c>
      <c r="CE102">
        <v>21331.199999999997</v>
      </c>
      <c r="CF102">
        <v>20</v>
      </c>
      <c r="CG102">
        <v>38784</v>
      </c>
      <c r="CH102">
        <v>10</v>
      </c>
      <c r="CI102">
        <v>19392</v>
      </c>
      <c r="CJ102">
        <v>13</v>
      </c>
      <c r="CK102">
        <v>25209.599999999999</v>
      </c>
      <c r="CL102">
        <v>20</v>
      </c>
      <c r="CM102">
        <v>38784</v>
      </c>
      <c r="CN102">
        <v>16</v>
      </c>
      <c r="CO102">
        <v>31027.199999999997</v>
      </c>
      <c r="CP102">
        <v>16</v>
      </c>
      <c r="CQ102">
        <v>31027.199999999997</v>
      </c>
      <c r="CR102">
        <v>19</v>
      </c>
      <c r="CS102">
        <v>36844.799999999996</v>
      </c>
      <c r="CT102">
        <v>14</v>
      </c>
      <c r="CU102">
        <v>27148.799999999996</v>
      </c>
    </row>
    <row r="103" spans="2:99" x14ac:dyDescent="0.2">
      <c r="C103" s="118" t="s">
        <v>269</v>
      </c>
      <c r="D103">
        <v>0</v>
      </c>
      <c r="E103">
        <v>0</v>
      </c>
      <c r="F103">
        <v>0</v>
      </c>
      <c r="G103">
        <v>0</v>
      </c>
      <c r="H103">
        <v>6.582329889158812</v>
      </c>
      <c r="I103">
        <v>13348.965015214071</v>
      </c>
      <c r="J103">
        <v>10</v>
      </c>
      <c r="K103">
        <v>20280</v>
      </c>
      <c r="L103">
        <v>10</v>
      </c>
      <c r="M103">
        <v>20280</v>
      </c>
      <c r="N103">
        <v>12</v>
      </c>
      <c r="O103">
        <v>24336</v>
      </c>
      <c r="P103">
        <v>20</v>
      </c>
      <c r="Q103">
        <v>40560</v>
      </c>
      <c r="R103">
        <v>18</v>
      </c>
      <c r="S103">
        <v>36504</v>
      </c>
      <c r="T103">
        <v>18</v>
      </c>
      <c r="U103">
        <v>36504</v>
      </c>
      <c r="V103">
        <v>13</v>
      </c>
      <c r="W103">
        <v>26364</v>
      </c>
      <c r="X103">
        <v>19</v>
      </c>
      <c r="Y103">
        <v>38532</v>
      </c>
      <c r="Z103">
        <v>14</v>
      </c>
      <c r="AA103">
        <v>28392</v>
      </c>
      <c r="AB103">
        <v>20</v>
      </c>
      <c r="AC103">
        <v>40560</v>
      </c>
      <c r="AD103">
        <v>11</v>
      </c>
      <c r="AE103">
        <v>22308</v>
      </c>
      <c r="AF103">
        <v>13</v>
      </c>
      <c r="AG103">
        <v>26364</v>
      </c>
      <c r="AH103">
        <v>11</v>
      </c>
      <c r="AI103">
        <v>22308</v>
      </c>
      <c r="AJ103">
        <v>16</v>
      </c>
      <c r="AK103">
        <v>32448</v>
      </c>
      <c r="AL103">
        <v>13</v>
      </c>
      <c r="AM103">
        <v>26364</v>
      </c>
      <c r="AN103">
        <v>20</v>
      </c>
      <c r="AO103">
        <v>40560</v>
      </c>
      <c r="AP103">
        <v>13</v>
      </c>
      <c r="AQ103">
        <v>26364</v>
      </c>
      <c r="AR103">
        <v>16</v>
      </c>
      <c r="AS103">
        <v>32448</v>
      </c>
      <c r="AT103">
        <v>13</v>
      </c>
      <c r="AU103">
        <v>26364</v>
      </c>
      <c r="AV103">
        <v>12</v>
      </c>
      <c r="AW103">
        <v>24336</v>
      </c>
      <c r="AX103">
        <v>13</v>
      </c>
      <c r="AY103">
        <v>26364</v>
      </c>
      <c r="AZ103">
        <v>16</v>
      </c>
      <c r="BA103">
        <v>32448</v>
      </c>
      <c r="BB103">
        <v>17</v>
      </c>
      <c r="BC103">
        <v>34476</v>
      </c>
      <c r="BD103">
        <v>12</v>
      </c>
      <c r="BE103">
        <v>24336</v>
      </c>
      <c r="BF103">
        <v>16</v>
      </c>
      <c r="BG103">
        <v>32448</v>
      </c>
      <c r="BH103">
        <v>14</v>
      </c>
      <c r="BI103">
        <v>28392</v>
      </c>
      <c r="BJ103">
        <v>11</v>
      </c>
      <c r="BK103">
        <v>22308</v>
      </c>
      <c r="BL103">
        <v>14</v>
      </c>
      <c r="BM103">
        <v>28392</v>
      </c>
      <c r="BN103">
        <v>13</v>
      </c>
      <c r="BO103">
        <v>26364</v>
      </c>
      <c r="BP103">
        <v>16</v>
      </c>
      <c r="BQ103">
        <v>32448</v>
      </c>
      <c r="BR103">
        <v>15</v>
      </c>
      <c r="BS103">
        <v>30420</v>
      </c>
      <c r="BT103">
        <v>17</v>
      </c>
      <c r="BU103">
        <v>34476</v>
      </c>
      <c r="BV103">
        <v>19</v>
      </c>
      <c r="BW103">
        <v>38532</v>
      </c>
      <c r="BX103">
        <v>10</v>
      </c>
      <c r="BY103">
        <v>20280</v>
      </c>
      <c r="BZ103">
        <v>20</v>
      </c>
      <c r="CA103">
        <v>40560</v>
      </c>
      <c r="CB103">
        <v>11</v>
      </c>
      <c r="CC103">
        <v>22308</v>
      </c>
      <c r="CD103">
        <v>10</v>
      </c>
      <c r="CE103">
        <v>20280</v>
      </c>
      <c r="CF103">
        <v>20</v>
      </c>
      <c r="CG103">
        <v>40560</v>
      </c>
      <c r="CH103">
        <v>10</v>
      </c>
      <c r="CI103">
        <v>20280</v>
      </c>
      <c r="CJ103">
        <v>12</v>
      </c>
      <c r="CK103">
        <v>24336</v>
      </c>
      <c r="CL103">
        <v>18</v>
      </c>
      <c r="CM103">
        <v>36504</v>
      </c>
      <c r="CN103">
        <v>16</v>
      </c>
      <c r="CO103">
        <v>32448</v>
      </c>
      <c r="CP103">
        <v>16</v>
      </c>
      <c r="CQ103">
        <v>32448</v>
      </c>
      <c r="CR103">
        <v>19</v>
      </c>
      <c r="CS103">
        <v>38532</v>
      </c>
      <c r="CT103">
        <v>13</v>
      </c>
      <c r="CU103">
        <v>26364</v>
      </c>
    </row>
    <row r="104" spans="2:99" x14ac:dyDescent="0.2">
      <c r="C104" s="118" t="s">
        <v>270</v>
      </c>
      <c r="D104">
        <v>0</v>
      </c>
      <c r="E104">
        <v>0</v>
      </c>
      <c r="F104">
        <v>0</v>
      </c>
      <c r="G104">
        <v>0</v>
      </c>
      <c r="H104">
        <v>6.1121634685046109</v>
      </c>
      <c r="I104">
        <v>12666.847572128956</v>
      </c>
      <c r="J104">
        <v>11</v>
      </c>
      <c r="K104">
        <v>22796.400000000001</v>
      </c>
      <c r="L104">
        <v>10</v>
      </c>
      <c r="M104">
        <v>20724</v>
      </c>
      <c r="N104">
        <v>13</v>
      </c>
      <c r="O104">
        <v>26941.200000000001</v>
      </c>
      <c r="P104">
        <v>18</v>
      </c>
      <c r="Q104">
        <v>37303.200000000004</v>
      </c>
      <c r="R104">
        <v>20</v>
      </c>
      <c r="S104">
        <v>41448</v>
      </c>
      <c r="T104">
        <v>18</v>
      </c>
      <c r="U104">
        <v>37303.200000000004</v>
      </c>
      <c r="V104">
        <v>14</v>
      </c>
      <c r="W104">
        <v>29013.600000000002</v>
      </c>
      <c r="X104">
        <v>19</v>
      </c>
      <c r="Y104">
        <v>39375.599999999999</v>
      </c>
      <c r="Z104">
        <v>13</v>
      </c>
      <c r="AA104">
        <v>26941.200000000001</v>
      </c>
      <c r="AB104">
        <v>17</v>
      </c>
      <c r="AC104">
        <v>35230.800000000003</v>
      </c>
      <c r="AD104">
        <v>12</v>
      </c>
      <c r="AE104">
        <v>24868.800000000003</v>
      </c>
      <c r="AF104">
        <v>11</v>
      </c>
      <c r="AG104">
        <v>22796.400000000001</v>
      </c>
      <c r="AH104">
        <v>11</v>
      </c>
      <c r="AI104">
        <v>22796.400000000001</v>
      </c>
      <c r="AJ104">
        <v>16</v>
      </c>
      <c r="AK104">
        <v>33158.400000000001</v>
      </c>
      <c r="AL104">
        <v>12</v>
      </c>
      <c r="AM104">
        <v>24868.800000000003</v>
      </c>
      <c r="AN104">
        <v>20</v>
      </c>
      <c r="AO104">
        <v>41448</v>
      </c>
      <c r="AP104">
        <v>14</v>
      </c>
      <c r="AQ104">
        <v>29013.600000000002</v>
      </c>
      <c r="AR104">
        <v>16</v>
      </c>
      <c r="AS104">
        <v>33158.400000000001</v>
      </c>
      <c r="AT104">
        <v>13</v>
      </c>
      <c r="AU104">
        <v>26941.200000000001</v>
      </c>
      <c r="AV104">
        <v>13</v>
      </c>
      <c r="AW104">
        <v>26941.200000000001</v>
      </c>
      <c r="AX104">
        <v>11</v>
      </c>
      <c r="AY104">
        <v>22796.400000000001</v>
      </c>
      <c r="AZ104">
        <v>16</v>
      </c>
      <c r="BA104">
        <v>33158.400000000001</v>
      </c>
      <c r="BB104">
        <v>16</v>
      </c>
      <c r="BC104">
        <v>33158.400000000001</v>
      </c>
      <c r="BD104">
        <v>12</v>
      </c>
      <c r="BE104">
        <v>24868.800000000003</v>
      </c>
      <c r="BF104">
        <v>16</v>
      </c>
      <c r="BG104">
        <v>33158.400000000001</v>
      </c>
      <c r="BH104">
        <v>13</v>
      </c>
      <c r="BI104">
        <v>26941.200000000001</v>
      </c>
      <c r="BJ104">
        <v>10</v>
      </c>
      <c r="BK104">
        <v>20724</v>
      </c>
      <c r="BL104">
        <v>16</v>
      </c>
      <c r="BM104">
        <v>33158.400000000001</v>
      </c>
      <c r="BN104">
        <v>15</v>
      </c>
      <c r="BO104">
        <v>31086</v>
      </c>
      <c r="BP104">
        <v>13</v>
      </c>
      <c r="BQ104">
        <v>26941.200000000001</v>
      </c>
      <c r="BR104">
        <v>14</v>
      </c>
      <c r="BS104">
        <v>29013.600000000002</v>
      </c>
      <c r="BT104">
        <v>18</v>
      </c>
      <c r="BU104">
        <v>37303.200000000004</v>
      </c>
      <c r="BV104">
        <v>20</v>
      </c>
      <c r="BW104">
        <v>41448</v>
      </c>
      <c r="BX104">
        <v>10</v>
      </c>
      <c r="BY104">
        <v>20724</v>
      </c>
      <c r="BZ104">
        <v>18</v>
      </c>
      <c r="CA104">
        <v>37303.200000000004</v>
      </c>
      <c r="CB104">
        <v>12</v>
      </c>
      <c r="CC104">
        <v>24868.800000000003</v>
      </c>
      <c r="CD104">
        <v>10</v>
      </c>
      <c r="CE104">
        <v>20724</v>
      </c>
      <c r="CF104">
        <v>18</v>
      </c>
      <c r="CG104">
        <v>37303.200000000004</v>
      </c>
      <c r="CH104">
        <v>12</v>
      </c>
      <c r="CI104">
        <v>24868.800000000003</v>
      </c>
      <c r="CJ104">
        <v>12</v>
      </c>
      <c r="CK104">
        <v>24868.800000000003</v>
      </c>
      <c r="CL104">
        <v>18</v>
      </c>
      <c r="CM104">
        <v>37303.200000000004</v>
      </c>
      <c r="CN104">
        <v>15</v>
      </c>
      <c r="CO104">
        <v>31086</v>
      </c>
      <c r="CP104">
        <v>17</v>
      </c>
      <c r="CQ104">
        <v>35230.800000000003</v>
      </c>
      <c r="CR104">
        <v>19</v>
      </c>
      <c r="CS104">
        <v>39375.599999999999</v>
      </c>
      <c r="CT104">
        <v>14</v>
      </c>
      <c r="CU104">
        <v>29013.600000000002</v>
      </c>
    </row>
    <row r="105" spans="2:99" x14ac:dyDescent="0.2">
      <c r="C105" s="118" t="s">
        <v>271</v>
      </c>
      <c r="D105">
        <v>0</v>
      </c>
      <c r="E105">
        <v>0</v>
      </c>
      <c r="F105">
        <v>0</v>
      </c>
      <c r="G105">
        <v>0</v>
      </c>
      <c r="H105">
        <v>6.582329889158812</v>
      </c>
      <c r="I105">
        <v>13151.495118539306</v>
      </c>
      <c r="J105">
        <v>11</v>
      </c>
      <c r="K105">
        <v>21978</v>
      </c>
      <c r="L105">
        <v>11</v>
      </c>
      <c r="M105">
        <v>21978</v>
      </c>
      <c r="N105">
        <v>12</v>
      </c>
      <c r="O105">
        <v>23976</v>
      </c>
      <c r="P105">
        <v>17</v>
      </c>
      <c r="Q105">
        <v>33966</v>
      </c>
      <c r="R105">
        <v>20</v>
      </c>
      <c r="S105">
        <v>39960</v>
      </c>
      <c r="T105">
        <v>18</v>
      </c>
      <c r="U105">
        <v>35964</v>
      </c>
      <c r="V105">
        <v>13</v>
      </c>
      <c r="W105">
        <v>25974</v>
      </c>
      <c r="X105">
        <v>20</v>
      </c>
      <c r="Y105">
        <v>39960</v>
      </c>
      <c r="Z105">
        <v>14</v>
      </c>
      <c r="AA105">
        <v>27972</v>
      </c>
      <c r="AB105">
        <v>19</v>
      </c>
      <c r="AC105">
        <v>37962</v>
      </c>
      <c r="AD105">
        <v>12</v>
      </c>
      <c r="AE105">
        <v>23976</v>
      </c>
      <c r="AF105">
        <v>12</v>
      </c>
      <c r="AG105">
        <v>23976</v>
      </c>
      <c r="AH105">
        <v>11</v>
      </c>
      <c r="AI105">
        <v>21978</v>
      </c>
      <c r="AJ105">
        <v>16</v>
      </c>
      <c r="AK105">
        <v>31968</v>
      </c>
      <c r="AL105">
        <v>11</v>
      </c>
      <c r="AM105">
        <v>21978</v>
      </c>
      <c r="AN105">
        <v>18</v>
      </c>
      <c r="AO105">
        <v>35964</v>
      </c>
      <c r="AP105">
        <v>13</v>
      </c>
      <c r="AQ105">
        <v>25974</v>
      </c>
      <c r="AR105">
        <v>18</v>
      </c>
      <c r="AS105">
        <v>35964</v>
      </c>
      <c r="AT105">
        <v>13</v>
      </c>
      <c r="AU105">
        <v>25974</v>
      </c>
      <c r="AV105">
        <v>12</v>
      </c>
      <c r="AW105">
        <v>23976</v>
      </c>
      <c r="AX105">
        <v>11</v>
      </c>
      <c r="AY105">
        <v>21978</v>
      </c>
      <c r="AZ105">
        <v>16</v>
      </c>
      <c r="BA105">
        <v>31968</v>
      </c>
      <c r="BB105">
        <v>16</v>
      </c>
      <c r="BC105">
        <v>31968</v>
      </c>
      <c r="BD105">
        <v>10</v>
      </c>
      <c r="BE105">
        <v>19980</v>
      </c>
      <c r="BF105">
        <v>17</v>
      </c>
      <c r="BG105">
        <v>33966</v>
      </c>
      <c r="BH105">
        <v>12</v>
      </c>
      <c r="BI105">
        <v>23976</v>
      </c>
      <c r="BJ105">
        <v>10</v>
      </c>
      <c r="BK105">
        <v>19980</v>
      </c>
      <c r="BL105">
        <v>15</v>
      </c>
      <c r="BM105">
        <v>29970</v>
      </c>
      <c r="BN105">
        <v>15</v>
      </c>
      <c r="BO105">
        <v>29970</v>
      </c>
      <c r="BP105">
        <v>15</v>
      </c>
      <c r="BQ105">
        <v>29970</v>
      </c>
      <c r="BR105">
        <v>15</v>
      </c>
      <c r="BS105">
        <v>29970</v>
      </c>
      <c r="BT105">
        <v>18</v>
      </c>
      <c r="BU105">
        <v>35964</v>
      </c>
      <c r="BV105">
        <v>20</v>
      </c>
      <c r="BW105">
        <v>39960</v>
      </c>
      <c r="BX105">
        <v>10</v>
      </c>
      <c r="BY105">
        <v>19980</v>
      </c>
      <c r="BZ105">
        <v>20</v>
      </c>
      <c r="CA105">
        <v>39960</v>
      </c>
      <c r="CB105">
        <v>13</v>
      </c>
      <c r="CC105">
        <v>25974</v>
      </c>
      <c r="CD105">
        <v>10</v>
      </c>
      <c r="CE105">
        <v>19980</v>
      </c>
      <c r="CF105">
        <v>19</v>
      </c>
      <c r="CG105">
        <v>37962</v>
      </c>
      <c r="CH105">
        <v>11</v>
      </c>
      <c r="CI105">
        <v>21978</v>
      </c>
      <c r="CJ105">
        <v>13</v>
      </c>
      <c r="CK105">
        <v>25974</v>
      </c>
      <c r="CL105">
        <v>17</v>
      </c>
      <c r="CM105">
        <v>33966</v>
      </c>
      <c r="CN105">
        <v>15</v>
      </c>
      <c r="CO105">
        <v>29970</v>
      </c>
      <c r="CP105">
        <v>18</v>
      </c>
      <c r="CQ105">
        <v>35964</v>
      </c>
      <c r="CR105">
        <v>17</v>
      </c>
      <c r="CS105">
        <v>33966</v>
      </c>
      <c r="CT105">
        <v>15</v>
      </c>
      <c r="CU105">
        <v>29970</v>
      </c>
    </row>
    <row r="107" spans="2:99" x14ac:dyDescent="0.2">
      <c r="B107" s="121" t="s">
        <v>276</v>
      </c>
    </row>
    <row r="108" spans="2:99" x14ac:dyDescent="0.2">
      <c r="C108" s="118" t="s">
        <v>277</v>
      </c>
      <c r="D108" s="118" t="s">
        <v>92</v>
      </c>
      <c r="E108" s="118" t="s">
        <v>93</v>
      </c>
      <c r="F108" s="118" t="s">
        <v>94</v>
      </c>
      <c r="G108" s="118" t="s">
        <v>95</v>
      </c>
      <c r="H108" s="118" t="s">
        <v>96</v>
      </c>
      <c r="I108" s="118" t="s">
        <v>97</v>
      </c>
      <c r="J108" s="118" t="s">
        <v>98</v>
      </c>
      <c r="K108" s="118" t="s">
        <v>99</v>
      </c>
      <c r="L108" s="118" t="s">
        <v>100</v>
      </c>
      <c r="M108" s="118" t="s">
        <v>101</v>
      </c>
      <c r="N108" s="118" t="s">
        <v>102</v>
      </c>
      <c r="O108" s="118" t="s">
        <v>103</v>
      </c>
    </row>
    <row r="109" spans="2:99" x14ac:dyDescent="0.2">
      <c r="C109" s="118" t="s">
        <v>126</v>
      </c>
      <c r="D109">
        <f>SUM(D$6:D$19)+SUM(F$6:F$19)+SUM(H$6:H$19)+SUM(J$6:J$19)</f>
        <v>775</v>
      </c>
      <c r="E109">
        <f>SUM(L$6:L$19)+SUM(N$6:N$19)+SUM(P$6:P$19)+SUM(R$6:R$19)</f>
        <v>927</v>
      </c>
      <c r="F109">
        <f>SUM(T$6:T$19)+SUM(V$6:V$19)+SUM(X$6:X$19)+SUM(Z$6:Z$19)</f>
        <v>264</v>
      </c>
      <c r="G109">
        <f>SUM(AB$6:AB$19)+SUM(AD$6:AD$19)+SUM(AF$6:AF$19)+SUM(AH$6:AH$19)</f>
        <v>0</v>
      </c>
      <c r="H109">
        <f>SUM(AJ$6:AJ$19)+SUM(AL$6:AL$19)+SUM(AN$6:AN$19)+SUM(AP$6:AP$19)</f>
        <v>0</v>
      </c>
      <c r="I109">
        <f>SUM(AR$6:AR$19)+SUM(AT$6:AT$19)+SUM(AV$6:AV$19)+SUM(AX$6:AX$19)</f>
        <v>0</v>
      </c>
      <c r="J109">
        <f>SUM(AZ$6:AZ$19)+SUM(BB$6:BB$19)+SUM(BD$6:BD$19)+SUM(BF$6:BF$19)</f>
        <v>0</v>
      </c>
      <c r="K109">
        <f>SUM(BH$6:BH$19)+SUM(BJ$6:BJ$19)+SUM(BL$6:BL$19)+SUM(BN$6:BN$19)</f>
        <v>0</v>
      </c>
      <c r="L109">
        <f>SUM(BP$6:BP$19)+SUM(BR$6:BR$19)+SUM(BT$6:BT$19)+SUM(BV$6:BV$19)</f>
        <v>0</v>
      </c>
      <c r="M109">
        <f>SUM(BX$6:BX$19)+SUM(BZ$6:BZ$19)+SUM(CB$6:CB$19)+SUM(CD$6:CD$19)</f>
        <v>0</v>
      </c>
      <c r="N109">
        <f>SUM(CF$6:CF$19)+SUM(CH$6:CH$19)+SUM(CJ$6:CJ$19)+SUM(CL$6:CL$19)</f>
        <v>0</v>
      </c>
      <c r="O109">
        <f>SUM(CN$6:CN$19)+SUM(CP$6:CP$19)+SUM(CR$6:CR$19)+SUM(CT$6:CT$19)</f>
        <v>0</v>
      </c>
    </row>
    <row r="110" spans="2:99" x14ac:dyDescent="0.2">
      <c r="C110" s="118" t="s">
        <v>127</v>
      </c>
      <c r="D110">
        <f>SUM(D$20:D$36)+SUM(F$20:F$36)+SUM(H$20:H$36)+SUM(J$20:J$36)</f>
        <v>1559</v>
      </c>
      <c r="E110">
        <f>SUM(L$20:L$36)+SUM(N$20:N$36)+SUM(P$20:P$36)+SUM(R$20:R$36)</f>
        <v>1482</v>
      </c>
      <c r="F110">
        <f>SUM(T$20:T$36)+SUM(V$20:V$36)+SUM(X$20:X$36)+SUM(Z$20:Z$36)</f>
        <v>371</v>
      </c>
      <c r="G110">
        <f>SUM(AB$20:AB$36)+SUM(AD$20:AD$36)+SUM(AF$20:AF$36)+SUM(AH$20:AH$36)</f>
        <v>0</v>
      </c>
      <c r="H110">
        <f>SUM(AJ$20:AJ$36)+SUM(AL$20:AL$36)+SUM(AN$20:AN$36)+SUM(AP$20:AP$36)</f>
        <v>0</v>
      </c>
      <c r="I110">
        <f>SUM(AR$20:AR$36)+SUM(AT$20:AT$36)+SUM(AV$20:AV$36)+SUM(AX$20:AX$36)</f>
        <v>0</v>
      </c>
      <c r="J110">
        <f>SUM(AZ$20:AZ$36)+SUM(BB$20:BB$36)+SUM(BD$20:BD$36)+SUM(BF$20:BF$36)</f>
        <v>0</v>
      </c>
      <c r="K110">
        <f>SUM(BH$20:BH$36)+SUM(BJ$20:BJ$36)+SUM(BL$20:BL$36)+SUM(BN$20:BN$36)</f>
        <v>0</v>
      </c>
      <c r="L110">
        <f>SUM(BP$20:BP$36)+SUM(BR$20:BR$36)+SUM(BT$20:BT$36)+SUM(BV$20:BV$36)</f>
        <v>0</v>
      </c>
      <c r="M110">
        <f>SUM(BX$20:BX$36)+SUM(BZ$20:BZ$36)+SUM(CB$20:CB$36)+SUM(CD$20:CD$36)</f>
        <v>0</v>
      </c>
      <c r="N110">
        <f>SUM(CF$20:CF$36)+SUM(CH$20:CH$36)+SUM(CJ$20:CJ$36)+SUM(CL$20:CL$36)</f>
        <v>0</v>
      </c>
      <c r="O110">
        <f>SUM(CN$20:CN$36)+SUM(CP$20:CP$36)+SUM(CR$20:CR$36)+SUM(CT$20:CT$36)</f>
        <v>0</v>
      </c>
    </row>
    <row r="111" spans="2:99" x14ac:dyDescent="0.2">
      <c r="C111" s="118" t="s">
        <v>128</v>
      </c>
      <c r="D111">
        <f>SUM(D$37:D$48)+SUM(F$37:F$48)+SUM(H$37:H$48)+SUM(J$37:J$48)</f>
        <v>815</v>
      </c>
      <c r="E111">
        <f>SUM(L$37:L$48)+SUM(N$37:N$48)+SUM(P$37:P$48)+SUM(R$37:R$48)</f>
        <v>780</v>
      </c>
      <c r="F111">
        <f>SUM(T$37:T$48)+SUM(V$37:V$48)+SUM(X$37:X$48)+SUM(Z$37:Z$48)</f>
        <v>320</v>
      </c>
      <c r="G111">
        <f>SUM(AB$37:AB$48)+SUM(AD$37:AD$48)+SUM(AF$37:AF$48)+SUM(AH$37:AH$48)</f>
        <v>0</v>
      </c>
      <c r="H111">
        <f>SUM(AJ$37:AJ$48)+SUM(AL$37:AL$48)+SUM(AN$37:AN$48)+SUM(AP$37:AP$48)</f>
        <v>0</v>
      </c>
      <c r="I111">
        <f>SUM(AR$37:AR$48)+SUM(AT$37:AT$48)+SUM(AV$37:AV$48)+SUM(AX$37:AX$48)</f>
        <v>0</v>
      </c>
      <c r="J111">
        <f>SUM(AZ$37:AZ$48)+SUM(BB$37:BB$48)+SUM(BD$37:BD$48)+SUM(BF$37:BF$48)</f>
        <v>0</v>
      </c>
      <c r="K111">
        <f>SUM(BH$37:BH$48)+SUM(BJ$37:BJ$48)+SUM(BL$37:BL$48)+SUM(BN$37:BN$48)</f>
        <v>0</v>
      </c>
      <c r="L111">
        <f>SUM(BP$37:BP$48)+SUM(BR$37:BR$48)+SUM(BT$37:BT$48)+SUM(BV$37:BV$48)</f>
        <v>0</v>
      </c>
      <c r="M111">
        <f>SUM(BX$37:BX$48)+SUM(BZ$37:BZ$48)+SUM(CB$37:CB$48)+SUM(CD$37:CD$48)</f>
        <v>0</v>
      </c>
      <c r="N111">
        <f>SUM(CF$37:CF$48)+SUM(CH$37:CH$48)+SUM(CJ$37:CJ$48)+SUM(CL$37:CL$48)</f>
        <v>0</v>
      </c>
      <c r="O111">
        <f>SUM(CN$37:CN$48)+SUM(CP$37:CP$48)+SUM(CR$37:CR$48)+SUM(CT$37:CT$48)</f>
        <v>0</v>
      </c>
    </row>
    <row r="112" spans="2:99" x14ac:dyDescent="0.2">
      <c r="C112" s="118" t="s">
        <v>129</v>
      </c>
      <c r="D112">
        <f>SUM(D$49:D$70)+SUM(F$49:F$70)+SUM(H$49:H$70)+SUM(J$49:J$70)</f>
        <v>1068.2171560881307</v>
      </c>
      <c r="E112">
        <f>SUM(L$49:L$70)+SUM(N$49:N$70)+SUM(P$49:P$70)+SUM(R$49:R$70)</f>
        <v>1349</v>
      </c>
      <c r="F112">
        <f>SUM(T$49:T$70)+SUM(V$49:V$70)+SUM(X$49:X$70)+SUM(Z$49:Z$70)</f>
        <v>357</v>
      </c>
      <c r="G112">
        <f>SUM(AB$49:AB$70)+SUM(AD$49:AD$70)+SUM(AF$49:AF$70)+SUM(AH$49:AH$70)</f>
        <v>171</v>
      </c>
      <c r="H112">
        <f>SUM(AJ$49:AJ$70)+SUM(AL$49:AL$70)+SUM(AN$49:AN$70)+SUM(AP$49:AP$70)</f>
        <v>160</v>
      </c>
      <c r="I112">
        <f>SUM(AR$49:AR$70)+SUM(AT$49:AT$70)+SUM(AV$49:AV$70)+SUM(AX$49:AX$70)</f>
        <v>141</v>
      </c>
      <c r="J112">
        <f>SUM(AZ$49:AZ$70)+SUM(BB$49:BB$70)+SUM(BD$49:BD$70)+SUM(BF$49:BF$70)</f>
        <v>164</v>
      </c>
      <c r="K112">
        <f>SUM(BH$49:BH$70)+SUM(BJ$49:BJ$70)+SUM(BL$49:BL$70)+SUM(BN$49:BN$70)</f>
        <v>159</v>
      </c>
      <c r="L112">
        <f>SUM(BP$49:BP$70)+SUM(BR$49:BR$70)+SUM(BT$49:BT$70)+SUM(BV$49:BV$70)</f>
        <v>148</v>
      </c>
      <c r="M112">
        <f>SUM(BX$49:BX$70)+SUM(BZ$49:BZ$70)+SUM(CB$49:CB$70)+SUM(CD$49:CD$70)</f>
        <v>147</v>
      </c>
      <c r="N112">
        <f>SUM(CF$49:CF$70)+SUM(CH$49:CH$70)+SUM(CJ$49:CJ$70)+SUM(CL$49:CL$70)</f>
        <v>153</v>
      </c>
      <c r="O112">
        <f>SUM(CN$49:CN$70)+SUM(CP$49:CP$70)+SUM(CR$49:CR$70)+SUM(CT$49:CT$70)</f>
        <v>160</v>
      </c>
    </row>
    <row r="113" spans="2:15" x14ac:dyDescent="0.2">
      <c r="C113" s="118" t="s">
        <v>130</v>
      </c>
      <c r="D113">
        <f>SUM(D$71:D$86)+SUM(F$71:F$86)+SUM(H$71:H$86)+SUM(J$71:J$86)</f>
        <v>259.6227848688776</v>
      </c>
      <c r="E113">
        <f>SUM(L$71:L$86)+SUM(N$71:N$86)+SUM(P$71:P$86)+SUM(R$71:R$86)</f>
        <v>904</v>
      </c>
      <c r="F113">
        <f>SUM(T$71:T$86)+SUM(V$71:V$86)+SUM(X$71:X$86)+SUM(Z$71:Z$86)</f>
        <v>1061</v>
      </c>
      <c r="G113">
        <f>SUM(AB$71:AB$86)+SUM(AD$71:AD$86)+SUM(AF$71:AF$86)+SUM(AH$71:AH$86)</f>
        <v>1092</v>
      </c>
      <c r="H113">
        <f>SUM(AJ$71:AJ$86)+SUM(AL$71:AL$86)+SUM(AN$71:AN$86)+SUM(AP$71:AP$86)</f>
        <v>956</v>
      </c>
      <c r="I113">
        <f>SUM(AR$71:AR$86)+SUM(AT$71:AT$86)+SUM(AV$71:AV$86)+SUM(AX$71:AX$86)</f>
        <v>1059</v>
      </c>
      <c r="J113">
        <f>SUM(AZ$71:AZ$86)+SUM(BB$71:BB$86)+SUM(BD$71:BD$86)+SUM(BF$71:BF$86)</f>
        <v>960</v>
      </c>
      <c r="K113">
        <f>SUM(BH$71:BH$86)+SUM(BJ$71:BJ$86)+SUM(BL$71:BL$86)+SUM(BN$71:BN$86)</f>
        <v>928</v>
      </c>
      <c r="L113">
        <f>SUM(BP$71:BP$86)+SUM(BR$71:BR$86)+SUM(BT$71:BT$86)+SUM(BV$71:BV$86)</f>
        <v>1089</v>
      </c>
      <c r="M113">
        <f>SUM(BX$71:BX$86)+SUM(BZ$71:BZ$86)+SUM(CB$71:CB$86)+SUM(CD$71:CD$86)</f>
        <v>1044</v>
      </c>
      <c r="N113">
        <f>SUM(CF$71:CF$86)+SUM(CH$71:CH$86)+SUM(CJ$71:CJ$86)+SUM(CL$71:CL$86)</f>
        <v>1122</v>
      </c>
      <c r="O113">
        <f>SUM(CN$71:CN$86)+SUM(CP$71:CP$86)+SUM(CR$71:CR$86)+SUM(CT$71:CT$86)</f>
        <v>951</v>
      </c>
    </row>
    <row r="114" spans="2:15" x14ac:dyDescent="0.2">
      <c r="C114" s="118" t="s">
        <v>131</v>
      </c>
      <c r="D114">
        <f>SUM(D$87:D$94)+SUM(F$87:F$94)+SUM(H$87:H$94)+SUM(J$87:J$94)</f>
        <v>174.88296605027972</v>
      </c>
      <c r="E114">
        <f>SUM(L$87:L$94)+SUM(N$87:N$94)+SUM(P$87:P$94)+SUM(R$87:R$94)</f>
        <v>415</v>
      </c>
      <c r="F114">
        <f>SUM(T$87:T$94)+SUM(V$87:V$94)+SUM(X$87:X$94)+SUM(Z$87:Z$94)</f>
        <v>442</v>
      </c>
      <c r="G114">
        <f>SUM(AB$87:AB$94)+SUM(AD$87:AD$94)+SUM(AF$87:AF$94)+SUM(AH$87:AH$94)</f>
        <v>487</v>
      </c>
      <c r="H114">
        <f>SUM(AJ$87:AJ$94)+SUM(AL$87:AL$94)+SUM(AN$87:AN$94)+SUM(AP$87:AP$94)</f>
        <v>404</v>
      </c>
      <c r="I114">
        <f>SUM(AR$87:AR$94)+SUM(AT$87:AT$94)+SUM(AV$87:AV$94)+SUM(AX$87:AX$94)</f>
        <v>584</v>
      </c>
      <c r="J114">
        <f>SUM(AZ$87:AZ$94)+SUM(BB$87:BB$94)+SUM(BD$87:BD$94)+SUM(BF$87:BF$94)</f>
        <v>526</v>
      </c>
      <c r="K114">
        <f>SUM(BH$87:BH$94)+SUM(BJ$87:BJ$94)+SUM(BL$87:BL$94)+SUM(BN$87:BN$94)</f>
        <v>444</v>
      </c>
      <c r="L114">
        <f>SUM(BP$87:BP$94)+SUM(BR$87:BR$94)+SUM(BT$87:BT$94)+SUM(BV$87:BV$94)</f>
        <v>524</v>
      </c>
      <c r="M114">
        <f>SUM(BX$87:BX$94)+SUM(BZ$87:BZ$94)+SUM(CB$87:CB$94)+SUM(CD$87:CD$94)</f>
        <v>607</v>
      </c>
      <c r="N114">
        <f>SUM(CF$87:CF$94)+SUM(CH$87:CH$94)+SUM(CJ$87:CJ$94)+SUM(CL$87:CL$94)</f>
        <v>516</v>
      </c>
      <c r="O114">
        <f>SUM(CN$87:CN$94)+SUM(CP$87:CP$94)+SUM(CR$87:CR$94)+SUM(CT$87:CT$94)</f>
        <v>577</v>
      </c>
    </row>
    <row r="115" spans="2:15" x14ac:dyDescent="0.2">
      <c r="C115" s="118" t="s">
        <v>132</v>
      </c>
      <c r="D115">
        <f>SUM(D$95:D$105)+SUM(F$95:F$105)+SUM(H$95:H$105)+SUM(J$95:J$105)</f>
        <v>190.81612804270952</v>
      </c>
      <c r="E115">
        <f>SUM(L$95:L$105)+SUM(N$95:N$105)+SUM(P$95:P$105)+SUM(R$95:R$105)</f>
        <v>687</v>
      </c>
      <c r="F115">
        <f>SUM(T$95:T$105)+SUM(V$95:V$105)+SUM(X$95:X$105)+SUM(Z$95:Z$105)</f>
        <v>711</v>
      </c>
      <c r="G115">
        <f>SUM(AB$95:AB$105)+SUM(AD$95:AD$105)+SUM(AF$95:AF$105)+SUM(AH$95:AH$105)</f>
        <v>598</v>
      </c>
      <c r="H115">
        <f>SUM(AJ$95:AJ$105)+SUM(AL$95:AL$105)+SUM(AN$95:AN$105)+SUM(AP$95:AP$105)</f>
        <v>658</v>
      </c>
      <c r="I115">
        <f>SUM(AR$95:AR$105)+SUM(AT$95:AT$105)+SUM(AV$95:AV$105)+SUM(AX$95:AX$105)</f>
        <v>603</v>
      </c>
      <c r="J115">
        <f>SUM(AZ$95:AZ$105)+SUM(BB$95:BB$105)+SUM(BD$95:BD$105)+SUM(BF$95:BF$105)</f>
        <v>686</v>
      </c>
      <c r="K115">
        <f>SUM(BH$95:BH$105)+SUM(BJ$95:BJ$105)+SUM(BL$95:BL$105)+SUM(BN$95:BN$105)</f>
        <v>587</v>
      </c>
      <c r="L115">
        <f>SUM(BP$95:BP$105)+SUM(BR$95:BR$105)+SUM(BT$95:BT$105)+SUM(BV$95:BV$105)</f>
        <v>732</v>
      </c>
      <c r="M115">
        <f>SUM(BX$95:BX$105)+SUM(BZ$95:BZ$105)+SUM(CB$95:CB$105)+SUM(CD$95:CD$105)</f>
        <v>587</v>
      </c>
      <c r="N115">
        <f>SUM(CF$95:CF$105)+SUM(CH$95:CH$105)+SUM(CJ$95:CJ$105)+SUM(CL$95:CL$105)</f>
        <v>671</v>
      </c>
      <c r="O115">
        <f>SUM(CN$95:CN$105)+SUM(CP$95:CP$105)+SUM(CR$95:CR$105)+SUM(CT$95:CT$105)</f>
        <v>710</v>
      </c>
    </row>
    <row r="116" spans="2:15" x14ac:dyDescent="0.2">
      <c r="C116" s="118" t="s">
        <v>278</v>
      </c>
      <c r="D116">
        <f t="shared" ref="D116:O116" si="0">SUM(D$109:D$115)</f>
        <v>4842.5390350499974</v>
      </c>
      <c r="E116">
        <f t="shared" si="0"/>
        <v>6544</v>
      </c>
      <c r="F116">
        <f t="shared" si="0"/>
        <v>3526</v>
      </c>
      <c r="G116">
        <f t="shared" si="0"/>
        <v>2348</v>
      </c>
      <c r="H116">
        <f t="shared" si="0"/>
        <v>2178</v>
      </c>
      <c r="I116">
        <f t="shared" si="0"/>
        <v>2387</v>
      </c>
      <c r="J116">
        <f t="shared" si="0"/>
        <v>2336</v>
      </c>
      <c r="K116">
        <f t="shared" si="0"/>
        <v>2118</v>
      </c>
      <c r="L116">
        <f t="shared" si="0"/>
        <v>2493</v>
      </c>
      <c r="M116">
        <f t="shared" si="0"/>
        <v>2385</v>
      </c>
      <c r="N116">
        <f t="shared" si="0"/>
        <v>2462</v>
      </c>
      <c r="O116">
        <f t="shared" si="0"/>
        <v>2398</v>
      </c>
    </row>
    <row r="118" spans="2:15" x14ac:dyDescent="0.2">
      <c r="B118" s="120" t="s">
        <v>279</v>
      </c>
    </row>
    <row r="119" spans="2:15" x14ac:dyDescent="0.2">
      <c r="C119" s="118" t="s">
        <v>277</v>
      </c>
      <c r="D119" s="118" t="s">
        <v>92</v>
      </c>
      <c r="E119" s="118" t="s">
        <v>93</v>
      </c>
      <c r="F119" s="118" t="s">
        <v>94</v>
      </c>
      <c r="G119" s="118" t="s">
        <v>95</v>
      </c>
      <c r="H119" s="118" t="s">
        <v>96</v>
      </c>
      <c r="I119" s="118" t="s">
        <v>97</v>
      </c>
      <c r="J119" s="118" t="s">
        <v>98</v>
      </c>
      <c r="K119" s="118" t="s">
        <v>99</v>
      </c>
      <c r="L119" s="118" t="s">
        <v>100</v>
      </c>
      <c r="M119" s="118" t="s">
        <v>101</v>
      </c>
      <c r="N119" s="118" t="s">
        <v>102</v>
      </c>
      <c r="O119" s="118" t="s">
        <v>103</v>
      </c>
    </row>
    <row r="120" spans="2:15" x14ac:dyDescent="0.2">
      <c r="C120" s="118" t="s">
        <v>126</v>
      </c>
      <c r="D120">
        <f>D109*pricing!D6*2000</f>
        <v>2816740.5695535671</v>
      </c>
      <c r="E120">
        <f>E109*pricing!E6*2000</f>
        <v>3369185.1715821428</v>
      </c>
      <c r="F120">
        <f>F109*pricing!F6*2000</f>
        <v>959509.0456285713</v>
      </c>
      <c r="G120">
        <f>G109*pricing!G6*2000</f>
        <v>0</v>
      </c>
      <c r="H120">
        <f>H109*pricing!H6*2000</f>
        <v>0</v>
      </c>
      <c r="I120">
        <f>I109*pricing!I6*2000</f>
        <v>0</v>
      </c>
      <c r="J120">
        <f>J109*pricing!J6*2000</f>
        <v>0</v>
      </c>
      <c r="K120">
        <f>K109*pricing!K6*2000</f>
        <v>0</v>
      </c>
      <c r="L120">
        <f>L109*pricing!L6*2000</f>
        <v>0</v>
      </c>
      <c r="M120">
        <f>M109*pricing!M6*2000</f>
        <v>0</v>
      </c>
      <c r="N120">
        <f>N109*pricing!N6*2000</f>
        <v>0</v>
      </c>
      <c r="O120">
        <f>O109*pricing!O6*2000</f>
        <v>0</v>
      </c>
    </row>
    <row r="121" spans="2:15" x14ac:dyDescent="0.2">
      <c r="C121" s="118" t="s">
        <v>127</v>
      </c>
      <c r="D121">
        <f>D110*pricing!D7*2000</f>
        <v>6119704.5242000008</v>
      </c>
      <c r="E121">
        <f>E110*pricing!E7*2000</f>
        <v>5817448.4316000007</v>
      </c>
      <c r="F121">
        <f>F110*pricing!F7*2000</f>
        <v>1456324.8098000002</v>
      </c>
      <c r="G121">
        <f>G110*pricing!G7*2000</f>
        <v>0</v>
      </c>
      <c r="H121">
        <f>H110*pricing!H7*2000</f>
        <v>0</v>
      </c>
      <c r="I121">
        <f>I110*pricing!I7*2000</f>
        <v>0</v>
      </c>
      <c r="J121">
        <f>J110*pricing!J7*2000</f>
        <v>0</v>
      </c>
      <c r="K121">
        <f>K110*pricing!K7*2000</f>
        <v>0</v>
      </c>
      <c r="L121">
        <f>L110*pricing!L7*2000</f>
        <v>0</v>
      </c>
      <c r="M121">
        <f>M110*pricing!M7*2000</f>
        <v>0</v>
      </c>
      <c r="N121">
        <f>N110*pricing!N7*2000</f>
        <v>0</v>
      </c>
      <c r="O121">
        <f>O110*pricing!O7*2000</f>
        <v>0</v>
      </c>
    </row>
    <row r="122" spans="2:15" x14ac:dyDescent="0.2">
      <c r="C122" s="118" t="s">
        <v>128</v>
      </c>
      <c r="D122">
        <f>D111*pricing!D8*2000</f>
        <v>3029192.6689791661</v>
      </c>
      <c r="E122">
        <f>E111*pricing!E8*2000</f>
        <v>2899104.6402499997</v>
      </c>
      <c r="F122">
        <f>F111*pricing!F8*2000</f>
        <v>1189376.2626666666</v>
      </c>
      <c r="G122">
        <f>G111*pricing!G8*2000</f>
        <v>0</v>
      </c>
      <c r="H122">
        <f>H111*pricing!H8*2000</f>
        <v>0</v>
      </c>
      <c r="I122">
        <f>I111*pricing!I8*2000</f>
        <v>0</v>
      </c>
      <c r="J122">
        <f>J111*pricing!J8*2000</f>
        <v>0</v>
      </c>
      <c r="K122">
        <f>K111*pricing!K8*2000</f>
        <v>0</v>
      </c>
      <c r="L122">
        <f>L111*pricing!L8*2000</f>
        <v>0</v>
      </c>
      <c r="M122">
        <f>M111*pricing!M8*2000</f>
        <v>0</v>
      </c>
      <c r="N122">
        <f>N111*pricing!N8*2000</f>
        <v>0</v>
      </c>
      <c r="O122">
        <f>O111*pricing!O8*2000</f>
        <v>0</v>
      </c>
    </row>
    <row r="123" spans="2:15" x14ac:dyDescent="0.2">
      <c r="C123" s="118" t="s">
        <v>129</v>
      </c>
      <c r="D123">
        <f>D112*pricing!D9*2000</f>
        <v>4573211.8058817554</v>
      </c>
      <c r="E123">
        <f>E112*pricing!E9*2000</f>
        <v>5775288.9391204538</v>
      </c>
      <c r="F123">
        <f>F112*pricing!F9*2000</f>
        <v>1528375.2047931817</v>
      </c>
      <c r="G123">
        <f>G112*pricing!G9*2000</f>
        <v>732078.87960681808</v>
      </c>
      <c r="H123">
        <f>H112*pricing!H9*2000</f>
        <v>684986.08618181816</v>
      </c>
      <c r="I123">
        <f>I112*pricing!I9*2000</f>
        <v>603643.98844772705</v>
      </c>
      <c r="J123">
        <f>J112*pricing!J9*2000</f>
        <v>702110.73833636346</v>
      </c>
      <c r="K123">
        <f>K112*pricing!K9*2000</f>
        <v>680704.9231431816</v>
      </c>
      <c r="L123">
        <f>L112*pricing!L9*2000</f>
        <v>633612.12971818168</v>
      </c>
      <c r="M123">
        <f>M112*pricing!M9*2000</f>
        <v>629330.96667954535</v>
      </c>
      <c r="N123">
        <f>N112*pricing!N9*2000</f>
        <v>655017.94491136353</v>
      </c>
      <c r="O123">
        <f>O112*pricing!O9*2000</f>
        <v>684986.08618181816</v>
      </c>
    </row>
    <row r="124" spans="2:15" x14ac:dyDescent="0.2">
      <c r="C124" s="118" t="s">
        <v>130</v>
      </c>
      <c r="D124">
        <f>D113*pricing!D10*2000</f>
        <v>929314.95217134233</v>
      </c>
      <c r="E124">
        <f>E113*pricing!E10*2000</f>
        <v>3235851.2646999992</v>
      </c>
      <c r="F124">
        <f>F113*pricing!F10*2000</f>
        <v>3797829.8582374994</v>
      </c>
      <c r="G124">
        <f>G113*pricing!G10*2000</f>
        <v>3908793.7843499994</v>
      </c>
      <c r="H124">
        <f>H113*pricing!H10*2000</f>
        <v>3421984.3020499991</v>
      </c>
      <c r="I124">
        <f>I113*pricing!I10*2000</f>
        <v>3790670.8952624993</v>
      </c>
      <c r="J124">
        <f>J113*pricing!J10*2000</f>
        <v>3436302.2279999997</v>
      </c>
      <c r="K124">
        <f>K113*pricing!K10*2000</f>
        <v>3321758.8203999996</v>
      </c>
      <c r="L124">
        <f>L113*pricing!L10*2000</f>
        <v>3898055.3398874993</v>
      </c>
      <c r="M124">
        <f>M113*pricing!M10*2000</f>
        <v>3736978.6729499991</v>
      </c>
      <c r="N124">
        <f>N113*pricing!N10*2000</f>
        <v>4016178.2289749994</v>
      </c>
      <c r="O124">
        <f>O113*pricing!O10*2000</f>
        <v>3404086.894612499</v>
      </c>
    </row>
    <row r="125" spans="2:15" x14ac:dyDescent="0.2">
      <c r="C125" s="118" t="s">
        <v>131</v>
      </c>
      <c r="D125">
        <f>D114*pricing!D11*2000</f>
        <v>681942.46666039876</v>
      </c>
      <c r="E125">
        <f>E114*pricing!E11*2000</f>
        <v>1618260.0859062499</v>
      </c>
      <c r="F125">
        <f>F114*pricing!F11*2000</f>
        <v>1723544.4770374999</v>
      </c>
      <c r="G125">
        <f>G114*pricing!G11*2000</f>
        <v>1899018.46225625</v>
      </c>
      <c r="H125">
        <f>H114*pricing!H11*2000</f>
        <v>1575366.4450749999</v>
      </c>
      <c r="I125">
        <f>I114*pricing!I11*2000</f>
        <v>2277262.38595</v>
      </c>
      <c r="J125">
        <f>J114*pricing!J11*2000</f>
        <v>2051095.9161125002</v>
      </c>
      <c r="K125">
        <f>K114*pricing!K11*2000</f>
        <v>1731343.3208250001</v>
      </c>
      <c r="L125">
        <f>L114*pricing!L11*2000</f>
        <v>2043297.0723250001</v>
      </c>
      <c r="M125">
        <f>M114*pricing!M11*2000</f>
        <v>2366949.0895062499</v>
      </c>
      <c r="N125">
        <f>N114*pricing!N11*2000</f>
        <v>2012101.6971750001</v>
      </c>
      <c r="O125">
        <f>O114*pricing!O11*2000</f>
        <v>2249966.4326937501</v>
      </c>
    </row>
    <row r="126" spans="2:15" x14ac:dyDescent="0.2">
      <c r="C126" s="118" t="s">
        <v>132</v>
      </c>
      <c r="D126">
        <f>D115*pricing!D12*2000</f>
        <v>758527.38511707401</v>
      </c>
      <c r="E126">
        <f>E115*pricing!E12*2000</f>
        <v>2730944.8049317533</v>
      </c>
      <c r="F126">
        <f>F115*pricing!F12*2000</f>
        <v>2826348.9902568799</v>
      </c>
      <c r="G126">
        <f>G115*pricing!G12*2000</f>
        <v>2377154.2843510746</v>
      </c>
      <c r="H126">
        <f>H115*pricing!H12*2000</f>
        <v>2615664.7476638919</v>
      </c>
      <c r="I126">
        <f>I115*pricing!I12*2000</f>
        <v>2397030.1562938099</v>
      </c>
      <c r="J126">
        <f>J115*pricing!J12*2000</f>
        <v>2726969.6305432064</v>
      </c>
      <c r="K126">
        <f>K115*pricing!K12*2000</f>
        <v>2333427.3660770585</v>
      </c>
      <c r="L126">
        <f>L115*pricing!L12*2000</f>
        <v>2909827.6524163657</v>
      </c>
      <c r="M126">
        <f>M115*pricing!M12*2000</f>
        <v>2333427.3660770585</v>
      </c>
      <c r="N126">
        <f>N115*pricing!N12*2000</f>
        <v>2667342.0147150024</v>
      </c>
      <c r="O126">
        <f>O115*pricing!O12*2000</f>
        <v>2822373.815868333</v>
      </c>
    </row>
    <row r="127" spans="2:15" x14ac:dyDescent="0.2">
      <c r="C127" s="118" t="s">
        <v>278</v>
      </c>
      <c r="D127">
        <f t="shared" ref="D127:O127" si="1">SUM(D$120:D$126)</f>
        <v>18908634.372563303</v>
      </c>
      <c r="E127">
        <f t="shared" si="1"/>
        <v>25446083.338090599</v>
      </c>
      <c r="F127">
        <f t="shared" si="1"/>
        <v>13481308.648420298</v>
      </c>
      <c r="G127">
        <f t="shared" si="1"/>
        <v>8917045.4105641413</v>
      </c>
      <c r="H127">
        <f t="shared" si="1"/>
        <v>8298001.5809707092</v>
      </c>
      <c r="I127">
        <f t="shared" si="1"/>
        <v>9068607.4259540364</v>
      </c>
      <c r="J127">
        <f t="shared" si="1"/>
        <v>8916478.5129920691</v>
      </c>
      <c r="K127">
        <f t="shared" si="1"/>
        <v>8067234.4304452389</v>
      </c>
      <c r="L127">
        <f t="shared" si="1"/>
        <v>9484792.1943470463</v>
      </c>
      <c r="M127">
        <f t="shared" si="1"/>
        <v>9066686.0952128526</v>
      </c>
      <c r="N127">
        <f t="shared" si="1"/>
        <v>9350639.8857763652</v>
      </c>
      <c r="O127">
        <f t="shared" si="1"/>
        <v>9161413.2293564007</v>
      </c>
    </row>
    <row r="129" spans="2:15" x14ac:dyDescent="0.2">
      <c r="B129" s="120" t="s">
        <v>280</v>
      </c>
    </row>
    <row r="130" spans="2:15" x14ac:dyDescent="0.2">
      <c r="C130" s="122" t="s">
        <v>277</v>
      </c>
      <c r="D130" s="122" t="s">
        <v>92</v>
      </c>
      <c r="E130" s="122" t="s">
        <v>93</v>
      </c>
      <c r="F130" s="122" t="s">
        <v>94</v>
      </c>
      <c r="G130" s="122" t="s">
        <v>95</v>
      </c>
      <c r="H130" s="122" t="s">
        <v>96</v>
      </c>
      <c r="I130" s="122" t="s">
        <v>97</v>
      </c>
      <c r="J130" s="122" t="s">
        <v>98</v>
      </c>
      <c r="K130" s="122" t="s">
        <v>99</v>
      </c>
      <c r="L130" s="122" t="s">
        <v>100</v>
      </c>
      <c r="M130" s="122" t="s">
        <v>101</v>
      </c>
      <c r="N130" s="122" t="s">
        <v>102</v>
      </c>
      <c r="O130" s="122" t="s">
        <v>103</v>
      </c>
    </row>
    <row r="131" spans="2:15" x14ac:dyDescent="0.2">
      <c r="C131" s="122" t="s">
        <v>126</v>
      </c>
      <c r="D131" s="123">
        <f>SUM(E$6:E$19)+SUM(G$6:G$19)+SUM(I$6:I$19)+SUM(K$6:K$19)</f>
        <v>389377.19999999995</v>
      </c>
      <c r="E131" s="123">
        <f>SUM(M$6:M$19)+SUM(O$6:O$19)+SUM(Q$6:Q$19)+SUM(S$6:S$19)</f>
        <v>466209.6</v>
      </c>
      <c r="F131" s="123">
        <f>SUM(U$6:U$19)+SUM(W$6:W$19)+SUM(Y$6:Y$19)+SUM(AA$6:AA$19)</f>
        <v>131524.79999999999</v>
      </c>
      <c r="G131" s="123">
        <f>SUM(AC$6:AC$19)+SUM(AE$6:AE$19)+SUM(AG$6:AG$19)+SUM(AI$6:AI$19)</f>
        <v>0</v>
      </c>
      <c r="H131" s="123">
        <f>SUM(AK$6:AK$19)+SUM(AM$6:AM$19)+SUM(AO$6:AO$19)+SUM(AQ$6:AQ$19)</f>
        <v>0</v>
      </c>
      <c r="I131" s="123">
        <f>SUM(AS$6:AS$19)+SUM(AU$6:AU$19)+SUM(AW$6:AW$19)+SUM(AY$6:AY$19)</f>
        <v>0</v>
      </c>
      <c r="J131" s="123">
        <f>SUM(BA$6:BA$19)+SUM(BC$6:BC$19)+SUM(BE$6:BE$19)+SUM(BG$6:BG$19)</f>
        <v>0</v>
      </c>
      <c r="K131" s="123">
        <f>SUM(BI$6:BI$19)+SUM(BK$6:BK$19)+SUM(BM$6:BM$19)+SUM(BO$6:BO$19)</f>
        <v>0</v>
      </c>
      <c r="L131" s="123">
        <f>SUM(BQ$6:BQ$19)+SUM(BS$6:BS$19)+SUM(BU$6:BU$19)+SUM(BW$6:BW$19)</f>
        <v>0</v>
      </c>
      <c r="M131" s="123">
        <f>SUM(BY$6:BY$19)+SUM(CA$6:CA$19)+SUM(CC$6:CC$19)+SUM(CE$6:CE$19)</f>
        <v>0</v>
      </c>
      <c r="N131" s="123">
        <f>SUM(CG$6:CG$19)+SUM(CI$6:CI$19)+SUM(CK$6:CK$19)+SUM(CM$6:CM$19)</f>
        <v>0</v>
      </c>
      <c r="O131" s="123">
        <f>SUM(CO$6:CO$19)+SUM(CQ$6:CQ$19)+SUM(CS$6:CS$19)+SUM(CU$6:CU$19)</f>
        <v>0</v>
      </c>
    </row>
    <row r="132" spans="2:15" x14ac:dyDescent="0.2">
      <c r="C132" s="122" t="s">
        <v>127</v>
      </c>
      <c r="D132" s="123">
        <f>SUM(E$20:E$36)+SUM(G$20:G$36)+SUM(I$20:I$36)+SUM(K$20:K$36)</f>
        <v>659098.79999999993</v>
      </c>
      <c r="E132" s="123">
        <f>SUM(M$20:M$36)+SUM(O$20:O$36)+SUM(Q$20:Q$36)+SUM(S$20:S$36)</f>
        <v>634692</v>
      </c>
      <c r="F132" s="123">
        <f>SUM(U$20:U$36)+SUM(W$20:W$36)+SUM(Y$20:Y$36)+SUM(AA$20:AA$36)</f>
        <v>156854.39999999999</v>
      </c>
      <c r="G132" s="123">
        <f>SUM(AC$20:AC$36)+SUM(AE$20:AE$36)+SUM(AG$20:AG$36)+SUM(AI$20:AI$36)</f>
        <v>0</v>
      </c>
      <c r="H132" s="123">
        <f>SUM(AK$20:AK$36)+SUM(AM$20:AM$36)+SUM(AO$20:AO$36)+SUM(AQ$20:AQ$36)</f>
        <v>0</v>
      </c>
      <c r="I132" s="123">
        <f>SUM(AS$20:AS$36)+SUM(AU$20:AU$36)+SUM(AW$20:AW$36)+SUM(AY$20:AY$36)</f>
        <v>0</v>
      </c>
      <c r="J132" s="123">
        <f>SUM(BA$20:BA$36)+SUM(BC$20:BC$36)+SUM(BE$20:BE$36)+SUM(BG$20:BG$36)</f>
        <v>0</v>
      </c>
      <c r="K132" s="123">
        <f>SUM(BI$20:BI$36)+SUM(BK$20:BK$36)+SUM(BM$20:BM$36)+SUM(BO$20:BO$36)</f>
        <v>0</v>
      </c>
      <c r="L132" s="123">
        <f>SUM(BQ$20:BQ$36)+SUM(BS$20:BS$36)+SUM(BU$20:BU$36)+SUM(BW$20:BW$36)</f>
        <v>0</v>
      </c>
      <c r="M132" s="123">
        <f>SUM(BY$20:BY$36)+SUM(CA$20:CA$36)+SUM(CC$20:CC$36)+SUM(CE$20:CE$36)</f>
        <v>0</v>
      </c>
      <c r="N132" s="123">
        <f>SUM(CG$20:CG$36)+SUM(CI$20:CI$36)+SUM(CK$20:CK$36)+SUM(CM$20:CM$36)</f>
        <v>0</v>
      </c>
      <c r="O132" s="123">
        <f>SUM(CO$20:CO$36)+SUM(CQ$20:CQ$36)+SUM(CS$20:CS$36)+SUM(CU$20:CU$36)</f>
        <v>0</v>
      </c>
    </row>
    <row r="133" spans="2:15" x14ac:dyDescent="0.2">
      <c r="C133" s="122" t="s">
        <v>128</v>
      </c>
      <c r="D133" s="123">
        <f>SUM(E$37:E$48)+SUM(G$37:G$48)+SUM(I$37:I$48)+SUM(K$37:K$48)</f>
        <v>851788.79999999993</v>
      </c>
      <c r="E133" s="123">
        <f>SUM(M$37:M$48)+SUM(O$37:O$48)+SUM(Q$37:Q$48)+SUM(S$37:S$48)</f>
        <v>816598.8</v>
      </c>
      <c r="F133" s="123">
        <f>SUM(U$37:U$48)+SUM(W$37:W$48)+SUM(Y$37:Y$48)+SUM(AA$37:AA$48)</f>
        <v>333936</v>
      </c>
      <c r="G133" s="123">
        <f>SUM(AC$37:AC$48)+SUM(AE$37:AE$48)+SUM(AG$37:AG$48)+SUM(AI$37:AI$48)</f>
        <v>0</v>
      </c>
      <c r="H133" s="123">
        <f>SUM(AK$37:AK$48)+SUM(AM$37:AM$48)+SUM(AO$37:AO$48)+SUM(AQ$37:AQ$48)</f>
        <v>0</v>
      </c>
      <c r="I133" s="123">
        <f>SUM(AS$37:AS$48)+SUM(AU$37:AU$48)+SUM(AW$37:AW$48)+SUM(AY$37:AY$48)</f>
        <v>0</v>
      </c>
      <c r="J133" s="123">
        <f>SUM(BA$37:BA$48)+SUM(BC$37:BC$48)+SUM(BE$37:BE$48)+SUM(BG$37:BG$48)</f>
        <v>0</v>
      </c>
      <c r="K133" s="123">
        <f>SUM(BI$37:BI$48)+SUM(BK$37:BK$48)+SUM(BM$37:BM$48)+SUM(BO$37:BO$48)</f>
        <v>0</v>
      </c>
      <c r="L133" s="123">
        <f>SUM(BQ$37:BQ$48)+SUM(BS$37:BS$48)+SUM(BU$37:BU$48)+SUM(BW$37:BW$48)</f>
        <v>0</v>
      </c>
      <c r="M133" s="123">
        <f>SUM(BY$37:BY$48)+SUM(CA$37:CA$48)+SUM(CC$37:CC$48)+SUM(CE$37:CE$48)</f>
        <v>0</v>
      </c>
      <c r="N133" s="123">
        <f>SUM(CG$37:CG$48)+SUM(CI$37:CI$48)+SUM(CK$37:CK$48)+SUM(CM$37:CM$48)</f>
        <v>0</v>
      </c>
      <c r="O133" s="123">
        <f>SUM(CO$37:CO$48)+SUM(CQ$37:CQ$48)+SUM(CS$37:CS$48)+SUM(CU$37:CU$48)</f>
        <v>0</v>
      </c>
    </row>
    <row r="134" spans="2:15" x14ac:dyDescent="0.2">
      <c r="C134" s="122" t="s">
        <v>129</v>
      </c>
      <c r="D134" s="123">
        <f>SUM(E$49:E$70)+SUM(G$49:G$70)+SUM(I$49:I$70)+SUM(K$49:K$70)</f>
        <v>879014.18334638956</v>
      </c>
      <c r="E134" s="123">
        <f>SUM(M$49:M$70)+SUM(O$49:O$70)+SUM(Q$49:Q$70)+SUM(S$49:S$70)</f>
        <v>1135233.6000000001</v>
      </c>
      <c r="F134" s="123">
        <f>SUM(U$49:U$70)+SUM(W$49:W$70)+SUM(Y$49:Y$70)+SUM(AA$49:AA$70)</f>
        <v>336412.8</v>
      </c>
      <c r="G134" s="123">
        <f>SUM(AC$49:AC$70)+SUM(AE$49:AE$70)+SUM(AG$49:AG$70)+SUM(AI$49:AI$70)</f>
        <v>188250</v>
      </c>
      <c r="H134" s="123">
        <f>SUM(AK$49:AK$70)+SUM(AM$49:AM$70)+SUM(AO$49:AO$70)+SUM(AQ$49:AQ$70)</f>
        <v>176253.59999999998</v>
      </c>
      <c r="I134" s="123">
        <f>SUM(AS$49:AS$70)+SUM(AU$49:AU$70)+SUM(AW$49:AW$70)+SUM(AY$49:AY$70)</f>
        <v>156051.6</v>
      </c>
      <c r="J134" s="123">
        <f>SUM(BA$49:BA$70)+SUM(BC$49:BC$70)+SUM(BE$49:BE$70)+SUM(BG$49:BG$70)</f>
        <v>181048.8</v>
      </c>
      <c r="K134" s="123">
        <f>SUM(BI$49:BI$70)+SUM(BK$49:BK$70)+SUM(BM$49:BM$70)+SUM(BO$49:BO$70)</f>
        <v>175791.59999999998</v>
      </c>
      <c r="L134" s="123">
        <f>SUM(BQ$49:BQ$70)+SUM(BS$49:BS$70)+SUM(BU$49:BU$70)+SUM(BW$49:BW$70)</f>
        <v>163219.19999999998</v>
      </c>
      <c r="M134" s="123">
        <f>SUM(BY$49:BY$70)+SUM(CA$49:CA$70)+SUM(CC$49:CC$70)+SUM(CE$49:CE$70)</f>
        <v>162346.79999999999</v>
      </c>
      <c r="N134" s="123">
        <f>SUM(CG$49:CG$70)+SUM(CI$49:CI$70)+SUM(CK$49:CK$70)+SUM(CM$49:CM$70)</f>
        <v>168946.8</v>
      </c>
      <c r="O134" s="123">
        <f>SUM(CO$49:CO$70)+SUM(CQ$49:CQ$70)+SUM(CS$49:CS$70)+SUM(CU$49:CU$70)</f>
        <v>176889.59999999998</v>
      </c>
    </row>
    <row r="135" spans="2:15" x14ac:dyDescent="0.2">
      <c r="C135" s="122" t="s">
        <v>130</v>
      </c>
      <c r="D135" s="123">
        <f>SUM(E$71:E$86)+SUM(G$71:G$86)+SUM(I$71:I$86)+SUM(K$71:K$86)</f>
        <v>145203.77865632111</v>
      </c>
      <c r="E135" s="123">
        <f>SUM(M$71:M$86)+SUM(O$71:O$86)+SUM(Q$71:Q$86)+SUM(S$71:S$86)</f>
        <v>501753.59999999992</v>
      </c>
      <c r="F135" s="123">
        <f>SUM(U$71:U$86)+SUM(W$71:W$86)+SUM(Y$71:Y$86)+SUM(AA$71:AA$86)</f>
        <v>592513.19999999995</v>
      </c>
      <c r="G135" s="123">
        <f>SUM(AC$71:AC$86)+SUM(AE$71:AE$86)+SUM(AG$71:AG$86)+SUM(AI$71:AI$86)</f>
        <v>607264.79999999993</v>
      </c>
      <c r="H135" s="123">
        <f>SUM(AK$71:AK$86)+SUM(AM$71:AM$86)+SUM(AO$71:AO$86)+SUM(AQ$71:AQ$86)</f>
        <v>529051.19999999995</v>
      </c>
      <c r="I135" s="123">
        <f>SUM(AS$71:AS$86)+SUM(AU$71:AU$86)+SUM(AW$71:AW$86)+SUM(AY$71:AY$86)</f>
        <v>588741.6</v>
      </c>
      <c r="J135" s="123">
        <f>SUM(BA$71:BA$86)+SUM(BC$71:BC$86)+SUM(BE$71:BE$86)+SUM(BG$71:BG$86)</f>
        <v>536733.6</v>
      </c>
      <c r="K135" s="123">
        <f>SUM(BI$71:BI$86)+SUM(BK$71:BK$86)+SUM(BM$71:BM$86)+SUM(BO$71:BO$86)</f>
        <v>514112.39999999997</v>
      </c>
      <c r="L135" s="123">
        <f>SUM(BQ$71:BQ$86)+SUM(BS$71:BS$86)+SUM(BU$71:BU$86)+SUM(BW$71:BW$86)</f>
        <v>604166.39999999991</v>
      </c>
      <c r="M135" s="123">
        <f>SUM(BY$71:BY$86)+SUM(CA$71:CA$86)+SUM(CC$71:CC$86)+SUM(CE$71:CE$86)</f>
        <v>581348.39999999991</v>
      </c>
      <c r="N135" s="123">
        <f>SUM(CG$71:CG$86)+SUM(CI$71:CI$86)+SUM(CK$71:CK$86)+SUM(CM$71:CM$86)</f>
        <v>622883.99999999988</v>
      </c>
      <c r="O135" s="123">
        <f>SUM(CO$71:CO$86)+SUM(CQ$71:CQ$86)+SUM(CS$71:CS$86)+SUM(CU$71:CU$86)</f>
        <v>530884.79999999993</v>
      </c>
    </row>
    <row r="136" spans="2:15" x14ac:dyDescent="0.2">
      <c r="C136" s="122" t="s">
        <v>131</v>
      </c>
      <c r="D136" s="123">
        <f>SUM(E$87:E$94)+SUM(G$87:G$94)+SUM(I$87:I$94)+SUM(K$87:K$94)</f>
        <v>353643.95564974984</v>
      </c>
      <c r="E136" s="123">
        <f>SUM(M$87:M$94)+SUM(O$87:O$94)+SUM(Q$87:Q$94)+SUM(S$87:S$94)</f>
        <v>842624.39999999991</v>
      </c>
      <c r="F136" s="123">
        <f>SUM(U$87:U$94)+SUM(W$87:W$94)+SUM(Y$87:Y$94)+SUM(AA$87:AA$94)</f>
        <v>898255.2</v>
      </c>
      <c r="G136" s="123">
        <f>SUM(AC$87:AC$94)+SUM(AE$87:AE$94)+SUM(AG$87:AG$94)+SUM(AI$87:AI$94)</f>
        <v>989691.59999999986</v>
      </c>
      <c r="H136" s="123">
        <f>SUM(AK$87:AK$94)+SUM(AM$87:AM$94)+SUM(AO$87:AO$94)+SUM(AQ$87:AQ$94)</f>
        <v>821023.2</v>
      </c>
      <c r="I136" s="123">
        <f>SUM(AS$87:AS$94)+SUM(AU$87:AU$94)+SUM(AW$87:AW$94)+SUM(AY$87:AY$94)</f>
        <v>1189155.5999999999</v>
      </c>
      <c r="J136" s="123">
        <f>SUM(BA$87:BA$94)+SUM(BC$87:BC$94)+SUM(BE$87:BE$94)+SUM(BG$87:BG$94)</f>
        <v>1066998</v>
      </c>
      <c r="K136" s="123">
        <f>SUM(BI$87:BI$94)+SUM(BK$87:BK$94)+SUM(BM$87:BM$94)+SUM(BO$87:BO$94)</f>
        <v>900391.2</v>
      </c>
      <c r="L136" s="123">
        <f>SUM(BQ$87:BQ$94)+SUM(BS$87:BS$94)+SUM(BU$87:BU$94)+SUM(BW$87:BW$94)</f>
        <v>1062538.8</v>
      </c>
      <c r="M136" s="123">
        <f>SUM(BY$87:BY$94)+SUM(CA$87:CA$94)+SUM(CC$87:CC$94)+SUM(CE$87:CE$94)</f>
        <v>1231723.2</v>
      </c>
      <c r="N136" s="123">
        <f>SUM(CG$87:CG$94)+SUM(CI$87:CI$94)+SUM(CK$87:CK$94)+SUM(CM$87:CM$94)</f>
        <v>1045893.5999999999</v>
      </c>
      <c r="O136" s="123">
        <f>SUM(CO$87:CO$94)+SUM(CQ$87:CQ$94)+SUM(CS$87:CS$94)+SUM(CU$87:CU$94)</f>
        <v>1175146.7999999998</v>
      </c>
    </row>
    <row r="137" spans="2:15" x14ac:dyDescent="0.2">
      <c r="C137" s="122" t="s">
        <v>132</v>
      </c>
      <c r="D137" s="123">
        <f>SUM(E$95:E$105)+SUM(G$95:G$105)+SUM(I$95:I$105)+SUM(K$95:K$105)</f>
        <v>358749.33856128535</v>
      </c>
      <c r="E137" s="123">
        <f>SUM(M$95:M$105)+SUM(O$95:O$105)+SUM(Q$95:Q$105)+SUM(S$95:S$105)</f>
        <v>1287637.2</v>
      </c>
      <c r="F137" s="123">
        <f>SUM(U$95:U$105)+SUM(W$95:W$105)+SUM(Y$95:Y$105)+SUM(AA$95:AA$105)</f>
        <v>1332599.9999999998</v>
      </c>
      <c r="G137" s="123">
        <f>SUM(AC$95:AC$105)+SUM(AE$95:AE$105)+SUM(AG$95:AG$105)+SUM(AI$95:AI$105)</f>
        <v>1122880.7999999998</v>
      </c>
      <c r="H137" s="123">
        <f>SUM(AK$95:AK$105)+SUM(AM$95:AM$105)+SUM(AO$95:AO$105)+SUM(AQ$95:AQ$105)</f>
        <v>1241551.2000000002</v>
      </c>
      <c r="I137" s="123">
        <f>SUM(AS$95:AS$105)+SUM(AU$95:AU$105)+SUM(AW$95:AW$105)+SUM(AY$95:AY$105)</f>
        <v>1126352.4000000001</v>
      </c>
      <c r="J137" s="123">
        <f>SUM(BA$95:BA$105)+SUM(BC$95:BC$105)+SUM(BE$95:BE$105)+SUM(BG$95:BG$105)</f>
        <v>1287129.6000000001</v>
      </c>
      <c r="K137" s="123">
        <f>SUM(BI$95:BI$105)+SUM(BK$95:BK$105)+SUM(BM$95:BM$105)+SUM(BO$95:BO$105)</f>
        <v>1102101.5999999999</v>
      </c>
      <c r="L137" s="123">
        <f>SUM(BQ$95:BQ$105)+SUM(BS$95:BS$105)+SUM(BU$95:BU$105)+SUM(BW$95:BW$105)</f>
        <v>1384620</v>
      </c>
      <c r="M137" s="123">
        <f>SUM(BY$95:BY$105)+SUM(CA$95:CA$105)+SUM(CC$95:CC$105)+SUM(CE$95:CE$105)</f>
        <v>1092650.3999999999</v>
      </c>
      <c r="N137" s="123">
        <f>SUM(CG$95:CG$105)+SUM(CI$95:CI$105)+SUM(CK$95:CK$105)+SUM(CM$95:CM$105)</f>
        <v>1257913.2</v>
      </c>
      <c r="O137" s="123">
        <f>SUM(CO$95:CO$105)+SUM(CQ$95:CQ$105)+SUM(CS$95:CS$105)+SUM(CU$95:CU$105)</f>
        <v>1339646.3999999999</v>
      </c>
    </row>
    <row r="138" spans="2:15" x14ac:dyDescent="0.2">
      <c r="C138" s="122" t="s">
        <v>278</v>
      </c>
      <c r="D138">
        <f t="shared" ref="D138:O138" si="2">SUM(D$131:D$137)</f>
        <v>3636876.0562137458</v>
      </c>
      <c r="E138">
        <f t="shared" si="2"/>
        <v>5684749.2000000002</v>
      </c>
      <c r="F138">
        <f t="shared" si="2"/>
        <v>3782096.3999999994</v>
      </c>
      <c r="G138">
        <f t="shared" si="2"/>
        <v>2908087.1999999997</v>
      </c>
      <c r="H138">
        <f t="shared" si="2"/>
        <v>2767879.2</v>
      </c>
      <c r="I138">
        <f t="shared" si="2"/>
        <v>3060301.2</v>
      </c>
      <c r="J138">
        <f t="shared" si="2"/>
        <v>3071910</v>
      </c>
      <c r="K138">
        <f t="shared" si="2"/>
        <v>2692396.8</v>
      </c>
      <c r="L138">
        <f t="shared" si="2"/>
        <v>3214544.4</v>
      </c>
      <c r="M138">
        <f t="shared" si="2"/>
        <v>3068068.8</v>
      </c>
      <c r="N138">
        <f t="shared" si="2"/>
        <v>3095637.5999999996</v>
      </c>
      <c r="O138">
        <f t="shared" si="2"/>
        <v>3222567.5999999996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sheetData>
    <row r="2" spans="1:99" x14ac:dyDescent="0.2">
      <c r="B2" s="1" t="s">
        <v>272</v>
      </c>
    </row>
    <row r="3" spans="1:99" x14ac:dyDescent="0.2">
      <c r="B3" s="120" t="s">
        <v>282</v>
      </c>
    </row>
    <row r="4" spans="1:99" x14ac:dyDescent="0.2">
      <c r="A4" s="119"/>
      <c r="B4" s="119"/>
      <c r="C4" s="118" t="s">
        <v>274</v>
      </c>
      <c r="D4" s="118" t="s">
        <v>92</v>
      </c>
      <c r="E4" s="119"/>
      <c r="F4" s="119"/>
      <c r="G4" s="119"/>
      <c r="H4" s="119"/>
      <c r="I4" s="119"/>
      <c r="J4" s="119"/>
      <c r="K4" s="119"/>
      <c r="L4" s="118" t="s">
        <v>93</v>
      </c>
      <c r="M4" s="119"/>
      <c r="N4" s="119"/>
      <c r="O4" s="119"/>
      <c r="P4" s="119"/>
      <c r="Q4" s="119"/>
      <c r="R4" s="119"/>
      <c r="S4" s="119"/>
      <c r="T4" s="118" t="s">
        <v>94</v>
      </c>
      <c r="U4" s="119"/>
      <c r="V4" s="119"/>
      <c r="W4" s="119"/>
      <c r="X4" s="119"/>
      <c r="Y4" s="119"/>
      <c r="Z4" s="119"/>
      <c r="AA4" s="119"/>
      <c r="AB4" s="118" t="s">
        <v>95</v>
      </c>
      <c r="AC4" s="119"/>
      <c r="AD4" s="119"/>
      <c r="AE4" s="119"/>
      <c r="AF4" s="119"/>
      <c r="AG4" s="119"/>
      <c r="AH4" s="119"/>
      <c r="AI4" s="119"/>
      <c r="AJ4" s="118" t="s">
        <v>96</v>
      </c>
      <c r="AK4" s="119"/>
      <c r="AL4" s="119"/>
      <c r="AM4" s="119"/>
      <c r="AN4" s="119"/>
      <c r="AO4" s="119"/>
      <c r="AP4" s="119"/>
      <c r="AQ4" s="119"/>
      <c r="AR4" s="118" t="s">
        <v>97</v>
      </c>
      <c r="AS4" s="119"/>
      <c r="AT4" s="119"/>
      <c r="AU4" s="119"/>
      <c r="AV4" s="119"/>
      <c r="AW4" s="119"/>
      <c r="AX4" s="119"/>
      <c r="AY4" s="119"/>
      <c r="AZ4" s="118" t="s">
        <v>98</v>
      </c>
      <c r="BA4" s="119"/>
      <c r="BB4" s="119"/>
      <c r="BC4" s="119"/>
      <c r="BD4" s="119"/>
      <c r="BE4" s="119"/>
      <c r="BF4" s="119"/>
      <c r="BG4" s="119"/>
      <c r="BH4" s="118" t="s">
        <v>99</v>
      </c>
      <c r="BI4" s="119"/>
      <c r="BJ4" s="119"/>
      <c r="BK4" s="119"/>
      <c r="BL4" s="119"/>
      <c r="BM4" s="119"/>
      <c r="BN4" s="119"/>
      <c r="BO4" s="119"/>
      <c r="BP4" s="118" t="s">
        <v>100</v>
      </c>
      <c r="BQ4" s="119"/>
      <c r="BR4" s="119"/>
      <c r="BS4" s="119"/>
      <c r="BT4" s="119"/>
      <c r="BU4" s="119"/>
      <c r="BV4" s="119"/>
      <c r="BW4" s="119"/>
      <c r="BX4" s="118" t="s">
        <v>101</v>
      </c>
      <c r="BY4" s="119"/>
      <c r="BZ4" s="119"/>
      <c r="CA4" s="119"/>
      <c r="CB4" s="119"/>
      <c r="CC4" s="119"/>
      <c r="CD4" s="119"/>
      <c r="CE4" s="119"/>
      <c r="CF4" s="118" t="s">
        <v>102</v>
      </c>
      <c r="CG4" s="119"/>
      <c r="CH4" s="119"/>
      <c r="CI4" s="119"/>
      <c r="CJ4" s="119"/>
      <c r="CK4" s="119"/>
      <c r="CL4" s="119"/>
      <c r="CM4" s="119"/>
      <c r="CN4" s="118" t="s">
        <v>103</v>
      </c>
      <c r="CO4" s="119"/>
      <c r="CP4" s="119"/>
      <c r="CQ4" s="119"/>
      <c r="CR4" s="119"/>
      <c r="CS4" s="119"/>
      <c r="CT4" s="119"/>
      <c r="CU4" s="119"/>
    </row>
    <row r="5" spans="1:99" x14ac:dyDescent="0.2">
      <c r="B5" s="118" t="s">
        <v>167</v>
      </c>
      <c r="C5" s="118" t="s">
        <v>275</v>
      </c>
      <c r="D5" s="118">
        <v>1</v>
      </c>
      <c r="E5" s="118"/>
      <c r="F5" s="118">
        <v>2</v>
      </c>
      <c r="G5" s="118"/>
      <c r="H5" s="118">
        <v>3</v>
      </c>
      <c r="I5" s="118"/>
      <c r="J5" s="118">
        <v>4</v>
      </c>
      <c r="K5" s="118"/>
      <c r="L5" s="118">
        <v>1</v>
      </c>
      <c r="M5" s="118"/>
      <c r="N5" s="118">
        <v>2</v>
      </c>
      <c r="O5" s="118"/>
      <c r="P5" s="118">
        <v>3</v>
      </c>
      <c r="Q5" s="118"/>
      <c r="R5" s="118">
        <v>4</v>
      </c>
      <c r="S5" s="118"/>
      <c r="T5" s="118">
        <v>1</v>
      </c>
      <c r="U5" s="118"/>
      <c r="V5" s="118">
        <v>2</v>
      </c>
      <c r="W5" s="118"/>
      <c r="X5" s="118">
        <v>3</v>
      </c>
      <c r="Y5" s="118"/>
      <c r="Z5" s="118">
        <v>4</v>
      </c>
      <c r="AA5" s="118"/>
      <c r="AB5" s="118">
        <v>1</v>
      </c>
      <c r="AC5" s="118"/>
      <c r="AD5" s="118">
        <v>2</v>
      </c>
      <c r="AE5" s="118"/>
      <c r="AF5" s="118">
        <v>3</v>
      </c>
      <c r="AG5" s="118"/>
      <c r="AH5" s="118">
        <v>4</v>
      </c>
      <c r="AI5" s="118"/>
      <c r="AJ5" s="118">
        <v>1</v>
      </c>
      <c r="AK5" s="118"/>
      <c r="AL5" s="118">
        <v>2</v>
      </c>
      <c r="AM5" s="118"/>
      <c r="AN5" s="118">
        <v>3</v>
      </c>
      <c r="AO5" s="118"/>
      <c r="AP5" s="118">
        <v>4</v>
      </c>
      <c r="AQ5" s="118"/>
      <c r="AR5" s="118">
        <v>1</v>
      </c>
      <c r="AS5" s="118"/>
      <c r="AT5" s="118">
        <v>2</v>
      </c>
      <c r="AU5" s="118"/>
      <c r="AV5" s="118">
        <v>3</v>
      </c>
      <c r="AW5" s="118"/>
      <c r="AX5" s="118">
        <v>4</v>
      </c>
      <c r="AY5" s="118"/>
      <c r="AZ5" s="118">
        <v>1</v>
      </c>
      <c r="BA5" s="118"/>
      <c r="BB5" s="118">
        <v>2</v>
      </c>
      <c r="BC5" s="118"/>
      <c r="BD5" s="118">
        <v>3</v>
      </c>
      <c r="BE5" s="118"/>
      <c r="BF5" s="118">
        <v>4</v>
      </c>
      <c r="BG5" s="118"/>
      <c r="BH5" s="118">
        <v>1</v>
      </c>
      <c r="BI5" s="118"/>
      <c r="BJ5" s="118">
        <v>2</v>
      </c>
      <c r="BK5" s="118"/>
      <c r="BL5" s="118">
        <v>3</v>
      </c>
      <c r="BM5" s="118"/>
      <c r="BN5" s="118">
        <v>4</v>
      </c>
      <c r="BO5" s="118"/>
      <c r="BP5" s="118">
        <v>1</v>
      </c>
      <c r="BQ5" s="118"/>
      <c r="BR5" s="118">
        <v>2</v>
      </c>
      <c r="BS5" s="118"/>
      <c r="BT5" s="118">
        <v>3</v>
      </c>
      <c r="BU5" s="118"/>
      <c r="BV5" s="118">
        <v>4</v>
      </c>
      <c r="BW5" s="118"/>
      <c r="BX5" s="118">
        <v>1</v>
      </c>
      <c r="BY5" s="118"/>
      <c r="BZ5" s="118">
        <v>2</v>
      </c>
      <c r="CA5" s="118"/>
      <c r="CB5" s="118">
        <v>3</v>
      </c>
      <c r="CC5" s="118"/>
      <c r="CD5" s="118">
        <v>4</v>
      </c>
      <c r="CE5" s="118"/>
      <c r="CF5" s="118">
        <v>1</v>
      </c>
      <c r="CG5" s="118"/>
      <c r="CH5" s="118">
        <v>2</v>
      </c>
      <c r="CI5" s="118"/>
      <c r="CJ5" s="118">
        <v>3</v>
      </c>
      <c r="CK5" s="118"/>
      <c r="CL5" s="118">
        <v>4</v>
      </c>
      <c r="CM5" s="118"/>
      <c r="CN5" s="118">
        <v>1</v>
      </c>
      <c r="CO5" s="118"/>
      <c r="CP5" s="118">
        <v>2</v>
      </c>
      <c r="CQ5" s="118"/>
      <c r="CR5" s="118">
        <v>3</v>
      </c>
      <c r="CS5" s="118"/>
      <c r="CT5" s="118">
        <v>4</v>
      </c>
      <c r="CU5" s="118"/>
    </row>
    <row r="6" spans="1:99" x14ac:dyDescent="0.2">
      <c r="B6" s="118" t="s">
        <v>126</v>
      </c>
      <c r="C6" s="118" t="s">
        <v>172</v>
      </c>
      <c r="D6">
        <v>0</v>
      </c>
      <c r="E6">
        <v>0</v>
      </c>
      <c r="F6">
        <v>5.4156353615675048</v>
      </c>
      <c r="G6">
        <v>3132.4034931306446</v>
      </c>
      <c r="H6">
        <v>14</v>
      </c>
      <c r="I6">
        <v>8097.5999999999995</v>
      </c>
      <c r="J6">
        <v>2.5312240032253586</v>
      </c>
      <c r="K6">
        <v>1464.0599634655473</v>
      </c>
      <c r="L6">
        <v>14</v>
      </c>
      <c r="M6">
        <v>8097.5999999999995</v>
      </c>
      <c r="N6">
        <v>13</v>
      </c>
      <c r="O6">
        <v>7519.2</v>
      </c>
      <c r="P6">
        <v>12</v>
      </c>
      <c r="Q6">
        <v>6940.7999999999993</v>
      </c>
      <c r="R6">
        <v>16</v>
      </c>
      <c r="S6">
        <v>9254.4</v>
      </c>
      <c r="T6">
        <v>9</v>
      </c>
      <c r="U6">
        <v>5205.5999999999995</v>
      </c>
      <c r="V6">
        <v>15</v>
      </c>
      <c r="W6">
        <v>8676</v>
      </c>
      <c r="X6">
        <v>11</v>
      </c>
      <c r="Y6">
        <v>6362.4</v>
      </c>
      <c r="Z6">
        <v>9</v>
      </c>
      <c r="AA6">
        <v>5205.5999999999995</v>
      </c>
      <c r="AB6">
        <v>11</v>
      </c>
      <c r="AC6">
        <v>6362.4</v>
      </c>
      <c r="AD6">
        <v>14</v>
      </c>
      <c r="AE6">
        <v>8097.5999999999995</v>
      </c>
      <c r="AF6">
        <v>10</v>
      </c>
      <c r="AG6">
        <v>5784</v>
      </c>
      <c r="AH6">
        <v>12.110907483795636</v>
      </c>
      <c r="AI6">
        <v>7004.9488886273957</v>
      </c>
      <c r="AJ6">
        <v>11</v>
      </c>
      <c r="AK6">
        <v>6362.4</v>
      </c>
      <c r="AL6">
        <v>10</v>
      </c>
      <c r="AM6">
        <v>5784</v>
      </c>
      <c r="AN6">
        <v>14</v>
      </c>
      <c r="AO6">
        <v>8097.5999999999995</v>
      </c>
      <c r="AP6">
        <v>18</v>
      </c>
      <c r="AQ6">
        <v>10411.199999999999</v>
      </c>
      <c r="AR6">
        <v>14</v>
      </c>
      <c r="AS6">
        <v>8097.5999999999995</v>
      </c>
      <c r="AT6">
        <v>11</v>
      </c>
      <c r="AU6">
        <v>6362.4</v>
      </c>
      <c r="AV6">
        <v>11</v>
      </c>
      <c r="AW6">
        <v>6362.4</v>
      </c>
      <c r="AX6">
        <v>11</v>
      </c>
      <c r="AY6">
        <v>6362.4</v>
      </c>
      <c r="AZ6">
        <v>13</v>
      </c>
      <c r="BA6">
        <v>7519.2</v>
      </c>
      <c r="BB6">
        <v>14</v>
      </c>
      <c r="BC6">
        <v>8097.5999999999995</v>
      </c>
      <c r="BD6">
        <v>10</v>
      </c>
      <c r="BE6">
        <v>5784</v>
      </c>
      <c r="BF6">
        <v>14</v>
      </c>
      <c r="BG6">
        <v>8097.5999999999995</v>
      </c>
      <c r="BH6">
        <v>17</v>
      </c>
      <c r="BI6">
        <v>9832.7999999999993</v>
      </c>
      <c r="BJ6">
        <v>12</v>
      </c>
      <c r="BK6">
        <v>6940.7999999999993</v>
      </c>
      <c r="BL6">
        <v>14</v>
      </c>
      <c r="BM6">
        <v>8097.5999999999995</v>
      </c>
      <c r="BN6">
        <v>4.4445774496170447</v>
      </c>
      <c r="BO6">
        <v>2570.7435968584987</v>
      </c>
      <c r="BP6">
        <v>10</v>
      </c>
      <c r="BQ6">
        <v>5784</v>
      </c>
      <c r="BR6">
        <v>14.608073942297713</v>
      </c>
      <c r="BS6">
        <v>8449.3099682249976</v>
      </c>
      <c r="BT6">
        <v>16</v>
      </c>
      <c r="BU6">
        <v>9254.4</v>
      </c>
      <c r="BV6">
        <v>15.509691753245303</v>
      </c>
      <c r="BW6">
        <v>8970.805710077082</v>
      </c>
      <c r="BX6">
        <v>13.400757510767301</v>
      </c>
      <c r="BY6">
        <v>7750.9981442278067</v>
      </c>
      <c r="BZ6">
        <v>2.6791768162686722</v>
      </c>
      <c r="CA6">
        <v>1549.6358705298001</v>
      </c>
      <c r="CB6">
        <v>11</v>
      </c>
      <c r="CC6">
        <v>6362.4</v>
      </c>
      <c r="CD6">
        <v>18</v>
      </c>
      <c r="CE6">
        <v>10411.199999999999</v>
      </c>
      <c r="CF6">
        <v>14</v>
      </c>
      <c r="CG6">
        <v>8097.5999999999995</v>
      </c>
      <c r="CH6">
        <v>9.1405333237047603</v>
      </c>
      <c r="CI6">
        <v>5286.8844744308335</v>
      </c>
      <c r="CJ6">
        <v>1.1359192076970828</v>
      </c>
      <c r="CK6">
        <v>657.0156697319926</v>
      </c>
      <c r="CL6">
        <v>1.3640497962022669</v>
      </c>
      <c r="CM6">
        <v>788.96640212339116</v>
      </c>
      <c r="CN6">
        <v>12</v>
      </c>
      <c r="CO6">
        <v>6940.7999999999993</v>
      </c>
      <c r="CP6">
        <v>11</v>
      </c>
      <c r="CQ6">
        <v>6362.4</v>
      </c>
      <c r="CR6">
        <v>15</v>
      </c>
      <c r="CS6">
        <v>8676</v>
      </c>
      <c r="CT6">
        <v>16</v>
      </c>
      <c r="CU6">
        <v>9254.4</v>
      </c>
    </row>
    <row r="7" spans="1:99" x14ac:dyDescent="0.2">
      <c r="C7" s="118" t="s">
        <v>173</v>
      </c>
      <c r="D7">
        <v>0</v>
      </c>
      <c r="E7">
        <v>0</v>
      </c>
      <c r="F7">
        <v>4.8138980991711158</v>
      </c>
      <c r="G7">
        <v>3795.2772613865077</v>
      </c>
      <c r="H7">
        <v>13</v>
      </c>
      <c r="I7">
        <v>10249.199999999999</v>
      </c>
      <c r="J7">
        <v>2.5312240032253586</v>
      </c>
      <c r="K7">
        <v>1995.6170041428727</v>
      </c>
      <c r="L7">
        <v>14</v>
      </c>
      <c r="M7">
        <v>11037.6</v>
      </c>
      <c r="N7">
        <v>14</v>
      </c>
      <c r="O7">
        <v>11037.6</v>
      </c>
      <c r="P7">
        <v>11</v>
      </c>
      <c r="Q7">
        <v>8672.4</v>
      </c>
      <c r="R7">
        <v>16</v>
      </c>
      <c r="S7">
        <v>12614.4</v>
      </c>
      <c r="T7">
        <v>10</v>
      </c>
      <c r="U7">
        <v>7884</v>
      </c>
      <c r="V7">
        <v>15</v>
      </c>
      <c r="W7">
        <v>11826</v>
      </c>
      <c r="X7">
        <v>9</v>
      </c>
      <c r="Y7">
        <v>7095.5999999999995</v>
      </c>
      <c r="Z7">
        <v>9</v>
      </c>
      <c r="AA7">
        <v>7095.5999999999995</v>
      </c>
      <c r="AB7">
        <v>11</v>
      </c>
      <c r="AC7">
        <v>8672.4</v>
      </c>
      <c r="AD7">
        <v>15</v>
      </c>
      <c r="AE7">
        <v>11826</v>
      </c>
      <c r="AF7">
        <v>11</v>
      </c>
      <c r="AG7">
        <v>8672.4</v>
      </c>
      <c r="AH7">
        <v>12.110907483795636</v>
      </c>
      <c r="AI7">
        <v>9548.2394602244785</v>
      </c>
      <c r="AJ7">
        <v>11</v>
      </c>
      <c r="AK7">
        <v>8672.4</v>
      </c>
      <c r="AL7">
        <v>11</v>
      </c>
      <c r="AM7">
        <v>8672.4</v>
      </c>
      <c r="AN7">
        <v>13</v>
      </c>
      <c r="AO7">
        <v>10249.199999999999</v>
      </c>
      <c r="AP7">
        <v>15</v>
      </c>
      <c r="AQ7">
        <v>11826</v>
      </c>
      <c r="AR7">
        <v>13</v>
      </c>
      <c r="AS7">
        <v>10249.199999999999</v>
      </c>
      <c r="AT7">
        <v>12</v>
      </c>
      <c r="AU7">
        <v>9460.7999999999993</v>
      </c>
      <c r="AV7">
        <v>12</v>
      </c>
      <c r="AW7">
        <v>9460.7999999999993</v>
      </c>
      <c r="AX7">
        <v>10</v>
      </c>
      <c r="AY7">
        <v>7884</v>
      </c>
      <c r="AZ7">
        <v>13</v>
      </c>
      <c r="BA7">
        <v>10249.199999999999</v>
      </c>
      <c r="BB7">
        <v>14</v>
      </c>
      <c r="BC7">
        <v>11037.6</v>
      </c>
      <c r="BD7">
        <v>9</v>
      </c>
      <c r="BE7">
        <v>7095.5999999999995</v>
      </c>
      <c r="BF7">
        <v>13</v>
      </c>
      <c r="BG7">
        <v>10249.199999999999</v>
      </c>
      <c r="BH7">
        <v>16</v>
      </c>
      <c r="BI7">
        <v>12614.4</v>
      </c>
      <c r="BJ7">
        <v>13</v>
      </c>
      <c r="BK7">
        <v>10249.199999999999</v>
      </c>
      <c r="BL7">
        <v>14</v>
      </c>
      <c r="BM7">
        <v>11037.6</v>
      </c>
      <c r="BN7">
        <v>3.8890052684149143</v>
      </c>
      <c r="BO7">
        <v>3066.0917536183183</v>
      </c>
      <c r="BP7">
        <v>10</v>
      </c>
      <c r="BQ7">
        <v>7884</v>
      </c>
      <c r="BR7">
        <v>15.467372409491695</v>
      </c>
      <c r="BS7">
        <v>12194.476407643251</v>
      </c>
      <c r="BT7">
        <v>13</v>
      </c>
      <c r="BU7">
        <v>10249.199999999999</v>
      </c>
      <c r="BV7">
        <v>15.509691753245303</v>
      </c>
      <c r="BW7">
        <v>12227.840978258597</v>
      </c>
      <c r="BX7">
        <v>11.990151457002323</v>
      </c>
      <c r="BY7">
        <v>9453.0354087006308</v>
      </c>
      <c r="BZ7">
        <v>2.435615287516975</v>
      </c>
      <c r="CA7">
        <v>1920.239092678383</v>
      </c>
      <c r="CB7">
        <v>10</v>
      </c>
      <c r="CC7">
        <v>7884</v>
      </c>
      <c r="CD7">
        <v>16</v>
      </c>
      <c r="CE7">
        <v>12614.4</v>
      </c>
      <c r="CF7">
        <v>14</v>
      </c>
      <c r="CG7">
        <v>11037.6</v>
      </c>
      <c r="CH7">
        <v>8.4374153757274719</v>
      </c>
      <c r="CI7">
        <v>6652.0582822235383</v>
      </c>
      <c r="CJ7">
        <v>1.2621324529967584</v>
      </c>
      <c r="CK7">
        <v>995.06522594264425</v>
      </c>
      <c r="CL7">
        <v>1.3640497962022669</v>
      </c>
      <c r="CM7">
        <v>1075.4168593258671</v>
      </c>
      <c r="CN7">
        <v>11</v>
      </c>
      <c r="CO7">
        <v>8672.4</v>
      </c>
      <c r="CP7">
        <v>11</v>
      </c>
      <c r="CQ7">
        <v>8672.4</v>
      </c>
      <c r="CR7">
        <v>14</v>
      </c>
      <c r="CS7">
        <v>11037.6</v>
      </c>
      <c r="CT7">
        <v>14</v>
      </c>
      <c r="CU7">
        <v>11037.6</v>
      </c>
    </row>
    <row r="8" spans="1:99" x14ac:dyDescent="0.2">
      <c r="C8" s="118" t="s">
        <v>174</v>
      </c>
      <c r="D8">
        <v>0</v>
      </c>
      <c r="E8">
        <v>0</v>
      </c>
      <c r="F8">
        <v>4.8138980991711158</v>
      </c>
      <c r="G8">
        <v>1490.3828515033772</v>
      </c>
      <c r="H8">
        <v>14</v>
      </c>
      <c r="I8">
        <v>4334.3999999999996</v>
      </c>
      <c r="J8">
        <v>2.5312240032253586</v>
      </c>
      <c r="K8">
        <v>783.66695139857097</v>
      </c>
      <c r="L8">
        <v>15</v>
      </c>
      <c r="M8">
        <v>4643.9999999999991</v>
      </c>
      <c r="N8">
        <v>14</v>
      </c>
      <c r="O8">
        <v>4334.3999999999996</v>
      </c>
      <c r="P8">
        <v>11</v>
      </c>
      <c r="Q8">
        <v>3405.5999999999995</v>
      </c>
      <c r="R8">
        <v>16</v>
      </c>
      <c r="S8">
        <v>4953.5999999999995</v>
      </c>
      <c r="T8">
        <v>11</v>
      </c>
      <c r="U8">
        <v>3405.5999999999995</v>
      </c>
      <c r="V8">
        <v>13</v>
      </c>
      <c r="W8">
        <v>4024.7999999999997</v>
      </c>
      <c r="X8">
        <v>9</v>
      </c>
      <c r="Y8">
        <v>2786.3999999999996</v>
      </c>
      <c r="Z8">
        <v>11</v>
      </c>
      <c r="AA8">
        <v>3405.5999999999995</v>
      </c>
      <c r="AB8">
        <v>10</v>
      </c>
      <c r="AC8">
        <v>3095.9999999999995</v>
      </c>
      <c r="AD8">
        <v>16</v>
      </c>
      <c r="AE8">
        <v>4953.5999999999995</v>
      </c>
      <c r="AF8">
        <v>12</v>
      </c>
      <c r="AG8">
        <v>3715.2</v>
      </c>
      <c r="AH8">
        <v>10.59704404832118</v>
      </c>
      <c r="AI8">
        <v>3280.8448373602369</v>
      </c>
      <c r="AJ8">
        <v>11</v>
      </c>
      <c r="AK8">
        <v>3405.5999999999995</v>
      </c>
      <c r="AL8">
        <v>11</v>
      </c>
      <c r="AM8">
        <v>3405.5999999999995</v>
      </c>
      <c r="AN8">
        <v>14</v>
      </c>
      <c r="AO8">
        <v>4334.3999999999996</v>
      </c>
      <c r="AP8">
        <v>17</v>
      </c>
      <c r="AQ8">
        <v>5263.2</v>
      </c>
      <c r="AR8">
        <v>15</v>
      </c>
      <c r="AS8">
        <v>4643.9999999999991</v>
      </c>
      <c r="AT8">
        <v>13</v>
      </c>
      <c r="AU8">
        <v>4024.7999999999997</v>
      </c>
      <c r="AV8">
        <v>13</v>
      </c>
      <c r="AW8">
        <v>4024.7999999999997</v>
      </c>
      <c r="AX8">
        <v>12</v>
      </c>
      <c r="AY8">
        <v>3715.2</v>
      </c>
      <c r="AZ8">
        <v>14</v>
      </c>
      <c r="BA8">
        <v>4334.3999999999996</v>
      </c>
      <c r="BB8">
        <v>14</v>
      </c>
      <c r="BC8">
        <v>4334.3999999999996</v>
      </c>
      <c r="BD8">
        <v>10</v>
      </c>
      <c r="BE8">
        <v>3095.9999999999995</v>
      </c>
      <c r="BF8">
        <v>12</v>
      </c>
      <c r="BG8">
        <v>3715.2</v>
      </c>
      <c r="BH8">
        <v>16</v>
      </c>
      <c r="BI8">
        <v>4953.5999999999995</v>
      </c>
      <c r="BJ8">
        <v>14</v>
      </c>
      <c r="BK8">
        <v>4334.3999999999996</v>
      </c>
      <c r="BL8">
        <v>13</v>
      </c>
      <c r="BM8">
        <v>4024.7999999999997</v>
      </c>
      <c r="BN8">
        <v>4.1667913590159795</v>
      </c>
      <c r="BO8">
        <v>1290.0386047513471</v>
      </c>
      <c r="BP8">
        <v>9</v>
      </c>
      <c r="BQ8">
        <v>2786.3999999999996</v>
      </c>
      <c r="BR8">
        <v>17.185969343879663</v>
      </c>
      <c r="BS8">
        <v>5320.7761088651432</v>
      </c>
      <c r="BT8">
        <v>14</v>
      </c>
      <c r="BU8">
        <v>4334.3999999999996</v>
      </c>
      <c r="BV8">
        <v>16.422026562259731</v>
      </c>
      <c r="BW8">
        <v>5084.2594236756122</v>
      </c>
      <c r="BX8">
        <v>13.400757510767301</v>
      </c>
      <c r="BY8">
        <v>4148.8745253335555</v>
      </c>
      <c r="BZ8">
        <v>2.6791768162686722</v>
      </c>
      <c r="CA8">
        <v>829.47314231678081</v>
      </c>
      <c r="CB8">
        <v>11</v>
      </c>
      <c r="CC8">
        <v>3405.5999999999995</v>
      </c>
      <c r="CD8">
        <v>16</v>
      </c>
      <c r="CE8">
        <v>4953.5999999999995</v>
      </c>
      <c r="CF8">
        <v>15</v>
      </c>
      <c r="CG8">
        <v>4643.9999999999991</v>
      </c>
      <c r="CH8">
        <v>9.8436512716820488</v>
      </c>
      <c r="CI8">
        <v>3047.5944337127621</v>
      </c>
      <c r="CJ8">
        <v>1.2621324529967584</v>
      </c>
      <c r="CK8">
        <v>390.75620744779633</v>
      </c>
      <c r="CL8">
        <v>1.468976703602441</v>
      </c>
      <c r="CM8">
        <v>454.79518743531571</v>
      </c>
      <c r="CN8">
        <v>13</v>
      </c>
      <c r="CO8">
        <v>4024.7999999999997</v>
      </c>
      <c r="CP8">
        <v>12</v>
      </c>
      <c r="CQ8">
        <v>3715.2</v>
      </c>
      <c r="CR8">
        <v>13</v>
      </c>
      <c r="CS8">
        <v>4024.7999999999997</v>
      </c>
      <c r="CT8">
        <v>16</v>
      </c>
      <c r="CU8">
        <v>4953.5999999999995</v>
      </c>
    </row>
    <row r="9" spans="1:99" x14ac:dyDescent="0.2">
      <c r="C9" s="118" t="s">
        <v>175</v>
      </c>
      <c r="D9">
        <v>0</v>
      </c>
      <c r="E9">
        <v>0</v>
      </c>
      <c r="F9">
        <v>4.8138980991711158</v>
      </c>
      <c r="G9">
        <v>3379.3564656181234</v>
      </c>
      <c r="H9">
        <v>13</v>
      </c>
      <c r="I9">
        <v>9126</v>
      </c>
      <c r="J9">
        <v>2.5312240032253586</v>
      </c>
      <c r="K9">
        <v>1776.9192502642018</v>
      </c>
      <c r="L9">
        <v>13</v>
      </c>
      <c r="M9">
        <v>9126</v>
      </c>
      <c r="N9">
        <v>12</v>
      </c>
      <c r="O9">
        <v>8424</v>
      </c>
      <c r="P9">
        <v>10</v>
      </c>
      <c r="Q9">
        <v>7020</v>
      </c>
      <c r="R9">
        <v>14</v>
      </c>
      <c r="S9">
        <v>9828</v>
      </c>
      <c r="T9">
        <v>10</v>
      </c>
      <c r="U9">
        <v>7020</v>
      </c>
      <c r="V9">
        <v>13</v>
      </c>
      <c r="W9">
        <v>9126</v>
      </c>
      <c r="X9">
        <v>10</v>
      </c>
      <c r="Y9">
        <v>7020</v>
      </c>
      <c r="Z9">
        <v>10</v>
      </c>
      <c r="AA9">
        <v>7020</v>
      </c>
      <c r="AB9">
        <v>11</v>
      </c>
      <c r="AC9">
        <v>7722</v>
      </c>
      <c r="AD9">
        <v>15</v>
      </c>
      <c r="AE9">
        <v>10530</v>
      </c>
      <c r="AF9">
        <v>11</v>
      </c>
      <c r="AG9">
        <v>7722</v>
      </c>
      <c r="AH9">
        <v>12.110907483795636</v>
      </c>
      <c r="AI9">
        <v>8501.857053624537</v>
      </c>
      <c r="AJ9">
        <v>11</v>
      </c>
      <c r="AK9">
        <v>7722</v>
      </c>
      <c r="AL9">
        <v>11</v>
      </c>
      <c r="AM9">
        <v>7722</v>
      </c>
      <c r="AN9">
        <v>13</v>
      </c>
      <c r="AO9">
        <v>9126</v>
      </c>
      <c r="AP9">
        <v>15</v>
      </c>
      <c r="AQ9">
        <v>10530</v>
      </c>
      <c r="AR9">
        <v>14</v>
      </c>
      <c r="AS9">
        <v>9828</v>
      </c>
      <c r="AT9">
        <v>12</v>
      </c>
      <c r="AU9">
        <v>8424</v>
      </c>
      <c r="AV9">
        <v>13</v>
      </c>
      <c r="AW9">
        <v>9126</v>
      </c>
      <c r="AX9">
        <v>10</v>
      </c>
      <c r="AY9">
        <v>7020</v>
      </c>
      <c r="AZ9">
        <v>12</v>
      </c>
      <c r="BA9">
        <v>8424</v>
      </c>
      <c r="BB9">
        <v>13</v>
      </c>
      <c r="BC9">
        <v>9126</v>
      </c>
      <c r="BD9">
        <v>8</v>
      </c>
      <c r="BE9">
        <v>5616</v>
      </c>
      <c r="BF9">
        <v>14</v>
      </c>
      <c r="BG9">
        <v>9828</v>
      </c>
      <c r="BH9">
        <v>17</v>
      </c>
      <c r="BI9">
        <v>11934</v>
      </c>
      <c r="BJ9">
        <v>13</v>
      </c>
      <c r="BK9">
        <v>9126</v>
      </c>
      <c r="BL9">
        <v>14</v>
      </c>
      <c r="BM9">
        <v>9828</v>
      </c>
      <c r="BN9">
        <v>4.1667913590159795</v>
      </c>
      <c r="BO9">
        <v>2925.0875340292177</v>
      </c>
      <c r="BP9">
        <v>11</v>
      </c>
      <c r="BQ9">
        <v>7722</v>
      </c>
      <c r="BR9">
        <v>17.185969343879663</v>
      </c>
      <c r="BS9">
        <v>12064.550479403522</v>
      </c>
      <c r="BT9">
        <v>15</v>
      </c>
      <c r="BU9">
        <v>10530</v>
      </c>
      <c r="BV9">
        <v>15.509691753245303</v>
      </c>
      <c r="BW9">
        <v>10887.803610778203</v>
      </c>
      <c r="BX9">
        <v>11.990151457002323</v>
      </c>
      <c r="BY9">
        <v>8417.0863228156304</v>
      </c>
      <c r="BZ9">
        <v>2.435615287516975</v>
      </c>
      <c r="CA9">
        <v>1709.8019318369165</v>
      </c>
      <c r="CB9">
        <v>10</v>
      </c>
      <c r="CC9">
        <v>7020</v>
      </c>
      <c r="CD9">
        <v>18</v>
      </c>
      <c r="CE9">
        <v>12636</v>
      </c>
      <c r="CF9">
        <v>13</v>
      </c>
      <c r="CG9">
        <v>9126</v>
      </c>
      <c r="CH9">
        <v>8.4374153757274719</v>
      </c>
      <c r="CI9">
        <v>5923.0655937606853</v>
      </c>
      <c r="CJ9">
        <v>1.2621324529967584</v>
      </c>
      <c r="CK9">
        <v>886.01698200372437</v>
      </c>
      <c r="CL9">
        <v>1.3640497962022669</v>
      </c>
      <c r="CM9">
        <v>957.56295693399136</v>
      </c>
      <c r="CN9">
        <v>12</v>
      </c>
      <c r="CO9">
        <v>8424</v>
      </c>
      <c r="CP9">
        <v>12</v>
      </c>
      <c r="CQ9">
        <v>8424</v>
      </c>
      <c r="CR9">
        <v>13</v>
      </c>
      <c r="CS9">
        <v>9126</v>
      </c>
      <c r="CT9">
        <v>16</v>
      </c>
      <c r="CU9">
        <v>11232</v>
      </c>
    </row>
    <row r="10" spans="1:99" x14ac:dyDescent="0.2">
      <c r="C10" s="118" t="s">
        <v>176</v>
      </c>
      <c r="D10">
        <v>0</v>
      </c>
      <c r="E10">
        <v>0</v>
      </c>
      <c r="F10">
        <v>4.8138980991711158</v>
      </c>
      <c r="G10">
        <v>2622.6116844284238</v>
      </c>
      <c r="H10">
        <v>14</v>
      </c>
      <c r="I10">
        <v>7627.1999999999989</v>
      </c>
      <c r="J10">
        <v>2.5312240032253586</v>
      </c>
      <c r="K10">
        <v>1379.0108369571753</v>
      </c>
      <c r="L10">
        <v>15</v>
      </c>
      <c r="M10">
        <v>8171.9999999999991</v>
      </c>
      <c r="N10">
        <v>12</v>
      </c>
      <c r="O10">
        <v>6537.5999999999995</v>
      </c>
      <c r="P10">
        <v>11</v>
      </c>
      <c r="Q10">
        <v>5992.7999999999993</v>
      </c>
      <c r="R10">
        <v>15</v>
      </c>
      <c r="S10">
        <v>8171.9999999999991</v>
      </c>
      <c r="T10">
        <v>9</v>
      </c>
      <c r="U10">
        <v>4903.2</v>
      </c>
      <c r="V10">
        <v>14</v>
      </c>
      <c r="W10">
        <v>7627.1999999999989</v>
      </c>
      <c r="X10">
        <v>9</v>
      </c>
      <c r="Y10">
        <v>4903.2</v>
      </c>
      <c r="Z10">
        <v>10</v>
      </c>
      <c r="AA10">
        <v>5448</v>
      </c>
      <c r="AB10">
        <v>11</v>
      </c>
      <c r="AC10">
        <v>5992.7999999999993</v>
      </c>
      <c r="AD10">
        <v>14</v>
      </c>
      <c r="AE10">
        <v>7627.1999999999989</v>
      </c>
      <c r="AF10">
        <v>11</v>
      </c>
      <c r="AG10">
        <v>5992.7999999999993</v>
      </c>
      <c r="AH10">
        <v>12.110907483795636</v>
      </c>
      <c r="AI10">
        <v>6598.0223971718615</v>
      </c>
      <c r="AJ10">
        <v>11</v>
      </c>
      <c r="AK10">
        <v>5992.7999999999993</v>
      </c>
      <c r="AL10">
        <v>11</v>
      </c>
      <c r="AM10">
        <v>5992.7999999999993</v>
      </c>
      <c r="AN10">
        <v>12</v>
      </c>
      <c r="AO10">
        <v>6537.5999999999995</v>
      </c>
      <c r="AP10">
        <v>17</v>
      </c>
      <c r="AQ10">
        <v>9261.5999999999985</v>
      </c>
      <c r="AR10">
        <v>15</v>
      </c>
      <c r="AS10">
        <v>8171.9999999999991</v>
      </c>
      <c r="AT10">
        <v>11</v>
      </c>
      <c r="AU10">
        <v>5992.7999999999993</v>
      </c>
      <c r="AV10">
        <v>12</v>
      </c>
      <c r="AW10">
        <v>6537.5999999999995</v>
      </c>
      <c r="AX10">
        <v>10</v>
      </c>
      <c r="AY10">
        <v>5448</v>
      </c>
      <c r="AZ10">
        <v>12</v>
      </c>
      <c r="BA10">
        <v>6537.5999999999995</v>
      </c>
      <c r="BB10">
        <v>12</v>
      </c>
      <c r="BC10">
        <v>6537.5999999999995</v>
      </c>
      <c r="BD10">
        <v>9</v>
      </c>
      <c r="BE10">
        <v>4903.2</v>
      </c>
      <c r="BF10">
        <v>14</v>
      </c>
      <c r="BG10">
        <v>7627.1999999999989</v>
      </c>
      <c r="BH10">
        <v>17</v>
      </c>
      <c r="BI10">
        <v>9261.5999999999985</v>
      </c>
      <c r="BJ10">
        <v>13</v>
      </c>
      <c r="BK10">
        <v>7082.4</v>
      </c>
      <c r="BL10">
        <v>14</v>
      </c>
      <c r="BM10">
        <v>7627.1999999999989</v>
      </c>
      <c r="BN10">
        <v>4.1667913590159795</v>
      </c>
      <c r="BO10">
        <v>2270.0679323919053</v>
      </c>
      <c r="BP10">
        <v>10</v>
      </c>
      <c r="BQ10">
        <v>5448</v>
      </c>
      <c r="BR10">
        <v>15.467372409491695</v>
      </c>
      <c r="BS10">
        <v>8426.6244886910754</v>
      </c>
      <c r="BT10">
        <v>16</v>
      </c>
      <c r="BU10">
        <v>8716.7999999999993</v>
      </c>
      <c r="BV10">
        <v>16.422026562259731</v>
      </c>
      <c r="BW10">
        <v>8946.7200711190999</v>
      </c>
      <c r="BX10">
        <v>11.284848430119835</v>
      </c>
      <c r="BY10">
        <v>6147.985424729286</v>
      </c>
      <c r="BZ10">
        <v>2.6791768162686722</v>
      </c>
      <c r="CA10">
        <v>1459.6155295031724</v>
      </c>
      <c r="CB10">
        <v>10</v>
      </c>
      <c r="CC10">
        <v>5448</v>
      </c>
      <c r="CD10">
        <v>18</v>
      </c>
      <c r="CE10">
        <v>9806.4</v>
      </c>
      <c r="CF10">
        <v>14</v>
      </c>
      <c r="CG10">
        <v>7627.1999999999989</v>
      </c>
      <c r="CH10">
        <v>8.4374153757274719</v>
      </c>
      <c r="CI10">
        <v>4596.7038966963264</v>
      </c>
      <c r="CJ10">
        <v>1.3883456982964346</v>
      </c>
      <c r="CK10">
        <v>756.37073643189751</v>
      </c>
      <c r="CL10">
        <v>1.3640497962022669</v>
      </c>
      <c r="CM10">
        <v>743.13432897099494</v>
      </c>
      <c r="CN10">
        <v>12</v>
      </c>
      <c r="CO10">
        <v>6537.5999999999995</v>
      </c>
      <c r="CP10">
        <v>11</v>
      </c>
      <c r="CQ10">
        <v>5992.7999999999993</v>
      </c>
      <c r="CR10">
        <v>15</v>
      </c>
      <c r="CS10">
        <v>8171.9999999999991</v>
      </c>
      <c r="CT10">
        <v>16</v>
      </c>
      <c r="CU10">
        <v>8716.7999999999993</v>
      </c>
    </row>
    <row r="11" spans="1:99" x14ac:dyDescent="0.2">
      <c r="C11" s="118" t="s">
        <v>177</v>
      </c>
      <c r="D11">
        <v>0</v>
      </c>
      <c r="E11">
        <v>0</v>
      </c>
      <c r="F11">
        <v>5.4156353615675048</v>
      </c>
      <c r="G11">
        <v>2885.4505206431663</v>
      </c>
      <c r="H11">
        <v>15</v>
      </c>
      <c r="I11">
        <v>7991.9999999999991</v>
      </c>
      <c r="J11">
        <v>2.5312240032253586</v>
      </c>
      <c r="K11">
        <v>1348.636148918471</v>
      </c>
      <c r="L11">
        <v>15</v>
      </c>
      <c r="M11">
        <v>7991.9999999999991</v>
      </c>
      <c r="N11">
        <v>14</v>
      </c>
      <c r="O11">
        <v>7459.1999999999989</v>
      </c>
      <c r="P11">
        <v>11</v>
      </c>
      <c r="Q11">
        <v>5860.7999999999993</v>
      </c>
      <c r="R11">
        <v>15</v>
      </c>
      <c r="S11">
        <v>7991.9999999999991</v>
      </c>
      <c r="T11">
        <v>11</v>
      </c>
      <c r="U11">
        <v>5860.7999999999993</v>
      </c>
      <c r="V11">
        <v>13</v>
      </c>
      <c r="W11">
        <v>6926.4</v>
      </c>
      <c r="X11">
        <v>11</v>
      </c>
      <c r="Y11">
        <v>5860.7999999999993</v>
      </c>
      <c r="Z11">
        <v>9</v>
      </c>
      <c r="AA11">
        <v>4795.2</v>
      </c>
      <c r="AB11">
        <v>11</v>
      </c>
      <c r="AC11">
        <v>5860.7999999999993</v>
      </c>
      <c r="AD11">
        <v>15</v>
      </c>
      <c r="AE11">
        <v>7991.9999999999991</v>
      </c>
      <c r="AF11">
        <v>11</v>
      </c>
      <c r="AG11">
        <v>5860.7999999999993</v>
      </c>
      <c r="AH11">
        <v>12.867839201532863</v>
      </c>
      <c r="AI11">
        <v>6855.9847265767094</v>
      </c>
      <c r="AJ11">
        <v>13</v>
      </c>
      <c r="AK11">
        <v>6926.4</v>
      </c>
      <c r="AL11">
        <v>10</v>
      </c>
      <c r="AM11">
        <v>5328</v>
      </c>
      <c r="AN11">
        <v>13</v>
      </c>
      <c r="AO11">
        <v>6926.4</v>
      </c>
      <c r="AP11">
        <v>17</v>
      </c>
      <c r="AQ11">
        <v>9057.5999999999985</v>
      </c>
      <c r="AR11">
        <v>14</v>
      </c>
      <c r="AS11">
        <v>7459.1999999999989</v>
      </c>
      <c r="AT11">
        <v>11</v>
      </c>
      <c r="AU11">
        <v>5860.7999999999993</v>
      </c>
      <c r="AV11">
        <v>12</v>
      </c>
      <c r="AW11">
        <v>6393.5999999999995</v>
      </c>
      <c r="AX11">
        <v>10</v>
      </c>
      <c r="AY11">
        <v>5328</v>
      </c>
      <c r="AZ11">
        <v>11</v>
      </c>
      <c r="BA11">
        <v>5860.7999999999993</v>
      </c>
      <c r="BB11">
        <v>13</v>
      </c>
      <c r="BC11">
        <v>6926.4</v>
      </c>
      <c r="BD11">
        <v>10</v>
      </c>
      <c r="BE11">
        <v>5328</v>
      </c>
      <c r="BF11">
        <v>14</v>
      </c>
      <c r="BG11">
        <v>7459.1999999999989</v>
      </c>
      <c r="BH11">
        <v>14</v>
      </c>
      <c r="BI11">
        <v>7459.1999999999989</v>
      </c>
      <c r="BJ11">
        <v>12</v>
      </c>
      <c r="BK11">
        <v>6393.5999999999995</v>
      </c>
      <c r="BL11">
        <v>14</v>
      </c>
      <c r="BM11">
        <v>7459.1999999999989</v>
      </c>
      <c r="BN11">
        <v>3.6112191778138487</v>
      </c>
      <c r="BO11">
        <v>1924.0575779392184</v>
      </c>
      <c r="BP11">
        <v>9</v>
      </c>
      <c r="BQ11">
        <v>4795.2</v>
      </c>
      <c r="BR11">
        <v>17.185969343879663</v>
      </c>
      <c r="BS11">
        <v>9156.684466419083</v>
      </c>
      <c r="BT11">
        <v>14</v>
      </c>
      <c r="BU11">
        <v>7459.1999999999989</v>
      </c>
      <c r="BV11">
        <v>16.422026562259731</v>
      </c>
      <c r="BW11">
        <v>8749.6557523719839</v>
      </c>
      <c r="BX11">
        <v>12.695454483884813</v>
      </c>
      <c r="BY11">
        <v>6764.1381490138274</v>
      </c>
      <c r="BZ11">
        <v>2.435615287516975</v>
      </c>
      <c r="CA11">
        <v>1297.6958251890442</v>
      </c>
      <c r="CB11">
        <v>11</v>
      </c>
      <c r="CC11">
        <v>5860.7999999999993</v>
      </c>
      <c r="CD11">
        <v>16</v>
      </c>
      <c r="CE11">
        <v>8524.7999999999993</v>
      </c>
      <c r="CF11">
        <v>15</v>
      </c>
      <c r="CG11">
        <v>7991.9999999999991</v>
      </c>
      <c r="CH11">
        <v>9.1405333237047603</v>
      </c>
      <c r="CI11">
        <v>4870.0761548698956</v>
      </c>
      <c r="CJ11">
        <v>1.3883456982964346</v>
      </c>
      <c r="CK11">
        <v>739.71058805234031</v>
      </c>
      <c r="CL11">
        <v>1.468976703602441</v>
      </c>
      <c r="CM11">
        <v>782.67078767938051</v>
      </c>
      <c r="CN11">
        <v>12</v>
      </c>
      <c r="CO11">
        <v>6393.5999999999995</v>
      </c>
      <c r="CP11">
        <v>10</v>
      </c>
      <c r="CQ11">
        <v>5328</v>
      </c>
      <c r="CR11">
        <v>14</v>
      </c>
      <c r="CS11">
        <v>7459.1999999999989</v>
      </c>
      <c r="CT11">
        <v>14</v>
      </c>
      <c r="CU11">
        <v>7459.1999999999989</v>
      </c>
    </row>
    <row r="12" spans="1:99" x14ac:dyDescent="0.2">
      <c r="C12" s="118" t="s">
        <v>178</v>
      </c>
      <c r="D12">
        <v>0</v>
      </c>
      <c r="E12">
        <v>0</v>
      </c>
      <c r="F12">
        <v>5.4156353615675048</v>
      </c>
      <c r="G12">
        <v>3047.9195814901914</v>
      </c>
      <c r="H12">
        <v>13</v>
      </c>
      <c r="I12">
        <v>7316.4</v>
      </c>
      <c r="J12">
        <v>2.8476270036285287</v>
      </c>
      <c r="K12">
        <v>1602.6444776421358</v>
      </c>
      <c r="L12">
        <v>15</v>
      </c>
      <c r="M12">
        <v>8442</v>
      </c>
      <c r="N12">
        <v>14</v>
      </c>
      <c r="O12">
        <v>7879.1999999999989</v>
      </c>
      <c r="P12">
        <v>11</v>
      </c>
      <c r="Q12">
        <v>6190.7999999999993</v>
      </c>
      <c r="R12">
        <v>15</v>
      </c>
      <c r="S12">
        <v>8442</v>
      </c>
      <c r="T12">
        <v>10</v>
      </c>
      <c r="U12">
        <v>5628</v>
      </c>
      <c r="V12">
        <v>13</v>
      </c>
      <c r="W12">
        <v>7316.4</v>
      </c>
      <c r="X12">
        <v>11</v>
      </c>
      <c r="Y12">
        <v>6190.7999999999993</v>
      </c>
      <c r="Z12">
        <v>10</v>
      </c>
      <c r="AA12">
        <v>5628</v>
      </c>
      <c r="AB12">
        <v>11</v>
      </c>
      <c r="AC12">
        <v>6190.7999999999993</v>
      </c>
      <c r="AD12">
        <v>14</v>
      </c>
      <c r="AE12">
        <v>7879.1999999999989</v>
      </c>
      <c r="AF12">
        <v>12</v>
      </c>
      <c r="AG12">
        <v>6753.5999999999995</v>
      </c>
      <c r="AH12">
        <v>11.353975766058408</v>
      </c>
      <c r="AI12">
        <v>6390.0175611376717</v>
      </c>
      <c r="AJ12">
        <v>13</v>
      </c>
      <c r="AK12">
        <v>7316.4</v>
      </c>
      <c r="AL12">
        <v>11</v>
      </c>
      <c r="AM12">
        <v>6190.7999999999993</v>
      </c>
      <c r="AN12">
        <v>12</v>
      </c>
      <c r="AO12">
        <v>6753.5999999999995</v>
      </c>
      <c r="AP12">
        <v>16</v>
      </c>
      <c r="AQ12">
        <v>9004.7999999999993</v>
      </c>
      <c r="AR12">
        <v>13</v>
      </c>
      <c r="AS12">
        <v>7316.4</v>
      </c>
      <c r="AT12">
        <v>12</v>
      </c>
      <c r="AU12">
        <v>6753.5999999999995</v>
      </c>
      <c r="AV12">
        <v>12</v>
      </c>
      <c r="AW12">
        <v>6753.5999999999995</v>
      </c>
      <c r="AX12">
        <v>10</v>
      </c>
      <c r="AY12">
        <v>5628</v>
      </c>
      <c r="AZ12">
        <v>12</v>
      </c>
      <c r="BA12">
        <v>6753.5999999999995</v>
      </c>
      <c r="BB12">
        <v>14</v>
      </c>
      <c r="BC12">
        <v>7879.1999999999989</v>
      </c>
      <c r="BD12">
        <v>8</v>
      </c>
      <c r="BE12">
        <v>4502.3999999999996</v>
      </c>
      <c r="BF12">
        <v>13</v>
      </c>
      <c r="BG12">
        <v>7316.4</v>
      </c>
      <c r="BH12">
        <v>16</v>
      </c>
      <c r="BI12">
        <v>9004.7999999999993</v>
      </c>
      <c r="BJ12">
        <v>11</v>
      </c>
      <c r="BK12">
        <v>6190.7999999999993</v>
      </c>
      <c r="BL12">
        <v>15</v>
      </c>
      <c r="BM12">
        <v>8442</v>
      </c>
      <c r="BN12">
        <v>4.1667913590159795</v>
      </c>
      <c r="BO12">
        <v>2345.0701768541931</v>
      </c>
      <c r="BP12">
        <v>9</v>
      </c>
      <c r="BQ12">
        <v>5065.2</v>
      </c>
      <c r="BR12">
        <v>16.326670876685679</v>
      </c>
      <c r="BS12">
        <v>9188.6503693986997</v>
      </c>
      <c r="BT12">
        <v>16</v>
      </c>
      <c r="BU12">
        <v>9004.7999999999993</v>
      </c>
      <c r="BV12">
        <v>17.334361371274163</v>
      </c>
      <c r="BW12">
        <v>9755.7785797530978</v>
      </c>
      <c r="BX12">
        <v>12.695454483884813</v>
      </c>
      <c r="BY12">
        <v>7145.0017835303724</v>
      </c>
      <c r="BZ12">
        <v>2.6791768162686722</v>
      </c>
      <c r="CA12">
        <v>1507.8407121960086</v>
      </c>
      <c r="CB12">
        <v>11</v>
      </c>
      <c r="CC12">
        <v>6190.7999999999993</v>
      </c>
      <c r="CD12">
        <v>17</v>
      </c>
      <c r="CE12">
        <v>9567.5999999999985</v>
      </c>
      <c r="CF12">
        <v>16</v>
      </c>
      <c r="CG12">
        <v>9004.7999999999993</v>
      </c>
      <c r="CH12">
        <v>8.4374153757274719</v>
      </c>
      <c r="CI12">
        <v>4748.5773734594204</v>
      </c>
      <c r="CJ12">
        <v>1.1359192076970828</v>
      </c>
      <c r="CK12">
        <v>639.29533009191812</v>
      </c>
      <c r="CL12">
        <v>1.3640497962022669</v>
      </c>
      <c r="CM12">
        <v>767.68722530263574</v>
      </c>
      <c r="CN12">
        <v>12</v>
      </c>
      <c r="CO12">
        <v>6753.5999999999995</v>
      </c>
      <c r="CP12">
        <v>12</v>
      </c>
      <c r="CQ12">
        <v>6753.5999999999995</v>
      </c>
      <c r="CR12">
        <v>13</v>
      </c>
      <c r="CS12">
        <v>7316.4</v>
      </c>
      <c r="CT12">
        <v>14</v>
      </c>
      <c r="CU12">
        <v>7879.1999999999989</v>
      </c>
    </row>
    <row r="13" spans="1:99" x14ac:dyDescent="0.2">
      <c r="C13" s="118" t="s">
        <v>179</v>
      </c>
      <c r="D13">
        <v>0</v>
      </c>
      <c r="E13">
        <v>0</v>
      </c>
      <c r="F13">
        <v>4.8138980991711158</v>
      </c>
      <c r="G13">
        <v>410.14411804937907</v>
      </c>
      <c r="H13">
        <v>15</v>
      </c>
      <c r="I13">
        <v>1278</v>
      </c>
      <c r="J13">
        <v>2.8476270036285287</v>
      </c>
      <c r="K13">
        <v>242.61782070915066</v>
      </c>
      <c r="L13">
        <v>14</v>
      </c>
      <c r="M13">
        <v>1192.8</v>
      </c>
      <c r="N13">
        <v>14</v>
      </c>
      <c r="O13">
        <v>1192.8</v>
      </c>
      <c r="P13">
        <v>11</v>
      </c>
      <c r="Q13">
        <v>937.2</v>
      </c>
      <c r="R13">
        <v>17</v>
      </c>
      <c r="S13">
        <v>1448.4</v>
      </c>
      <c r="T13">
        <v>10</v>
      </c>
      <c r="U13">
        <v>852</v>
      </c>
      <c r="V13">
        <v>15</v>
      </c>
      <c r="W13">
        <v>1278</v>
      </c>
      <c r="X13">
        <v>10</v>
      </c>
      <c r="Y13">
        <v>852</v>
      </c>
      <c r="Z13">
        <v>11</v>
      </c>
      <c r="AA13">
        <v>937.2</v>
      </c>
      <c r="AB13">
        <v>11</v>
      </c>
      <c r="AC13">
        <v>937.2</v>
      </c>
      <c r="AD13">
        <v>15</v>
      </c>
      <c r="AE13">
        <v>1278</v>
      </c>
      <c r="AF13">
        <v>13</v>
      </c>
      <c r="AG13">
        <v>1107.6000000000001</v>
      </c>
      <c r="AH13">
        <v>12.867839201532863</v>
      </c>
      <c r="AI13">
        <v>1096.3398999706001</v>
      </c>
      <c r="AJ13">
        <v>11</v>
      </c>
      <c r="AK13">
        <v>937.2</v>
      </c>
      <c r="AL13">
        <v>10</v>
      </c>
      <c r="AM13">
        <v>852</v>
      </c>
      <c r="AN13">
        <v>13</v>
      </c>
      <c r="AO13">
        <v>1107.6000000000001</v>
      </c>
      <c r="AP13">
        <v>17</v>
      </c>
      <c r="AQ13">
        <v>1448.4</v>
      </c>
      <c r="AR13">
        <v>15</v>
      </c>
      <c r="AS13">
        <v>1278</v>
      </c>
      <c r="AT13">
        <v>11</v>
      </c>
      <c r="AU13">
        <v>937.2</v>
      </c>
      <c r="AV13">
        <v>13</v>
      </c>
      <c r="AW13">
        <v>1107.6000000000001</v>
      </c>
      <c r="AX13">
        <v>11</v>
      </c>
      <c r="AY13">
        <v>937.2</v>
      </c>
      <c r="AZ13">
        <v>13</v>
      </c>
      <c r="BA13">
        <v>1107.6000000000001</v>
      </c>
      <c r="BB13">
        <v>15</v>
      </c>
      <c r="BC13">
        <v>1278</v>
      </c>
      <c r="BD13">
        <v>10</v>
      </c>
      <c r="BE13">
        <v>852</v>
      </c>
      <c r="BF13">
        <v>13</v>
      </c>
      <c r="BG13">
        <v>1107.6000000000001</v>
      </c>
      <c r="BH13">
        <v>16</v>
      </c>
      <c r="BI13">
        <v>1363.2</v>
      </c>
      <c r="BJ13">
        <v>12</v>
      </c>
      <c r="BK13">
        <v>1022.4000000000001</v>
      </c>
      <c r="BL13">
        <v>15</v>
      </c>
      <c r="BM13">
        <v>1278</v>
      </c>
      <c r="BN13">
        <v>3.8890052684149143</v>
      </c>
      <c r="BO13">
        <v>331.3432488689507</v>
      </c>
      <c r="BP13">
        <v>9</v>
      </c>
      <c r="BQ13">
        <v>766.80000000000007</v>
      </c>
      <c r="BR13">
        <v>16.326670876685679</v>
      </c>
      <c r="BS13">
        <v>1391.0323586936199</v>
      </c>
      <c r="BT13">
        <v>16</v>
      </c>
      <c r="BU13">
        <v>1363.2</v>
      </c>
      <c r="BV13">
        <v>17.334361371274163</v>
      </c>
      <c r="BW13">
        <v>1476.8875888325588</v>
      </c>
      <c r="BX13">
        <v>13.400757510767301</v>
      </c>
      <c r="BY13">
        <v>1141.7445399173741</v>
      </c>
      <c r="BZ13">
        <v>2.6791768162686722</v>
      </c>
      <c r="CA13">
        <v>228.26586474609087</v>
      </c>
      <c r="CB13">
        <v>10</v>
      </c>
      <c r="CC13">
        <v>852</v>
      </c>
      <c r="CD13">
        <v>17</v>
      </c>
      <c r="CE13">
        <v>1448.4</v>
      </c>
      <c r="CF13">
        <v>16</v>
      </c>
      <c r="CG13">
        <v>1363.2</v>
      </c>
      <c r="CH13">
        <v>8.4374153757274719</v>
      </c>
      <c r="CI13">
        <v>718.86779001198067</v>
      </c>
      <c r="CJ13">
        <v>1.3883456982964346</v>
      </c>
      <c r="CK13">
        <v>118.28705349485624</v>
      </c>
      <c r="CL13">
        <v>1.5739036110026154</v>
      </c>
      <c r="CM13">
        <v>134.09658765742284</v>
      </c>
      <c r="CN13">
        <v>14</v>
      </c>
      <c r="CO13">
        <v>1192.8</v>
      </c>
      <c r="CP13">
        <v>12</v>
      </c>
      <c r="CQ13">
        <v>1022.4000000000001</v>
      </c>
      <c r="CR13">
        <v>14</v>
      </c>
      <c r="CS13">
        <v>1192.8</v>
      </c>
      <c r="CT13">
        <v>16</v>
      </c>
      <c r="CU13">
        <v>1363.2</v>
      </c>
    </row>
    <row r="14" spans="1:99" x14ac:dyDescent="0.2">
      <c r="C14" s="118" t="s">
        <v>180</v>
      </c>
      <c r="D14">
        <v>0</v>
      </c>
      <c r="E14">
        <v>0</v>
      </c>
      <c r="F14">
        <v>5.4156353615675048</v>
      </c>
      <c r="G14">
        <v>2644.996310589569</v>
      </c>
      <c r="H14">
        <v>14</v>
      </c>
      <c r="I14">
        <v>6837.5999999999995</v>
      </c>
      <c r="J14">
        <v>2.8476270036285287</v>
      </c>
      <c r="K14">
        <v>1390.7810285721735</v>
      </c>
      <c r="L14">
        <v>15</v>
      </c>
      <c r="M14">
        <v>7326</v>
      </c>
      <c r="N14">
        <v>14</v>
      </c>
      <c r="O14">
        <v>6837.5999999999995</v>
      </c>
      <c r="P14">
        <v>12</v>
      </c>
      <c r="Q14">
        <v>5860.7999999999993</v>
      </c>
      <c r="R14">
        <v>15</v>
      </c>
      <c r="S14">
        <v>7326</v>
      </c>
      <c r="T14">
        <v>10</v>
      </c>
      <c r="U14">
        <v>4884</v>
      </c>
      <c r="V14">
        <v>15</v>
      </c>
      <c r="W14">
        <v>7326</v>
      </c>
      <c r="X14">
        <v>10</v>
      </c>
      <c r="Y14">
        <v>4884</v>
      </c>
      <c r="Z14">
        <v>11</v>
      </c>
      <c r="AA14">
        <v>5372.4</v>
      </c>
      <c r="AB14">
        <v>11</v>
      </c>
      <c r="AC14">
        <v>5372.4</v>
      </c>
      <c r="AD14">
        <v>16</v>
      </c>
      <c r="AE14">
        <v>7814.4</v>
      </c>
      <c r="AF14">
        <v>12</v>
      </c>
      <c r="AG14">
        <v>5860.7999999999993</v>
      </c>
      <c r="AH14">
        <v>12.110907483795636</v>
      </c>
      <c r="AI14">
        <v>5914.9672150857878</v>
      </c>
      <c r="AJ14">
        <v>11</v>
      </c>
      <c r="AK14">
        <v>5372.4</v>
      </c>
      <c r="AL14">
        <v>9</v>
      </c>
      <c r="AM14">
        <v>4395.5999999999995</v>
      </c>
      <c r="AN14">
        <v>14</v>
      </c>
      <c r="AO14">
        <v>6837.5999999999995</v>
      </c>
      <c r="AP14">
        <v>17</v>
      </c>
      <c r="AQ14">
        <v>8302.7999999999993</v>
      </c>
      <c r="AR14">
        <v>14</v>
      </c>
      <c r="AS14">
        <v>6837.5999999999995</v>
      </c>
      <c r="AT14">
        <v>12</v>
      </c>
      <c r="AU14">
        <v>5860.7999999999993</v>
      </c>
      <c r="AV14">
        <v>11</v>
      </c>
      <c r="AW14">
        <v>5372.4</v>
      </c>
      <c r="AX14">
        <v>10</v>
      </c>
      <c r="AY14">
        <v>4884</v>
      </c>
      <c r="AZ14">
        <v>12</v>
      </c>
      <c r="BA14">
        <v>5860.7999999999993</v>
      </c>
      <c r="BB14">
        <v>14</v>
      </c>
      <c r="BC14">
        <v>6837.5999999999995</v>
      </c>
      <c r="BD14">
        <v>9</v>
      </c>
      <c r="BE14">
        <v>4395.5999999999995</v>
      </c>
      <c r="BF14">
        <v>14</v>
      </c>
      <c r="BG14">
        <v>6837.5999999999995</v>
      </c>
      <c r="BH14">
        <v>18</v>
      </c>
      <c r="BI14">
        <v>8791.1999999999989</v>
      </c>
      <c r="BJ14">
        <v>12</v>
      </c>
      <c r="BK14">
        <v>5860.7999999999993</v>
      </c>
      <c r="BL14">
        <v>13</v>
      </c>
      <c r="BM14">
        <v>6349.2</v>
      </c>
      <c r="BN14">
        <v>3.8890052684149143</v>
      </c>
      <c r="BO14">
        <v>1899.3901730938442</v>
      </c>
      <c r="BP14">
        <v>9</v>
      </c>
      <c r="BQ14">
        <v>4395.5999999999995</v>
      </c>
      <c r="BR14">
        <v>17.185969343879663</v>
      </c>
      <c r="BS14">
        <v>8393.6274275508276</v>
      </c>
      <c r="BT14">
        <v>14</v>
      </c>
      <c r="BU14">
        <v>6837.5999999999995</v>
      </c>
      <c r="BV14">
        <v>18.246696180288591</v>
      </c>
      <c r="BW14">
        <v>8911.6864144529482</v>
      </c>
      <c r="BX14">
        <v>12.695454483884813</v>
      </c>
      <c r="BY14">
        <v>6200.4599699293422</v>
      </c>
      <c r="BZ14">
        <v>2.9227383450203699</v>
      </c>
      <c r="CA14">
        <v>1427.4654077079485</v>
      </c>
      <c r="CB14">
        <v>11</v>
      </c>
      <c r="CC14">
        <v>5372.4</v>
      </c>
      <c r="CD14">
        <v>16</v>
      </c>
      <c r="CE14">
        <v>7814.4</v>
      </c>
      <c r="CF14">
        <v>16</v>
      </c>
      <c r="CG14">
        <v>7814.4</v>
      </c>
      <c r="CH14">
        <v>9.8436512716820488</v>
      </c>
      <c r="CI14">
        <v>4807.6392810895122</v>
      </c>
      <c r="CJ14">
        <v>1.2621324529967584</v>
      </c>
      <c r="CK14">
        <v>616.42549004361672</v>
      </c>
      <c r="CL14">
        <v>1.3640497962022669</v>
      </c>
      <c r="CM14">
        <v>666.20192046518707</v>
      </c>
      <c r="CN14">
        <v>12</v>
      </c>
      <c r="CO14">
        <v>5860.7999999999993</v>
      </c>
      <c r="CP14">
        <v>11</v>
      </c>
      <c r="CQ14">
        <v>5372.4</v>
      </c>
      <c r="CR14">
        <v>14</v>
      </c>
      <c r="CS14">
        <v>6837.5999999999995</v>
      </c>
      <c r="CT14">
        <v>14</v>
      </c>
      <c r="CU14">
        <v>6837.5999999999995</v>
      </c>
    </row>
    <row r="15" spans="1:99" x14ac:dyDescent="0.2">
      <c r="C15" s="118" t="s">
        <v>181</v>
      </c>
      <c r="D15">
        <v>0</v>
      </c>
      <c r="E15">
        <v>0</v>
      </c>
      <c r="F15">
        <v>4.8138980991711158</v>
      </c>
      <c r="G15">
        <v>3673.9670292873952</v>
      </c>
      <c r="H15">
        <v>13</v>
      </c>
      <c r="I15">
        <v>9921.5999999999985</v>
      </c>
      <c r="J15">
        <v>2.5312240032253586</v>
      </c>
      <c r="K15">
        <v>1931.8301592615935</v>
      </c>
      <c r="L15">
        <v>13</v>
      </c>
      <c r="M15">
        <v>9921.5999999999985</v>
      </c>
      <c r="N15">
        <v>11</v>
      </c>
      <c r="O15">
        <v>8395.1999999999989</v>
      </c>
      <c r="P15">
        <v>11</v>
      </c>
      <c r="Q15">
        <v>8395.1999999999989</v>
      </c>
      <c r="R15">
        <v>15</v>
      </c>
      <c r="S15">
        <v>11447.999999999998</v>
      </c>
      <c r="T15">
        <v>10</v>
      </c>
      <c r="U15">
        <v>7631.9999999999991</v>
      </c>
      <c r="V15">
        <v>14</v>
      </c>
      <c r="W15">
        <v>10684.8</v>
      </c>
      <c r="X15">
        <v>10</v>
      </c>
      <c r="Y15">
        <v>7631.9999999999991</v>
      </c>
      <c r="Z15">
        <v>10</v>
      </c>
      <c r="AA15">
        <v>7631.9999999999991</v>
      </c>
      <c r="AB15">
        <v>10</v>
      </c>
      <c r="AC15">
        <v>7631.9999999999991</v>
      </c>
      <c r="AD15">
        <v>15</v>
      </c>
      <c r="AE15">
        <v>11447.999999999998</v>
      </c>
      <c r="AF15">
        <v>11</v>
      </c>
      <c r="AG15">
        <v>8395.1999999999989</v>
      </c>
      <c r="AH15">
        <v>12.110907483795636</v>
      </c>
      <c r="AI15">
        <v>9243.0445916328281</v>
      </c>
      <c r="AJ15">
        <v>10</v>
      </c>
      <c r="AK15">
        <v>7631.9999999999991</v>
      </c>
      <c r="AL15">
        <v>11</v>
      </c>
      <c r="AM15">
        <v>8395.1999999999989</v>
      </c>
      <c r="AN15">
        <v>12</v>
      </c>
      <c r="AO15">
        <v>9158.4</v>
      </c>
      <c r="AP15">
        <v>17</v>
      </c>
      <c r="AQ15">
        <v>12974.4</v>
      </c>
      <c r="AR15">
        <v>13</v>
      </c>
      <c r="AS15">
        <v>9921.5999999999985</v>
      </c>
      <c r="AT15">
        <v>12</v>
      </c>
      <c r="AU15">
        <v>9158.4</v>
      </c>
      <c r="AV15">
        <v>11</v>
      </c>
      <c r="AW15">
        <v>8395.1999999999989</v>
      </c>
      <c r="AX15">
        <v>10</v>
      </c>
      <c r="AY15">
        <v>7631.9999999999991</v>
      </c>
      <c r="AZ15">
        <v>12</v>
      </c>
      <c r="BA15">
        <v>9158.4</v>
      </c>
      <c r="BB15">
        <v>14</v>
      </c>
      <c r="BC15">
        <v>10684.8</v>
      </c>
      <c r="BD15">
        <v>9</v>
      </c>
      <c r="BE15">
        <v>6868.7999999999993</v>
      </c>
      <c r="BF15">
        <v>13</v>
      </c>
      <c r="BG15">
        <v>9921.5999999999985</v>
      </c>
      <c r="BH15">
        <v>16</v>
      </c>
      <c r="BI15">
        <v>12211.199999999999</v>
      </c>
      <c r="BJ15">
        <v>13</v>
      </c>
      <c r="BK15">
        <v>9921.5999999999985</v>
      </c>
      <c r="BL15">
        <v>13</v>
      </c>
      <c r="BM15">
        <v>9921.5999999999985</v>
      </c>
      <c r="BN15">
        <v>4.1667913590159795</v>
      </c>
      <c r="BO15">
        <v>3180.0951652009953</v>
      </c>
      <c r="BP15">
        <v>9</v>
      </c>
      <c r="BQ15">
        <v>6868.7999999999993</v>
      </c>
      <c r="BR15">
        <v>13.748775475103729</v>
      </c>
      <c r="BS15">
        <v>10493.065442599165</v>
      </c>
      <c r="BT15">
        <v>15</v>
      </c>
      <c r="BU15">
        <v>11447.999999999998</v>
      </c>
      <c r="BV15">
        <v>15.509691753245303</v>
      </c>
      <c r="BW15">
        <v>11836.996746076815</v>
      </c>
      <c r="BX15">
        <v>12.695454483884813</v>
      </c>
      <c r="BY15">
        <v>9689.1708621008875</v>
      </c>
      <c r="BZ15">
        <v>2.435615287516975</v>
      </c>
      <c r="CA15">
        <v>1858.861587432955</v>
      </c>
      <c r="CB15">
        <v>10</v>
      </c>
      <c r="CC15">
        <v>7631.9999999999991</v>
      </c>
      <c r="CD15">
        <v>15</v>
      </c>
      <c r="CE15">
        <v>11447.999999999998</v>
      </c>
      <c r="CF15">
        <v>15</v>
      </c>
      <c r="CG15">
        <v>11447.999999999998</v>
      </c>
      <c r="CH15">
        <v>9.1405333237047603</v>
      </c>
      <c r="CI15">
        <v>6976.0550326514722</v>
      </c>
      <c r="CJ15">
        <v>1.1359192076970828</v>
      </c>
      <c r="CK15">
        <v>866.93353931441345</v>
      </c>
      <c r="CL15">
        <v>1.468976703602441</v>
      </c>
      <c r="CM15">
        <v>1121.1230201893829</v>
      </c>
      <c r="CN15">
        <v>12</v>
      </c>
      <c r="CO15">
        <v>9158.4</v>
      </c>
      <c r="CP15">
        <v>11</v>
      </c>
      <c r="CQ15">
        <v>8395.1999999999989</v>
      </c>
      <c r="CR15">
        <v>14</v>
      </c>
      <c r="CS15">
        <v>10684.8</v>
      </c>
      <c r="CT15">
        <v>16</v>
      </c>
      <c r="CU15">
        <v>12211.199999999999</v>
      </c>
    </row>
    <row r="16" spans="1:99" x14ac:dyDescent="0.2">
      <c r="C16" s="118" t="s">
        <v>182</v>
      </c>
      <c r="D16">
        <v>0</v>
      </c>
      <c r="E16">
        <v>0</v>
      </c>
      <c r="F16">
        <v>5.4156353615675048</v>
      </c>
      <c r="G16">
        <v>1845.6485312222057</v>
      </c>
      <c r="H16">
        <v>14</v>
      </c>
      <c r="I16">
        <v>4771.2</v>
      </c>
      <c r="J16">
        <v>2.5312240032253586</v>
      </c>
      <c r="K16">
        <v>862.64114029920222</v>
      </c>
      <c r="L16">
        <v>15</v>
      </c>
      <c r="M16">
        <v>5112</v>
      </c>
      <c r="N16">
        <v>13</v>
      </c>
      <c r="O16">
        <v>4430.4000000000005</v>
      </c>
      <c r="P16">
        <v>11</v>
      </c>
      <c r="Q16">
        <v>3748.8</v>
      </c>
      <c r="R16">
        <v>15</v>
      </c>
      <c r="S16">
        <v>5112</v>
      </c>
      <c r="T16">
        <v>11</v>
      </c>
      <c r="U16">
        <v>3748.8</v>
      </c>
      <c r="V16">
        <v>13</v>
      </c>
      <c r="W16">
        <v>4430.4000000000005</v>
      </c>
      <c r="X16">
        <v>10</v>
      </c>
      <c r="Y16">
        <v>3408</v>
      </c>
      <c r="Z16">
        <v>10</v>
      </c>
      <c r="AA16">
        <v>3408</v>
      </c>
      <c r="AB16">
        <v>12</v>
      </c>
      <c r="AC16">
        <v>4089.6000000000004</v>
      </c>
      <c r="AD16">
        <v>15</v>
      </c>
      <c r="AE16">
        <v>5112</v>
      </c>
      <c r="AF16">
        <v>13</v>
      </c>
      <c r="AG16">
        <v>4430.4000000000005</v>
      </c>
      <c r="AH16">
        <v>12.110907483795636</v>
      </c>
      <c r="AI16">
        <v>4127.3972704775524</v>
      </c>
      <c r="AJ16">
        <v>12</v>
      </c>
      <c r="AK16">
        <v>4089.6000000000004</v>
      </c>
      <c r="AL16">
        <v>10</v>
      </c>
      <c r="AM16">
        <v>3408</v>
      </c>
      <c r="AN16">
        <v>14</v>
      </c>
      <c r="AO16">
        <v>4771.2</v>
      </c>
      <c r="AP16">
        <v>18</v>
      </c>
      <c r="AQ16">
        <v>6134.4000000000005</v>
      </c>
      <c r="AR16">
        <v>13</v>
      </c>
      <c r="AS16">
        <v>4430.4000000000005</v>
      </c>
      <c r="AT16">
        <v>11</v>
      </c>
      <c r="AU16">
        <v>3748.8</v>
      </c>
      <c r="AV16">
        <v>12</v>
      </c>
      <c r="AW16">
        <v>4089.6000000000004</v>
      </c>
      <c r="AX16">
        <v>10</v>
      </c>
      <c r="AY16">
        <v>3408</v>
      </c>
      <c r="AZ16">
        <v>14</v>
      </c>
      <c r="BA16">
        <v>4771.2</v>
      </c>
      <c r="BB16">
        <v>14</v>
      </c>
      <c r="BC16">
        <v>4771.2</v>
      </c>
      <c r="BD16">
        <v>8</v>
      </c>
      <c r="BE16">
        <v>2726.4</v>
      </c>
      <c r="BF16">
        <v>12</v>
      </c>
      <c r="BG16">
        <v>4089.6000000000004</v>
      </c>
      <c r="BH16">
        <v>16</v>
      </c>
      <c r="BI16">
        <v>5452.8</v>
      </c>
      <c r="BJ16">
        <v>13</v>
      </c>
      <c r="BK16">
        <v>4430.4000000000005</v>
      </c>
      <c r="BL16">
        <v>13</v>
      </c>
      <c r="BM16">
        <v>4430.4000000000005</v>
      </c>
      <c r="BN16">
        <v>4.4445774496170447</v>
      </c>
      <c r="BO16">
        <v>1514.711994829489</v>
      </c>
      <c r="BP16">
        <v>11</v>
      </c>
      <c r="BQ16">
        <v>3748.8</v>
      </c>
      <c r="BR16">
        <v>17.185969343879663</v>
      </c>
      <c r="BS16">
        <v>5856.9783523941896</v>
      </c>
      <c r="BT16">
        <v>16</v>
      </c>
      <c r="BU16">
        <v>5452.8</v>
      </c>
      <c r="BV16">
        <v>16.422026562259731</v>
      </c>
      <c r="BW16">
        <v>5596.6266524181165</v>
      </c>
      <c r="BX16">
        <v>12.695454483884813</v>
      </c>
      <c r="BY16">
        <v>4326.6108881079444</v>
      </c>
      <c r="BZ16">
        <v>2.6791768162686722</v>
      </c>
      <c r="CA16">
        <v>913.06345898436348</v>
      </c>
      <c r="CB16">
        <v>12</v>
      </c>
      <c r="CC16">
        <v>4089.6000000000004</v>
      </c>
      <c r="CD16">
        <v>17</v>
      </c>
      <c r="CE16">
        <v>5793.6</v>
      </c>
      <c r="CF16">
        <v>16</v>
      </c>
      <c r="CG16">
        <v>5452.8</v>
      </c>
      <c r="CH16">
        <v>9.1405333237047603</v>
      </c>
      <c r="CI16">
        <v>3115.0937567185824</v>
      </c>
      <c r="CJ16">
        <v>1.3883456982964346</v>
      </c>
      <c r="CK16">
        <v>473.14821397942495</v>
      </c>
      <c r="CL16">
        <v>1.468976703602441</v>
      </c>
      <c r="CM16">
        <v>500.62726058771193</v>
      </c>
      <c r="CN16">
        <v>13</v>
      </c>
      <c r="CO16">
        <v>4430.4000000000005</v>
      </c>
      <c r="CP16">
        <v>11</v>
      </c>
      <c r="CQ16">
        <v>3748.8</v>
      </c>
      <c r="CR16">
        <v>15</v>
      </c>
      <c r="CS16">
        <v>5112</v>
      </c>
      <c r="CT16">
        <v>15</v>
      </c>
      <c r="CU16">
        <v>5112</v>
      </c>
    </row>
    <row r="17" spans="2:99" x14ac:dyDescent="0.2">
      <c r="C17" s="118" t="s">
        <v>183</v>
      </c>
      <c r="D17">
        <v>0</v>
      </c>
      <c r="E17">
        <v>0</v>
      </c>
      <c r="F17">
        <v>6.0173726239638947</v>
      </c>
      <c r="G17">
        <v>2541.7381963623488</v>
      </c>
      <c r="H17">
        <v>14</v>
      </c>
      <c r="I17">
        <v>5913.5999999999995</v>
      </c>
      <c r="J17">
        <v>2.8476270036285287</v>
      </c>
      <c r="K17">
        <v>1202.8376463326904</v>
      </c>
      <c r="L17">
        <v>14</v>
      </c>
      <c r="M17">
        <v>5913.5999999999995</v>
      </c>
      <c r="N17">
        <v>14</v>
      </c>
      <c r="O17">
        <v>5913.5999999999995</v>
      </c>
      <c r="P17">
        <v>12</v>
      </c>
      <c r="Q17">
        <v>5068.7999999999993</v>
      </c>
      <c r="R17">
        <v>14</v>
      </c>
      <c r="S17">
        <v>5913.5999999999995</v>
      </c>
      <c r="T17">
        <v>9</v>
      </c>
      <c r="U17">
        <v>3801.6</v>
      </c>
      <c r="V17">
        <v>15</v>
      </c>
      <c r="W17">
        <v>6336</v>
      </c>
      <c r="X17">
        <v>10</v>
      </c>
      <c r="Y17">
        <v>4224</v>
      </c>
      <c r="Z17">
        <v>11</v>
      </c>
      <c r="AA17">
        <v>4646.3999999999996</v>
      </c>
      <c r="AB17">
        <v>12</v>
      </c>
      <c r="AC17">
        <v>5068.7999999999993</v>
      </c>
      <c r="AD17">
        <v>15</v>
      </c>
      <c r="AE17">
        <v>6336</v>
      </c>
      <c r="AF17">
        <v>12</v>
      </c>
      <c r="AG17">
        <v>5068.7999999999993</v>
      </c>
      <c r="AH17">
        <v>12.110907483795636</v>
      </c>
      <c r="AI17">
        <v>5115.6473211552766</v>
      </c>
      <c r="AJ17">
        <v>12</v>
      </c>
      <c r="AK17">
        <v>5068.7999999999993</v>
      </c>
      <c r="AL17">
        <v>11</v>
      </c>
      <c r="AM17">
        <v>4646.3999999999996</v>
      </c>
      <c r="AN17">
        <v>12</v>
      </c>
      <c r="AO17">
        <v>5068.7999999999993</v>
      </c>
      <c r="AP17">
        <v>17</v>
      </c>
      <c r="AQ17">
        <v>7180.7999999999993</v>
      </c>
      <c r="AR17">
        <v>15</v>
      </c>
      <c r="AS17">
        <v>6336</v>
      </c>
      <c r="AT17">
        <v>12</v>
      </c>
      <c r="AU17">
        <v>5068.7999999999993</v>
      </c>
      <c r="AV17">
        <v>13</v>
      </c>
      <c r="AW17">
        <v>5491.2</v>
      </c>
      <c r="AX17">
        <v>11</v>
      </c>
      <c r="AY17">
        <v>4646.3999999999996</v>
      </c>
      <c r="AZ17">
        <v>13</v>
      </c>
      <c r="BA17">
        <v>5491.2</v>
      </c>
      <c r="BB17">
        <v>13</v>
      </c>
      <c r="BC17">
        <v>5491.2</v>
      </c>
      <c r="BD17">
        <v>8</v>
      </c>
      <c r="BE17">
        <v>3379.2</v>
      </c>
      <c r="BF17">
        <v>14</v>
      </c>
      <c r="BG17">
        <v>5913.5999999999995</v>
      </c>
      <c r="BH17">
        <v>15</v>
      </c>
      <c r="BI17">
        <v>6336</v>
      </c>
      <c r="BJ17">
        <v>14</v>
      </c>
      <c r="BK17">
        <v>5913.5999999999995</v>
      </c>
      <c r="BL17">
        <v>14</v>
      </c>
      <c r="BM17">
        <v>5913.5999999999995</v>
      </c>
      <c r="BN17">
        <v>4.4445774496170447</v>
      </c>
      <c r="BO17">
        <v>1877.3895147182395</v>
      </c>
      <c r="BP17">
        <v>9</v>
      </c>
      <c r="BQ17">
        <v>3801.6</v>
      </c>
      <c r="BR17">
        <v>17.185969343879663</v>
      </c>
      <c r="BS17">
        <v>7259.3534508547691</v>
      </c>
      <c r="BT17">
        <v>14</v>
      </c>
      <c r="BU17">
        <v>5913.5999999999995</v>
      </c>
      <c r="BV17">
        <v>16.422026562259731</v>
      </c>
      <c r="BW17">
        <v>6936.6640198985097</v>
      </c>
      <c r="BX17">
        <v>11.284848430119835</v>
      </c>
      <c r="BY17">
        <v>4766.7199768826176</v>
      </c>
      <c r="BZ17">
        <v>2.6791768162686722</v>
      </c>
      <c r="CA17">
        <v>1131.6842871918871</v>
      </c>
      <c r="CB17">
        <v>11</v>
      </c>
      <c r="CC17">
        <v>4646.3999999999996</v>
      </c>
      <c r="CD17">
        <v>19</v>
      </c>
      <c r="CE17">
        <v>8025.5999999999995</v>
      </c>
      <c r="CF17">
        <v>14</v>
      </c>
      <c r="CG17">
        <v>5913.5999999999995</v>
      </c>
      <c r="CH17">
        <v>9.1405333237047603</v>
      </c>
      <c r="CI17">
        <v>3860.9612759328907</v>
      </c>
      <c r="CJ17">
        <v>1.2621324529967584</v>
      </c>
      <c r="CK17">
        <v>533.12474814583072</v>
      </c>
      <c r="CL17">
        <v>1.3640497962022669</v>
      </c>
      <c r="CM17">
        <v>576.17463391583749</v>
      </c>
      <c r="CN17">
        <v>11</v>
      </c>
      <c r="CO17">
        <v>4646.3999999999996</v>
      </c>
      <c r="CP17">
        <v>11</v>
      </c>
      <c r="CQ17">
        <v>4646.3999999999996</v>
      </c>
      <c r="CR17">
        <v>15</v>
      </c>
      <c r="CS17">
        <v>6336</v>
      </c>
      <c r="CT17">
        <v>16</v>
      </c>
      <c r="CU17">
        <v>6758.4</v>
      </c>
    </row>
    <row r="18" spans="2:99" x14ac:dyDescent="0.2">
      <c r="C18" s="118" t="s">
        <v>184</v>
      </c>
      <c r="D18">
        <v>0</v>
      </c>
      <c r="E18">
        <v>0</v>
      </c>
      <c r="F18">
        <v>6.0173726239638947</v>
      </c>
      <c r="G18">
        <v>3928.1408489236301</v>
      </c>
      <c r="H18">
        <v>15</v>
      </c>
      <c r="I18">
        <v>9792</v>
      </c>
      <c r="J18">
        <v>2.8476270036285287</v>
      </c>
      <c r="K18">
        <v>1858.9309079687034</v>
      </c>
      <c r="L18">
        <v>13</v>
      </c>
      <c r="M18">
        <v>8486.4</v>
      </c>
      <c r="N18">
        <v>11</v>
      </c>
      <c r="O18">
        <v>7180.7999999999993</v>
      </c>
      <c r="P18">
        <v>10</v>
      </c>
      <c r="Q18">
        <v>6528</v>
      </c>
      <c r="R18">
        <v>14</v>
      </c>
      <c r="S18">
        <v>9139.1999999999989</v>
      </c>
      <c r="T18">
        <v>10</v>
      </c>
      <c r="U18">
        <v>6528</v>
      </c>
      <c r="V18">
        <v>14</v>
      </c>
      <c r="W18">
        <v>9139.1999999999989</v>
      </c>
      <c r="X18">
        <v>10</v>
      </c>
      <c r="Y18">
        <v>6528</v>
      </c>
      <c r="Z18">
        <v>9</v>
      </c>
      <c r="AA18">
        <v>5875.2</v>
      </c>
      <c r="AB18">
        <v>11</v>
      </c>
      <c r="AC18">
        <v>7180.7999999999993</v>
      </c>
      <c r="AD18">
        <v>15</v>
      </c>
      <c r="AE18">
        <v>9792</v>
      </c>
      <c r="AF18">
        <v>10</v>
      </c>
      <c r="AG18">
        <v>6528</v>
      </c>
      <c r="AH18">
        <v>12.110907483795636</v>
      </c>
      <c r="AI18">
        <v>7906.0004054217907</v>
      </c>
      <c r="AJ18">
        <v>11</v>
      </c>
      <c r="AK18">
        <v>7180.7999999999993</v>
      </c>
      <c r="AL18">
        <v>10</v>
      </c>
      <c r="AM18">
        <v>6528</v>
      </c>
      <c r="AN18">
        <v>12</v>
      </c>
      <c r="AO18">
        <v>7833.5999999999995</v>
      </c>
      <c r="AP18">
        <v>16</v>
      </c>
      <c r="AQ18">
        <v>10444.799999999999</v>
      </c>
      <c r="AR18">
        <v>14</v>
      </c>
      <c r="AS18">
        <v>9139.1999999999989</v>
      </c>
      <c r="AT18">
        <v>13</v>
      </c>
      <c r="AU18">
        <v>8486.4</v>
      </c>
      <c r="AV18">
        <v>13</v>
      </c>
      <c r="AW18">
        <v>8486.4</v>
      </c>
      <c r="AX18">
        <v>10</v>
      </c>
      <c r="AY18">
        <v>6528</v>
      </c>
      <c r="AZ18">
        <v>12</v>
      </c>
      <c r="BA18">
        <v>7833.5999999999995</v>
      </c>
      <c r="BB18">
        <v>13</v>
      </c>
      <c r="BC18">
        <v>8486.4</v>
      </c>
      <c r="BD18">
        <v>10</v>
      </c>
      <c r="BE18">
        <v>6528</v>
      </c>
      <c r="BF18">
        <v>14</v>
      </c>
      <c r="BG18">
        <v>9139.1999999999989</v>
      </c>
      <c r="BH18">
        <v>16</v>
      </c>
      <c r="BI18">
        <v>10444.799999999999</v>
      </c>
      <c r="BJ18">
        <v>12</v>
      </c>
      <c r="BK18">
        <v>7833.5999999999995</v>
      </c>
      <c r="BL18">
        <v>13</v>
      </c>
      <c r="BM18">
        <v>8486.4</v>
      </c>
      <c r="BN18">
        <v>4.1667913590159795</v>
      </c>
      <c r="BO18">
        <v>2720.0813991656314</v>
      </c>
      <c r="BP18">
        <v>10</v>
      </c>
      <c r="BQ18">
        <v>6528</v>
      </c>
      <c r="BR18">
        <v>16.326670876685679</v>
      </c>
      <c r="BS18">
        <v>10658.050748300411</v>
      </c>
      <c r="BT18">
        <v>15</v>
      </c>
      <c r="BU18">
        <v>9792</v>
      </c>
      <c r="BV18">
        <v>15.509691753245303</v>
      </c>
      <c r="BW18">
        <v>10124.726776518533</v>
      </c>
      <c r="BX18">
        <v>13.400757510767301</v>
      </c>
      <c r="BY18">
        <v>8748.0145030288932</v>
      </c>
      <c r="BZ18">
        <v>2.9227383450203699</v>
      </c>
      <c r="CA18">
        <v>1907.9635916292973</v>
      </c>
      <c r="CB18">
        <v>11</v>
      </c>
      <c r="CC18">
        <v>7180.7999999999993</v>
      </c>
      <c r="CD18">
        <v>18</v>
      </c>
      <c r="CE18">
        <v>11750.4</v>
      </c>
      <c r="CF18">
        <v>15</v>
      </c>
      <c r="CG18">
        <v>9792</v>
      </c>
      <c r="CH18">
        <v>9.8436512716820488</v>
      </c>
      <c r="CI18">
        <v>6425.9355501540413</v>
      </c>
      <c r="CJ18">
        <v>1.2621324529967584</v>
      </c>
      <c r="CK18">
        <v>823.92006531628385</v>
      </c>
      <c r="CL18">
        <v>1.3640497962022669</v>
      </c>
      <c r="CM18">
        <v>890.45170696083972</v>
      </c>
      <c r="CN18">
        <v>13</v>
      </c>
      <c r="CO18">
        <v>8486.4</v>
      </c>
      <c r="CP18">
        <v>11</v>
      </c>
      <c r="CQ18">
        <v>7180.7999999999993</v>
      </c>
      <c r="CR18">
        <v>13</v>
      </c>
      <c r="CS18">
        <v>8486.4</v>
      </c>
      <c r="CT18">
        <v>15</v>
      </c>
      <c r="CU18">
        <v>9792</v>
      </c>
    </row>
    <row r="19" spans="2:99" x14ac:dyDescent="0.2">
      <c r="C19" s="118" t="s">
        <v>185</v>
      </c>
      <c r="D19">
        <v>0</v>
      </c>
      <c r="E19">
        <v>0</v>
      </c>
      <c r="F19">
        <v>4.8138980991711158</v>
      </c>
      <c r="G19">
        <v>1588.5863727264682</v>
      </c>
      <c r="H19">
        <v>16</v>
      </c>
      <c r="I19">
        <v>5280</v>
      </c>
      <c r="J19">
        <v>2.5312240032253586</v>
      </c>
      <c r="K19">
        <v>835.3039210643683</v>
      </c>
      <c r="L19">
        <v>14</v>
      </c>
      <c r="M19">
        <v>4620</v>
      </c>
      <c r="N19">
        <v>12</v>
      </c>
      <c r="O19">
        <v>3960</v>
      </c>
      <c r="P19">
        <v>11</v>
      </c>
      <c r="Q19">
        <v>3630</v>
      </c>
      <c r="R19">
        <v>16</v>
      </c>
      <c r="S19">
        <v>5280</v>
      </c>
      <c r="T19">
        <v>10</v>
      </c>
      <c r="U19">
        <v>3300</v>
      </c>
      <c r="V19">
        <v>15</v>
      </c>
      <c r="W19">
        <v>4950</v>
      </c>
      <c r="X19">
        <v>10</v>
      </c>
      <c r="Y19">
        <v>3300</v>
      </c>
      <c r="Z19">
        <v>10</v>
      </c>
      <c r="AA19">
        <v>3300</v>
      </c>
      <c r="AB19">
        <v>12</v>
      </c>
      <c r="AC19">
        <v>3960</v>
      </c>
      <c r="AD19">
        <v>14</v>
      </c>
      <c r="AE19">
        <v>4620</v>
      </c>
      <c r="AF19">
        <v>13</v>
      </c>
      <c r="AG19">
        <v>4290</v>
      </c>
      <c r="AH19">
        <v>11.353975766058408</v>
      </c>
      <c r="AI19">
        <v>3746.8120027992745</v>
      </c>
      <c r="AJ19">
        <v>13</v>
      </c>
      <c r="AK19">
        <v>4290</v>
      </c>
      <c r="AL19">
        <v>10</v>
      </c>
      <c r="AM19">
        <v>3300</v>
      </c>
      <c r="AN19">
        <v>14</v>
      </c>
      <c r="AO19">
        <v>4620</v>
      </c>
      <c r="AP19">
        <v>15</v>
      </c>
      <c r="AQ19">
        <v>4950</v>
      </c>
      <c r="AR19">
        <v>15</v>
      </c>
      <c r="AS19">
        <v>4950</v>
      </c>
      <c r="AT19">
        <v>11</v>
      </c>
      <c r="AU19">
        <v>3630</v>
      </c>
      <c r="AV19">
        <v>12</v>
      </c>
      <c r="AW19">
        <v>3960</v>
      </c>
      <c r="AX19">
        <v>11</v>
      </c>
      <c r="AY19">
        <v>3630</v>
      </c>
      <c r="AZ19">
        <v>13</v>
      </c>
      <c r="BA19">
        <v>4290</v>
      </c>
      <c r="BB19">
        <v>13</v>
      </c>
      <c r="BC19">
        <v>4290</v>
      </c>
      <c r="BD19">
        <v>9</v>
      </c>
      <c r="BE19">
        <v>2970</v>
      </c>
      <c r="BF19">
        <v>12</v>
      </c>
      <c r="BG19">
        <v>3960</v>
      </c>
      <c r="BH19">
        <v>16</v>
      </c>
      <c r="BI19">
        <v>5280</v>
      </c>
      <c r="BJ19">
        <v>12</v>
      </c>
      <c r="BK19">
        <v>3960</v>
      </c>
      <c r="BL19">
        <v>14</v>
      </c>
      <c r="BM19">
        <v>4620</v>
      </c>
      <c r="BN19">
        <v>4.4445774496170447</v>
      </c>
      <c r="BO19">
        <v>1466.7105583736247</v>
      </c>
      <c r="BP19">
        <v>10</v>
      </c>
      <c r="BQ19">
        <v>3300</v>
      </c>
      <c r="BR19">
        <v>15.467372409491695</v>
      </c>
      <c r="BS19">
        <v>5104.2328951322597</v>
      </c>
      <c r="BT19">
        <v>15</v>
      </c>
      <c r="BU19">
        <v>4950</v>
      </c>
      <c r="BV19">
        <v>16.422026562259731</v>
      </c>
      <c r="BW19">
        <v>5419.2687655457112</v>
      </c>
      <c r="BX19">
        <v>12.695454483884813</v>
      </c>
      <c r="BY19">
        <v>4189.4999796819884</v>
      </c>
      <c r="BZ19">
        <v>2.9227383450203699</v>
      </c>
      <c r="CA19">
        <v>964.50365385672205</v>
      </c>
      <c r="CB19">
        <v>10</v>
      </c>
      <c r="CC19">
        <v>3300</v>
      </c>
      <c r="CD19">
        <v>19</v>
      </c>
      <c r="CE19">
        <v>6270</v>
      </c>
      <c r="CF19">
        <v>15</v>
      </c>
      <c r="CG19">
        <v>4950</v>
      </c>
      <c r="CH19">
        <v>9.8436512716820488</v>
      </c>
      <c r="CI19">
        <v>3248.4049196550759</v>
      </c>
      <c r="CJ19">
        <v>1.3883456982964346</v>
      </c>
      <c r="CK19">
        <v>458.15408043782344</v>
      </c>
      <c r="CL19">
        <v>1.5739036110026154</v>
      </c>
      <c r="CM19">
        <v>519.38819163086305</v>
      </c>
      <c r="CN19">
        <v>11</v>
      </c>
      <c r="CO19">
        <v>3630</v>
      </c>
      <c r="CP19">
        <v>10</v>
      </c>
      <c r="CQ19">
        <v>3300</v>
      </c>
      <c r="CR19">
        <v>14</v>
      </c>
      <c r="CS19">
        <v>4620</v>
      </c>
      <c r="CT19">
        <v>14</v>
      </c>
      <c r="CU19">
        <v>4620</v>
      </c>
    </row>
    <row r="20" spans="2:99" x14ac:dyDescent="0.2">
      <c r="B20" s="118" t="s">
        <v>127</v>
      </c>
      <c r="C20" s="118" t="s">
        <v>186</v>
      </c>
      <c r="D20">
        <v>0</v>
      </c>
      <c r="E20">
        <v>0</v>
      </c>
      <c r="F20">
        <v>25.272965020648357</v>
      </c>
      <c r="G20">
        <v>7248.286367921949</v>
      </c>
      <c r="H20">
        <v>22</v>
      </c>
      <c r="I20">
        <v>6309.6</v>
      </c>
      <c r="J20">
        <v>9.8084930124982641</v>
      </c>
      <c r="K20">
        <v>2813.0757959845023</v>
      </c>
      <c r="L20">
        <v>26</v>
      </c>
      <c r="M20">
        <v>7456.8</v>
      </c>
      <c r="N20">
        <v>37</v>
      </c>
      <c r="O20">
        <v>10611.6</v>
      </c>
      <c r="P20">
        <v>33</v>
      </c>
      <c r="Q20">
        <v>9464.4</v>
      </c>
      <c r="R20">
        <v>29</v>
      </c>
      <c r="S20">
        <v>8317.2000000000007</v>
      </c>
      <c r="T20">
        <v>38</v>
      </c>
      <c r="U20">
        <v>10898.4</v>
      </c>
      <c r="V20">
        <v>36</v>
      </c>
      <c r="W20">
        <v>10324.800000000001</v>
      </c>
      <c r="X20">
        <v>42</v>
      </c>
      <c r="Y20">
        <v>12045.6</v>
      </c>
      <c r="Z20">
        <v>42</v>
      </c>
      <c r="AA20">
        <v>12045.6</v>
      </c>
      <c r="AB20">
        <v>46</v>
      </c>
      <c r="AC20">
        <v>13192.800000000001</v>
      </c>
      <c r="AD20">
        <v>50</v>
      </c>
      <c r="AE20">
        <v>14340</v>
      </c>
      <c r="AF20">
        <v>35</v>
      </c>
      <c r="AG20">
        <v>10038</v>
      </c>
      <c r="AH20">
        <v>29.520336991751861</v>
      </c>
      <c r="AI20">
        <v>8466.4326492344335</v>
      </c>
      <c r="AJ20">
        <v>34</v>
      </c>
      <c r="AK20">
        <v>9751.2000000000007</v>
      </c>
      <c r="AL20">
        <v>26</v>
      </c>
      <c r="AM20">
        <v>7456.8</v>
      </c>
      <c r="AN20">
        <v>37</v>
      </c>
      <c r="AO20">
        <v>10611.6</v>
      </c>
      <c r="AP20">
        <v>43</v>
      </c>
      <c r="AQ20">
        <v>12332.4</v>
      </c>
      <c r="AR20">
        <v>38</v>
      </c>
      <c r="AS20">
        <v>10898.4</v>
      </c>
      <c r="AT20">
        <v>41</v>
      </c>
      <c r="AU20">
        <v>11758.800000000001</v>
      </c>
      <c r="AV20">
        <v>32</v>
      </c>
      <c r="AW20">
        <v>9177.6</v>
      </c>
      <c r="AX20">
        <v>39</v>
      </c>
      <c r="AY20">
        <v>11185.2</v>
      </c>
      <c r="AZ20">
        <v>40</v>
      </c>
      <c r="BA20">
        <v>11472</v>
      </c>
      <c r="BB20">
        <v>41</v>
      </c>
      <c r="BC20">
        <v>11758.800000000001</v>
      </c>
      <c r="BD20">
        <v>49</v>
      </c>
      <c r="BE20">
        <v>14053.2</v>
      </c>
      <c r="BF20">
        <v>40</v>
      </c>
      <c r="BG20">
        <v>11472</v>
      </c>
      <c r="BH20">
        <v>46</v>
      </c>
      <c r="BI20">
        <v>13192.800000000001</v>
      </c>
      <c r="BJ20">
        <v>38</v>
      </c>
      <c r="BK20">
        <v>10898.4</v>
      </c>
      <c r="BL20">
        <v>29</v>
      </c>
      <c r="BM20">
        <v>8317.2000000000007</v>
      </c>
      <c r="BN20">
        <v>11.111443624042613</v>
      </c>
      <c r="BO20">
        <v>3186.7620313754214</v>
      </c>
      <c r="BP20">
        <v>35</v>
      </c>
      <c r="BQ20">
        <v>10038</v>
      </c>
      <c r="BR20">
        <v>30.075446351789406</v>
      </c>
      <c r="BS20">
        <v>8625.6380136932021</v>
      </c>
      <c r="BT20">
        <v>31</v>
      </c>
      <c r="BU20">
        <v>8890.8000000000011</v>
      </c>
      <c r="BV20">
        <v>49.2660796867792</v>
      </c>
      <c r="BW20">
        <v>14129.511654168275</v>
      </c>
      <c r="BX20">
        <v>34.559848317241993</v>
      </c>
      <c r="BY20">
        <v>9911.7644973850038</v>
      </c>
      <c r="BZ20">
        <v>11.203830322578085</v>
      </c>
      <c r="CA20">
        <v>3213.258536515395</v>
      </c>
      <c r="CB20">
        <v>44</v>
      </c>
      <c r="CC20">
        <v>12619.2</v>
      </c>
      <c r="CD20">
        <v>46</v>
      </c>
      <c r="CE20">
        <v>13192.800000000001</v>
      </c>
      <c r="CF20">
        <v>50</v>
      </c>
      <c r="CG20">
        <v>14340</v>
      </c>
      <c r="CH20">
        <v>33.046543554932597</v>
      </c>
      <c r="CI20">
        <v>9477.7486915546688</v>
      </c>
      <c r="CJ20">
        <v>3.1553311324918965</v>
      </c>
      <c r="CK20">
        <v>904.94896879867599</v>
      </c>
      <c r="CL20">
        <v>4.6167839256076721</v>
      </c>
      <c r="CM20">
        <v>1324.0936298642805</v>
      </c>
      <c r="CN20">
        <v>26</v>
      </c>
      <c r="CO20">
        <v>7456.8</v>
      </c>
      <c r="CP20">
        <v>26</v>
      </c>
      <c r="CQ20">
        <v>7456.8</v>
      </c>
      <c r="CR20">
        <v>33</v>
      </c>
      <c r="CS20">
        <v>9464.4</v>
      </c>
      <c r="CT20">
        <v>36</v>
      </c>
      <c r="CU20">
        <v>10324.800000000001</v>
      </c>
    </row>
    <row r="21" spans="2:99" x14ac:dyDescent="0.2">
      <c r="C21" s="118" t="s">
        <v>187</v>
      </c>
      <c r="D21">
        <v>0</v>
      </c>
      <c r="E21">
        <v>0</v>
      </c>
      <c r="F21">
        <v>27.078176807837526</v>
      </c>
      <c r="G21">
        <v>1689.6782328090617</v>
      </c>
      <c r="H21">
        <v>27</v>
      </c>
      <c r="I21">
        <v>1684.8</v>
      </c>
      <c r="J21">
        <v>10.441299013304606</v>
      </c>
      <c r="K21">
        <v>651.53705843020737</v>
      </c>
      <c r="L21">
        <v>27</v>
      </c>
      <c r="M21">
        <v>1684.8</v>
      </c>
      <c r="N21">
        <v>39</v>
      </c>
      <c r="O21">
        <v>2433.6</v>
      </c>
      <c r="P21">
        <v>34</v>
      </c>
      <c r="Q21">
        <v>2121.6</v>
      </c>
      <c r="R21">
        <v>30</v>
      </c>
      <c r="S21">
        <v>1872</v>
      </c>
      <c r="T21">
        <v>37</v>
      </c>
      <c r="U21">
        <v>2308.7999999999997</v>
      </c>
      <c r="V21">
        <v>33</v>
      </c>
      <c r="W21">
        <v>2059.1999999999998</v>
      </c>
      <c r="X21">
        <v>41</v>
      </c>
      <c r="Y21">
        <v>2558.4</v>
      </c>
      <c r="Z21">
        <v>46</v>
      </c>
      <c r="AA21">
        <v>2870.4</v>
      </c>
      <c r="AB21">
        <v>48</v>
      </c>
      <c r="AC21">
        <v>2995.2</v>
      </c>
      <c r="AD21">
        <v>48</v>
      </c>
      <c r="AE21">
        <v>2995.2</v>
      </c>
      <c r="AF21">
        <v>36</v>
      </c>
      <c r="AG21">
        <v>2246.4</v>
      </c>
      <c r="AH21">
        <v>31.791132144963544</v>
      </c>
      <c r="AI21">
        <v>1983.7666458457252</v>
      </c>
      <c r="AJ21">
        <v>35</v>
      </c>
      <c r="AK21">
        <v>2184</v>
      </c>
      <c r="AL21">
        <v>27</v>
      </c>
      <c r="AM21">
        <v>1684.8</v>
      </c>
      <c r="AN21">
        <v>38</v>
      </c>
      <c r="AO21">
        <v>2371.1999999999998</v>
      </c>
      <c r="AP21">
        <v>41</v>
      </c>
      <c r="AQ21">
        <v>2558.4</v>
      </c>
      <c r="AR21">
        <v>36</v>
      </c>
      <c r="AS21">
        <v>2246.4</v>
      </c>
      <c r="AT21">
        <v>37</v>
      </c>
      <c r="AU21">
        <v>2308.7999999999997</v>
      </c>
      <c r="AV21">
        <v>34</v>
      </c>
      <c r="AW21">
        <v>2121.6</v>
      </c>
      <c r="AX21">
        <v>47</v>
      </c>
      <c r="AY21">
        <v>2932.7999999999997</v>
      </c>
      <c r="AZ21">
        <v>45</v>
      </c>
      <c r="BA21">
        <v>2808</v>
      </c>
      <c r="BB21">
        <v>41</v>
      </c>
      <c r="BC21">
        <v>2558.4</v>
      </c>
      <c r="BD21">
        <v>45</v>
      </c>
      <c r="BE21">
        <v>2808</v>
      </c>
      <c r="BF21">
        <v>40</v>
      </c>
      <c r="BG21">
        <v>2496</v>
      </c>
      <c r="BH21">
        <v>40</v>
      </c>
      <c r="BI21">
        <v>2496</v>
      </c>
      <c r="BJ21">
        <v>35</v>
      </c>
      <c r="BK21">
        <v>2184</v>
      </c>
      <c r="BL21">
        <v>29</v>
      </c>
      <c r="BM21">
        <v>1809.6</v>
      </c>
      <c r="BN21">
        <v>10.278085352239415</v>
      </c>
      <c r="BO21">
        <v>641.35252597973954</v>
      </c>
      <c r="BP21">
        <v>36</v>
      </c>
      <c r="BQ21">
        <v>2246.4</v>
      </c>
      <c r="BR21">
        <v>28.356849417401442</v>
      </c>
      <c r="BS21">
        <v>1769.46740364585</v>
      </c>
      <c r="BT21">
        <v>31</v>
      </c>
      <c r="BU21">
        <v>1934.3999999999999</v>
      </c>
      <c r="BV21">
        <v>48.353744877764768</v>
      </c>
      <c r="BW21">
        <v>3017.2736803725215</v>
      </c>
      <c r="BX21">
        <v>35.970454371006966</v>
      </c>
      <c r="BY21">
        <v>2244.5563527508348</v>
      </c>
      <c r="BZ21">
        <v>11.203830322578085</v>
      </c>
      <c r="CA21">
        <v>699.11901212887244</v>
      </c>
      <c r="CB21">
        <v>43</v>
      </c>
      <c r="CC21">
        <v>2683.2</v>
      </c>
      <c r="CD21">
        <v>42</v>
      </c>
      <c r="CE21">
        <v>2620.7999999999997</v>
      </c>
      <c r="CF21">
        <v>46</v>
      </c>
      <c r="CG21">
        <v>2870.4</v>
      </c>
      <c r="CH21">
        <v>35.155897398864461</v>
      </c>
      <c r="CI21">
        <v>2193.7279976891423</v>
      </c>
      <c r="CJ21">
        <v>3.1553311324918965</v>
      </c>
      <c r="CK21">
        <v>196.89266266749433</v>
      </c>
      <c r="CL21">
        <v>4.5118570182074977</v>
      </c>
      <c r="CM21">
        <v>281.53987793614783</v>
      </c>
      <c r="CN21">
        <v>31</v>
      </c>
      <c r="CO21">
        <v>1934.3999999999999</v>
      </c>
      <c r="CP21">
        <v>28</v>
      </c>
      <c r="CQ21">
        <v>1747.2</v>
      </c>
      <c r="CR21">
        <v>36</v>
      </c>
      <c r="CS21">
        <v>2246.4</v>
      </c>
      <c r="CT21">
        <v>34</v>
      </c>
      <c r="CU21">
        <v>2121.6</v>
      </c>
    </row>
    <row r="22" spans="2:99" x14ac:dyDescent="0.2">
      <c r="C22" s="118" t="s">
        <v>188</v>
      </c>
      <c r="D22">
        <v>0</v>
      </c>
      <c r="E22">
        <v>0</v>
      </c>
      <c r="F22">
        <v>24.069490495855579</v>
      </c>
      <c r="G22">
        <v>4505.8086208241639</v>
      </c>
      <c r="H22">
        <v>23</v>
      </c>
      <c r="I22">
        <v>4305.5999999999995</v>
      </c>
      <c r="J22">
        <v>9.8084930124982641</v>
      </c>
      <c r="K22">
        <v>1836.1498919396749</v>
      </c>
      <c r="L22">
        <v>27</v>
      </c>
      <c r="M22">
        <v>5054.3999999999996</v>
      </c>
      <c r="N22">
        <v>39</v>
      </c>
      <c r="O22">
        <v>7300.7999999999993</v>
      </c>
      <c r="P22">
        <v>40</v>
      </c>
      <c r="Q22">
        <v>7488</v>
      </c>
      <c r="R22">
        <v>35</v>
      </c>
      <c r="S22">
        <v>6552</v>
      </c>
      <c r="T22">
        <v>34</v>
      </c>
      <c r="U22">
        <v>6364.7999999999993</v>
      </c>
      <c r="V22">
        <v>37</v>
      </c>
      <c r="W22">
        <v>6926.4</v>
      </c>
      <c r="X22">
        <v>45</v>
      </c>
      <c r="Y22">
        <v>8424</v>
      </c>
      <c r="Z22">
        <v>46</v>
      </c>
      <c r="AA22">
        <v>8611.1999999999989</v>
      </c>
      <c r="AB22">
        <v>47</v>
      </c>
      <c r="AC22">
        <v>8798.4</v>
      </c>
      <c r="AD22">
        <v>47</v>
      </c>
      <c r="AE22">
        <v>8798.4</v>
      </c>
      <c r="AF22">
        <v>38</v>
      </c>
      <c r="AG22">
        <v>7113.5999999999995</v>
      </c>
      <c r="AH22">
        <v>27.249541838540178</v>
      </c>
      <c r="AI22">
        <v>5101.1142321747211</v>
      </c>
      <c r="AJ22">
        <v>40</v>
      </c>
      <c r="AK22">
        <v>7488</v>
      </c>
      <c r="AL22">
        <v>23</v>
      </c>
      <c r="AM22">
        <v>4305.5999999999995</v>
      </c>
      <c r="AN22">
        <v>42</v>
      </c>
      <c r="AO22">
        <v>7862.4</v>
      </c>
      <c r="AP22">
        <v>42</v>
      </c>
      <c r="AQ22">
        <v>7862.4</v>
      </c>
      <c r="AR22">
        <v>35</v>
      </c>
      <c r="AS22">
        <v>6552</v>
      </c>
      <c r="AT22">
        <v>37</v>
      </c>
      <c r="AU22">
        <v>6926.4</v>
      </c>
      <c r="AV22">
        <v>28</v>
      </c>
      <c r="AW22">
        <v>5241.5999999999995</v>
      </c>
      <c r="AX22">
        <v>41</v>
      </c>
      <c r="AY22">
        <v>7675.2</v>
      </c>
      <c r="AZ22">
        <v>38</v>
      </c>
      <c r="BA22">
        <v>7113.5999999999995</v>
      </c>
      <c r="BB22">
        <v>39</v>
      </c>
      <c r="BC22">
        <v>7300.7999999999993</v>
      </c>
      <c r="BD22">
        <v>46</v>
      </c>
      <c r="BE22">
        <v>8611.1999999999989</v>
      </c>
      <c r="BF22">
        <v>46</v>
      </c>
      <c r="BG22">
        <v>8611.1999999999989</v>
      </c>
      <c r="BH22">
        <v>39</v>
      </c>
      <c r="BI22">
        <v>7300.7999999999993</v>
      </c>
      <c r="BJ22">
        <v>38</v>
      </c>
      <c r="BK22">
        <v>7113.5999999999995</v>
      </c>
      <c r="BL22">
        <v>29</v>
      </c>
      <c r="BM22">
        <v>5428.7999999999993</v>
      </c>
      <c r="BN22">
        <v>10.00029926163835</v>
      </c>
      <c r="BO22">
        <v>1872.056021778699</v>
      </c>
      <c r="BP22">
        <v>37</v>
      </c>
      <c r="BQ22">
        <v>6926.4</v>
      </c>
      <c r="BR22">
        <v>31.794043286177374</v>
      </c>
      <c r="BS22">
        <v>5951.844903172404</v>
      </c>
      <c r="BT22">
        <v>30</v>
      </c>
      <c r="BU22">
        <v>5616</v>
      </c>
      <c r="BV22">
        <v>49.2660796867792</v>
      </c>
      <c r="BW22">
        <v>9222.6101173650659</v>
      </c>
      <c r="BX22">
        <v>33.854545290359496</v>
      </c>
      <c r="BY22">
        <v>6337.5708783552973</v>
      </c>
      <c r="BZ22">
        <v>10.960268793826387</v>
      </c>
      <c r="CA22">
        <v>2051.7623182042994</v>
      </c>
      <c r="CB22">
        <v>46</v>
      </c>
      <c r="CC22">
        <v>8611.1999999999989</v>
      </c>
      <c r="CD22">
        <v>46</v>
      </c>
      <c r="CE22">
        <v>8611.1999999999989</v>
      </c>
      <c r="CF22">
        <v>49</v>
      </c>
      <c r="CG22">
        <v>9172.7999999999993</v>
      </c>
      <c r="CH22">
        <v>33.749661502909888</v>
      </c>
      <c r="CI22">
        <v>6317.9366333447306</v>
      </c>
      <c r="CJ22">
        <v>3.4077576230912481</v>
      </c>
      <c r="CK22">
        <v>637.93222704268157</v>
      </c>
      <c r="CL22">
        <v>4.5118570182074977</v>
      </c>
      <c r="CM22">
        <v>844.6196338084435</v>
      </c>
      <c r="CN22">
        <v>30</v>
      </c>
      <c r="CO22">
        <v>5616</v>
      </c>
      <c r="CP22">
        <v>28</v>
      </c>
      <c r="CQ22">
        <v>5241.5999999999995</v>
      </c>
      <c r="CR22">
        <v>33</v>
      </c>
      <c r="CS22">
        <v>6177.5999999999995</v>
      </c>
      <c r="CT22">
        <v>34</v>
      </c>
      <c r="CU22">
        <v>6364.7999999999993</v>
      </c>
    </row>
    <row r="23" spans="2:99" x14ac:dyDescent="0.2">
      <c r="C23" s="118" t="s">
        <v>189</v>
      </c>
      <c r="D23">
        <v>0</v>
      </c>
      <c r="E23">
        <v>0</v>
      </c>
      <c r="F23">
        <v>26.476439545441139</v>
      </c>
      <c r="G23">
        <v>7784.0732263596947</v>
      </c>
      <c r="H23">
        <v>26</v>
      </c>
      <c r="I23">
        <v>7644</v>
      </c>
      <c r="J23">
        <v>9.4920900120950957</v>
      </c>
      <c r="K23">
        <v>2790.674463555958</v>
      </c>
      <c r="L23">
        <v>28</v>
      </c>
      <c r="M23">
        <v>8232</v>
      </c>
      <c r="N23">
        <v>42</v>
      </c>
      <c r="O23">
        <v>12348</v>
      </c>
      <c r="P23">
        <v>35</v>
      </c>
      <c r="Q23">
        <v>10290</v>
      </c>
      <c r="R23">
        <v>30</v>
      </c>
      <c r="S23">
        <v>8820</v>
      </c>
      <c r="T23">
        <v>35</v>
      </c>
      <c r="U23">
        <v>10290</v>
      </c>
      <c r="V23">
        <v>35</v>
      </c>
      <c r="W23">
        <v>10290</v>
      </c>
      <c r="X23">
        <v>47</v>
      </c>
      <c r="Y23">
        <v>13818</v>
      </c>
      <c r="Z23">
        <v>43</v>
      </c>
      <c r="AA23">
        <v>12642</v>
      </c>
      <c r="AB23">
        <v>47</v>
      </c>
      <c r="AC23">
        <v>13818</v>
      </c>
      <c r="AD23">
        <v>46</v>
      </c>
      <c r="AE23">
        <v>13524</v>
      </c>
      <c r="AF23">
        <v>41</v>
      </c>
      <c r="AG23">
        <v>12054</v>
      </c>
      <c r="AH23">
        <v>28.006473556277406</v>
      </c>
      <c r="AI23">
        <v>8233.9032255455568</v>
      </c>
      <c r="AJ23">
        <v>34</v>
      </c>
      <c r="AK23">
        <v>9996</v>
      </c>
      <c r="AL23">
        <v>26</v>
      </c>
      <c r="AM23">
        <v>7644</v>
      </c>
      <c r="AN23">
        <v>35</v>
      </c>
      <c r="AO23">
        <v>10290</v>
      </c>
      <c r="AP23">
        <v>37</v>
      </c>
      <c r="AQ23">
        <v>10878</v>
      </c>
      <c r="AR23">
        <v>39</v>
      </c>
      <c r="AS23">
        <v>11466</v>
      </c>
      <c r="AT23">
        <v>38</v>
      </c>
      <c r="AU23">
        <v>11172</v>
      </c>
      <c r="AV23">
        <v>33</v>
      </c>
      <c r="AW23">
        <v>9702</v>
      </c>
      <c r="AX23">
        <v>39</v>
      </c>
      <c r="AY23">
        <v>11466</v>
      </c>
      <c r="AZ23">
        <v>37</v>
      </c>
      <c r="BA23">
        <v>10878</v>
      </c>
      <c r="BB23">
        <v>36</v>
      </c>
      <c r="BC23">
        <v>10584</v>
      </c>
      <c r="BD23">
        <v>51</v>
      </c>
      <c r="BE23">
        <v>14994</v>
      </c>
      <c r="BF23">
        <v>47</v>
      </c>
      <c r="BG23">
        <v>13818</v>
      </c>
      <c r="BH23">
        <v>44</v>
      </c>
      <c r="BI23">
        <v>12936</v>
      </c>
      <c r="BJ23">
        <v>35</v>
      </c>
      <c r="BK23">
        <v>10290</v>
      </c>
      <c r="BL23">
        <v>27</v>
      </c>
      <c r="BM23">
        <v>7938</v>
      </c>
      <c r="BN23">
        <v>10.555871442840482</v>
      </c>
      <c r="BO23">
        <v>3103.4262041951019</v>
      </c>
      <c r="BP23">
        <v>35</v>
      </c>
      <c r="BQ23">
        <v>10290</v>
      </c>
      <c r="BR23">
        <v>32.653341753371357</v>
      </c>
      <c r="BS23">
        <v>9600.0824754911791</v>
      </c>
      <c r="BT23">
        <v>29</v>
      </c>
      <c r="BU23">
        <v>8526</v>
      </c>
      <c r="BV23">
        <v>44.704405641707048</v>
      </c>
      <c r="BW23">
        <v>13143.095258661871</v>
      </c>
      <c r="BX23">
        <v>32.443939236594524</v>
      </c>
      <c r="BY23">
        <v>9538.5181355587902</v>
      </c>
      <c r="BZ23">
        <v>10.473145736322991</v>
      </c>
      <c r="CA23">
        <v>3079.1048464789592</v>
      </c>
      <c r="CB23">
        <v>43</v>
      </c>
      <c r="CC23">
        <v>12642</v>
      </c>
      <c r="CD23">
        <v>45</v>
      </c>
      <c r="CE23">
        <v>13230</v>
      </c>
      <c r="CF23">
        <v>43</v>
      </c>
      <c r="CG23">
        <v>12642</v>
      </c>
      <c r="CH23">
        <v>33.046543554932597</v>
      </c>
      <c r="CI23">
        <v>9715.6838051501836</v>
      </c>
      <c r="CJ23">
        <v>3.1553311324918965</v>
      </c>
      <c r="CK23">
        <v>927.66735295261753</v>
      </c>
      <c r="CL23">
        <v>4.5118570182074977</v>
      </c>
      <c r="CM23">
        <v>1326.4859633530043</v>
      </c>
      <c r="CN23">
        <v>29</v>
      </c>
      <c r="CO23">
        <v>8526</v>
      </c>
      <c r="CP23">
        <v>27</v>
      </c>
      <c r="CQ23">
        <v>7938</v>
      </c>
      <c r="CR23">
        <v>37</v>
      </c>
      <c r="CS23">
        <v>10878</v>
      </c>
      <c r="CT23">
        <v>36</v>
      </c>
      <c r="CU23">
        <v>10584</v>
      </c>
    </row>
    <row r="24" spans="2:99" x14ac:dyDescent="0.2">
      <c r="C24" s="118" t="s">
        <v>190</v>
      </c>
      <c r="D24">
        <v>0</v>
      </c>
      <c r="E24">
        <v>0</v>
      </c>
      <c r="F24">
        <v>21.662541446270019</v>
      </c>
      <c r="G24">
        <v>7954.4852190703505</v>
      </c>
      <c r="H24">
        <v>23</v>
      </c>
      <c r="I24">
        <v>8445.6</v>
      </c>
      <c r="J24">
        <v>10.441299013304606</v>
      </c>
      <c r="K24">
        <v>3834.0449976854511</v>
      </c>
      <c r="L24">
        <v>27</v>
      </c>
      <c r="M24">
        <v>9914.4</v>
      </c>
      <c r="N24">
        <v>43</v>
      </c>
      <c r="O24">
        <v>15789.6</v>
      </c>
      <c r="P24">
        <v>33</v>
      </c>
      <c r="Q24">
        <v>12117.6</v>
      </c>
      <c r="R24">
        <v>29</v>
      </c>
      <c r="S24">
        <v>10648.8</v>
      </c>
      <c r="T24">
        <v>37</v>
      </c>
      <c r="U24">
        <v>13586.4</v>
      </c>
      <c r="V24">
        <v>37</v>
      </c>
      <c r="W24">
        <v>13586.4</v>
      </c>
      <c r="X24">
        <v>38</v>
      </c>
      <c r="Y24">
        <v>13953.6</v>
      </c>
      <c r="Z24">
        <v>42</v>
      </c>
      <c r="AA24">
        <v>15422.4</v>
      </c>
      <c r="AB24">
        <v>41</v>
      </c>
      <c r="AC24">
        <v>15055.199999999999</v>
      </c>
      <c r="AD24">
        <v>48</v>
      </c>
      <c r="AE24">
        <v>17625.599999999999</v>
      </c>
      <c r="AF24">
        <v>42</v>
      </c>
      <c r="AG24">
        <v>15422.4</v>
      </c>
      <c r="AH24">
        <v>31.791132144963544</v>
      </c>
      <c r="AI24">
        <v>11673.703723630613</v>
      </c>
      <c r="AJ24">
        <v>37</v>
      </c>
      <c r="AK24">
        <v>13586.4</v>
      </c>
      <c r="AL24">
        <v>24</v>
      </c>
      <c r="AM24">
        <v>8812.7999999999993</v>
      </c>
      <c r="AN24">
        <v>40</v>
      </c>
      <c r="AO24">
        <v>14688</v>
      </c>
      <c r="AP24">
        <v>40</v>
      </c>
      <c r="AQ24">
        <v>14688</v>
      </c>
      <c r="AR24">
        <v>37</v>
      </c>
      <c r="AS24">
        <v>13586.4</v>
      </c>
      <c r="AT24">
        <v>39</v>
      </c>
      <c r="AU24">
        <v>14320.8</v>
      </c>
      <c r="AV24">
        <v>32</v>
      </c>
      <c r="AW24">
        <v>11750.4</v>
      </c>
      <c r="AX24">
        <v>42</v>
      </c>
      <c r="AY24">
        <v>15422.4</v>
      </c>
      <c r="AZ24">
        <v>40</v>
      </c>
      <c r="BA24">
        <v>14688</v>
      </c>
      <c r="BB24">
        <v>37</v>
      </c>
      <c r="BC24">
        <v>13586.4</v>
      </c>
      <c r="BD24">
        <v>45</v>
      </c>
      <c r="BE24">
        <v>16524</v>
      </c>
      <c r="BF24">
        <v>43</v>
      </c>
      <c r="BG24">
        <v>15789.6</v>
      </c>
      <c r="BH24">
        <v>40</v>
      </c>
      <c r="BI24">
        <v>14688</v>
      </c>
      <c r="BJ24">
        <v>34</v>
      </c>
      <c r="BK24">
        <v>12484.8</v>
      </c>
      <c r="BL24">
        <v>30</v>
      </c>
      <c r="BM24">
        <v>11016</v>
      </c>
      <c r="BN24">
        <v>10.00029926163835</v>
      </c>
      <c r="BO24">
        <v>3672.1098888736019</v>
      </c>
      <c r="BP24">
        <v>33</v>
      </c>
      <c r="BQ24">
        <v>12117.6</v>
      </c>
      <c r="BR24">
        <v>32.653341753371357</v>
      </c>
      <c r="BS24">
        <v>11990.307091837962</v>
      </c>
      <c r="BT24">
        <v>30</v>
      </c>
      <c r="BU24">
        <v>11016</v>
      </c>
      <c r="BV24">
        <v>47.441410068750336</v>
      </c>
      <c r="BW24">
        <v>17420.485777245121</v>
      </c>
      <c r="BX24">
        <v>31.033333182829541</v>
      </c>
      <c r="BY24">
        <v>11395.439944735008</v>
      </c>
      <c r="BZ24">
        <v>10.473145736322991</v>
      </c>
      <c r="CA24">
        <v>3845.7391143778023</v>
      </c>
      <c r="CB24">
        <v>48</v>
      </c>
      <c r="CC24">
        <v>17625.599999999999</v>
      </c>
      <c r="CD24">
        <v>45</v>
      </c>
      <c r="CE24">
        <v>16524</v>
      </c>
      <c r="CF24">
        <v>43</v>
      </c>
      <c r="CG24">
        <v>15789.6</v>
      </c>
      <c r="CH24">
        <v>30.23407176302344</v>
      </c>
      <c r="CI24">
        <v>11101.951151382207</v>
      </c>
      <c r="CJ24">
        <v>3.4077576230912481</v>
      </c>
      <c r="CK24">
        <v>1251.3285991991063</v>
      </c>
      <c r="CL24">
        <v>4.7217108330078466</v>
      </c>
      <c r="CM24">
        <v>1733.8122178804813</v>
      </c>
      <c r="CN24">
        <v>26</v>
      </c>
      <c r="CO24">
        <v>9547.1999999999989</v>
      </c>
      <c r="CP24">
        <v>26</v>
      </c>
      <c r="CQ24">
        <v>9547.1999999999989</v>
      </c>
      <c r="CR24">
        <v>32</v>
      </c>
      <c r="CS24">
        <v>11750.4</v>
      </c>
      <c r="CT24">
        <v>38</v>
      </c>
      <c r="CU24">
        <v>13953.6</v>
      </c>
    </row>
    <row r="25" spans="2:99" x14ac:dyDescent="0.2">
      <c r="C25" s="118" t="s">
        <v>191</v>
      </c>
      <c r="D25">
        <v>0</v>
      </c>
      <c r="E25">
        <v>0</v>
      </c>
      <c r="F25">
        <v>23.467753233459188</v>
      </c>
      <c r="G25">
        <v>12447.296315026753</v>
      </c>
      <c r="H25">
        <v>23</v>
      </c>
      <c r="I25">
        <v>12199.199999999999</v>
      </c>
      <c r="J25">
        <v>10.124896012901434</v>
      </c>
      <c r="K25">
        <v>5370.2448452429207</v>
      </c>
      <c r="L25">
        <v>27</v>
      </c>
      <c r="M25">
        <v>14320.8</v>
      </c>
      <c r="N25">
        <v>43</v>
      </c>
      <c r="O25">
        <v>22807.200000000001</v>
      </c>
      <c r="P25">
        <v>34</v>
      </c>
      <c r="Q25">
        <v>18033.599999999999</v>
      </c>
      <c r="R25">
        <v>30</v>
      </c>
      <c r="S25">
        <v>15912</v>
      </c>
      <c r="T25">
        <v>35</v>
      </c>
      <c r="U25">
        <v>18564</v>
      </c>
      <c r="V25">
        <v>37</v>
      </c>
      <c r="W25">
        <v>19624.8</v>
      </c>
      <c r="X25">
        <v>42</v>
      </c>
      <c r="Y25">
        <v>22276.799999999999</v>
      </c>
      <c r="Z25">
        <v>38</v>
      </c>
      <c r="AA25">
        <v>20155.2</v>
      </c>
      <c r="AB25">
        <v>46</v>
      </c>
      <c r="AC25">
        <v>24398.399999999998</v>
      </c>
      <c r="AD25">
        <v>42</v>
      </c>
      <c r="AE25">
        <v>22276.799999999999</v>
      </c>
      <c r="AF25">
        <v>36</v>
      </c>
      <c r="AG25">
        <v>19094.399999999998</v>
      </c>
      <c r="AH25">
        <v>30.277268709489089</v>
      </c>
      <c r="AI25">
        <v>16059.063323513012</v>
      </c>
      <c r="AJ25">
        <v>33</v>
      </c>
      <c r="AK25">
        <v>17503.2</v>
      </c>
      <c r="AL25">
        <v>22</v>
      </c>
      <c r="AM25">
        <v>11668.8</v>
      </c>
      <c r="AN25">
        <v>36</v>
      </c>
      <c r="AO25">
        <v>19094.399999999998</v>
      </c>
      <c r="AP25">
        <v>36</v>
      </c>
      <c r="AQ25">
        <v>19094.399999999998</v>
      </c>
      <c r="AR25">
        <v>34</v>
      </c>
      <c r="AS25">
        <v>18033.599999999999</v>
      </c>
      <c r="AT25">
        <v>41</v>
      </c>
      <c r="AU25">
        <v>21746.399999999998</v>
      </c>
      <c r="AV25">
        <v>28</v>
      </c>
      <c r="AW25">
        <v>14851.199999999999</v>
      </c>
      <c r="AX25">
        <v>44</v>
      </c>
      <c r="AY25">
        <v>23337.599999999999</v>
      </c>
      <c r="AZ25">
        <v>40</v>
      </c>
      <c r="BA25">
        <v>21216</v>
      </c>
      <c r="BB25">
        <v>41</v>
      </c>
      <c r="BC25">
        <v>21746.399999999998</v>
      </c>
      <c r="BD25">
        <v>45</v>
      </c>
      <c r="BE25">
        <v>23868</v>
      </c>
      <c r="BF25">
        <v>42</v>
      </c>
      <c r="BG25">
        <v>22276.799999999999</v>
      </c>
      <c r="BH25">
        <v>43</v>
      </c>
      <c r="BI25">
        <v>22807.200000000001</v>
      </c>
      <c r="BJ25">
        <v>34</v>
      </c>
      <c r="BK25">
        <v>18033.599999999999</v>
      </c>
      <c r="BL25">
        <v>31</v>
      </c>
      <c r="BM25">
        <v>16442.399999999998</v>
      </c>
      <c r="BN25">
        <v>10.555871442840482</v>
      </c>
      <c r="BO25">
        <v>5598.8342132825919</v>
      </c>
      <c r="BP25">
        <v>32</v>
      </c>
      <c r="BQ25">
        <v>16972.8</v>
      </c>
      <c r="BR25">
        <v>27.497550950207458</v>
      </c>
      <c r="BS25">
        <v>14584.701023990036</v>
      </c>
      <c r="BT25">
        <v>31</v>
      </c>
      <c r="BU25">
        <v>16442.399999999998</v>
      </c>
      <c r="BV25">
        <v>46.529075259735905</v>
      </c>
      <c r="BW25">
        <v>24679.021517763922</v>
      </c>
      <c r="BX25">
        <v>31.73863620971203</v>
      </c>
      <c r="BY25">
        <v>16834.172645631261</v>
      </c>
      <c r="BZ25">
        <v>9.986022678819598</v>
      </c>
      <c r="CA25">
        <v>5296.5864288459143</v>
      </c>
      <c r="CB25">
        <v>41</v>
      </c>
      <c r="CC25">
        <v>21746.399999999998</v>
      </c>
      <c r="CD25">
        <v>41</v>
      </c>
      <c r="CE25">
        <v>21746.399999999998</v>
      </c>
      <c r="CF25">
        <v>41</v>
      </c>
      <c r="CG25">
        <v>21746.399999999998</v>
      </c>
      <c r="CH25">
        <v>34.452779450887178</v>
      </c>
      <c r="CI25">
        <v>18273.754220750558</v>
      </c>
      <c r="CJ25">
        <v>2.9029046418925448</v>
      </c>
      <c r="CK25">
        <v>1539.7006220598057</v>
      </c>
      <c r="CL25">
        <v>4.826637740408021</v>
      </c>
      <c r="CM25">
        <v>2560.0486575124141</v>
      </c>
      <c r="CN25">
        <v>25</v>
      </c>
      <c r="CO25">
        <v>13260</v>
      </c>
      <c r="CP25">
        <v>25</v>
      </c>
      <c r="CQ25">
        <v>13260</v>
      </c>
      <c r="CR25">
        <v>35</v>
      </c>
      <c r="CS25">
        <v>18564</v>
      </c>
      <c r="CT25">
        <v>37</v>
      </c>
      <c r="CU25">
        <v>19624.8</v>
      </c>
    </row>
    <row r="26" spans="2:99" x14ac:dyDescent="0.2">
      <c r="C26" s="118" t="s">
        <v>192</v>
      </c>
      <c r="D26">
        <v>0</v>
      </c>
      <c r="E26">
        <v>0</v>
      </c>
      <c r="F26">
        <v>25.272965020648357</v>
      </c>
      <c r="G26">
        <v>12282.661000035101</v>
      </c>
      <c r="H26">
        <v>24</v>
      </c>
      <c r="I26">
        <v>11664</v>
      </c>
      <c r="J26">
        <v>9.1756870116919256</v>
      </c>
      <c r="K26">
        <v>4459.3838876822756</v>
      </c>
      <c r="L26">
        <v>23</v>
      </c>
      <c r="M26">
        <v>11178</v>
      </c>
      <c r="N26">
        <v>36</v>
      </c>
      <c r="O26">
        <v>17496</v>
      </c>
      <c r="P26">
        <v>36</v>
      </c>
      <c r="Q26">
        <v>17496</v>
      </c>
      <c r="R26">
        <v>29</v>
      </c>
      <c r="S26">
        <v>14094</v>
      </c>
      <c r="T26">
        <v>33</v>
      </c>
      <c r="U26">
        <v>16038</v>
      </c>
      <c r="V26">
        <v>37</v>
      </c>
      <c r="W26">
        <v>17982</v>
      </c>
      <c r="X26">
        <v>42</v>
      </c>
      <c r="Y26">
        <v>20412</v>
      </c>
      <c r="Z26">
        <v>42</v>
      </c>
      <c r="AA26">
        <v>20412</v>
      </c>
      <c r="AB26">
        <v>42</v>
      </c>
      <c r="AC26">
        <v>20412</v>
      </c>
      <c r="AD26">
        <v>44</v>
      </c>
      <c r="AE26">
        <v>21384</v>
      </c>
      <c r="AF26">
        <v>35</v>
      </c>
      <c r="AG26">
        <v>17010</v>
      </c>
      <c r="AH26">
        <v>26.492610120802954</v>
      </c>
      <c r="AI26">
        <v>12875.408518710236</v>
      </c>
      <c r="AJ26">
        <v>37</v>
      </c>
      <c r="AK26">
        <v>17982</v>
      </c>
      <c r="AL26">
        <v>25</v>
      </c>
      <c r="AM26">
        <v>12150</v>
      </c>
      <c r="AN26">
        <v>34</v>
      </c>
      <c r="AO26">
        <v>16524</v>
      </c>
      <c r="AP26">
        <v>38</v>
      </c>
      <c r="AQ26">
        <v>18468</v>
      </c>
      <c r="AR26">
        <v>38</v>
      </c>
      <c r="AS26">
        <v>18468</v>
      </c>
      <c r="AT26">
        <v>35</v>
      </c>
      <c r="AU26">
        <v>17010</v>
      </c>
      <c r="AV26">
        <v>31</v>
      </c>
      <c r="AW26">
        <v>15066</v>
      </c>
      <c r="AX26">
        <v>42</v>
      </c>
      <c r="AY26">
        <v>20412</v>
      </c>
      <c r="AZ26">
        <v>36</v>
      </c>
      <c r="BA26">
        <v>17496</v>
      </c>
      <c r="BB26">
        <v>39</v>
      </c>
      <c r="BC26">
        <v>18954</v>
      </c>
      <c r="BD26">
        <v>50</v>
      </c>
      <c r="BE26">
        <v>24300</v>
      </c>
      <c r="BF26">
        <v>43</v>
      </c>
      <c r="BG26">
        <v>20898</v>
      </c>
      <c r="BH26">
        <v>38</v>
      </c>
      <c r="BI26">
        <v>18468</v>
      </c>
      <c r="BJ26">
        <v>34</v>
      </c>
      <c r="BK26">
        <v>16524</v>
      </c>
      <c r="BL26">
        <v>30</v>
      </c>
      <c r="BM26">
        <v>14580</v>
      </c>
      <c r="BN26">
        <v>10.00029926163835</v>
      </c>
      <c r="BO26">
        <v>4860.1454411562381</v>
      </c>
      <c r="BP26">
        <v>39</v>
      </c>
      <c r="BQ26">
        <v>18954</v>
      </c>
      <c r="BR26">
        <v>28.356849417401442</v>
      </c>
      <c r="BS26">
        <v>13781.4288168571</v>
      </c>
      <c r="BT26">
        <v>27</v>
      </c>
      <c r="BU26">
        <v>13122</v>
      </c>
      <c r="BV26">
        <v>47.441410068750336</v>
      </c>
      <c r="BW26">
        <v>23056.525293412662</v>
      </c>
      <c r="BX26">
        <v>33.854545290359496</v>
      </c>
      <c r="BY26">
        <v>16453.309011114714</v>
      </c>
      <c r="BZ26">
        <v>10.716707265074689</v>
      </c>
      <c r="CA26">
        <v>5208.3197308262988</v>
      </c>
      <c r="CB26">
        <v>42</v>
      </c>
      <c r="CC26">
        <v>20412</v>
      </c>
      <c r="CD26">
        <v>44</v>
      </c>
      <c r="CE26">
        <v>21384</v>
      </c>
      <c r="CF26">
        <v>44</v>
      </c>
      <c r="CG26">
        <v>21384</v>
      </c>
      <c r="CH26">
        <v>32.343425606955307</v>
      </c>
      <c r="CI26">
        <v>15718.904844980279</v>
      </c>
      <c r="CJ26">
        <v>3.4077576230912481</v>
      </c>
      <c r="CK26">
        <v>1656.1702048223465</v>
      </c>
      <c r="CL26">
        <v>4.1970762960069745</v>
      </c>
      <c r="CM26">
        <v>2039.7790798593896</v>
      </c>
      <c r="CN26">
        <v>29</v>
      </c>
      <c r="CO26">
        <v>14094</v>
      </c>
      <c r="CP26">
        <v>24</v>
      </c>
      <c r="CQ26">
        <v>11664</v>
      </c>
      <c r="CR26">
        <v>36</v>
      </c>
      <c r="CS26">
        <v>17496</v>
      </c>
      <c r="CT26">
        <v>33</v>
      </c>
      <c r="CU26">
        <v>16038</v>
      </c>
    </row>
    <row r="27" spans="2:99" x14ac:dyDescent="0.2">
      <c r="C27" s="118" t="s">
        <v>193</v>
      </c>
      <c r="D27">
        <v>0</v>
      </c>
      <c r="E27">
        <v>0</v>
      </c>
      <c r="F27">
        <v>22.26427870866641</v>
      </c>
      <c r="G27">
        <v>9511.2998643422907</v>
      </c>
      <c r="H27">
        <v>23</v>
      </c>
      <c r="I27">
        <v>9825.6</v>
      </c>
      <c r="J27">
        <v>11.074105014110945</v>
      </c>
      <c r="K27">
        <v>4730.8576620281956</v>
      </c>
      <c r="L27">
        <v>23</v>
      </c>
      <c r="M27">
        <v>9825.6</v>
      </c>
      <c r="N27">
        <v>42</v>
      </c>
      <c r="O27">
        <v>17942.399999999998</v>
      </c>
      <c r="P27">
        <v>35</v>
      </c>
      <c r="Q27">
        <v>14952</v>
      </c>
      <c r="R27">
        <v>32</v>
      </c>
      <c r="S27">
        <v>13670.4</v>
      </c>
      <c r="T27">
        <v>36</v>
      </c>
      <c r="U27">
        <v>15379.199999999999</v>
      </c>
      <c r="V27">
        <v>37</v>
      </c>
      <c r="W27">
        <v>15806.4</v>
      </c>
      <c r="X27">
        <v>46</v>
      </c>
      <c r="Y27">
        <v>19651.2</v>
      </c>
      <c r="Z27">
        <v>44</v>
      </c>
      <c r="AA27">
        <v>18796.8</v>
      </c>
      <c r="AB27">
        <v>44</v>
      </c>
      <c r="AC27">
        <v>18796.8</v>
      </c>
      <c r="AD27">
        <v>44</v>
      </c>
      <c r="AE27">
        <v>18796.8</v>
      </c>
      <c r="AF27">
        <v>36</v>
      </c>
      <c r="AG27">
        <v>15379.199999999999</v>
      </c>
      <c r="AH27">
        <v>28.763405274014634</v>
      </c>
      <c r="AI27">
        <v>12287.726733059051</v>
      </c>
      <c r="AJ27">
        <v>38</v>
      </c>
      <c r="AK27">
        <v>16233.6</v>
      </c>
      <c r="AL27">
        <v>26</v>
      </c>
      <c r="AM27">
        <v>11107.199999999999</v>
      </c>
      <c r="AN27">
        <v>41</v>
      </c>
      <c r="AO27">
        <v>17515.2</v>
      </c>
      <c r="AP27">
        <v>39</v>
      </c>
      <c r="AQ27">
        <v>16660.8</v>
      </c>
      <c r="AR27">
        <v>36</v>
      </c>
      <c r="AS27">
        <v>15379.199999999999</v>
      </c>
      <c r="AT27">
        <v>35</v>
      </c>
      <c r="AU27">
        <v>14952</v>
      </c>
      <c r="AV27">
        <v>29</v>
      </c>
      <c r="AW27">
        <v>12388.8</v>
      </c>
      <c r="AX27">
        <v>42</v>
      </c>
      <c r="AY27">
        <v>17942.399999999998</v>
      </c>
      <c r="AZ27">
        <v>36</v>
      </c>
      <c r="BA27">
        <v>15379.199999999999</v>
      </c>
      <c r="BB27">
        <v>41</v>
      </c>
      <c r="BC27">
        <v>17515.2</v>
      </c>
      <c r="BD27">
        <v>42</v>
      </c>
      <c r="BE27">
        <v>17942.399999999998</v>
      </c>
      <c r="BF27">
        <v>43</v>
      </c>
      <c r="BG27">
        <v>18369.599999999999</v>
      </c>
      <c r="BH27">
        <v>44</v>
      </c>
      <c r="BI27">
        <v>18796.8</v>
      </c>
      <c r="BJ27">
        <v>33</v>
      </c>
      <c r="BK27">
        <v>14097.6</v>
      </c>
      <c r="BL27">
        <v>30</v>
      </c>
      <c r="BM27">
        <v>12816</v>
      </c>
      <c r="BN27">
        <v>11.111443624042613</v>
      </c>
      <c r="BO27">
        <v>4746.8087161910044</v>
      </c>
      <c r="BP27">
        <v>38</v>
      </c>
      <c r="BQ27">
        <v>16233.6</v>
      </c>
      <c r="BR27">
        <v>31.794043286177374</v>
      </c>
      <c r="BS27">
        <v>13582.415291854973</v>
      </c>
      <c r="BT27">
        <v>31</v>
      </c>
      <c r="BU27">
        <v>13243.199999999999</v>
      </c>
      <c r="BV27">
        <v>41.967401214663759</v>
      </c>
      <c r="BW27">
        <v>17928.473798904357</v>
      </c>
      <c r="BX27">
        <v>33.854545290359496</v>
      </c>
      <c r="BY27">
        <v>14462.661748041577</v>
      </c>
      <c r="BZ27">
        <v>10.229584207571294</v>
      </c>
      <c r="CA27">
        <v>4370.0783734744573</v>
      </c>
      <c r="CB27">
        <v>44</v>
      </c>
      <c r="CC27">
        <v>18796.8</v>
      </c>
      <c r="CD27">
        <v>44</v>
      </c>
      <c r="CE27">
        <v>18796.8</v>
      </c>
      <c r="CF27">
        <v>46</v>
      </c>
      <c r="CG27">
        <v>19651.2</v>
      </c>
      <c r="CH27">
        <v>35.155897398864461</v>
      </c>
      <c r="CI27">
        <v>15018.599368794898</v>
      </c>
      <c r="CJ27">
        <v>3.0291178871922209</v>
      </c>
      <c r="CK27">
        <v>1294.0391614085167</v>
      </c>
      <c r="CL27">
        <v>4.1970762960069745</v>
      </c>
      <c r="CM27">
        <v>1792.9909936541794</v>
      </c>
      <c r="CN27">
        <v>27</v>
      </c>
      <c r="CO27">
        <v>11534.4</v>
      </c>
      <c r="CP27">
        <v>26</v>
      </c>
      <c r="CQ27">
        <v>11107.199999999999</v>
      </c>
      <c r="CR27">
        <v>34</v>
      </c>
      <c r="CS27">
        <v>14524.8</v>
      </c>
      <c r="CT27">
        <v>36</v>
      </c>
      <c r="CU27">
        <v>15379.199999999999</v>
      </c>
    </row>
    <row r="28" spans="2:99" x14ac:dyDescent="0.2">
      <c r="C28" s="118" t="s">
        <v>194</v>
      </c>
      <c r="D28">
        <v>0</v>
      </c>
      <c r="E28">
        <v>0</v>
      </c>
      <c r="F28">
        <v>23.467753233459188</v>
      </c>
      <c r="G28">
        <v>17319.201886292882</v>
      </c>
      <c r="H28">
        <v>25</v>
      </c>
      <c r="I28">
        <v>18450</v>
      </c>
      <c r="J28">
        <v>9.1756870116919256</v>
      </c>
      <c r="K28">
        <v>6771.6570146286413</v>
      </c>
      <c r="L28">
        <v>22</v>
      </c>
      <c r="M28">
        <v>16236</v>
      </c>
      <c r="N28">
        <v>40</v>
      </c>
      <c r="O28">
        <v>29520</v>
      </c>
      <c r="P28">
        <v>33</v>
      </c>
      <c r="Q28">
        <v>24354</v>
      </c>
      <c r="R28">
        <v>31</v>
      </c>
      <c r="S28">
        <v>22878</v>
      </c>
      <c r="T28">
        <v>32</v>
      </c>
      <c r="U28">
        <v>23616</v>
      </c>
      <c r="V28">
        <v>37</v>
      </c>
      <c r="W28">
        <v>27306</v>
      </c>
      <c r="X28">
        <v>43</v>
      </c>
      <c r="Y28">
        <v>31734</v>
      </c>
      <c r="Z28">
        <v>44</v>
      </c>
      <c r="AA28">
        <v>32472</v>
      </c>
      <c r="AB28">
        <v>48</v>
      </c>
      <c r="AC28">
        <v>35424</v>
      </c>
      <c r="AD28">
        <v>47</v>
      </c>
      <c r="AE28">
        <v>34686</v>
      </c>
      <c r="AF28">
        <v>41</v>
      </c>
      <c r="AG28">
        <v>30258</v>
      </c>
      <c r="AH28">
        <v>30.277268709489089</v>
      </c>
      <c r="AI28">
        <v>22344.62430760295</v>
      </c>
      <c r="AJ28">
        <v>33</v>
      </c>
      <c r="AK28">
        <v>24354</v>
      </c>
      <c r="AL28">
        <v>24</v>
      </c>
      <c r="AM28">
        <v>17712</v>
      </c>
      <c r="AN28">
        <v>37</v>
      </c>
      <c r="AO28">
        <v>27306</v>
      </c>
      <c r="AP28">
        <v>40</v>
      </c>
      <c r="AQ28">
        <v>29520</v>
      </c>
      <c r="AR28">
        <v>38</v>
      </c>
      <c r="AS28">
        <v>28044</v>
      </c>
      <c r="AT28">
        <v>39</v>
      </c>
      <c r="AU28">
        <v>28782</v>
      </c>
      <c r="AV28">
        <v>28</v>
      </c>
      <c r="AW28">
        <v>20664</v>
      </c>
      <c r="AX28">
        <v>40</v>
      </c>
      <c r="AY28">
        <v>29520</v>
      </c>
      <c r="AZ28">
        <v>39</v>
      </c>
      <c r="BA28">
        <v>28782</v>
      </c>
      <c r="BB28">
        <v>40</v>
      </c>
      <c r="BC28">
        <v>29520</v>
      </c>
      <c r="BD28">
        <v>41</v>
      </c>
      <c r="BE28">
        <v>30258</v>
      </c>
      <c r="BF28">
        <v>40</v>
      </c>
      <c r="BG28">
        <v>29520</v>
      </c>
      <c r="BH28">
        <v>37</v>
      </c>
      <c r="BI28">
        <v>27306</v>
      </c>
      <c r="BJ28">
        <v>35</v>
      </c>
      <c r="BK28">
        <v>25830</v>
      </c>
      <c r="BL28">
        <v>30</v>
      </c>
      <c r="BM28">
        <v>22140</v>
      </c>
      <c r="BN28">
        <v>10.833657533441547</v>
      </c>
      <c r="BO28">
        <v>7995.2392596798618</v>
      </c>
      <c r="BP28">
        <v>34</v>
      </c>
      <c r="BQ28">
        <v>25092</v>
      </c>
      <c r="BR28">
        <v>30.93474481898339</v>
      </c>
      <c r="BS28">
        <v>22829.841676409742</v>
      </c>
      <c r="BT28">
        <v>27</v>
      </c>
      <c r="BU28">
        <v>19926</v>
      </c>
      <c r="BV28">
        <v>39.230396787620471</v>
      </c>
      <c r="BW28">
        <v>28952.032829263906</v>
      </c>
      <c r="BX28">
        <v>30.328030155947054</v>
      </c>
      <c r="BY28">
        <v>22382.086255088925</v>
      </c>
      <c r="BZ28">
        <v>10.229584207571294</v>
      </c>
      <c r="CA28">
        <v>7549.4331451876151</v>
      </c>
      <c r="CB28">
        <v>45</v>
      </c>
      <c r="CC28">
        <v>33210</v>
      </c>
      <c r="CD28">
        <v>41</v>
      </c>
      <c r="CE28">
        <v>30258</v>
      </c>
      <c r="CF28">
        <v>47</v>
      </c>
      <c r="CG28">
        <v>34686</v>
      </c>
      <c r="CH28">
        <v>30.23407176302344</v>
      </c>
      <c r="CI28">
        <v>22312.744961111297</v>
      </c>
      <c r="CJ28">
        <v>3.1553311324918965</v>
      </c>
      <c r="CK28">
        <v>2328.6343757790196</v>
      </c>
      <c r="CL28">
        <v>4.4069301108073233</v>
      </c>
      <c r="CM28">
        <v>3252.3144217758045</v>
      </c>
      <c r="CN28">
        <v>24</v>
      </c>
      <c r="CO28">
        <v>17712</v>
      </c>
      <c r="CP28">
        <v>23</v>
      </c>
      <c r="CQ28">
        <v>16974</v>
      </c>
      <c r="CR28">
        <v>36</v>
      </c>
      <c r="CS28">
        <v>26568</v>
      </c>
      <c r="CT28">
        <v>30</v>
      </c>
      <c r="CU28">
        <v>22140</v>
      </c>
    </row>
    <row r="29" spans="2:99" x14ac:dyDescent="0.2">
      <c r="C29" s="118" t="s">
        <v>195</v>
      </c>
      <c r="D29">
        <v>0</v>
      </c>
      <c r="E29">
        <v>0</v>
      </c>
      <c r="F29">
        <v>24.671227758251966</v>
      </c>
      <c r="G29">
        <v>8348.7434733924656</v>
      </c>
      <c r="H29">
        <v>26</v>
      </c>
      <c r="I29">
        <v>8798.4</v>
      </c>
      <c r="J29">
        <v>10.441299013304606</v>
      </c>
      <c r="K29">
        <v>3533.3355861022783</v>
      </c>
      <c r="L29">
        <v>24</v>
      </c>
      <c r="M29">
        <v>8121.5999999999995</v>
      </c>
      <c r="N29">
        <v>43</v>
      </c>
      <c r="O29">
        <v>14551.199999999999</v>
      </c>
      <c r="P29">
        <v>38</v>
      </c>
      <c r="Q29">
        <v>12859.199999999999</v>
      </c>
      <c r="R29">
        <v>34</v>
      </c>
      <c r="S29">
        <v>11505.599999999999</v>
      </c>
      <c r="T29">
        <v>40</v>
      </c>
      <c r="U29">
        <v>13536</v>
      </c>
      <c r="V29">
        <v>33</v>
      </c>
      <c r="W29">
        <v>11167.199999999999</v>
      </c>
      <c r="X29">
        <v>43</v>
      </c>
      <c r="Y29">
        <v>14551.199999999999</v>
      </c>
      <c r="Z29">
        <v>43</v>
      </c>
      <c r="AA29">
        <v>14551.199999999999</v>
      </c>
      <c r="AB29">
        <v>45</v>
      </c>
      <c r="AC29">
        <v>15227.999999999998</v>
      </c>
      <c r="AD29">
        <v>45</v>
      </c>
      <c r="AE29">
        <v>15227.999999999998</v>
      </c>
      <c r="AF29">
        <v>37</v>
      </c>
      <c r="AG29">
        <v>12520.8</v>
      </c>
      <c r="AH29">
        <v>26.492610120802954</v>
      </c>
      <c r="AI29">
        <v>8965.0992648797182</v>
      </c>
      <c r="AJ29">
        <v>39</v>
      </c>
      <c r="AK29">
        <v>13197.599999999999</v>
      </c>
      <c r="AL29">
        <v>26</v>
      </c>
      <c r="AM29">
        <v>8798.4</v>
      </c>
      <c r="AN29">
        <v>41</v>
      </c>
      <c r="AO29">
        <v>13874.4</v>
      </c>
      <c r="AP29">
        <v>39</v>
      </c>
      <c r="AQ29">
        <v>13197.599999999999</v>
      </c>
      <c r="AR29">
        <v>36</v>
      </c>
      <c r="AS29">
        <v>12182.4</v>
      </c>
      <c r="AT29">
        <v>36</v>
      </c>
      <c r="AU29">
        <v>12182.4</v>
      </c>
      <c r="AV29">
        <v>29</v>
      </c>
      <c r="AW29">
        <v>9813.5999999999985</v>
      </c>
      <c r="AX29">
        <v>42</v>
      </c>
      <c r="AY29">
        <v>14212.8</v>
      </c>
      <c r="AZ29">
        <v>42</v>
      </c>
      <c r="BA29">
        <v>14212.8</v>
      </c>
      <c r="BB29">
        <v>40</v>
      </c>
      <c r="BC29">
        <v>13536</v>
      </c>
      <c r="BD29">
        <v>46</v>
      </c>
      <c r="BE29">
        <v>15566.4</v>
      </c>
      <c r="BF29">
        <v>43</v>
      </c>
      <c r="BG29">
        <v>14551.199999999999</v>
      </c>
      <c r="BH29">
        <v>40</v>
      </c>
      <c r="BI29">
        <v>13536</v>
      </c>
      <c r="BJ29">
        <v>37</v>
      </c>
      <c r="BK29">
        <v>12520.8</v>
      </c>
      <c r="BL29">
        <v>29</v>
      </c>
      <c r="BM29">
        <v>9813.5999999999985</v>
      </c>
      <c r="BN29">
        <v>10.00029926163835</v>
      </c>
      <c r="BO29">
        <v>3384.1012701384175</v>
      </c>
      <c r="BP29">
        <v>38</v>
      </c>
      <c r="BQ29">
        <v>12859.199999999999</v>
      </c>
      <c r="BR29">
        <v>29.216147884595426</v>
      </c>
      <c r="BS29">
        <v>9886.7444441470907</v>
      </c>
      <c r="BT29">
        <v>30</v>
      </c>
      <c r="BU29">
        <v>10152</v>
      </c>
      <c r="BV29">
        <v>42.879736023678191</v>
      </c>
      <c r="BW29">
        <v>14510.502670412699</v>
      </c>
      <c r="BX29">
        <v>32.443939236594524</v>
      </c>
      <c r="BY29">
        <v>10979.029037663586</v>
      </c>
      <c r="BZ29">
        <v>11.447391851329781</v>
      </c>
      <c r="CA29">
        <v>3873.7974024899977</v>
      </c>
      <c r="CB29">
        <v>46</v>
      </c>
      <c r="CC29">
        <v>15566.4</v>
      </c>
      <c r="CD29">
        <v>39</v>
      </c>
      <c r="CE29">
        <v>13197.599999999999</v>
      </c>
      <c r="CF29">
        <v>43</v>
      </c>
      <c r="CG29">
        <v>14551.199999999999</v>
      </c>
      <c r="CH29">
        <v>30.93718971100073</v>
      </c>
      <c r="CI29">
        <v>10469.144998202646</v>
      </c>
      <c r="CJ29">
        <v>3.2815443777915725</v>
      </c>
      <c r="CK29">
        <v>1110.474617444668</v>
      </c>
      <c r="CL29">
        <v>4.6167839256076721</v>
      </c>
      <c r="CM29">
        <v>1562.3196804256361</v>
      </c>
      <c r="CN29">
        <v>26</v>
      </c>
      <c r="CO29">
        <v>8798.4</v>
      </c>
      <c r="CP29">
        <v>25</v>
      </c>
      <c r="CQ29">
        <v>8460</v>
      </c>
      <c r="CR29">
        <v>35</v>
      </c>
      <c r="CS29">
        <v>11844</v>
      </c>
      <c r="CT29">
        <v>35</v>
      </c>
      <c r="CU29">
        <v>11844</v>
      </c>
    </row>
    <row r="30" spans="2:99" x14ac:dyDescent="0.2">
      <c r="C30" s="118" t="s">
        <v>196</v>
      </c>
      <c r="D30">
        <v>0</v>
      </c>
      <c r="E30">
        <v>0</v>
      </c>
      <c r="F30">
        <v>25.272965020648357</v>
      </c>
      <c r="G30">
        <v>3517.9967308742512</v>
      </c>
      <c r="H30">
        <v>26</v>
      </c>
      <c r="I30">
        <v>3619.2</v>
      </c>
      <c r="J30">
        <v>10.441299013304606</v>
      </c>
      <c r="K30">
        <v>1453.4288226520011</v>
      </c>
      <c r="L30">
        <v>24</v>
      </c>
      <c r="M30">
        <v>3340.7999999999997</v>
      </c>
      <c r="N30">
        <v>44</v>
      </c>
      <c r="O30">
        <v>6124.7999999999993</v>
      </c>
      <c r="P30">
        <v>34</v>
      </c>
      <c r="Q30">
        <v>4732.7999999999993</v>
      </c>
      <c r="R30">
        <v>33</v>
      </c>
      <c r="S30">
        <v>4593.5999999999995</v>
      </c>
      <c r="T30">
        <v>39</v>
      </c>
      <c r="U30">
        <v>5428.7999999999993</v>
      </c>
      <c r="V30">
        <v>35</v>
      </c>
      <c r="W30">
        <v>4872</v>
      </c>
      <c r="X30">
        <v>47</v>
      </c>
      <c r="Y30">
        <v>6542.4</v>
      </c>
      <c r="Z30">
        <v>45</v>
      </c>
      <c r="AA30">
        <v>6263.9999999999991</v>
      </c>
      <c r="AB30">
        <v>45</v>
      </c>
      <c r="AC30">
        <v>6263.9999999999991</v>
      </c>
      <c r="AD30">
        <v>44</v>
      </c>
      <c r="AE30">
        <v>6124.7999999999993</v>
      </c>
      <c r="AF30">
        <v>37</v>
      </c>
      <c r="AG30">
        <v>5150.3999999999996</v>
      </c>
      <c r="AH30">
        <v>31.791132144963544</v>
      </c>
      <c r="AI30">
        <v>4425.3255945789251</v>
      </c>
      <c r="AJ30">
        <v>40</v>
      </c>
      <c r="AK30">
        <v>5568</v>
      </c>
      <c r="AL30">
        <v>25</v>
      </c>
      <c r="AM30">
        <v>3479.9999999999995</v>
      </c>
      <c r="AN30">
        <v>39</v>
      </c>
      <c r="AO30">
        <v>5428.7999999999993</v>
      </c>
      <c r="AP30">
        <v>42</v>
      </c>
      <c r="AQ30">
        <v>5846.4</v>
      </c>
      <c r="AR30">
        <v>35</v>
      </c>
      <c r="AS30">
        <v>4872</v>
      </c>
      <c r="AT30">
        <v>41</v>
      </c>
      <c r="AU30">
        <v>5707.2</v>
      </c>
      <c r="AV30">
        <v>30</v>
      </c>
      <c r="AW30">
        <v>4176</v>
      </c>
      <c r="AX30">
        <v>43</v>
      </c>
      <c r="AY30">
        <v>5985.5999999999995</v>
      </c>
      <c r="AZ30">
        <v>41</v>
      </c>
      <c r="BA30">
        <v>5707.2</v>
      </c>
      <c r="BB30">
        <v>44</v>
      </c>
      <c r="BC30">
        <v>6124.7999999999993</v>
      </c>
      <c r="BD30">
        <v>50</v>
      </c>
      <c r="BE30">
        <v>6959.9999999999991</v>
      </c>
      <c r="BF30">
        <v>43</v>
      </c>
      <c r="BG30">
        <v>5985.5999999999995</v>
      </c>
      <c r="BH30">
        <v>39</v>
      </c>
      <c r="BI30">
        <v>5428.7999999999993</v>
      </c>
      <c r="BJ30">
        <v>36</v>
      </c>
      <c r="BK30">
        <v>5011.2</v>
      </c>
      <c r="BL30">
        <v>28</v>
      </c>
      <c r="BM30">
        <v>3897.5999999999995</v>
      </c>
      <c r="BN30">
        <v>11.389229714643678</v>
      </c>
      <c r="BO30">
        <v>1585.3807762783999</v>
      </c>
      <c r="BP30">
        <v>33</v>
      </c>
      <c r="BQ30">
        <v>4593.5999999999995</v>
      </c>
      <c r="BR30">
        <v>33.512640220565345</v>
      </c>
      <c r="BS30">
        <v>4664.9595187026953</v>
      </c>
      <c r="BT30">
        <v>30</v>
      </c>
      <c r="BU30">
        <v>4176</v>
      </c>
      <c r="BV30">
        <v>44.704405641707048</v>
      </c>
      <c r="BW30">
        <v>6222.8532653256207</v>
      </c>
      <c r="BX30">
        <v>37.381060424771945</v>
      </c>
      <c r="BY30">
        <v>5203.4436111282548</v>
      </c>
      <c r="BZ30">
        <v>12.421637966336572</v>
      </c>
      <c r="CA30">
        <v>1729.0920049140507</v>
      </c>
      <c r="CB30">
        <v>48</v>
      </c>
      <c r="CC30">
        <v>6681.5999999999995</v>
      </c>
      <c r="CD30">
        <v>44</v>
      </c>
      <c r="CE30">
        <v>6124.7999999999993</v>
      </c>
      <c r="CF30">
        <v>48</v>
      </c>
      <c r="CG30">
        <v>6681.5999999999995</v>
      </c>
      <c r="CH30">
        <v>33.046543554932597</v>
      </c>
      <c r="CI30">
        <v>4600.0788628466171</v>
      </c>
      <c r="CJ30">
        <v>3.1553311324918965</v>
      </c>
      <c r="CK30">
        <v>439.22209364287193</v>
      </c>
      <c r="CL30">
        <v>4.1970762960069745</v>
      </c>
      <c r="CM30">
        <v>584.23302040417082</v>
      </c>
      <c r="CN30">
        <v>25</v>
      </c>
      <c r="CO30">
        <v>3479.9999999999995</v>
      </c>
      <c r="CP30">
        <v>28</v>
      </c>
      <c r="CQ30">
        <v>3897.5999999999995</v>
      </c>
      <c r="CR30">
        <v>32</v>
      </c>
      <c r="CS30">
        <v>4454.3999999999996</v>
      </c>
      <c r="CT30">
        <v>34</v>
      </c>
      <c r="CU30">
        <v>4732.7999999999993</v>
      </c>
    </row>
    <row r="31" spans="2:99" x14ac:dyDescent="0.2">
      <c r="C31" s="118" t="s">
        <v>197</v>
      </c>
      <c r="D31">
        <v>0</v>
      </c>
      <c r="E31">
        <v>0</v>
      </c>
      <c r="F31">
        <v>24.671227758251966</v>
      </c>
      <c r="G31">
        <v>8407.9544200122709</v>
      </c>
      <c r="H31">
        <v>25</v>
      </c>
      <c r="I31">
        <v>8520</v>
      </c>
      <c r="J31">
        <v>10.124896012901434</v>
      </c>
      <c r="K31">
        <v>3450.5645611968089</v>
      </c>
      <c r="L31">
        <v>26</v>
      </c>
      <c r="M31">
        <v>8860.8000000000011</v>
      </c>
      <c r="N31">
        <v>37</v>
      </c>
      <c r="O31">
        <v>12609.6</v>
      </c>
      <c r="P31">
        <v>37</v>
      </c>
      <c r="Q31">
        <v>12609.6</v>
      </c>
      <c r="R31">
        <v>32</v>
      </c>
      <c r="S31">
        <v>10905.6</v>
      </c>
      <c r="T31">
        <v>33</v>
      </c>
      <c r="U31">
        <v>11246.4</v>
      </c>
      <c r="V31">
        <v>32</v>
      </c>
      <c r="W31">
        <v>10905.6</v>
      </c>
      <c r="X31">
        <v>43</v>
      </c>
      <c r="Y31">
        <v>14654.4</v>
      </c>
      <c r="Z31">
        <v>41</v>
      </c>
      <c r="AA31">
        <v>13972.800000000001</v>
      </c>
      <c r="AB31">
        <v>45</v>
      </c>
      <c r="AC31">
        <v>15336</v>
      </c>
      <c r="AD31">
        <v>47</v>
      </c>
      <c r="AE31">
        <v>16017.6</v>
      </c>
      <c r="AF31">
        <v>35</v>
      </c>
      <c r="AG31">
        <v>11928</v>
      </c>
      <c r="AH31">
        <v>26.492610120802954</v>
      </c>
      <c r="AI31">
        <v>9028.6815291696475</v>
      </c>
      <c r="AJ31">
        <v>39</v>
      </c>
      <c r="AK31">
        <v>13291.2</v>
      </c>
      <c r="AL31">
        <v>25</v>
      </c>
      <c r="AM31">
        <v>8520</v>
      </c>
      <c r="AN31">
        <v>36</v>
      </c>
      <c r="AO31">
        <v>12268.800000000001</v>
      </c>
      <c r="AP31">
        <v>40</v>
      </c>
      <c r="AQ31">
        <v>13632</v>
      </c>
      <c r="AR31">
        <v>40</v>
      </c>
      <c r="AS31">
        <v>13632</v>
      </c>
      <c r="AT31">
        <v>39</v>
      </c>
      <c r="AU31">
        <v>13291.2</v>
      </c>
      <c r="AV31">
        <v>31</v>
      </c>
      <c r="AW31">
        <v>10564.800000000001</v>
      </c>
      <c r="AX31">
        <v>40</v>
      </c>
      <c r="AY31">
        <v>13632</v>
      </c>
      <c r="AZ31">
        <v>38</v>
      </c>
      <c r="BA31">
        <v>12950.4</v>
      </c>
      <c r="BB31">
        <v>38</v>
      </c>
      <c r="BC31">
        <v>12950.4</v>
      </c>
      <c r="BD31">
        <v>51</v>
      </c>
      <c r="BE31">
        <v>17380.8</v>
      </c>
      <c r="BF31">
        <v>45</v>
      </c>
      <c r="BG31">
        <v>15336</v>
      </c>
      <c r="BH31">
        <v>38</v>
      </c>
      <c r="BI31">
        <v>12950.4</v>
      </c>
      <c r="BJ31">
        <v>39</v>
      </c>
      <c r="BK31">
        <v>13291.2</v>
      </c>
      <c r="BL31">
        <v>29</v>
      </c>
      <c r="BM31">
        <v>9883.2000000000007</v>
      </c>
      <c r="BN31">
        <v>9.4447270804362198</v>
      </c>
      <c r="BO31">
        <v>3218.7629890126636</v>
      </c>
      <c r="BP31">
        <v>33</v>
      </c>
      <c r="BQ31">
        <v>11246.4</v>
      </c>
      <c r="BR31">
        <v>30.075446351789406</v>
      </c>
      <c r="BS31">
        <v>10249.712116689831</v>
      </c>
      <c r="BT31">
        <v>32</v>
      </c>
      <c r="BU31">
        <v>10905.6</v>
      </c>
      <c r="BV31">
        <v>45.61674045072148</v>
      </c>
      <c r="BW31">
        <v>15546.185145605881</v>
      </c>
      <c r="BX31">
        <v>31.73863620971203</v>
      </c>
      <c r="BY31">
        <v>10816.52722026986</v>
      </c>
      <c r="BZ31">
        <v>10.960268793826387</v>
      </c>
      <c r="CA31">
        <v>3735.2596049360327</v>
      </c>
      <c r="CB31">
        <v>41</v>
      </c>
      <c r="CC31">
        <v>13972.800000000001</v>
      </c>
      <c r="CD31">
        <v>39</v>
      </c>
      <c r="CE31">
        <v>13291.2</v>
      </c>
      <c r="CF31">
        <v>47</v>
      </c>
      <c r="CG31">
        <v>16017.6</v>
      </c>
      <c r="CH31">
        <v>29.530953815046153</v>
      </c>
      <c r="CI31">
        <v>10064.149060167729</v>
      </c>
      <c r="CJ31">
        <v>3.2815443777915725</v>
      </c>
      <c r="CK31">
        <v>1118.350323951368</v>
      </c>
      <c r="CL31">
        <v>4.6167839256076721</v>
      </c>
      <c r="CM31">
        <v>1573.3999618470948</v>
      </c>
      <c r="CN31">
        <v>26</v>
      </c>
      <c r="CO31">
        <v>8860.8000000000011</v>
      </c>
      <c r="CP31">
        <v>28</v>
      </c>
      <c r="CQ31">
        <v>9542.4</v>
      </c>
      <c r="CR31">
        <v>32</v>
      </c>
      <c r="CS31">
        <v>10905.6</v>
      </c>
      <c r="CT31">
        <v>33</v>
      </c>
      <c r="CU31">
        <v>11246.4</v>
      </c>
    </row>
    <row r="32" spans="2:99" x14ac:dyDescent="0.2">
      <c r="C32" s="118" t="s">
        <v>198</v>
      </c>
      <c r="D32">
        <v>0</v>
      </c>
      <c r="E32">
        <v>0</v>
      </c>
      <c r="F32">
        <v>22.866015971062797</v>
      </c>
      <c r="G32">
        <v>19207.453415692751</v>
      </c>
      <c r="H32">
        <v>22</v>
      </c>
      <c r="I32">
        <v>18480</v>
      </c>
      <c r="J32">
        <v>8.8592840112887554</v>
      </c>
      <c r="K32">
        <v>7441.7985694825547</v>
      </c>
      <c r="L32">
        <v>22</v>
      </c>
      <c r="M32">
        <v>18480</v>
      </c>
      <c r="N32">
        <v>41</v>
      </c>
      <c r="O32">
        <v>34440</v>
      </c>
      <c r="P32">
        <v>31</v>
      </c>
      <c r="Q32">
        <v>26040</v>
      </c>
      <c r="R32">
        <v>32</v>
      </c>
      <c r="S32">
        <v>26880</v>
      </c>
      <c r="T32">
        <v>35</v>
      </c>
      <c r="U32">
        <v>29400</v>
      </c>
      <c r="V32">
        <v>32</v>
      </c>
      <c r="W32">
        <v>26880</v>
      </c>
      <c r="X32">
        <v>37</v>
      </c>
      <c r="Y32">
        <v>31080</v>
      </c>
      <c r="Z32">
        <v>37</v>
      </c>
      <c r="AA32">
        <v>31080</v>
      </c>
      <c r="AB32">
        <v>44</v>
      </c>
      <c r="AC32">
        <v>36960</v>
      </c>
      <c r="AD32">
        <v>45</v>
      </c>
      <c r="AE32">
        <v>37800</v>
      </c>
      <c r="AF32">
        <v>35</v>
      </c>
      <c r="AG32">
        <v>29400</v>
      </c>
      <c r="AH32">
        <v>29.520336991751861</v>
      </c>
      <c r="AI32">
        <v>24797.083073071564</v>
      </c>
      <c r="AJ32">
        <v>34</v>
      </c>
      <c r="AK32">
        <v>28560</v>
      </c>
      <c r="AL32">
        <v>22</v>
      </c>
      <c r="AM32">
        <v>18480</v>
      </c>
      <c r="AN32">
        <v>37</v>
      </c>
      <c r="AO32">
        <v>31080</v>
      </c>
      <c r="AP32">
        <v>40</v>
      </c>
      <c r="AQ32">
        <v>33600</v>
      </c>
      <c r="AR32">
        <v>38</v>
      </c>
      <c r="AS32">
        <v>31920</v>
      </c>
      <c r="AT32">
        <v>38</v>
      </c>
      <c r="AU32">
        <v>31920</v>
      </c>
      <c r="AV32">
        <v>31</v>
      </c>
      <c r="AW32">
        <v>26040</v>
      </c>
      <c r="AX32">
        <v>43</v>
      </c>
      <c r="AY32">
        <v>36120</v>
      </c>
      <c r="AZ32">
        <v>38</v>
      </c>
      <c r="BA32">
        <v>31920</v>
      </c>
      <c r="BB32">
        <v>39</v>
      </c>
      <c r="BC32">
        <v>32760</v>
      </c>
      <c r="BD32">
        <v>46</v>
      </c>
      <c r="BE32">
        <v>38640</v>
      </c>
      <c r="BF32">
        <v>41</v>
      </c>
      <c r="BG32">
        <v>34440</v>
      </c>
      <c r="BH32">
        <v>36</v>
      </c>
      <c r="BI32">
        <v>30240</v>
      </c>
      <c r="BJ32">
        <v>34</v>
      </c>
      <c r="BK32">
        <v>28560</v>
      </c>
      <c r="BL32">
        <v>30</v>
      </c>
      <c r="BM32">
        <v>25200</v>
      </c>
      <c r="BN32">
        <v>10.278085352239415</v>
      </c>
      <c r="BO32">
        <v>8633.5916958811085</v>
      </c>
      <c r="BP32">
        <v>33</v>
      </c>
      <c r="BQ32">
        <v>27720</v>
      </c>
      <c r="BR32">
        <v>30.075446351789406</v>
      </c>
      <c r="BS32">
        <v>25263.3749355031</v>
      </c>
      <c r="BT32">
        <v>27</v>
      </c>
      <c r="BU32">
        <v>22680</v>
      </c>
      <c r="BV32">
        <v>41.055066405649328</v>
      </c>
      <c r="BW32">
        <v>34486.255780745436</v>
      </c>
      <c r="BX32">
        <v>34.559848317241993</v>
      </c>
      <c r="BY32">
        <v>29030.272586483276</v>
      </c>
      <c r="BZ32">
        <v>11.203830322578085</v>
      </c>
      <c r="CA32">
        <v>9411.2174709655919</v>
      </c>
      <c r="CB32">
        <v>39</v>
      </c>
      <c r="CC32">
        <v>32760</v>
      </c>
      <c r="CD32">
        <v>38</v>
      </c>
      <c r="CE32">
        <v>31920</v>
      </c>
      <c r="CF32">
        <v>46</v>
      </c>
      <c r="CG32">
        <v>38640</v>
      </c>
      <c r="CH32">
        <v>28.124717919091573</v>
      </c>
      <c r="CI32">
        <v>23624.76305203692</v>
      </c>
      <c r="CJ32">
        <v>2.9029046418925448</v>
      </c>
      <c r="CK32">
        <v>2438.4398991897378</v>
      </c>
      <c r="CL32">
        <v>4.3020032034071489</v>
      </c>
      <c r="CM32">
        <v>3613.6826908620051</v>
      </c>
      <c r="CN32">
        <v>28</v>
      </c>
      <c r="CO32">
        <v>23520</v>
      </c>
      <c r="CP32">
        <v>27</v>
      </c>
      <c r="CQ32">
        <v>22680</v>
      </c>
      <c r="CR32">
        <v>32</v>
      </c>
      <c r="CS32">
        <v>26880</v>
      </c>
      <c r="CT32">
        <v>35</v>
      </c>
      <c r="CU32">
        <v>29400</v>
      </c>
    </row>
    <row r="33" spans="2:99" x14ac:dyDescent="0.2">
      <c r="C33" s="118" t="s">
        <v>199</v>
      </c>
      <c r="D33">
        <v>0</v>
      </c>
      <c r="E33">
        <v>0</v>
      </c>
      <c r="F33">
        <v>22.26427870866641</v>
      </c>
      <c r="G33">
        <v>10553.268107907877</v>
      </c>
      <c r="H33">
        <v>26</v>
      </c>
      <c r="I33">
        <v>12324</v>
      </c>
      <c r="J33">
        <v>9.4920900120950957</v>
      </c>
      <c r="K33">
        <v>4499.250665733075</v>
      </c>
      <c r="L33">
        <v>25</v>
      </c>
      <c r="M33">
        <v>11850</v>
      </c>
      <c r="N33">
        <v>37</v>
      </c>
      <c r="O33">
        <v>17538</v>
      </c>
      <c r="P33">
        <v>35</v>
      </c>
      <c r="Q33">
        <v>16590</v>
      </c>
      <c r="R33">
        <v>30</v>
      </c>
      <c r="S33">
        <v>14220</v>
      </c>
      <c r="T33">
        <v>32</v>
      </c>
      <c r="U33">
        <v>15168</v>
      </c>
      <c r="V33">
        <v>38</v>
      </c>
      <c r="W33">
        <v>18012</v>
      </c>
      <c r="X33">
        <v>44</v>
      </c>
      <c r="Y33">
        <v>20856</v>
      </c>
      <c r="Z33">
        <v>38</v>
      </c>
      <c r="AA33">
        <v>18012</v>
      </c>
      <c r="AB33">
        <v>43</v>
      </c>
      <c r="AC33">
        <v>20382</v>
      </c>
      <c r="AD33">
        <v>46</v>
      </c>
      <c r="AE33">
        <v>21804</v>
      </c>
      <c r="AF33">
        <v>38</v>
      </c>
      <c r="AG33">
        <v>18012</v>
      </c>
      <c r="AH33">
        <v>28.006473556277406</v>
      </c>
      <c r="AI33">
        <v>13275.068465675491</v>
      </c>
      <c r="AJ33">
        <v>35</v>
      </c>
      <c r="AK33">
        <v>16590</v>
      </c>
      <c r="AL33">
        <v>24</v>
      </c>
      <c r="AM33">
        <v>11376</v>
      </c>
      <c r="AN33">
        <v>39</v>
      </c>
      <c r="AO33">
        <v>18486</v>
      </c>
      <c r="AP33">
        <v>37</v>
      </c>
      <c r="AQ33">
        <v>17538</v>
      </c>
      <c r="AR33">
        <v>40</v>
      </c>
      <c r="AS33">
        <v>18960</v>
      </c>
      <c r="AT33">
        <v>35</v>
      </c>
      <c r="AU33">
        <v>16590</v>
      </c>
      <c r="AV33">
        <v>33</v>
      </c>
      <c r="AW33">
        <v>15642</v>
      </c>
      <c r="AX33">
        <v>45</v>
      </c>
      <c r="AY33">
        <v>21330</v>
      </c>
      <c r="AZ33">
        <v>41</v>
      </c>
      <c r="BA33">
        <v>19434</v>
      </c>
      <c r="BB33">
        <v>38</v>
      </c>
      <c r="BC33">
        <v>18012</v>
      </c>
      <c r="BD33">
        <v>47</v>
      </c>
      <c r="BE33">
        <v>22278</v>
      </c>
      <c r="BF33">
        <v>43</v>
      </c>
      <c r="BG33">
        <v>20382</v>
      </c>
      <c r="BH33">
        <v>37</v>
      </c>
      <c r="BI33">
        <v>17538</v>
      </c>
      <c r="BJ33">
        <v>37</v>
      </c>
      <c r="BK33">
        <v>17538</v>
      </c>
      <c r="BL33">
        <v>29</v>
      </c>
      <c r="BM33">
        <v>13746</v>
      </c>
      <c r="BN33">
        <v>10.278085352239415</v>
      </c>
      <c r="BO33">
        <v>4871.8124569614829</v>
      </c>
      <c r="BP33">
        <v>36</v>
      </c>
      <c r="BQ33">
        <v>17064</v>
      </c>
      <c r="BR33">
        <v>31.794043286177374</v>
      </c>
      <c r="BS33">
        <v>15070.376517648076</v>
      </c>
      <c r="BT33">
        <v>30</v>
      </c>
      <c r="BU33">
        <v>14220</v>
      </c>
      <c r="BV33">
        <v>41.055066405649328</v>
      </c>
      <c r="BW33">
        <v>19460.101476277781</v>
      </c>
      <c r="BX33">
        <v>36.675757397889463</v>
      </c>
      <c r="BY33">
        <v>17384.309006599604</v>
      </c>
      <c r="BZ33">
        <v>10.473145736322991</v>
      </c>
      <c r="CA33">
        <v>4964.2710790170977</v>
      </c>
      <c r="CB33">
        <v>43</v>
      </c>
      <c r="CC33">
        <v>20382</v>
      </c>
      <c r="CD33">
        <v>38</v>
      </c>
      <c r="CE33">
        <v>18012</v>
      </c>
      <c r="CF33">
        <v>47</v>
      </c>
      <c r="CG33">
        <v>22278</v>
      </c>
      <c r="CH33">
        <v>29.530953815046153</v>
      </c>
      <c r="CI33">
        <v>13997.672108331877</v>
      </c>
      <c r="CJ33">
        <v>3.0291178871922209</v>
      </c>
      <c r="CK33">
        <v>1435.8018785291126</v>
      </c>
      <c r="CL33">
        <v>4.826637740408021</v>
      </c>
      <c r="CM33">
        <v>2287.8262889534021</v>
      </c>
      <c r="CN33">
        <v>28</v>
      </c>
      <c r="CO33">
        <v>13272</v>
      </c>
      <c r="CP33">
        <v>27</v>
      </c>
      <c r="CQ33">
        <v>12798</v>
      </c>
      <c r="CR33">
        <v>36</v>
      </c>
      <c r="CS33">
        <v>17064</v>
      </c>
      <c r="CT33">
        <v>36</v>
      </c>
      <c r="CU33">
        <v>17064</v>
      </c>
    </row>
    <row r="34" spans="2:99" x14ac:dyDescent="0.2">
      <c r="C34" s="118" t="s">
        <v>200</v>
      </c>
      <c r="D34">
        <v>0</v>
      </c>
      <c r="E34">
        <v>0</v>
      </c>
      <c r="F34">
        <v>23.467753233459188</v>
      </c>
      <c r="G34">
        <v>12869.715873229019</v>
      </c>
      <c r="H34">
        <v>23</v>
      </c>
      <c r="I34">
        <v>12613.199999999999</v>
      </c>
      <c r="J34">
        <v>9.8084930124982641</v>
      </c>
      <c r="K34">
        <v>5378.9775680540479</v>
      </c>
      <c r="L34">
        <v>27</v>
      </c>
      <c r="M34">
        <v>14806.8</v>
      </c>
      <c r="N34">
        <v>36</v>
      </c>
      <c r="O34">
        <v>19742.399999999998</v>
      </c>
      <c r="P34">
        <v>38</v>
      </c>
      <c r="Q34">
        <v>20839.2</v>
      </c>
      <c r="R34">
        <v>28</v>
      </c>
      <c r="S34">
        <v>15355.199999999999</v>
      </c>
      <c r="T34">
        <v>34</v>
      </c>
      <c r="U34">
        <v>18645.599999999999</v>
      </c>
      <c r="V34">
        <v>33</v>
      </c>
      <c r="W34">
        <v>18097.2</v>
      </c>
      <c r="X34">
        <v>44</v>
      </c>
      <c r="Y34">
        <v>24129.599999999999</v>
      </c>
      <c r="Z34">
        <v>37</v>
      </c>
      <c r="AA34">
        <v>20290.8</v>
      </c>
      <c r="AB34">
        <v>43</v>
      </c>
      <c r="AC34">
        <v>23581.200000000001</v>
      </c>
      <c r="AD34">
        <v>43</v>
      </c>
      <c r="AE34">
        <v>23581.200000000001</v>
      </c>
      <c r="AF34">
        <v>36</v>
      </c>
      <c r="AG34">
        <v>19742.399999999998</v>
      </c>
      <c r="AH34">
        <v>30.277268709489089</v>
      </c>
      <c r="AI34">
        <v>16604.054160283817</v>
      </c>
      <c r="AJ34">
        <v>35</v>
      </c>
      <c r="AK34">
        <v>19194</v>
      </c>
      <c r="AL34">
        <v>21</v>
      </c>
      <c r="AM34">
        <v>11516.4</v>
      </c>
      <c r="AN34">
        <v>38</v>
      </c>
      <c r="AO34">
        <v>20839.2</v>
      </c>
      <c r="AP34">
        <v>35</v>
      </c>
      <c r="AQ34">
        <v>19194</v>
      </c>
      <c r="AR34">
        <v>37</v>
      </c>
      <c r="AS34">
        <v>20290.8</v>
      </c>
      <c r="AT34">
        <v>34</v>
      </c>
      <c r="AU34">
        <v>18645.599999999999</v>
      </c>
      <c r="AV34">
        <v>31</v>
      </c>
      <c r="AW34">
        <v>17000.399999999998</v>
      </c>
      <c r="AX34">
        <v>43</v>
      </c>
      <c r="AY34">
        <v>23581.200000000001</v>
      </c>
      <c r="AZ34">
        <v>39</v>
      </c>
      <c r="BA34">
        <v>21387.599999999999</v>
      </c>
      <c r="BB34">
        <v>40</v>
      </c>
      <c r="BC34">
        <v>21936</v>
      </c>
      <c r="BD34">
        <v>49</v>
      </c>
      <c r="BE34">
        <v>26871.599999999999</v>
      </c>
      <c r="BF34">
        <v>44</v>
      </c>
      <c r="BG34">
        <v>24129.599999999999</v>
      </c>
      <c r="BH34">
        <v>38</v>
      </c>
      <c r="BI34">
        <v>20839.2</v>
      </c>
      <c r="BJ34">
        <v>36</v>
      </c>
      <c r="BK34">
        <v>19742.399999999998</v>
      </c>
      <c r="BL34">
        <v>27</v>
      </c>
      <c r="BM34">
        <v>14806.8</v>
      </c>
      <c r="BN34">
        <v>11.111443624042613</v>
      </c>
      <c r="BO34">
        <v>6093.5156834249683</v>
      </c>
      <c r="BP34">
        <v>38</v>
      </c>
      <c r="BQ34">
        <v>20839.2</v>
      </c>
      <c r="BR34">
        <v>28.356849417401442</v>
      </c>
      <c r="BS34">
        <v>15550.896220502949</v>
      </c>
      <c r="BT34">
        <v>26</v>
      </c>
      <c r="BU34">
        <v>14258.4</v>
      </c>
      <c r="BV34">
        <v>40.142731596634903</v>
      </c>
      <c r="BW34">
        <v>22014.27400759458</v>
      </c>
      <c r="BX34">
        <v>31.73863620971203</v>
      </c>
      <c r="BY34">
        <v>17405.468097406076</v>
      </c>
      <c r="BZ34">
        <v>10.960268793826387</v>
      </c>
      <c r="CA34">
        <v>6010.61140653439</v>
      </c>
      <c r="CB34">
        <v>46</v>
      </c>
      <c r="CC34">
        <v>25226.399999999998</v>
      </c>
      <c r="CD34">
        <v>45</v>
      </c>
      <c r="CE34">
        <v>24678</v>
      </c>
      <c r="CF34">
        <v>44</v>
      </c>
      <c r="CG34">
        <v>24129.599999999999</v>
      </c>
      <c r="CH34">
        <v>32.343425606955307</v>
      </c>
      <c r="CI34">
        <v>17737.13460285429</v>
      </c>
      <c r="CJ34">
        <v>3.4077576230912481</v>
      </c>
      <c r="CK34">
        <v>1868.8142805032403</v>
      </c>
      <c r="CL34">
        <v>4.6167839256076721</v>
      </c>
      <c r="CM34">
        <v>2531.8443048032473</v>
      </c>
      <c r="CN34">
        <v>29</v>
      </c>
      <c r="CO34">
        <v>15903.599999999999</v>
      </c>
      <c r="CP34">
        <v>23</v>
      </c>
      <c r="CQ34">
        <v>12613.199999999999</v>
      </c>
      <c r="CR34">
        <v>32</v>
      </c>
      <c r="CS34">
        <v>17548.8</v>
      </c>
      <c r="CT34">
        <v>35</v>
      </c>
      <c r="CU34">
        <v>19194</v>
      </c>
    </row>
    <row r="35" spans="2:99" x14ac:dyDescent="0.2">
      <c r="C35" s="118" t="s">
        <v>201</v>
      </c>
      <c r="D35">
        <v>0</v>
      </c>
      <c r="E35">
        <v>0</v>
      </c>
      <c r="F35">
        <v>24.671227758251966</v>
      </c>
      <c r="G35">
        <v>12404.693316849087</v>
      </c>
      <c r="H35">
        <v>23</v>
      </c>
      <c r="I35">
        <v>11564.399999999998</v>
      </c>
      <c r="J35">
        <v>9.1756870116919256</v>
      </c>
      <c r="K35">
        <v>4613.5354294786994</v>
      </c>
      <c r="L35">
        <v>23</v>
      </c>
      <c r="M35">
        <v>11564.399999999998</v>
      </c>
      <c r="N35">
        <v>39</v>
      </c>
      <c r="O35">
        <v>19609.199999999997</v>
      </c>
      <c r="P35">
        <v>37</v>
      </c>
      <c r="Q35">
        <v>18603.599999999995</v>
      </c>
      <c r="R35">
        <v>32</v>
      </c>
      <c r="S35">
        <v>16089.599999999997</v>
      </c>
      <c r="T35">
        <v>38</v>
      </c>
      <c r="U35">
        <v>19106.399999999998</v>
      </c>
      <c r="V35">
        <v>33</v>
      </c>
      <c r="W35">
        <v>16592.399999999998</v>
      </c>
      <c r="X35">
        <v>38</v>
      </c>
      <c r="Y35">
        <v>19106.399999999998</v>
      </c>
      <c r="Z35">
        <v>38</v>
      </c>
      <c r="AA35">
        <v>19106.399999999998</v>
      </c>
      <c r="AB35">
        <v>47</v>
      </c>
      <c r="AC35">
        <v>23631.599999999995</v>
      </c>
      <c r="AD35">
        <v>41</v>
      </c>
      <c r="AE35">
        <v>20614.799999999996</v>
      </c>
      <c r="AF35">
        <v>41</v>
      </c>
      <c r="AG35">
        <v>20614.799999999996</v>
      </c>
      <c r="AH35">
        <v>28.763405274014634</v>
      </c>
      <c r="AI35">
        <v>14462.240171774554</v>
      </c>
      <c r="AJ35">
        <v>33</v>
      </c>
      <c r="AK35">
        <v>16592.399999999998</v>
      </c>
      <c r="AL35">
        <v>22</v>
      </c>
      <c r="AM35">
        <v>11061.599999999999</v>
      </c>
      <c r="AN35">
        <v>34</v>
      </c>
      <c r="AO35">
        <v>17095.199999999997</v>
      </c>
      <c r="AP35">
        <v>40</v>
      </c>
      <c r="AQ35">
        <v>20111.999999999996</v>
      </c>
      <c r="AR35">
        <v>40</v>
      </c>
      <c r="AS35">
        <v>20111.999999999996</v>
      </c>
      <c r="AT35">
        <v>37</v>
      </c>
      <c r="AU35">
        <v>18603.599999999995</v>
      </c>
      <c r="AV35">
        <v>30</v>
      </c>
      <c r="AW35">
        <v>15083.999999999996</v>
      </c>
      <c r="AX35">
        <v>45</v>
      </c>
      <c r="AY35">
        <v>22625.999999999996</v>
      </c>
      <c r="AZ35">
        <v>39</v>
      </c>
      <c r="BA35">
        <v>19609.199999999997</v>
      </c>
      <c r="BB35">
        <v>41</v>
      </c>
      <c r="BC35">
        <v>20614.799999999996</v>
      </c>
      <c r="BD35">
        <v>45</v>
      </c>
      <c r="BE35">
        <v>22625.999999999996</v>
      </c>
      <c r="BF35">
        <v>41</v>
      </c>
      <c r="BG35">
        <v>20614.799999999996</v>
      </c>
      <c r="BH35">
        <v>39</v>
      </c>
      <c r="BI35">
        <v>19609.199999999997</v>
      </c>
      <c r="BJ35">
        <v>31</v>
      </c>
      <c r="BK35">
        <v>15586.799999999997</v>
      </c>
      <c r="BL35">
        <v>26</v>
      </c>
      <c r="BM35">
        <v>13072.799999999997</v>
      </c>
      <c r="BN35">
        <v>10.833657533441547</v>
      </c>
      <c r="BO35">
        <v>5447.163007814409</v>
      </c>
      <c r="BP35">
        <v>37</v>
      </c>
      <c r="BQ35">
        <v>18603.599999999995</v>
      </c>
      <c r="BR35">
        <v>28.356849417401442</v>
      </c>
      <c r="BS35">
        <v>14257.823887069442</v>
      </c>
      <c r="BT35">
        <v>31</v>
      </c>
      <c r="BU35">
        <v>15586.799999999997</v>
      </c>
      <c r="BV35">
        <v>44.704405641707048</v>
      </c>
      <c r="BW35">
        <v>22477.375156650298</v>
      </c>
      <c r="BX35">
        <v>36.675757397889463</v>
      </c>
      <c r="BY35">
        <v>18440.570819658817</v>
      </c>
      <c r="BZ35">
        <v>11.447391851329781</v>
      </c>
      <c r="CA35">
        <v>5755.7486228486132</v>
      </c>
      <c r="CB35">
        <v>40</v>
      </c>
      <c r="CC35">
        <v>20111.999999999996</v>
      </c>
      <c r="CD35">
        <v>41</v>
      </c>
      <c r="CE35">
        <v>20614.799999999996</v>
      </c>
      <c r="CF35">
        <v>43</v>
      </c>
      <c r="CG35">
        <v>21620.399999999994</v>
      </c>
      <c r="CH35">
        <v>29.530953815046153</v>
      </c>
      <c r="CI35">
        <v>14848.163578205204</v>
      </c>
      <c r="CJ35">
        <v>3.2815443777915725</v>
      </c>
      <c r="CK35">
        <v>1649.9605131536023</v>
      </c>
      <c r="CL35">
        <v>4.3020032034071489</v>
      </c>
      <c r="CM35">
        <v>2163.047210673114</v>
      </c>
      <c r="CN35">
        <v>26</v>
      </c>
      <c r="CO35">
        <v>13072.799999999997</v>
      </c>
      <c r="CP35">
        <v>26</v>
      </c>
      <c r="CQ35">
        <v>13072.799999999997</v>
      </c>
      <c r="CR35">
        <v>30</v>
      </c>
      <c r="CS35">
        <v>15083.999999999996</v>
      </c>
      <c r="CT35">
        <v>31</v>
      </c>
      <c r="CU35">
        <v>15586.799999999997</v>
      </c>
    </row>
    <row r="36" spans="2:99" x14ac:dyDescent="0.2">
      <c r="C36" s="118" t="s">
        <v>202</v>
      </c>
      <c r="D36">
        <v>0</v>
      </c>
      <c r="E36">
        <v>0</v>
      </c>
      <c r="F36">
        <v>24.069490495855579</v>
      </c>
      <c r="G36">
        <v>18312.068369246925</v>
      </c>
      <c r="H36">
        <v>23</v>
      </c>
      <c r="I36">
        <v>17498.399999999998</v>
      </c>
      <c r="J36">
        <v>9.8084930124982641</v>
      </c>
      <c r="K36">
        <v>7462.3014839086791</v>
      </c>
      <c r="L36">
        <v>23</v>
      </c>
      <c r="M36">
        <v>17498.399999999998</v>
      </c>
      <c r="N36">
        <v>40</v>
      </c>
      <c r="O36">
        <v>30432</v>
      </c>
      <c r="P36">
        <v>33</v>
      </c>
      <c r="Q36">
        <v>25106.399999999998</v>
      </c>
      <c r="R36">
        <v>30</v>
      </c>
      <c r="S36">
        <v>22824</v>
      </c>
      <c r="T36">
        <v>34</v>
      </c>
      <c r="U36">
        <v>25867.199999999997</v>
      </c>
      <c r="V36">
        <v>33</v>
      </c>
      <c r="W36">
        <v>25106.399999999998</v>
      </c>
      <c r="X36">
        <v>44</v>
      </c>
      <c r="Y36">
        <v>33475.199999999997</v>
      </c>
      <c r="Z36">
        <v>37</v>
      </c>
      <c r="AA36">
        <v>28149.599999999999</v>
      </c>
      <c r="AB36">
        <v>46</v>
      </c>
      <c r="AC36">
        <v>34996.799999999996</v>
      </c>
      <c r="AD36">
        <v>46</v>
      </c>
      <c r="AE36">
        <v>34996.799999999996</v>
      </c>
      <c r="AF36">
        <v>39</v>
      </c>
      <c r="AG36">
        <v>29671.199999999997</v>
      </c>
      <c r="AH36">
        <v>28.763405274014634</v>
      </c>
      <c r="AI36">
        <v>21883.198732470333</v>
      </c>
      <c r="AJ36">
        <v>32</v>
      </c>
      <c r="AK36">
        <v>24345.599999999999</v>
      </c>
      <c r="AL36">
        <v>25</v>
      </c>
      <c r="AM36">
        <v>19020</v>
      </c>
      <c r="AN36">
        <v>40</v>
      </c>
      <c r="AO36">
        <v>30432</v>
      </c>
      <c r="AP36">
        <v>41</v>
      </c>
      <c r="AQ36">
        <v>31192.799999999999</v>
      </c>
      <c r="AR36">
        <v>32</v>
      </c>
      <c r="AS36">
        <v>24345.599999999999</v>
      </c>
      <c r="AT36">
        <v>36</v>
      </c>
      <c r="AU36">
        <v>27388.799999999999</v>
      </c>
      <c r="AV36">
        <v>28</v>
      </c>
      <c r="AW36">
        <v>21302.399999999998</v>
      </c>
      <c r="AX36">
        <v>40</v>
      </c>
      <c r="AY36">
        <v>30432</v>
      </c>
      <c r="AZ36">
        <v>37</v>
      </c>
      <c r="BA36">
        <v>28149.599999999999</v>
      </c>
      <c r="BB36">
        <v>37</v>
      </c>
      <c r="BC36">
        <v>28149.599999999999</v>
      </c>
      <c r="BD36">
        <v>43</v>
      </c>
      <c r="BE36">
        <v>32714.399999999998</v>
      </c>
      <c r="BF36">
        <v>46</v>
      </c>
      <c r="BG36">
        <v>34996.799999999996</v>
      </c>
      <c r="BH36">
        <v>37</v>
      </c>
      <c r="BI36">
        <v>28149.599999999999</v>
      </c>
      <c r="BJ36">
        <v>32</v>
      </c>
      <c r="BK36">
        <v>24345.599999999999</v>
      </c>
      <c r="BL36">
        <v>26</v>
      </c>
      <c r="BM36">
        <v>19780.8</v>
      </c>
      <c r="BN36">
        <v>9.722513171037285</v>
      </c>
      <c r="BO36">
        <v>7396.8880205251662</v>
      </c>
      <c r="BP36">
        <v>34</v>
      </c>
      <c r="BQ36">
        <v>25867.199999999997</v>
      </c>
      <c r="BR36">
        <v>30.93474481898339</v>
      </c>
      <c r="BS36">
        <v>23535.153858282563</v>
      </c>
      <c r="BT36">
        <v>29</v>
      </c>
      <c r="BU36">
        <v>22063.199999999997</v>
      </c>
      <c r="BV36">
        <v>41.055066405649328</v>
      </c>
      <c r="BW36">
        <v>31234.694521418005</v>
      </c>
      <c r="BX36">
        <v>33.854545290359496</v>
      </c>
      <c r="BY36">
        <v>25756.538056905505</v>
      </c>
      <c r="BZ36">
        <v>11.447391851329781</v>
      </c>
      <c r="CA36">
        <v>8709.1757204916976</v>
      </c>
      <c r="CB36">
        <v>38</v>
      </c>
      <c r="CC36">
        <v>28910.399999999998</v>
      </c>
      <c r="CD36">
        <v>39</v>
      </c>
      <c r="CE36">
        <v>29671.199999999997</v>
      </c>
      <c r="CF36">
        <v>45</v>
      </c>
      <c r="CG36">
        <v>34236</v>
      </c>
      <c r="CH36">
        <v>29.530953815046153</v>
      </c>
      <c r="CI36">
        <v>22467.149662487111</v>
      </c>
      <c r="CJ36">
        <v>3.0291178871922209</v>
      </c>
      <c r="CK36">
        <v>2304.5528885758413</v>
      </c>
      <c r="CL36">
        <v>4.6167839256076721</v>
      </c>
      <c r="CM36">
        <v>3512.4492106023167</v>
      </c>
      <c r="CN36">
        <v>26</v>
      </c>
      <c r="CO36">
        <v>19780.8</v>
      </c>
      <c r="CP36">
        <v>24</v>
      </c>
      <c r="CQ36">
        <v>18259.199999999997</v>
      </c>
      <c r="CR36">
        <v>31</v>
      </c>
      <c r="CS36">
        <v>23584.799999999999</v>
      </c>
      <c r="CT36">
        <v>34</v>
      </c>
      <c r="CU36">
        <v>25867.199999999997</v>
      </c>
    </row>
    <row r="37" spans="2:99" x14ac:dyDescent="0.2">
      <c r="B37" s="118" t="s">
        <v>128</v>
      </c>
      <c r="C37" s="118" t="s">
        <v>203</v>
      </c>
      <c r="D37">
        <v>0</v>
      </c>
      <c r="E37">
        <v>0</v>
      </c>
      <c r="F37">
        <v>20.459066921477241</v>
      </c>
      <c r="G37">
        <v>17602.981179239017</v>
      </c>
      <c r="H37">
        <v>26</v>
      </c>
      <c r="I37">
        <v>22370.399999999998</v>
      </c>
      <c r="J37">
        <v>11.074105014110945</v>
      </c>
      <c r="K37">
        <v>9528.159954141056</v>
      </c>
      <c r="L37">
        <v>24</v>
      </c>
      <c r="M37">
        <v>20649.599999999999</v>
      </c>
      <c r="N37">
        <v>30</v>
      </c>
      <c r="O37">
        <v>25812</v>
      </c>
      <c r="P37">
        <v>29</v>
      </c>
      <c r="Q37">
        <v>24951.599999999999</v>
      </c>
      <c r="R37">
        <v>32</v>
      </c>
      <c r="S37">
        <v>27532.799999999999</v>
      </c>
      <c r="T37">
        <v>30</v>
      </c>
      <c r="U37">
        <v>25812</v>
      </c>
      <c r="V37">
        <v>33</v>
      </c>
      <c r="W37">
        <v>28393.200000000001</v>
      </c>
      <c r="X37">
        <v>29</v>
      </c>
      <c r="Y37">
        <v>24951.599999999999</v>
      </c>
      <c r="Z37">
        <v>32</v>
      </c>
      <c r="AA37">
        <v>27532.799999999999</v>
      </c>
      <c r="AB37">
        <v>27</v>
      </c>
      <c r="AC37">
        <v>23230.799999999999</v>
      </c>
      <c r="AD37">
        <v>31</v>
      </c>
      <c r="AE37">
        <v>26672.399999999998</v>
      </c>
      <c r="AF37">
        <v>25</v>
      </c>
      <c r="AG37">
        <v>21510</v>
      </c>
      <c r="AH37">
        <v>15.138634354744545</v>
      </c>
      <c r="AI37">
        <v>13025.280998822205</v>
      </c>
      <c r="AJ37">
        <v>20</v>
      </c>
      <c r="AK37">
        <v>17208</v>
      </c>
      <c r="AL37">
        <v>37</v>
      </c>
      <c r="AM37">
        <v>31834.799999999999</v>
      </c>
      <c r="AN37">
        <v>22</v>
      </c>
      <c r="AO37">
        <v>18928.8</v>
      </c>
      <c r="AP37">
        <v>24</v>
      </c>
      <c r="AQ37">
        <v>20649.599999999999</v>
      </c>
      <c r="AR37">
        <v>30</v>
      </c>
      <c r="AS37">
        <v>25812</v>
      </c>
      <c r="AT37">
        <v>29</v>
      </c>
      <c r="AU37">
        <v>24951.599999999999</v>
      </c>
      <c r="AV37">
        <v>27</v>
      </c>
      <c r="AW37">
        <v>23230.799999999999</v>
      </c>
      <c r="AX37">
        <v>26</v>
      </c>
      <c r="AY37">
        <v>22370.399999999998</v>
      </c>
      <c r="AZ37">
        <v>33</v>
      </c>
      <c r="BA37">
        <v>28393.200000000001</v>
      </c>
      <c r="BB37">
        <v>34</v>
      </c>
      <c r="BC37">
        <v>29253.599999999999</v>
      </c>
      <c r="BD37">
        <v>23</v>
      </c>
      <c r="BE37">
        <v>19789.2</v>
      </c>
      <c r="BF37">
        <v>31</v>
      </c>
      <c r="BG37">
        <v>26672.399999999998</v>
      </c>
      <c r="BH37">
        <v>37</v>
      </c>
      <c r="BI37">
        <v>31834.799999999999</v>
      </c>
      <c r="BJ37">
        <v>32</v>
      </c>
      <c r="BK37">
        <v>27532.799999999999</v>
      </c>
      <c r="BL37">
        <v>26</v>
      </c>
      <c r="BM37">
        <v>22370.399999999998</v>
      </c>
      <c r="BN37">
        <v>5.8335079026223715</v>
      </c>
      <c r="BO37">
        <v>5019.1501994162882</v>
      </c>
      <c r="BP37">
        <v>30</v>
      </c>
      <c r="BQ37">
        <v>25812</v>
      </c>
      <c r="BR37">
        <v>30.93474481898339</v>
      </c>
      <c r="BS37">
        <v>26616.254442253306</v>
      </c>
      <c r="BT37">
        <v>33</v>
      </c>
      <c r="BU37">
        <v>28393.200000000001</v>
      </c>
      <c r="BV37">
        <v>28.282379079447317</v>
      </c>
      <c r="BW37">
        <v>24334.158959956472</v>
      </c>
      <c r="BX37">
        <v>22.56969686023967</v>
      </c>
      <c r="BY37">
        <v>19418.967178550211</v>
      </c>
      <c r="BZ37">
        <v>7.7939689200543203</v>
      </c>
      <c r="CA37">
        <v>6705.9308588147369</v>
      </c>
      <c r="CB37">
        <v>37</v>
      </c>
      <c r="CC37">
        <v>31834.799999999999</v>
      </c>
      <c r="CD37">
        <v>21</v>
      </c>
      <c r="CE37">
        <v>18068.399999999998</v>
      </c>
      <c r="CF37">
        <v>25</v>
      </c>
      <c r="CG37">
        <v>21510</v>
      </c>
      <c r="CH37">
        <v>22.499774335273258</v>
      </c>
      <c r="CI37">
        <v>19358.805838069111</v>
      </c>
      <c r="CJ37">
        <v>3.5339708683909241</v>
      </c>
      <c r="CK37">
        <v>3040.6285351635511</v>
      </c>
      <c r="CL37">
        <v>3.0428803146050565</v>
      </c>
      <c r="CM37">
        <v>2618.0942226861907</v>
      </c>
      <c r="CN37">
        <v>24</v>
      </c>
      <c r="CO37">
        <v>20649.599999999999</v>
      </c>
      <c r="CP37">
        <v>37</v>
      </c>
      <c r="CQ37">
        <v>31834.799999999999</v>
      </c>
      <c r="CR37">
        <v>31</v>
      </c>
      <c r="CS37">
        <v>26672.399999999998</v>
      </c>
      <c r="CT37">
        <v>22</v>
      </c>
      <c r="CU37">
        <v>18928.8</v>
      </c>
    </row>
    <row r="38" spans="2:99" x14ac:dyDescent="0.2">
      <c r="C38" s="118" t="s">
        <v>204</v>
      </c>
      <c r="D38">
        <v>0</v>
      </c>
      <c r="E38">
        <v>0</v>
      </c>
      <c r="F38">
        <v>18.653855134288072</v>
      </c>
      <c r="G38">
        <v>23168.088076785785</v>
      </c>
      <c r="H38">
        <v>24</v>
      </c>
      <c r="I38">
        <v>29808</v>
      </c>
      <c r="J38">
        <v>9.4920900120950957</v>
      </c>
      <c r="K38">
        <v>11789.175795022109</v>
      </c>
      <c r="L38">
        <v>25</v>
      </c>
      <c r="M38">
        <v>31050</v>
      </c>
      <c r="N38">
        <v>32</v>
      </c>
      <c r="O38">
        <v>39744</v>
      </c>
      <c r="P38">
        <v>24</v>
      </c>
      <c r="Q38">
        <v>29808</v>
      </c>
      <c r="R38">
        <v>31</v>
      </c>
      <c r="S38">
        <v>38502</v>
      </c>
      <c r="T38">
        <v>27</v>
      </c>
      <c r="U38">
        <v>33534</v>
      </c>
      <c r="V38">
        <v>32</v>
      </c>
      <c r="W38">
        <v>39744</v>
      </c>
      <c r="X38">
        <v>32</v>
      </c>
      <c r="Y38">
        <v>39744</v>
      </c>
      <c r="Z38">
        <v>34</v>
      </c>
      <c r="AA38">
        <v>42228</v>
      </c>
      <c r="AB38">
        <v>28</v>
      </c>
      <c r="AC38">
        <v>34776</v>
      </c>
      <c r="AD38">
        <v>33</v>
      </c>
      <c r="AE38">
        <v>40986</v>
      </c>
      <c r="AF38">
        <v>26</v>
      </c>
      <c r="AG38">
        <v>32292</v>
      </c>
      <c r="AH38">
        <v>14.381702637007317</v>
      </c>
      <c r="AI38">
        <v>17862.074675163087</v>
      </c>
      <c r="AJ38">
        <v>19</v>
      </c>
      <c r="AK38">
        <v>23598</v>
      </c>
      <c r="AL38">
        <v>33</v>
      </c>
      <c r="AM38">
        <v>40986</v>
      </c>
      <c r="AN38">
        <v>21</v>
      </c>
      <c r="AO38">
        <v>26082</v>
      </c>
      <c r="AP38">
        <v>24</v>
      </c>
      <c r="AQ38">
        <v>29808</v>
      </c>
      <c r="AR38">
        <v>31</v>
      </c>
      <c r="AS38">
        <v>38502</v>
      </c>
      <c r="AT38">
        <v>32</v>
      </c>
      <c r="AU38">
        <v>39744</v>
      </c>
      <c r="AV38">
        <v>25</v>
      </c>
      <c r="AW38">
        <v>31050</v>
      </c>
      <c r="AX38">
        <v>27</v>
      </c>
      <c r="AY38">
        <v>33534</v>
      </c>
      <c r="AZ38">
        <v>36</v>
      </c>
      <c r="BA38">
        <v>44712</v>
      </c>
      <c r="BB38">
        <v>38</v>
      </c>
      <c r="BC38">
        <v>47196</v>
      </c>
      <c r="BD38">
        <v>20</v>
      </c>
      <c r="BE38">
        <v>24840</v>
      </c>
      <c r="BF38">
        <v>31</v>
      </c>
      <c r="BG38">
        <v>38502</v>
      </c>
      <c r="BH38">
        <v>39</v>
      </c>
      <c r="BI38">
        <v>48438</v>
      </c>
      <c r="BJ38">
        <v>36</v>
      </c>
      <c r="BK38">
        <v>44712</v>
      </c>
      <c r="BL38">
        <v>30</v>
      </c>
      <c r="BM38">
        <v>37260</v>
      </c>
      <c r="BN38">
        <v>5.2779357214202411</v>
      </c>
      <c r="BO38">
        <v>6555.1961660039397</v>
      </c>
      <c r="BP38">
        <v>30</v>
      </c>
      <c r="BQ38">
        <v>37260</v>
      </c>
      <c r="BR38">
        <v>26.638252483013474</v>
      </c>
      <c r="BS38">
        <v>33084.709583902732</v>
      </c>
      <c r="BT38">
        <v>35</v>
      </c>
      <c r="BU38">
        <v>43470</v>
      </c>
      <c r="BV38">
        <v>22.80837022536074</v>
      </c>
      <c r="BW38">
        <v>28327.995819898038</v>
      </c>
      <c r="BX38">
        <v>21.159090806474687</v>
      </c>
      <c r="BY38">
        <v>26279.59078164156</v>
      </c>
      <c r="BZ38">
        <v>6.5761612762958315</v>
      </c>
      <c r="CA38">
        <v>8167.5923051594227</v>
      </c>
      <c r="CB38">
        <v>32</v>
      </c>
      <c r="CC38">
        <v>39744</v>
      </c>
      <c r="CD38">
        <v>22</v>
      </c>
      <c r="CE38">
        <v>27324</v>
      </c>
      <c r="CF38">
        <v>24</v>
      </c>
      <c r="CG38">
        <v>29808</v>
      </c>
      <c r="CH38">
        <v>21.093538439318678</v>
      </c>
      <c r="CI38">
        <v>26198.174741633797</v>
      </c>
      <c r="CJ38">
        <v>3.5339708683909241</v>
      </c>
      <c r="CK38">
        <v>4389.1918185415279</v>
      </c>
      <c r="CL38">
        <v>3.0428803146050565</v>
      </c>
      <c r="CM38">
        <v>3779.25735073948</v>
      </c>
      <c r="CN38">
        <v>23</v>
      </c>
      <c r="CO38">
        <v>28566</v>
      </c>
      <c r="CP38">
        <v>33</v>
      </c>
      <c r="CQ38">
        <v>40986</v>
      </c>
      <c r="CR38">
        <v>32</v>
      </c>
      <c r="CS38">
        <v>39744</v>
      </c>
      <c r="CT38">
        <v>22</v>
      </c>
      <c r="CU38">
        <v>27324</v>
      </c>
    </row>
    <row r="39" spans="2:99" x14ac:dyDescent="0.2">
      <c r="C39" s="118" t="s">
        <v>205</v>
      </c>
      <c r="D39">
        <v>0</v>
      </c>
      <c r="E39">
        <v>0</v>
      </c>
      <c r="F39">
        <v>17.450380609495294</v>
      </c>
      <c r="G39">
        <v>24835.381683433705</v>
      </c>
      <c r="H39">
        <v>22</v>
      </c>
      <c r="I39">
        <v>31310.400000000001</v>
      </c>
      <c r="J39">
        <v>9.4920900120950957</v>
      </c>
      <c r="K39">
        <v>13509.14250521374</v>
      </c>
      <c r="L39">
        <v>24</v>
      </c>
      <c r="M39">
        <v>34156.800000000003</v>
      </c>
      <c r="N39">
        <v>30</v>
      </c>
      <c r="O39">
        <v>42696</v>
      </c>
      <c r="P39">
        <v>25</v>
      </c>
      <c r="Q39">
        <v>35580</v>
      </c>
      <c r="R39">
        <v>28</v>
      </c>
      <c r="S39">
        <v>39849.599999999999</v>
      </c>
      <c r="T39">
        <v>27</v>
      </c>
      <c r="U39">
        <v>38426.400000000001</v>
      </c>
      <c r="V39">
        <v>35</v>
      </c>
      <c r="W39">
        <v>49812</v>
      </c>
      <c r="X39">
        <v>26</v>
      </c>
      <c r="Y39">
        <v>37003.200000000004</v>
      </c>
      <c r="Z39">
        <v>32</v>
      </c>
      <c r="AA39">
        <v>45542.400000000001</v>
      </c>
      <c r="AB39">
        <v>28</v>
      </c>
      <c r="AC39">
        <v>39849.599999999999</v>
      </c>
      <c r="AD39">
        <v>32</v>
      </c>
      <c r="AE39">
        <v>45542.400000000001</v>
      </c>
      <c r="AF39">
        <v>28</v>
      </c>
      <c r="AG39">
        <v>39849.599999999999</v>
      </c>
      <c r="AH39">
        <v>12.867839201532863</v>
      </c>
      <c r="AI39">
        <v>18313.508751621572</v>
      </c>
      <c r="AJ39">
        <v>18</v>
      </c>
      <c r="AK39">
        <v>25617.600000000002</v>
      </c>
      <c r="AL39">
        <v>35</v>
      </c>
      <c r="AM39">
        <v>49812</v>
      </c>
      <c r="AN39">
        <v>21</v>
      </c>
      <c r="AO39">
        <v>29887.200000000001</v>
      </c>
      <c r="AP39">
        <v>24</v>
      </c>
      <c r="AQ39">
        <v>34156.800000000003</v>
      </c>
      <c r="AR39">
        <v>31</v>
      </c>
      <c r="AS39">
        <v>44119.200000000004</v>
      </c>
      <c r="AT39">
        <v>26</v>
      </c>
      <c r="AU39">
        <v>37003.200000000004</v>
      </c>
      <c r="AV39">
        <v>25</v>
      </c>
      <c r="AW39">
        <v>35580</v>
      </c>
      <c r="AX39">
        <v>27</v>
      </c>
      <c r="AY39">
        <v>38426.400000000001</v>
      </c>
      <c r="AZ39">
        <v>30</v>
      </c>
      <c r="BA39">
        <v>42696</v>
      </c>
      <c r="BB39">
        <v>36</v>
      </c>
      <c r="BC39">
        <v>51235.200000000004</v>
      </c>
      <c r="BD39">
        <v>19</v>
      </c>
      <c r="BE39">
        <v>27040.799999999999</v>
      </c>
      <c r="BF39">
        <v>27</v>
      </c>
      <c r="BG39">
        <v>38426.400000000001</v>
      </c>
      <c r="BH39">
        <v>34</v>
      </c>
      <c r="BI39">
        <v>48388.800000000003</v>
      </c>
      <c r="BJ39">
        <v>36</v>
      </c>
      <c r="BK39">
        <v>51235.200000000004</v>
      </c>
      <c r="BL39">
        <v>29</v>
      </c>
      <c r="BM39">
        <v>41272.800000000003</v>
      </c>
      <c r="BN39">
        <v>5.2779357214202411</v>
      </c>
      <c r="BO39">
        <v>7511.5581187252874</v>
      </c>
      <c r="BP39">
        <v>30</v>
      </c>
      <c r="BQ39">
        <v>42696</v>
      </c>
      <c r="BR39">
        <v>26.638252483013474</v>
      </c>
      <c r="BS39">
        <v>37911.560933824774</v>
      </c>
      <c r="BT39">
        <v>31</v>
      </c>
      <c r="BU39">
        <v>44119.200000000004</v>
      </c>
      <c r="BV39">
        <v>23.720705034375168</v>
      </c>
      <c r="BW39">
        <v>33759.307404922743</v>
      </c>
      <c r="BX39">
        <v>23.274999887122156</v>
      </c>
      <c r="BY39">
        <v>33124.979839352251</v>
      </c>
      <c r="BZ39">
        <v>6.5761612762958315</v>
      </c>
      <c r="CA39">
        <v>9359.1927284242283</v>
      </c>
      <c r="CB39">
        <v>36</v>
      </c>
      <c r="CC39">
        <v>51235.200000000004</v>
      </c>
      <c r="CD39">
        <v>21</v>
      </c>
      <c r="CE39">
        <v>29887.200000000001</v>
      </c>
      <c r="CF39">
        <v>20</v>
      </c>
      <c r="CG39">
        <v>28464</v>
      </c>
      <c r="CH39">
        <v>25.312246127182416</v>
      </c>
      <c r="CI39">
        <v>36024.388688206018</v>
      </c>
      <c r="CJ39">
        <v>3.9126106042899518</v>
      </c>
      <c r="CK39">
        <v>5568.4274120254595</v>
      </c>
      <c r="CL39">
        <v>2.6231726850043593</v>
      </c>
      <c r="CM39">
        <v>3733.2993652982041</v>
      </c>
      <c r="CN39">
        <v>20</v>
      </c>
      <c r="CO39">
        <v>28464</v>
      </c>
      <c r="CP39">
        <v>33</v>
      </c>
      <c r="CQ39">
        <v>46965.599999999999</v>
      </c>
      <c r="CR39">
        <v>33</v>
      </c>
      <c r="CS39">
        <v>46965.599999999999</v>
      </c>
      <c r="CT39">
        <v>22</v>
      </c>
      <c r="CU39">
        <v>31310.400000000001</v>
      </c>
    </row>
    <row r="40" spans="2:99" x14ac:dyDescent="0.2">
      <c r="C40" s="118" t="s">
        <v>206</v>
      </c>
      <c r="D40">
        <v>0</v>
      </c>
      <c r="E40">
        <v>0</v>
      </c>
      <c r="F40">
        <v>22.26427870866641</v>
      </c>
      <c r="G40">
        <v>16137.149208041414</v>
      </c>
      <c r="H40">
        <v>26</v>
      </c>
      <c r="I40">
        <v>18844.8</v>
      </c>
      <c r="J40">
        <v>10.757702013707776</v>
      </c>
      <c r="K40">
        <v>7797.1824195353956</v>
      </c>
      <c r="L40">
        <v>24</v>
      </c>
      <c r="M40">
        <v>17395.199999999997</v>
      </c>
      <c r="N40">
        <v>31</v>
      </c>
      <c r="O40">
        <v>22468.799999999999</v>
      </c>
      <c r="P40">
        <v>25</v>
      </c>
      <c r="Q40">
        <v>18120</v>
      </c>
      <c r="R40">
        <v>33</v>
      </c>
      <c r="S40">
        <v>23918.399999999998</v>
      </c>
      <c r="T40">
        <v>33</v>
      </c>
      <c r="U40">
        <v>23918.399999999998</v>
      </c>
      <c r="V40">
        <v>34</v>
      </c>
      <c r="W40">
        <v>24643.199999999997</v>
      </c>
      <c r="X40">
        <v>32</v>
      </c>
      <c r="Y40">
        <v>23193.599999999999</v>
      </c>
      <c r="Z40">
        <v>32</v>
      </c>
      <c r="AA40">
        <v>23193.599999999999</v>
      </c>
      <c r="AB40">
        <v>28</v>
      </c>
      <c r="AC40">
        <v>20294.399999999998</v>
      </c>
      <c r="AD40">
        <v>32</v>
      </c>
      <c r="AE40">
        <v>23193.599999999999</v>
      </c>
      <c r="AF40">
        <v>27</v>
      </c>
      <c r="AG40">
        <v>19569.599999999999</v>
      </c>
      <c r="AH40">
        <v>14.381702637007317</v>
      </c>
      <c r="AI40">
        <v>10423.858071302902</v>
      </c>
      <c r="AJ40">
        <v>20</v>
      </c>
      <c r="AK40">
        <v>14496</v>
      </c>
      <c r="AL40">
        <v>34</v>
      </c>
      <c r="AM40">
        <v>24643.199999999997</v>
      </c>
      <c r="AN40">
        <v>21</v>
      </c>
      <c r="AO40">
        <v>15220.8</v>
      </c>
      <c r="AP40">
        <v>23</v>
      </c>
      <c r="AQ40">
        <v>16670.399999999998</v>
      </c>
      <c r="AR40">
        <v>34</v>
      </c>
      <c r="AS40">
        <v>24643.199999999997</v>
      </c>
      <c r="AT40">
        <v>30</v>
      </c>
      <c r="AU40">
        <v>21744</v>
      </c>
      <c r="AV40">
        <v>26</v>
      </c>
      <c r="AW40">
        <v>18844.8</v>
      </c>
      <c r="AX40">
        <v>25</v>
      </c>
      <c r="AY40">
        <v>18120</v>
      </c>
      <c r="AZ40">
        <v>35</v>
      </c>
      <c r="BA40">
        <v>25368</v>
      </c>
      <c r="BB40">
        <v>37</v>
      </c>
      <c r="BC40">
        <v>26817.599999999999</v>
      </c>
      <c r="BD40">
        <v>20</v>
      </c>
      <c r="BE40">
        <v>14496</v>
      </c>
      <c r="BF40">
        <v>31</v>
      </c>
      <c r="BG40">
        <v>22468.799999999999</v>
      </c>
      <c r="BH40">
        <v>38</v>
      </c>
      <c r="BI40">
        <v>27542.399999999998</v>
      </c>
      <c r="BJ40">
        <v>37</v>
      </c>
      <c r="BK40">
        <v>26817.599999999999</v>
      </c>
      <c r="BL40">
        <v>32</v>
      </c>
      <c r="BM40">
        <v>23193.599999999999</v>
      </c>
      <c r="BN40">
        <v>6.1112939932234367</v>
      </c>
      <c r="BO40">
        <v>4429.4658862883471</v>
      </c>
      <c r="BP40">
        <v>29</v>
      </c>
      <c r="BQ40">
        <v>21019.199999999997</v>
      </c>
      <c r="BR40">
        <v>28.356849417401442</v>
      </c>
      <c r="BS40">
        <v>20553.044457732565</v>
      </c>
      <c r="BT40">
        <v>37</v>
      </c>
      <c r="BU40">
        <v>26817.599999999999</v>
      </c>
      <c r="BV40">
        <v>24.6330398433896</v>
      </c>
      <c r="BW40">
        <v>17854.027278488782</v>
      </c>
      <c r="BX40">
        <v>23.274999887122156</v>
      </c>
      <c r="BY40">
        <v>16869.71991818614</v>
      </c>
      <c r="BZ40">
        <v>6.5761612762958315</v>
      </c>
      <c r="CA40">
        <v>4766.4016930592179</v>
      </c>
      <c r="CB40">
        <v>35</v>
      </c>
      <c r="CC40">
        <v>25368</v>
      </c>
      <c r="CD40">
        <v>23</v>
      </c>
      <c r="CE40">
        <v>16670.399999999998</v>
      </c>
      <c r="CF40">
        <v>22</v>
      </c>
      <c r="CG40">
        <v>15945.599999999999</v>
      </c>
      <c r="CH40">
        <v>23.906010231227835</v>
      </c>
      <c r="CI40">
        <v>17327.076215593934</v>
      </c>
      <c r="CJ40">
        <v>3.6601841136906001</v>
      </c>
      <c r="CK40">
        <v>2652.9014456029468</v>
      </c>
      <c r="CL40">
        <v>2.8330264998047081</v>
      </c>
      <c r="CM40">
        <v>2053.3776070584522</v>
      </c>
      <c r="CN40">
        <v>21</v>
      </c>
      <c r="CO40">
        <v>15220.8</v>
      </c>
      <c r="CP40">
        <v>36</v>
      </c>
      <c r="CQ40">
        <v>26092.799999999999</v>
      </c>
      <c r="CR40">
        <v>33</v>
      </c>
      <c r="CS40">
        <v>23918.399999999998</v>
      </c>
      <c r="CT40">
        <v>23</v>
      </c>
      <c r="CU40">
        <v>16670.399999999998</v>
      </c>
    </row>
    <row r="41" spans="2:99" x14ac:dyDescent="0.2">
      <c r="C41" s="118" t="s">
        <v>207</v>
      </c>
      <c r="D41">
        <v>0</v>
      </c>
      <c r="E41">
        <v>0</v>
      </c>
      <c r="F41">
        <v>20.459066921477241</v>
      </c>
      <c r="G41">
        <v>13502.984168174979</v>
      </c>
      <c r="H41">
        <v>28</v>
      </c>
      <c r="I41">
        <v>18480</v>
      </c>
      <c r="J41">
        <v>11.390508014514115</v>
      </c>
      <c r="K41">
        <v>7517.7352895793156</v>
      </c>
      <c r="L41">
        <v>27</v>
      </c>
      <c r="M41">
        <v>17820</v>
      </c>
      <c r="N41">
        <v>33</v>
      </c>
      <c r="O41">
        <v>21780</v>
      </c>
      <c r="P41">
        <v>27</v>
      </c>
      <c r="Q41">
        <v>17820</v>
      </c>
      <c r="R41">
        <v>33</v>
      </c>
      <c r="S41">
        <v>21780</v>
      </c>
      <c r="T41">
        <v>30</v>
      </c>
      <c r="U41">
        <v>19800</v>
      </c>
      <c r="V41">
        <v>31</v>
      </c>
      <c r="W41">
        <v>20460</v>
      </c>
      <c r="X41">
        <v>32</v>
      </c>
      <c r="Y41">
        <v>21120</v>
      </c>
      <c r="Z41">
        <v>32</v>
      </c>
      <c r="AA41">
        <v>21120</v>
      </c>
      <c r="AB41">
        <v>29</v>
      </c>
      <c r="AC41">
        <v>19140</v>
      </c>
      <c r="AD41">
        <v>30</v>
      </c>
      <c r="AE41">
        <v>19800</v>
      </c>
      <c r="AF41">
        <v>27</v>
      </c>
      <c r="AG41">
        <v>17820</v>
      </c>
      <c r="AH41">
        <v>14.381702637007317</v>
      </c>
      <c r="AI41">
        <v>9491.9237404248288</v>
      </c>
      <c r="AJ41">
        <v>21</v>
      </c>
      <c r="AK41">
        <v>13860</v>
      </c>
      <c r="AL41">
        <v>37</v>
      </c>
      <c r="AM41">
        <v>24420</v>
      </c>
      <c r="AN41">
        <v>24</v>
      </c>
      <c r="AO41">
        <v>15840</v>
      </c>
      <c r="AP41">
        <v>24</v>
      </c>
      <c r="AQ41">
        <v>15840</v>
      </c>
      <c r="AR41">
        <v>30</v>
      </c>
      <c r="AS41">
        <v>19800</v>
      </c>
      <c r="AT41">
        <v>29</v>
      </c>
      <c r="AU41">
        <v>19140</v>
      </c>
      <c r="AV41">
        <v>24</v>
      </c>
      <c r="AW41">
        <v>15840</v>
      </c>
      <c r="AX41">
        <v>30</v>
      </c>
      <c r="AY41">
        <v>19800</v>
      </c>
      <c r="AZ41">
        <v>37</v>
      </c>
      <c r="BA41">
        <v>24420</v>
      </c>
      <c r="BB41">
        <v>35</v>
      </c>
      <c r="BC41">
        <v>23100</v>
      </c>
      <c r="BD41">
        <v>23</v>
      </c>
      <c r="BE41">
        <v>15180</v>
      </c>
      <c r="BF41">
        <v>28</v>
      </c>
      <c r="BG41">
        <v>18480</v>
      </c>
      <c r="BH41">
        <v>38</v>
      </c>
      <c r="BI41">
        <v>25080</v>
      </c>
      <c r="BJ41">
        <v>33</v>
      </c>
      <c r="BK41">
        <v>21780</v>
      </c>
      <c r="BL41">
        <v>28</v>
      </c>
      <c r="BM41">
        <v>18480</v>
      </c>
      <c r="BN41">
        <v>6.1112939932234367</v>
      </c>
      <c r="BO41">
        <v>4033.454035527468</v>
      </c>
      <c r="BP41">
        <v>32</v>
      </c>
      <c r="BQ41">
        <v>21120</v>
      </c>
      <c r="BR41">
        <v>32.653341753371357</v>
      </c>
      <c r="BS41">
        <v>21551.205557225097</v>
      </c>
      <c r="BT41">
        <v>34</v>
      </c>
      <c r="BU41">
        <v>22440</v>
      </c>
      <c r="BV41">
        <v>29.194713888461745</v>
      </c>
      <c r="BW41">
        <v>19268.511166384753</v>
      </c>
      <c r="BX41">
        <v>21.159090806474687</v>
      </c>
      <c r="BY41">
        <v>13964.999932273293</v>
      </c>
      <c r="BZ41">
        <v>7.5504073913026222</v>
      </c>
      <c r="CA41">
        <v>4983.2688782597306</v>
      </c>
      <c r="CB41">
        <v>36</v>
      </c>
      <c r="CC41">
        <v>23760</v>
      </c>
      <c r="CD41">
        <v>23</v>
      </c>
      <c r="CE41">
        <v>15180</v>
      </c>
      <c r="CF41">
        <v>26</v>
      </c>
      <c r="CG41">
        <v>17160</v>
      </c>
      <c r="CH41">
        <v>26.718482023136993</v>
      </c>
      <c r="CI41">
        <v>17634.198135270413</v>
      </c>
      <c r="CJ41">
        <v>4.291250340188979</v>
      </c>
      <c r="CK41">
        <v>2832.2252245247259</v>
      </c>
      <c r="CL41">
        <v>2.8330264998047081</v>
      </c>
      <c r="CM41">
        <v>1869.7974898711072</v>
      </c>
      <c r="CN41">
        <v>25</v>
      </c>
      <c r="CO41">
        <v>16500</v>
      </c>
      <c r="CP41">
        <v>35</v>
      </c>
      <c r="CQ41">
        <v>23100</v>
      </c>
      <c r="CR41">
        <v>35</v>
      </c>
      <c r="CS41">
        <v>23100</v>
      </c>
      <c r="CT41">
        <v>22</v>
      </c>
      <c r="CU41">
        <v>14520</v>
      </c>
    </row>
    <row r="42" spans="2:99" x14ac:dyDescent="0.2">
      <c r="C42" s="118" t="s">
        <v>208</v>
      </c>
      <c r="D42">
        <v>0</v>
      </c>
      <c r="E42">
        <v>0</v>
      </c>
      <c r="F42">
        <v>22.26427870866641</v>
      </c>
      <c r="G42">
        <v>18835.579787531784</v>
      </c>
      <c r="H42">
        <v>24</v>
      </c>
      <c r="I42">
        <v>20304</v>
      </c>
      <c r="J42">
        <v>9.8084930124982641</v>
      </c>
      <c r="K42">
        <v>8297.9850885735323</v>
      </c>
      <c r="L42">
        <v>28</v>
      </c>
      <c r="M42">
        <v>23688</v>
      </c>
      <c r="N42">
        <v>32</v>
      </c>
      <c r="O42">
        <v>27072</v>
      </c>
      <c r="P42">
        <v>25</v>
      </c>
      <c r="Q42">
        <v>21150</v>
      </c>
      <c r="R42">
        <v>33</v>
      </c>
      <c r="S42">
        <v>27918</v>
      </c>
      <c r="T42">
        <v>29</v>
      </c>
      <c r="U42">
        <v>24534</v>
      </c>
      <c r="V42">
        <v>37</v>
      </c>
      <c r="W42">
        <v>31302</v>
      </c>
      <c r="X42">
        <v>28</v>
      </c>
      <c r="Y42">
        <v>23688</v>
      </c>
      <c r="Z42">
        <v>34</v>
      </c>
      <c r="AA42">
        <v>28764</v>
      </c>
      <c r="AB42">
        <v>26</v>
      </c>
      <c r="AC42">
        <v>21996</v>
      </c>
      <c r="AD42">
        <v>30</v>
      </c>
      <c r="AE42">
        <v>25380</v>
      </c>
      <c r="AF42">
        <v>27</v>
      </c>
      <c r="AG42">
        <v>22842</v>
      </c>
      <c r="AH42">
        <v>14.381702637007317</v>
      </c>
      <c r="AI42">
        <v>12166.920430908191</v>
      </c>
      <c r="AJ42">
        <v>20</v>
      </c>
      <c r="AK42">
        <v>16920</v>
      </c>
      <c r="AL42">
        <v>33</v>
      </c>
      <c r="AM42">
        <v>27918</v>
      </c>
      <c r="AN42">
        <v>22</v>
      </c>
      <c r="AO42">
        <v>18612</v>
      </c>
      <c r="AP42">
        <v>23</v>
      </c>
      <c r="AQ42">
        <v>19458</v>
      </c>
      <c r="AR42">
        <v>29</v>
      </c>
      <c r="AS42">
        <v>24534</v>
      </c>
      <c r="AT42">
        <v>29</v>
      </c>
      <c r="AU42">
        <v>24534</v>
      </c>
      <c r="AV42">
        <v>27</v>
      </c>
      <c r="AW42">
        <v>22842</v>
      </c>
      <c r="AX42">
        <v>29</v>
      </c>
      <c r="AY42">
        <v>24534</v>
      </c>
      <c r="AZ42">
        <v>34</v>
      </c>
      <c r="BA42">
        <v>28764</v>
      </c>
      <c r="BB42">
        <v>35</v>
      </c>
      <c r="BC42">
        <v>29610</v>
      </c>
      <c r="BD42">
        <v>21</v>
      </c>
      <c r="BE42">
        <v>17766</v>
      </c>
      <c r="BF42">
        <v>32</v>
      </c>
      <c r="BG42">
        <v>27072</v>
      </c>
      <c r="BH42">
        <v>34</v>
      </c>
      <c r="BI42">
        <v>28764</v>
      </c>
      <c r="BJ42">
        <v>35</v>
      </c>
      <c r="BK42">
        <v>29610</v>
      </c>
      <c r="BL42">
        <v>29</v>
      </c>
      <c r="BM42">
        <v>24534</v>
      </c>
      <c r="BN42">
        <v>5.8335079026223715</v>
      </c>
      <c r="BO42">
        <v>4935.1476856185263</v>
      </c>
      <c r="BP42">
        <v>31</v>
      </c>
      <c r="BQ42">
        <v>26226</v>
      </c>
      <c r="BR42">
        <v>28.356849417401442</v>
      </c>
      <c r="BS42">
        <v>23989.89460712162</v>
      </c>
      <c r="BT42">
        <v>37</v>
      </c>
      <c r="BU42">
        <v>31302</v>
      </c>
      <c r="BV42">
        <v>26.45770946141846</v>
      </c>
      <c r="BW42">
        <v>22383.222204360016</v>
      </c>
      <c r="BX42">
        <v>23.980302914004646</v>
      </c>
      <c r="BY42">
        <v>20287.33626524793</v>
      </c>
      <c r="BZ42">
        <v>7.7939689200543203</v>
      </c>
      <c r="CA42">
        <v>6593.6977063659551</v>
      </c>
      <c r="CB42">
        <v>34</v>
      </c>
      <c r="CC42">
        <v>28764</v>
      </c>
      <c r="CD42">
        <v>20</v>
      </c>
      <c r="CE42">
        <v>16920</v>
      </c>
      <c r="CF42">
        <v>22</v>
      </c>
      <c r="CG42">
        <v>18612</v>
      </c>
      <c r="CH42">
        <v>24.609128179205126</v>
      </c>
      <c r="CI42">
        <v>20819.322439607535</v>
      </c>
      <c r="CJ42">
        <v>3.5339708683909241</v>
      </c>
      <c r="CK42">
        <v>2989.7393546587218</v>
      </c>
      <c r="CL42">
        <v>2.7280995924045337</v>
      </c>
      <c r="CM42">
        <v>2307.9722551742357</v>
      </c>
      <c r="CN42">
        <v>24</v>
      </c>
      <c r="CO42">
        <v>20304</v>
      </c>
      <c r="CP42">
        <v>38</v>
      </c>
      <c r="CQ42">
        <v>32148</v>
      </c>
      <c r="CR42">
        <v>35</v>
      </c>
      <c r="CS42">
        <v>29610</v>
      </c>
      <c r="CT42">
        <v>23</v>
      </c>
      <c r="CU42">
        <v>19458</v>
      </c>
    </row>
    <row r="43" spans="2:99" x14ac:dyDescent="0.2">
      <c r="C43" s="118" t="s">
        <v>209</v>
      </c>
      <c r="D43">
        <v>0</v>
      </c>
      <c r="E43">
        <v>0</v>
      </c>
      <c r="F43">
        <v>18.653855134288072</v>
      </c>
      <c r="G43">
        <v>19071.701489296123</v>
      </c>
      <c r="H43">
        <v>27</v>
      </c>
      <c r="I43">
        <v>27604.799999999999</v>
      </c>
      <c r="J43">
        <v>10.124896012901434</v>
      </c>
      <c r="K43">
        <v>10351.693683590425</v>
      </c>
      <c r="L43">
        <v>26</v>
      </c>
      <c r="M43">
        <v>26582.399999999998</v>
      </c>
      <c r="N43">
        <v>33</v>
      </c>
      <c r="O43">
        <v>33739.199999999997</v>
      </c>
      <c r="P43">
        <v>29</v>
      </c>
      <c r="Q43">
        <v>29649.599999999999</v>
      </c>
      <c r="R43">
        <v>30</v>
      </c>
      <c r="S43">
        <v>30672</v>
      </c>
      <c r="T43">
        <v>31</v>
      </c>
      <c r="U43">
        <v>31694.399999999998</v>
      </c>
      <c r="V43">
        <v>34</v>
      </c>
      <c r="W43">
        <v>34761.599999999999</v>
      </c>
      <c r="X43">
        <v>28</v>
      </c>
      <c r="Y43">
        <v>28627.200000000001</v>
      </c>
      <c r="Z43">
        <v>34</v>
      </c>
      <c r="AA43">
        <v>34761.599999999999</v>
      </c>
      <c r="AB43">
        <v>30</v>
      </c>
      <c r="AC43">
        <v>30672</v>
      </c>
      <c r="AD43">
        <v>32</v>
      </c>
      <c r="AE43">
        <v>32716.799999999999</v>
      </c>
      <c r="AF43">
        <v>25</v>
      </c>
      <c r="AG43">
        <v>25560</v>
      </c>
      <c r="AH43">
        <v>13.624770919270089</v>
      </c>
      <c r="AI43">
        <v>13929.965787861738</v>
      </c>
      <c r="AJ43">
        <v>19</v>
      </c>
      <c r="AK43">
        <v>19425.599999999999</v>
      </c>
      <c r="AL43">
        <v>32</v>
      </c>
      <c r="AM43">
        <v>32716.799999999999</v>
      </c>
      <c r="AN43">
        <v>20</v>
      </c>
      <c r="AO43">
        <v>20448</v>
      </c>
      <c r="AP43">
        <v>23</v>
      </c>
      <c r="AQ43">
        <v>23515.200000000001</v>
      </c>
      <c r="AR43">
        <v>29</v>
      </c>
      <c r="AS43">
        <v>29649.599999999999</v>
      </c>
      <c r="AT43">
        <v>31</v>
      </c>
      <c r="AU43">
        <v>31694.399999999998</v>
      </c>
      <c r="AV43">
        <v>25</v>
      </c>
      <c r="AW43">
        <v>25560</v>
      </c>
      <c r="AX43">
        <v>26</v>
      </c>
      <c r="AY43">
        <v>26582.399999999998</v>
      </c>
      <c r="AZ43">
        <v>37</v>
      </c>
      <c r="BA43">
        <v>37828.799999999996</v>
      </c>
      <c r="BB43">
        <v>37</v>
      </c>
      <c r="BC43">
        <v>37828.799999999996</v>
      </c>
      <c r="BD43">
        <v>20</v>
      </c>
      <c r="BE43">
        <v>20448</v>
      </c>
      <c r="BF43">
        <v>30</v>
      </c>
      <c r="BG43">
        <v>30672</v>
      </c>
      <c r="BH43">
        <v>38</v>
      </c>
      <c r="BI43">
        <v>38851.199999999997</v>
      </c>
      <c r="BJ43">
        <v>33</v>
      </c>
      <c r="BK43">
        <v>33739.199999999997</v>
      </c>
      <c r="BL43">
        <v>26</v>
      </c>
      <c r="BM43">
        <v>26582.399999999998</v>
      </c>
      <c r="BN43">
        <v>6.1112939932234367</v>
      </c>
      <c r="BO43">
        <v>6248.1869786716416</v>
      </c>
      <c r="BP43">
        <v>29</v>
      </c>
      <c r="BQ43">
        <v>29649.599999999999</v>
      </c>
      <c r="BR43">
        <v>26.638252483013474</v>
      </c>
      <c r="BS43">
        <v>27234.949338632974</v>
      </c>
      <c r="BT43">
        <v>37</v>
      </c>
      <c r="BU43">
        <v>37828.799999999996</v>
      </c>
      <c r="BV43">
        <v>24.6330398433896</v>
      </c>
      <c r="BW43">
        <v>25184.819935881525</v>
      </c>
      <c r="BX43">
        <v>23.980302914004646</v>
      </c>
      <c r="BY43">
        <v>24517.461699278349</v>
      </c>
      <c r="BZ43">
        <v>7.0632843337992268</v>
      </c>
      <c r="CA43">
        <v>7221.501902876329</v>
      </c>
      <c r="CB43">
        <v>36</v>
      </c>
      <c r="CC43">
        <v>36806.400000000001</v>
      </c>
      <c r="CD43">
        <v>21</v>
      </c>
      <c r="CE43">
        <v>21470.399999999998</v>
      </c>
      <c r="CF43">
        <v>21</v>
      </c>
      <c r="CG43">
        <v>21470.399999999998</v>
      </c>
      <c r="CH43">
        <v>26.015364075159706</v>
      </c>
      <c r="CI43">
        <v>26598.108230443282</v>
      </c>
      <c r="CJ43">
        <v>4.0388238495896269</v>
      </c>
      <c r="CK43">
        <v>4129.2935038204341</v>
      </c>
      <c r="CL43">
        <v>2.8330264998047081</v>
      </c>
      <c r="CM43">
        <v>2896.4862934003336</v>
      </c>
      <c r="CN43">
        <v>24</v>
      </c>
      <c r="CO43">
        <v>24537.599999999999</v>
      </c>
      <c r="CP43">
        <v>39</v>
      </c>
      <c r="CQ43">
        <v>39873.599999999999</v>
      </c>
      <c r="CR43">
        <v>32</v>
      </c>
      <c r="CS43">
        <v>32716.799999999999</v>
      </c>
      <c r="CT43">
        <v>21</v>
      </c>
      <c r="CU43">
        <v>21470.399999999998</v>
      </c>
    </row>
    <row r="44" spans="2:99" x14ac:dyDescent="0.2">
      <c r="C44" s="118" t="s">
        <v>210</v>
      </c>
      <c r="D44">
        <v>0</v>
      </c>
      <c r="E44">
        <v>0</v>
      </c>
      <c r="F44">
        <v>22.26427870866641</v>
      </c>
      <c r="G44">
        <v>22762.998551740537</v>
      </c>
      <c r="H44">
        <v>27</v>
      </c>
      <c r="I44">
        <v>27604.799999999999</v>
      </c>
      <c r="J44">
        <v>10.124896012901434</v>
      </c>
      <c r="K44">
        <v>10351.693683590425</v>
      </c>
      <c r="L44">
        <v>25</v>
      </c>
      <c r="M44">
        <v>25560</v>
      </c>
      <c r="N44">
        <v>30</v>
      </c>
      <c r="O44">
        <v>30672</v>
      </c>
      <c r="P44">
        <v>29</v>
      </c>
      <c r="Q44">
        <v>29649.599999999999</v>
      </c>
      <c r="R44">
        <v>31</v>
      </c>
      <c r="S44">
        <v>31694.399999999998</v>
      </c>
      <c r="T44">
        <v>28</v>
      </c>
      <c r="U44">
        <v>28627.200000000001</v>
      </c>
      <c r="V44">
        <v>32</v>
      </c>
      <c r="W44">
        <v>32716.799999999999</v>
      </c>
      <c r="X44">
        <v>29</v>
      </c>
      <c r="Y44">
        <v>29649.599999999999</v>
      </c>
      <c r="Z44">
        <v>33</v>
      </c>
      <c r="AA44">
        <v>33739.199999999997</v>
      </c>
      <c r="AB44">
        <v>25</v>
      </c>
      <c r="AC44">
        <v>25560</v>
      </c>
      <c r="AD44">
        <v>33</v>
      </c>
      <c r="AE44">
        <v>33739.199999999997</v>
      </c>
      <c r="AF44">
        <v>25</v>
      </c>
      <c r="AG44">
        <v>25560</v>
      </c>
      <c r="AH44">
        <v>14.381702637007317</v>
      </c>
      <c r="AI44">
        <v>14703.852776076281</v>
      </c>
      <c r="AJ44">
        <v>19</v>
      </c>
      <c r="AK44">
        <v>19425.599999999999</v>
      </c>
      <c r="AL44">
        <v>34</v>
      </c>
      <c r="AM44">
        <v>34761.599999999999</v>
      </c>
      <c r="AN44">
        <v>23</v>
      </c>
      <c r="AO44">
        <v>23515.200000000001</v>
      </c>
      <c r="AP44">
        <v>23</v>
      </c>
      <c r="AQ44">
        <v>23515.200000000001</v>
      </c>
      <c r="AR44">
        <v>29</v>
      </c>
      <c r="AS44">
        <v>29649.599999999999</v>
      </c>
      <c r="AT44">
        <v>27</v>
      </c>
      <c r="AU44">
        <v>27604.799999999999</v>
      </c>
      <c r="AV44">
        <v>22</v>
      </c>
      <c r="AW44">
        <v>22492.799999999999</v>
      </c>
      <c r="AX44">
        <v>24</v>
      </c>
      <c r="AY44">
        <v>24537.599999999999</v>
      </c>
      <c r="AZ44">
        <v>33</v>
      </c>
      <c r="BA44">
        <v>33739.199999999997</v>
      </c>
      <c r="BB44">
        <v>36</v>
      </c>
      <c r="BC44">
        <v>36806.400000000001</v>
      </c>
      <c r="BD44">
        <v>21</v>
      </c>
      <c r="BE44">
        <v>21470.399999999998</v>
      </c>
      <c r="BF44">
        <v>28</v>
      </c>
      <c r="BG44">
        <v>28627.200000000001</v>
      </c>
      <c r="BH44">
        <v>35</v>
      </c>
      <c r="BI44">
        <v>35784</v>
      </c>
      <c r="BJ44">
        <v>31</v>
      </c>
      <c r="BK44">
        <v>31694.399999999998</v>
      </c>
      <c r="BL44">
        <v>27</v>
      </c>
      <c r="BM44">
        <v>27604.799999999999</v>
      </c>
      <c r="BN44">
        <v>5.8335079026223715</v>
      </c>
      <c r="BO44">
        <v>5964.1784796411121</v>
      </c>
      <c r="BP44">
        <v>33</v>
      </c>
      <c r="BQ44">
        <v>33739.199999999997</v>
      </c>
      <c r="BR44">
        <v>32.653341753371357</v>
      </c>
      <c r="BS44">
        <v>33384.776608646876</v>
      </c>
      <c r="BT44">
        <v>35</v>
      </c>
      <c r="BU44">
        <v>35784</v>
      </c>
      <c r="BV44">
        <v>24.6330398433896</v>
      </c>
      <c r="BW44">
        <v>25184.819935881525</v>
      </c>
      <c r="BX44">
        <v>21.159090806474687</v>
      </c>
      <c r="BY44">
        <v>21633.05444053972</v>
      </c>
      <c r="BZ44">
        <v>7.5504073913026222</v>
      </c>
      <c r="CA44">
        <v>7719.5365168678009</v>
      </c>
      <c r="CB44">
        <v>31</v>
      </c>
      <c r="CC44">
        <v>31694.399999999998</v>
      </c>
      <c r="CD44">
        <v>23</v>
      </c>
      <c r="CE44">
        <v>23515.200000000001</v>
      </c>
      <c r="CF44">
        <v>22</v>
      </c>
      <c r="CG44">
        <v>22492.799999999999</v>
      </c>
      <c r="CH44">
        <v>22.499774335273258</v>
      </c>
      <c r="CI44">
        <v>23003.769280383378</v>
      </c>
      <c r="CJ44">
        <v>3.7863973589902757</v>
      </c>
      <c r="CK44">
        <v>3871.2126598316577</v>
      </c>
      <c r="CL44">
        <v>2.9379534072048821</v>
      </c>
      <c r="CM44">
        <v>3003.7635635262714</v>
      </c>
      <c r="CN44">
        <v>21</v>
      </c>
      <c r="CO44">
        <v>21470.399999999998</v>
      </c>
      <c r="CP44">
        <v>39</v>
      </c>
      <c r="CQ44">
        <v>39873.599999999999</v>
      </c>
      <c r="CR44">
        <v>34</v>
      </c>
      <c r="CS44">
        <v>34761.599999999999</v>
      </c>
      <c r="CT44">
        <v>25</v>
      </c>
      <c r="CU44">
        <v>25560</v>
      </c>
    </row>
    <row r="45" spans="2:99" x14ac:dyDescent="0.2">
      <c r="C45" s="118" t="s">
        <v>211</v>
      </c>
      <c r="D45">
        <v>0</v>
      </c>
      <c r="E45">
        <v>0</v>
      </c>
      <c r="F45">
        <v>19.85732965908085</v>
      </c>
      <c r="G45">
        <v>24805.7762101238</v>
      </c>
      <c r="H45">
        <v>24</v>
      </c>
      <c r="I45">
        <v>29980.800000000003</v>
      </c>
      <c r="J45">
        <v>10.124896012901434</v>
      </c>
      <c r="K45">
        <v>12648.020099316473</v>
      </c>
      <c r="L45">
        <v>22</v>
      </c>
      <c r="M45">
        <v>27482.400000000001</v>
      </c>
      <c r="N45">
        <v>30</v>
      </c>
      <c r="O45">
        <v>37476</v>
      </c>
      <c r="P45">
        <v>27</v>
      </c>
      <c r="Q45">
        <v>33728.400000000001</v>
      </c>
      <c r="R45">
        <v>28</v>
      </c>
      <c r="S45">
        <v>34977.599999999999</v>
      </c>
      <c r="T45">
        <v>33</v>
      </c>
      <c r="U45">
        <v>41223.599999999999</v>
      </c>
      <c r="V45">
        <v>33</v>
      </c>
      <c r="W45">
        <v>41223.599999999999</v>
      </c>
      <c r="X45">
        <v>29</v>
      </c>
      <c r="Y45">
        <v>36226.800000000003</v>
      </c>
      <c r="Z45">
        <v>34</v>
      </c>
      <c r="AA45">
        <v>42472.800000000003</v>
      </c>
      <c r="AB45">
        <v>28</v>
      </c>
      <c r="AC45">
        <v>34977.599999999999</v>
      </c>
      <c r="AD45">
        <v>28</v>
      </c>
      <c r="AE45">
        <v>34977.599999999999</v>
      </c>
      <c r="AF45">
        <v>25</v>
      </c>
      <c r="AG45">
        <v>31230</v>
      </c>
      <c r="AH45">
        <v>12.867839201532863</v>
      </c>
      <c r="AI45">
        <v>16074.504730554854</v>
      </c>
      <c r="AJ45">
        <v>18</v>
      </c>
      <c r="AK45">
        <v>22485.600000000002</v>
      </c>
      <c r="AL45">
        <v>33</v>
      </c>
      <c r="AM45">
        <v>41223.599999999999</v>
      </c>
      <c r="AN45">
        <v>24</v>
      </c>
      <c r="AO45">
        <v>29980.800000000003</v>
      </c>
      <c r="AP45">
        <v>21</v>
      </c>
      <c r="AQ45">
        <v>26233.200000000001</v>
      </c>
      <c r="AR45">
        <v>27</v>
      </c>
      <c r="AS45">
        <v>33728.400000000001</v>
      </c>
      <c r="AT45">
        <v>26</v>
      </c>
      <c r="AU45">
        <v>32479.200000000001</v>
      </c>
      <c r="AV45">
        <v>24</v>
      </c>
      <c r="AW45">
        <v>29980.800000000003</v>
      </c>
      <c r="AX45">
        <v>27</v>
      </c>
      <c r="AY45">
        <v>33728.400000000001</v>
      </c>
      <c r="AZ45">
        <v>34</v>
      </c>
      <c r="BA45">
        <v>42472.800000000003</v>
      </c>
      <c r="BB45">
        <v>33</v>
      </c>
      <c r="BC45">
        <v>41223.599999999999</v>
      </c>
      <c r="BD45">
        <v>19</v>
      </c>
      <c r="BE45">
        <v>23734.799999999999</v>
      </c>
      <c r="BF45">
        <v>27</v>
      </c>
      <c r="BG45">
        <v>33728.400000000001</v>
      </c>
      <c r="BH45">
        <v>33</v>
      </c>
      <c r="BI45">
        <v>41223.599999999999</v>
      </c>
      <c r="BJ45">
        <v>31</v>
      </c>
      <c r="BK45">
        <v>38725.200000000004</v>
      </c>
      <c r="BL45">
        <v>26</v>
      </c>
      <c r="BM45">
        <v>32479.200000000001</v>
      </c>
      <c r="BN45">
        <v>5.2779357214202411</v>
      </c>
      <c r="BO45">
        <v>6593.1973031981652</v>
      </c>
      <c r="BP45">
        <v>29</v>
      </c>
      <c r="BQ45">
        <v>36226.800000000003</v>
      </c>
      <c r="BR45">
        <v>26.638252483013474</v>
      </c>
      <c r="BS45">
        <v>33276.505001780431</v>
      </c>
      <c r="BT45">
        <v>34</v>
      </c>
      <c r="BU45">
        <v>42472.800000000003</v>
      </c>
      <c r="BV45">
        <v>22.80837022536074</v>
      </c>
      <c r="BW45">
        <v>28492.216085520638</v>
      </c>
      <c r="BX45">
        <v>20.453787779592201</v>
      </c>
      <c r="BY45">
        <v>25550.871694266578</v>
      </c>
      <c r="BZ45">
        <v>7.3068458625509249</v>
      </c>
      <c r="CA45">
        <v>9127.7118514986159</v>
      </c>
      <c r="CB45">
        <v>33</v>
      </c>
      <c r="CC45">
        <v>41223.599999999999</v>
      </c>
      <c r="CD45">
        <v>22</v>
      </c>
      <c r="CE45">
        <v>27482.400000000001</v>
      </c>
      <c r="CF45">
        <v>24</v>
      </c>
      <c r="CG45">
        <v>29980.800000000003</v>
      </c>
      <c r="CH45">
        <v>21.796656387295968</v>
      </c>
      <c r="CI45">
        <v>27228.383159010125</v>
      </c>
      <c r="CJ45">
        <v>3.9126106042899518</v>
      </c>
      <c r="CK45">
        <v>4887.6331668790081</v>
      </c>
      <c r="CL45">
        <v>2.8330264998047081</v>
      </c>
      <c r="CM45">
        <v>3539.0167035560416</v>
      </c>
      <c r="CN45">
        <v>23</v>
      </c>
      <c r="CO45">
        <v>28731.600000000002</v>
      </c>
      <c r="CP45">
        <v>37</v>
      </c>
      <c r="CQ45">
        <v>46220.4</v>
      </c>
      <c r="CR45">
        <v>29</v>
      </c>
      <c r="CS45">
        <v>36226.800000000003</v>
      </c>
      <c r="CT45">
        <v>22</v>
      </c>
      <c r="CU45">
        <v>27482.400000000001</v>
      </c>
    </row>
    <row r="46" spans="2:99" x14ac:dyDescent="0.2">
      <c r="C46" s="118" t="s">
        <v>212</v>
      </c>
      <c r="D46">
        <v>0</v>
      </c>
      <c r="E46">
        <v>0</v>
      </c>
      <c r="F46">
        <v>19.85732965908085</v>
      </c>
      <c r="G46">
        <v>24067.083546805992</v>
      </c>
      <c r="H46">
        <v>25</v>
      </c>
      <c r="I46">
        <v>30300</v>
      </c>
      <c r="J46">
        <v>10.441299013304606</v>
      </c>
      <c r="K46">
        <v>12654.854404125183</v>
      </c>
      <c r="L46">
        <v>25</v>
      </c>
      <c r="M46">
        <v>30300</v>
      </c>
      <c r="N46">
        <v>31</v>
      </c>
      <c r="O46">
        <v>37572</v>
      </c>
      <c r="P46">
        <v>25</v>
      </c>
      <c r="Q46">
        <v>30300</v>
      </c>
      <c r="R46">
        <v>30</v>
      </c>
      <c r="S46">
        <v>36360</v>
      </c>
      <c r="T46">
        <v>30</v>
      </c>
      <c r="U46">
        <v>36360</v>
      </c>
      <c r="V46">
        <v>30</v>
      </c>
      <c r="W46">
        <v>36360</v>
      </c>
      <c r="X46">
        <v>30</v>
      </c>
      <c r="Y46">
        <v>36360</v>
      </c>
      <c r="Z46">
        <v>33</v>
      </c>
      <c r="AA46">
        <v>39996</v>
      </c>
      <c r="AB46">
        <v>29</v>
      </c>
      <c r="AC46">
        <v>35148</v>
      </c>
      <c r="AD46">
        <v>31</v>
      </c>
      <c r="AE46">
        <v>37572</v>
      </c>
      <c r="AF46">
        <v>27</v>
      </c>
      <c r="AG46">
        <v>32724</v>
      </c>
      <c r="AH46">
        <v>13.624770919270089</v>
      </c>
      <c r="AI46">
        <v>16513.222354155347</v>
      </c>
      <c r="AJ46">
        <v>19</v>
      </c>
      <c r="AK46">
        <v>23028</v>
      </c>
      <c r="AL46">
        <v>36</v>
      </c>
      <c r="AM46">
        <v>43632</v>
      </c>
      <c r="AN46">
        <v>20</v>
      </c>
      <c r="AO46">
        <v>24240</v>
      </c>
      <c r="AP46">
        <v>24</v>
      </c>
      <c r="AQ46">
        <v>29088</v>
      </c>
      <c r="AR46">
        <v>32</v>
      </c>
      <c r="AS46">
        <v>38784</v>
      </c>
      <c r="AT46">
        <v>32</v>
      </c>
      <c r="AU46">
        <v>38784</v>
      </c>
      <c r="AV46">
        <v>26</v>
      </c>
      <c r="AW46">
        <v>31512</v>
      </c>
      <c r="AX46">
        <v>27</v>
      </c>
      <c r="AY46">
        <v>32724</v>
      </c>
      <c r="AZ46">
        <v>35</v>
      </c>
      <c r="BA46">
        <v>42420</v>
      </c>
      <c r="BB46">
        <v>37</v>
      </c>
      <c r="BC46">
        <v>44844</v>
      </c>
      <c r="BD46">
        <v>20</v>
      </c>
      <c r="BE46">
        <v>24240</v>
      </c>
      <c r="BF46">
        <v>27</v>
      </c>
      <c r="BG46">
        <v>32724</v>
      </c>
      <c r="BH46">
        <v>36</v>
      </c>
      <c r="BI46">
        <v>43632</v>
      </c>
      <c r="BJ46">
        <v>36</v>
      </c>
      <c r="BK46">
        <v>43632</v>
      </c>
      <c r="BL46">
        <v>29</v>
      </c>
      <c r="BM46">
        <v>35148</v>
      </c>
      <c r="BN46">
        <v>5.5557218120213063</v>
      </c>
      <c r="BO46">
        <v>6733.5348361698234</v>
      </c>
      <c r="BP46">
        <v>31</v>
      </c>
      <c r="BQ46">
        <v>37572</v>
      </c>
      <c r="BR46">
        <v>27.497550950207458</v>
      </c>
      <c r="BS46">
        <v>33327.031751651441</v>
      </c>
      <c r="BT46">
        <v>32</v>
      </c>
      <c r="BU46">
        <v>38784</v>
      </c>
      <c r="BV46">
        <v>22.80837022536074</v>
      </c>
      <c r="BW46">
        <v>27643.744713137217</v>
      </c>
      <c r="BX46">
        <v>21.864393833357177</v>
      </c>
      <c r="BY46">
        <v>26499.645326028898</v>
      </c>
      <c r="BZ46">
        <v>7.5504073913026222</v>
      </c>
      <c r="CA46">
        <v>9151.0937582587776</v>
      </c>
      <c r="CB46">
        <v>37</v>
      </c>
      <c r="CC46">
        <v>44844</v>
      </c>
      <c r="CD46">
        <v>22</v>
      </c>
      <c r="CE46">
        <v>26664</v>
      </c>
      <c r="CF46">
        <v>23</v>
      </c>
      <c r="CG46">
        <v>27876</v>
      </c>
      <c r="CH46">
        <v>24.609128179205126</v>
      </c>
      <c r="CI46">
        <v>29826.263353196613</v>
      </c>
      <c r="CJ46">
        <v>3.9126106042899518</v>
      </c>
      <c r="CK46">
        <v>4742.0840523994211</v>
      </c>
      <c r="CL46">
        <v>3.0428803146050565</v>
      </c>
      <c r="CM46">
        <v>3687.9709413013284</v>
      </c>
      <c r="CN46">
        <v>21</v>
      </c>
      <c r="CO46">
        <v>25452</v>
      </c>
      <c r="CP46">
        <v>33</v>
      </c>
      <c r="CQ46">
        <v>39996</v>
      </c>
      <c r="CR46">
        <v>30</v>
      </c>
      <c r="CS46">
        <v>36360</v>
      </c>
      <c r="CT46">
        <v>23</v>
      </c>
      <c r="CU46">
        <v>27876</v>
      </c>
    </row>
    <row r="47" spans="2:99" x14ac:dyDescent="0.2">
      <c r="C47" s="118" t="s">
        <v>213</v>
      </c>
      <c r="D47">
        <v>0</v>
      </c>
      <c r="E47">
        <v>0</v>
      </c>
      <c r="F47">
        <v>18.653855134288072</v>
      </c>
      <c r="G47">
        <v>28495.629103138457</v>
      </c>
      <c r="H47">
        <v>25</v>
      </c>
      <c r="I47">
        <v>38190</v>
      </c>
      <c r="J47">
        <v>10.757702013707776</v>
      </c>
      <c r="K47">
        <v>16433.465596139999</v>
      </c>
      <c r="L47">
        <v>25</v>
      </c>
      <c r="M47">
        <v>38190</v>
      </c>
      <c r="N47">
        <v>28</v>
      </c>
      <c r="O47">
        <v>42772.799999999996</v>
      </c>
      <c r="P47">
        <v>26</v>
      </c>
      <c r="Q47">
        <v>39717.599999999999</v>
      </c>
      <c r="R47">
        <v>27</v>
      </c>
      <c r="S47">
        <v>41245.199999999997</v>
      </c>
      <c r="T47">
        <v>32</v>
      </c>
      <c r="U47">
        <v>48883.199999999997</v>
      </c>
      <c r="V47">
        <v>32</v>
      </c>
      <c r="W47">
        <v>48883.199999999997</v>
      </c>
      <c r="X47">
        <v>26</v>
      </c>
      <c r="Y47">
        <v>39717.599999999999</v>
      </c>
      <c r="Z47">
        <v>34</v>
      </c>
      <c r="AA47">
        <v>51938.399999999994</v>
      </c>
      <c r="AB47">
        <v>26</v>
      </c>
      <c r="AC47">
        <v>39717.599999999999</v>
      </c>
      <c r="AD47">
        <v>28</v>
      </c>
      <c r="AE47">
        <v>42772.799999999996</v>
      </c>
      <c r="AF47">
        <v>24</v>
      </c>
      <c r="AG47">
        <v>36662.399999999994</v>
      </c>
      <c r="AH47">
        <v>12.867839201532863</v>
      </c>
      <c r="AI47">
        <v>19656.911164261601</v>
      </c>
      <c r="AJ47">
        <v>19</v>
      </c>
      <c r="AK47">
        <v>29024.399999999998</v>
      </c>
      <c r="AL47">
        <v>32</v>
      </c>
      <c r="AM47">
        <v>48883.199999999997</v>
      </c>
      <c r="AN47">
        <v>24</v>
      </c>
      <c r="AO47">
        <v>36662.399999999994</v>
      </c>
      <c r="AP47">
        <v>22</v>
      </c>
      <c r="AQ47">
        <v>33607.199999999997</v>
      </c>
      <c r="AR47">
        <v>27</v>
      </c>
      <c r="AS47">
        <v>41245.199999999997</v>
      </c>
      <c r="AT47">
        <v>28</v>
      </c>
      <c r="AU47">
        <v>42772.799999999996</v>
      </c>
      <c r="AV47">
        <v>23</v>
      </c>
      <c r="AW47">
        <v>35134.799999999996</v>
      </c>
      <c r="AX47">
        <v>27</v>
      </c>
      <c r="AY47">
        <v>41245.199999999997</v>
      </c>
      <c r="AZ47">
        <v>33</v>
      </c>
      <c r="BA47">
        <v>50410.799999999996</v>
      </c>
      <c r="BB47">
        <v>37</v>
      </c>
      <c r="BC47">
        <v>56521.2</v>
      </c>
      <c r="BD47">
        <v>19</v>
      </c>
      <c r="BE47">
        <v>29024.399999999998</v>
      </c>
      <c r="BF47">
        <v>31</v>
      </c>
      <c r="BG47">
        <v>47355.6</v>
      </c>
      <c r="BH47">
        <v>33</v>
      </c>
      <c r="BI47">
        <v>50410.799999999996</v>
      </c>
      <c r="BJ47">
        <v>32</v>
      </c>
      <c r="BK47">
        <v>48883.199999999997</v>
      </c>
      <c r="BL47">
        <v>28</v>
      </c>
      <c r="BM47">
        <v>42772.799999999996</v>
      </c>
      <c r="BN47">
        <v>5.5557218120213063</v>
      </c>
      <c r="BO47">
        <v>8486.920640043747</v>
      </c>
      <c r="BP47">
        <v>27</v>
      </c>
      <c r="BQ47">
        <v>41245.199999999997</v>
      </c>
      <c r="BR47">
        <v>30.075446351789406</v>
      </c>
      <c r="BS47">
        <v>45943.251846993495</v>
      </c>
      <c r="BT47">
        <v>33</v>
      </c>
      <c r="BU47">
        <v>50410.799999999996</v>
      </c>
      <c r="BV47">
        <v>21.896035416346312</v>
      </c>
      <c r="BW47">
        <v>33448.383702010622</v>
      </c>
      <c r="BX47">
        <v>23.274999887122156</v>
      </c>
      <c r="BY47">
        <v>35554.889827567808</v>
      </c>
      <c r="BZ47">
        <v>6.5761612762958315</v>
      </c>
      <c r="CA47">
        <v>10045.743965669511</v>
      </c>
      <c r="CB47">
        <v>35</v>
      </c>
      <c r="CC47">
        <v>53466</v>
      </c>
      <c r="CD47">
        <v>21</v>
      </c>
      <c r="CE47">
        <v>32079.599999999999</v>
      </c>
      <c r="CF47">
        <v>21</v>
      </c>
      <c r="CG47">
        <v>32079.599999999999</v>
      </c>
      <c r="CH47">
        <v>22.499774335273258</v>
      </c>
      <c r="CI47">
        <v>34370.655274563425</v>
      </c>
      <c r="CJ47">
        <v>3.7863973589902757</v>
      </c>
      <c r="CK47">
        <v>5784.100605593545</v>
      </c>
      <c r="CL47">
        <v>2.6231726850043593</v>
      </c>
      <c r="CM47">
        <v>4007.1585936126589</v>
      </c>
      <c r="CN47">
        <v>20</v>
      </c>
      <c r="CO47">
        <v>30552</v>
      </c>
      <c r="CP47">
        <v>33</v>
      </c>
      <c r="CQ47">
        <v>50410.799999999996</v>
      </c>
      <c r="CR47">
        <v>31</v>
      </c>
      <c r="CS47">
        <v>47355.6</v>
      </c>
      <c r="CT47">
        <v>21</v>
      </c>
      <c r="CU47">
        <v>32079.599999999999</v>
      </c>
    </row>
    <row r="48" spans="2:99" x14ac:dyDescent="0.2">
      <c r="C48" s="118" t="s">
        <v>214</v>
      </c>
      <c r="D48">
        <v>0</v>
      </c>
      <c r="E48">
        <v>0</v>
      </c>
      <c r="F48">
        <v>18.653855134288072</v>
      </c>
      <c r="G48">
        <v>16184.084714508332</v>
      </c>
      <c r="H48">
        <v>27</v>
      </c>
      <c r="I48">
        <v>23425.200000000001</v>
      </c>
      <c r="J48">
        <v>11.706911014917285</v>
      </c>
      <c r="K48">
        <v>10156.915996542237</v>
      </c>
      <c r="L48">
        <v>24</v>
      </c>
      <c r="M48">
        <v>20822.400000000001</v>
      </c>
      <c r="N48">
        <v>30</v>
      </c>
      <c r="O48">
        <v>26028</v>
      </c>
      <c r="P48">
        <v>30</v>
      </c>
      <c r="Q48">
        <v>26028</v>
      </c>
      <c r="R48">
        <v>30</v>
      </c>
      <c r="S48">
        <v>26028</v>
      </c>
      <c r="T48">
        <v>33</v>
      </c>
      <c r="U48">
        <v>28630.799999999999</v>
      </c>
      <c r="V48">
        <v>34</v>
      </c>
      <c r="W48">
        <v>29498.400000000001</v>
      </c>
      <c r="X48">
        <v>31</v>
      </c>
      <c r="Y48">
        <v>26895.600000000002</v>
      </c>
      <c r="Z48">
        <v>37</v>
      </c>
      <c r="AA48">
        <v>32101.200000000001</v>
      </c>
      <c r="AB48">
        <v>28</v>
      </c>
      <c r="AC48">
        <v>24292.799999999999</v>
      </c>
      <c r="AD48">
        <v>31</v>
      </c>
      <c r="AE48">
        <v>26895.600000000002</v>
      </c>
      <c r="AF48">
        <v>27</v>
      </c>
      <c r="AG48">
        <v>23425.200000000001</v>
      </c>
      <c r="AH48">
        <v>13.624770919270089</v>
      </c>
      <c r="AI48">
        <v>11820.851249558729</v>
      </c>
      <c r="AJ48">
        <v>19</v>
      </c>
      <c r="AK48">
        <v>16484.400000000001</v>
      </c>
      <c r="AL48">
        <v>38</v>
      </c>
      <c r="AM48">
        <v>32968.800000000003</v>
      </c>
      <c r="AN48">
        <v>21</v>
      </c>
      <c r="AO48">
        <v>18219.600000000002</v>
      </c>
      <c r="AP48">
        <v>26</v>
      </c>
      <c r="AQ48">
        <v>22557.600000000002</v>
      </c>
      <c r="AR48">
        <v>34</v>
      </c>
      <c r="AS48">
        <v>29498.400000000001</v>
      </c>
      <c r="AT48">
        <v>30</v>
      </c>
      <c r="AU48">
        <v>26028</v>
      </c>
      <c r="AV48">
        <v>23</v>
      </c>
      <c r="AW48">
        <v>19954.8</v>
      </c>
      <c r="AX48">
        <v>28</v>
      </c>
      <c r="AY48">
        <v>24292.799999999999</v>
      </c>
      <c r="AZ48">
        <v>35</v>
      </c>
      <c r="BA48">
        <v>30366</v>
      </c>
      <c r="BB48">
        <v>37</v>
      </c>
      <c r="BC48">
        <v>32101.200000000001</v>
      </c>
      <c r="BD48">
        <v>21</v>
      </c>
      <c r="BE48">
        <v>18219.600000000002</v>
      </c>
      <c r="BF48">
        <v>30</v>
      </c>
      <c r="BG48">
        <v>26028</v>
      </c>
      <c r="BH48">
        <v>39</v>
      </c>
      <c r="BI48">
        <v>33836.400000000001</v>
      </c>
      <c r="BJ48">
        <v>32</v>
      </c>
      <c r="BK48">
        <v>27763.200000000001</v>
      </c>
      <c r="BL48">
        <v>30</v>
      </c>
      <c r="BM48">
        <v>26028</v>
      </c>
      <c r="BN48">
        <v>5.8335079026223715</v>
      </c>
      <c r="BO48">
        <v>5061.1514563151695</v>
      </c>
      <c r="BP48">
        <v>31</v>
      </c>
      <c r="BQ48">
        <v>26895.600000000002</v>
      </c>
      <c r="BR48">
        <v>31.794043286177374</v>
      </c>
      <c r="BS48">
        <v>27584.511955087492</v>
      </c>
      <c r="BT48">
        <v>32</v>
      </c>
      <c r="BU48">
        <v>27763.200000000001</v>
      </c>
      <c r="BV48">
        <v>26.45770946141846</v>
      </c>
      <c r="BW48">
        <v>22954.708728726655</v>
      </c>
      <c r="BX48">
        <v>23.980302914004646</v>
      </c>
      <c r="BY48">
        <v>20805.310808190432</v>
      </c>
      <c r="BZ48">
        <v>7.3068458625509249</v>
      </c>
      <c r="CA48">
        <v>6339.419470349183</v>
      </c>
      <c r="CB48">
        <v>38</v>
      </c>
      <c r="CC48">
        <v>32968.800000000003</v>
      </c>
      <c r="CD48">
        <v>20</v>
      </c>
      <c r="CE48">
        <v>17352</v>
      </c>
      <c r="CF48">
        <v>25</v>
      </c>
      <c r="CG48">
        <v>21690</v>
      </c>
      <c r="CH48">
        <v>26.015364075159706</v>
      </c>
      <c r="CI48">
        <v>22570.929871608561</v>
      </c>
      <c r="CJ48">
        <v>3.7863973589902757</v>
      </c>
      <c r="CK48">
        <v>3285.0783486599635</v>
      </c>
      <c r="CL48">
        <v>2.8330264998047081</v>
      </c>
      <c r="CM48">
        <v>2457.933791230565</v>
      </c>
      <c r="CN48">
        <v>24</v>
      </c>
      <c r="CO48">
        <v>20822.400000000001</v>
      </c>
      <c r="CP48">
        <v>34</v>
      </c>
      <c r="CQ48">
        <v>29498.400000000001</v>
      </c>
      <c r="CR48">
        <v>34</v>
      </c>
      <c r="CS48">
        <v>29498.400000000001</v>
      </c>
      <c r="CT48">
        <v>25</v>
      </c>
      <c r="CU48">
        <v>21690</v>
      </c>
    </row>
    <row r="49" spans="2:99" x14ac:dyDescent="0.2">
      <c r="B49" s="118" t="s">
        <v>129</v>
      </c>
      <c r="C49" s="118" t="s">
        <v>215</v>
      </c>
      <c r="D49">
        <v>29</v>
      </c>
      <c r="E49">
        <v>28570.799999999999</v>
      </c>
      <c r="F49">
        <v>20</v>
      </c>
      <c r="G49">
        <v>19704</v>
      </c>
      <c r="H49">
        <v>13</v>
      </c>
      <c r="I49">
        <v>12807.599999999999</v>
      </c>
      <c r="J49">
        <v>26</v>
      </c>
      <c r="K49">
        <v>25615.199999999997</v>
      </c>
      <c r="L49">
        <v>21.43065584751529</v>
      </c>
      <c r="M49">
        <v>21113.482140972061</v>
      </c>
      <c r="N49">
        <v>5.3382229966535846</v>
      </c>
      <c r="O49">
        <v>5259.2172963031107</v>
      </c>
      <c r="P49">
        <v>1.6854074629163573</v>
      </c>
      <c r="Q49">
        <v>1660.4634324651952</v>
      </c>
      <c r="R49">
        <v>5.8004396003600363</v>
      </c>
      <c r="S49">
        <v>5714.5930942747073</v>
      </c>
      <c r="T49">
        <v>2.2641941265307133</v>
      </c>
      <c r="U49">
        <v>2230.6840534580588</v>
      </c>
      <c r="V49">
        <v>6.3689482775154165</v>
      </c>
      <c r="W49">
        <v>6274.6878430081879</v>
      </c>
      <c r="X49">
        <v>5.1661483669787058</v>
      </c>
      <c r="Y49">
        <v>5089.6893711474204</v>
      </c>
      <c r="Z49">
        <v>5.3084810260689341</v>
      </c>
      <c r="AA49">
        <v>5229.9155068831133</v>
      </c>
      <c r="AB49">
        <v>3.6464038889875852</v>
      </c>
      <c r="AC49">
        <v>3592.4371114305686</v>
      </c>
      <c r="AD49">
        <v>2.8603859250851302</v>
      </c>
      <c r="AE49">
        <v>2818.0522133938703</v>
      </c>
      <c r="AF49">
        <v>8.3070132279380413</v>
      </c>
      <c r="AG49">
        <v>8184.0694321645578</v>
      </c>
      <c r="AH49">
        <v>5.5384245451301402</v>
      </c>
      <c r="AI49">
        <v>5456.4558618622141</v>
      </c>
      <c r="AJ49">
        <v>0</v>
      </c>
      <c r="AK49">
        <v>0</v>
      </c>
      <c r="AL49">
        <v>5.2403036066961022</v>
      </c>
      <c r="AM49">
        <v>5162.7471133169993</v>
      </c>
      <c r="AN49">
        <v>7.2824123996137073</v>
      </c>
      <c r="AO49">
        <v>7174.6326960994238</v>
      </c>
      <c r="AP49">
        <v>2.8889370487884376</v>
      </c>
      <c r="AQ49">
        <v>2846.1807804663686</v>
      </c>
      <c r="AR49">
        <v>1.7282907708634181</v>
      </c>
      <c r="AS49">
        <v>1702.7120674546393</v>
      </c>
      <c r="AT49">
        <v>6.3626796276359725</v>
      </c>
      <c r="AU49">
        <v>6268.5119691469599</v>
      </c>
      <c r="AV49">
        <v>4.1887061225177167</v>
      </c>
      <c r="AW49">
        <v>4126.7132719044539</v>
      </c>
      <c r="AX49">
        <v>3.0544080384846204</v>
      </c>
      <c r="AY49">
        <v>3009.2027995150479</v>
      </c>
      <c r="AZ49">
        <v>2.1073338459552566</v>
      </c>
      <c r="BA49">
        <v>2076.1453050351188</v>
      </c>
      <c r="BB49">
        <v>5.8334138684393357</v>
      </c>
      <c r="BC49">
        <v>5747.0793431864331</v>
      </c>
      <c r="BD49">
        <v>3.4427446843100191</v>
      </c>
      <c r="BE49">
        <v>3391.7920629822306</v>
      </c>
      <c r="BF49">
        <v>15.919802558592787</v>
      </c>
      <c r="BG49">
        <v>15684.189480725612</v>
      </c>
      <c r="BH49">
        <v>5.4706466223750514</v>
      </c>
      <c r="BI49">
        <v>5389.6810523639006</v>
      </c>
      <c r="BJ49">
        <v>3.6344940707547178</v>
      </c>
      <c r="BK49">
        <v>3580.7035585075478</v>
      </c>
      <c r="BL49">
        <v>4.3199068943367172</v>
      </c>
      <c r="BM49">
        <v>4255.9722723005334</v>
      </c>
      <c r="BN49">
        <v>5.2004912336157902</v>
      </c>
      <c r="BO49">
        <v>5123.523963358276</v>
      </c>
      <c r="BP49">
        <v>5.3667936937542837</v>
      </c>
      <c r="BQ49">
        <v>5287.3651470867198</v>
      </c>
      <c r="BR49">
        <v>5.7120497590449348</v>
      </c>
      <c r="BS49">
        <v>5627.5114226110691</v>
      </c>
      <c r="BT49">
        <v>0.27461434378234617</v>
      </c>
      <c r="BU49">
        <v>270.55005149436744</v>
      </c>
      <c r="BV49">
        <v>5.4272690611282961</v>
      </c>
      <c r="BW49">
        <v>5346.9454790235968</v>
      </c>
      <c r="BX49">
        <v>1.1808979771779473</v>
      </c>
      <c r="BY49">
        <v>1163.4206871157137</v>
      </c>
      <c r="BZ49">
        <v>7.402914942961611</v>
      </c>
      <c r="CA49">
        <v>7293.3518018057785</v>
      </c>
      <c r="CB49">
        <v>2.8693793277108446</v>
      </c>
      <c r="CC49">
        <v>2826.912513660724</v>
      </c>
      <c r="CD49">
        <v>4.6993827864902595</v>
      </c>
      <c r="CE49">
        <v>4629.8319212502038</v>
      </c>
      <c r="CF49">
        <v>5.6276303950171185</v>
      </c>
      <c r="CG49">
        <v>5544.3414651708645</v>
      </c>
      <c r="CH49">
        <v>4.4310890667270231</v>
      </c>
      <c r="CI49">
        <v>4365.5089485394628</v>
      </c>
      <c r="CJ49">
        <v>2.2281228787276341</v>
      </c>
      <c r="CK49">
        <v>2195.1466601224652</v>
      </c>
      <c r="CL49">
        <v>5.6706574474791616</v>
      </c>
      <c r="CM49">
        <v>5586.7317172564699</v>
      </c>
      <c r="CN49">
        <v>5.5869574082974429</v>
      </c>
      <c r="CO49">
        <v>5504.2704386546402</v>
      </c>
      <c r="CP49">
        <v>3.8417490991056145</v>
      </c>
      <c r="CQ49">
        <v>3784.8912124388512</v>
      </c>
      <c r="CR49">
        <v>1.0015174910798101</v>
      </c>
      <c r="CS49">
        <v>986.6950322118289</v>
      </c>
      <c r="CT49">
        <v>6.5435124012919905</v>
      </c>
      <c r="CU49">
        <v>6446.6684177528687</v>
      </c>
    </row>
    <row r="50" spans="2:99" x14ac:dyDescent="0.2">
      <c r="C50" s="118" t="s">
        <v>216</v>
      </c>
      <c r="D50">
        <v>0</v>
      </c>
      <c r="E50">
        <v>0</v>
      </c>
      <c r="F50">
        <v>15.043431559909736</v>
      </c>
      <c r="G50">
        <v>4242.2476998945458</v>
      </c>
      <c r="H50">
        <v>15</v>
      </c>
      <c r="I50">
        <v>4230</v>
      </c>
      <c r="J50">
        <v>7.5936720096760757</v>
      </c>
      <c r="K50">
        <v>2141.4155067286533</v>
      </c>
      <c r="L50">
        <v>24</v>
      </c>
      <c r="M50">
        <v>6768</v>
      </c>
      <c r="N50">
        <v>30</v>
      </c>
      <c r="O50">
        <v>8460</v>
      </c>
      <c r="P50">
        <v>22</v>
      </c>
      <c r="Q50">
        <v>6204</v>
      </c>
      <c r="R50">
        <v>27</v>
      </c>
      <c r="S50">
        <v>7614</v>
      </c>
      <c r="T50">
        <v>25</v>
      </c>
      <c r="U50">
        <v>7050</v>
      </c>
      <c r="V50">
        <v>20</v>
      </c>
      <c r="W50">
        <v>5640</v>
      </c>
      <c r="X50">
        <v>20</v>
      </c>
      <c r="Y50">
        <v>5640</v>
      </c>
      <c r="Z50">
        <v>19</v>
      </c>
      <c r="AA50">
        <v>5358</v>
      </c>
      <c r="AB50">
        <v>14</v>
      </c>
      <c r="AC50">
        <v>3948</v>
      </c>
      <c r="AD50">
        <v>26</v>
      </c>
      <c r="AE50">
        <v>7332</v>
      </c>
      <c r="AF50">
        <v>26</v>
      </c>
      <c r="AG50">
        <v>7332</v>
      </c>
      <c r="AH50">
        <v>18.923292943430681</v>
      </c>
      <c r="AI50">
        <v>5336.3686100474524</v>
      </c>
      <c r="AJ50">
        <v>26</v>
      </c>
      <c r="AK50">
        <v>7332</v>
      </c>
      <c r="AL50">
        <v>26</v>
      </c>
      <c r="AM50">
        <v>7332</v>
      </c>
      <c r="AN50">
        <v>21</v>
      </c>
      <c r="AO50">
        <v>5922</v>
      </c>
      <c r="AP50">
        <v>15</v>
      </c>
      <c r="AQ50">
        <v>4230</v>
      </c>
      <c r="AR50">
        <v>26</v>
      </c>
      <c r="AS50">
        <v>7332</v>
      </c>
      <c r="AT50">
        <v>20</v>
      </c>
      <c r="AU50">
        <v>5640</v>
      </c>
      <c r="AV50">
        <v>17</v>
      </c>
      <c r="AW50">
        <v>4794</v>
      </c>
      <c r="AX50">
        <v>17</v>
      </c>
      <c r="AY50">
        <v>4794</v>
      </c>
      <c r="AZ50">
        <v>19</v>
      </c>
      <c r="BA50">
        <v>5358</v>
      </c>
      <c r="BB50">
        <v>18</v>
      </c>
      <c r="BC50">
        <v>5076</v>
      </c>
      <c r="BD50">
        <v>29</v>
      </c>
      <c r="BE50">
        <v>8178</v>
      </c>
      <c r="BF50">
        <v>27</v>
      </c>
      <c r="BG50">
        <v>7614</v>
      </c>
      <c r="BH50">
        <v>28</v>
      </c>
      <c r="BI50">
        <v>7896</v>
      </c>
      <c r="BJ50">
        <v>23</v>
      </c>
      <c r="BK50">
        <v>6486</v>
      </c>
      <c r="BL50">
        <v>19</v>
      </c>
      <c r="BM50">
        <v>5358</v>
      </c>
      <c r="BN50">
        <v>8.333582718031959</v>
      </c>
      <c r="BO50">
        <v>2350.0703264850126</v>
      </c>
      <c r="BP50">
        <v>29</v>
      </c>
      <c r="BQ50">
        <v>8178</v>
      </c>
      <c r="BR50">
        <v>19.763864745461611</v>
      </c>
      <c r="BS50">
        <v>5573.4098582201741</v>
      </c>
      <c r="BT50">
        <v>21</v>
      </c>
      <c r="BU50">
        <v>5922</v>
      </c>
      <c r="BV50">
        <v>14.597356944230873</v>
      </c>
      <c r="BW50">
        <v>4116.4546582731064</v>
      </c>
      <c r="BX50">
        <v>11.990151457002323</v>
      </c>
      <c r="BY50">
        <v>3381.2227108746551</v>
      </c>
      <c r="BZ50">
        <v>4.87123057503395</v>
      </c>
      <c r="CA50">
        <v>1373.6870221595739</v>
      </c>
      <c r="CB50">
        <v>16</v>
      </c>
      <c r="CC50">
        <v>4512</v>
      </c>
      <c r="CD50">
        <v>21</v>
      </c>
      <c r="CE50">
        <v>5922</v>
      </c>
      <c r="CF50">
        <v>29</v>
      </c>
      <c r="CG50">
        <v>8178</v>
      </c>
      <c r="CH50">
        <v>15.468594855500365</v>
      </c>
      <c r="CI50">
        <v>4362.1437492511031</v>
      </c>
      <c r="CJ50">
        <v>2.1456251700944895</v>
      </c>
      <c r="CK50">
        <v>605.06629796664606</v>
      </c>
      <c r="CL50">
        <v>2.8330264998047081</v>
      </c>
      <c r="CM50">
        <v>798.91347294492766</v>
      </c>
      <c r="CN50">
        <v>25</v>
      </c>
      <c r="CO50">
        <v>7050</v>
      </c>
      <c r="CP50">
        <v>25</v>
      </c>
      <c r="CQ50">
        <v>7050</v>
      </c>
      <c r="CR50">
        <v>14</v>
      </c>
      <c r="CS50">
        <v>3948</v>
      </c>
      <c r="CT50">
        <v>28</v>
      </c>
      <c r="CU50">
        <v>7896</v>
      </c>
    </row>
    <row r="51" spans="2:99" x14ac:dyDescent="0.2">
      <c r="C51" s="118" t="s">
        <v>217</v>
      </c>
      <c r="D51">
        <v>0</v>
      </c>
      <c r="E51">
        <v>0</v>
      </c>
      <c r="F51">
        <v>13.839957035116957</v>
      </c>
      <c r="G51">
        <v>11824.859290803928</v>
      </c>
      <c r="H51">
        <v>14</v>
      </c>
      <c r="I51">
        <v>11961.6</v>
      </c>
      <c r="J51">
        <v>7.2772690092729064</v>
      </c>
      <c r="K51">
        <v>6217.6986415227711</v>
      </c>
      <c r="L51">
        <v>22</v>
      </c>
      <c r="M51">
        <v>18796.8</v>
      </c>
      <c r="N51">
        <v>29</v>
      </c>
      <c r="O51">
        <v>24777.599999999999</v>
      </c>
      <c r="P51">
        <v>21</v>
      </c>
      <c r="Q51">
        <v>17942.399999999998</v>
      </c>
      <c r="R51">
        <v>24</v>
      </c>
      <c r="S51">
        <v>20505.599999999999</v>
      </c>
      <c r="T51">
        <v>25</v>
      </c>
      <c r="U51">
        <v>21360</v>
      </c>
      <c r="V51">
        <v>20</v>
      </c>
      <c r="W51">
        <v>17088</v>
      </c>
      <c r="X51">
        <v>18</v>
      </c>
      <c r="Y51">
        <v>15379.199999999999</v>
      </c>
      <c r="Z51">
        <v>20</v>
      </c>
      <c r="AA51">
        <v>17088</v>
      </c>
      <c r="AB51">
        <v>14</v>
      </c>
      <c r="AC51">
        <v>11961.6</v>
      </c>
      <c r="AD51">
        <v>21</v>
      </c>
      <c r="AE51">
        <v>17942.399999999998</v>
      </c>
      <c r="AF51">
        <v>25</v>
      </c>
      <c r="AG51">
        <v>21360</v>
      </c>
      <c r="AH51">
        <v>15.138634354744545</v>
      </c>
      <c r="AI51">
        <v>12934.449192693739</v>
      </c>
      <c r="AJ51">
        <v>26</v>
      </c>
      <c r="AK51">
        <v>22214.399999999998</v>
      </c>
      <c r="AL51">
        <v>26</v>
      </c>
      <c r="AM51">
        <v>22214.399999999998</v>
      </c>
      <c r="AN51">
        <v>17</v>
      </c>
      <c r="AO51">
        <v>14524.8</v>
      </c>
      <c r="AP51">
        <v>15</v>
      </c>
      <c r="AQ51">
        <v>12816</v>
      </c>
      <c r="AR51">
        <v>22</v>
      </c>
      <c r="AS51">
        <v>18796.8</v>
      </c>
      <c r="AT51">
        <v>19</v>
      </c>
      <c r="AU51">
        <v>16233.6</v>
      </c>
      <c r="AV51">
        <v>15</v>
      </c>
      <c r="AW51">
        <v>12816</v>
      </c>
      <c r="AX51">
        <v>16</v>
      </c>
      <c r="AY51">
        <v>13670.4</v>
      </c>
      <c r="AZ51">
        <v>19</v>
      </c>
      <c r="BA51">
        <v>16233.6</v>
      </c>
      <c r="BB51">
        <v>17</v>
      </c>
      <c r="BC51">
        <v>14524.8</v>
      </c>
      <c r="BD51">
        <v>26</v>
      </c>
      <c r="BE51">
        <v>22214.399999999998</v>
      </c>
      <c r="BF51">
        <v>25</v>
      </c>
      <c r="BG51">
        <v>21360</v>
      </c>
      <c r="BH51">
        <v>25</v>
      </c>
      <c r="BI51">
        <v>21360</v>
      </c>
      <c r="BJ51">
        <v>25</v>
      </c>
      <c r="BK51">
        <v>21360</v>
      </c>
      <c r="BL51">
        <v>17</v>
      </c>
      <c r="BM51">
        <v>14524.8</v>
      </c>
      <c r="BN51">
        <v>6.9446522650266322</v>
      </c>
      <c r="BO51">
        <v>5933.5108952387545</v>
      </c>
      <c r="BP51">
        <v>25</v>
      </c>
      <c r="BQ51">
        <v>21360</v>
      </c>
      <c r="BR51">
        <v>21.482461679849578</v>
      </c>
      <c r="BS51">
        <v>18354.615259263479</v>
      </c>
      <c r="BT51">
        <v>21</v>
      </c>
      <c r="BU51">
        <v>17942.399999999998</v>
      </c>
      <c r="BV51">
        <v>15.509691753245303</v>
      </c>
      <c r="BW51">
        <v>13251.480633972786</v>
      </c>
      <c r="BX51">
        <v>10.579545403237343</v>
      </c>
      <c r="BY51">
        <v>9039.1635925259852</v>
      </c>
      <c r="BZ51">
        <v>5.3583536325373444</v>
      </c>
      <c r="CA51">
        <v>4578.1773436399071</v>
      </c>
      <c r="CB51">
        <v>15</v>
      </c>
      <c r="CC51">
        <v>12816</v>
      </c>
      <c r="CD51">
        <v>19</v>
      </c>
      <c r="CE51">
        <v>16233.6</v>
      </c>
      <c r="CF51">
        <v>26</v>
      </c>
      <c r="CG51">
        <v>22214.399999999998</v>
      </c>
      <c r="CH51">
        <v>15.468594855500365</v>
      </c>
      <c r="CI51">
        <v>13216.367444539512</v>
      </c>
      <c r="CJ51">
        <v>2.2718384153941655</v>
      </c>
      <c r="CK51">
        <v>1941.058742112775</v>
      </c>
      <c r="CL51">
        <v>2.8330264998047081</v>
      </c>
      <c r="CM51">
        <v>2420.5378414331426</v>
      </c>
      <c r="CN51">
        <v>24</v>
      </c>
      <c r="CO51">
        <v>20505.599999999999</v>
      </c>
      <c r="CP51">
        <v>23</v>
      </c>
      <c r="CQ51">
        <v>19651.2</v>
      </c>
      <c r="CR51">
        <v>16</v>
      </c>
      <c r="CS51">
        <v>13670.4</v>
      </c>
      <c r="CT51">
        <v>29</v>
      </c>
      <c r="CU51">
        <v>24777.599999999999</v>
      </c>
    </row>
    <row r="52" spans="2:99" x14ac:dyDescent="0.2">
      <c r="C52" s="118" t="s">
        <v>218</v>
      </c>
      <c r="D52">
        <v>0</v>
      </c>
      <c r="E52">
        <v>0</v>
      </c>
      <c r="F52">
        <v>15.043431559909736</v>
      </c>
      <c r="G52">
        <v>8123.4530423512579</v>
      </c>
      <c r="H52">
        <v>14</v>
      </c>
      <c r="I52">
        <v>7560</v>
      </c>
      <c r="J52">
        <v>7.9100750100792458</v>
      </c>
      <c r="K52">
        <v>4271.4405054427925</v>
      </c>
      <c r="L52">
        <v>23</v>
      </c>
      <c r="M52">
        <v>12420</v>
      </c>
      <c r="N52">
        <v>27</v>
      </c>
      <c r="O52">
        <v>14580</v>
      </c>
      <c r="P52">
        <v>20</v>
      </c>
      <c r="Q52">
        <v>10800</v>
      </c>
      <c r="R52">
        <v>23</v>
      </c>
      <c r="S52">
        <v>12420</v>
      </c>
      <c r="T52">
        <v>24</v>
      </c>
      <c r="U52">
        <v>12960</v>
      </c>
      <c r="V52">
        <v>20</v>
      </c>
      <c r="W52">
        <v>10800</v>
      </c>
      <c r="X52">
        <v>19</v>
      </c>
      <c r="Y52">
        <v>10260</v>
      </c>
      <c r="Z52">
        <v>20</v>
      </c>
      <c r="AA52">
        <v>10800</v>
      </c>
      <c r="AB52">
        <v>14</v>
      </c>
      <c r="AC52">
        <v>7560</v>
      </c>
      <c r="AD52">
        <v>25</v>
      </c>
      <c r="AE52">
        <v>13500</v>
      </c>
      <c r="AF52">
        <v>25</v>
      </c>
      <c r="AG52">
        <v>13500</v>
      </c>
      <c r="AH52">
        <v>18.166361225693453</v>
      </c>
      <c r="AI52">
        <v>9809.8350618744644</v>
      </c>
      <c r="AJ52">
        <v>29</v>
      </c>
      <c r="AK52">
        <v>15660</v>
      </c>
      <c r="AL52">
        <v>30</v>
      </c>
      <c r="AM52">
        <v>16200</v>
      </c>
      <c r="AN52">
        <v>20</v>
      </c>
      <c r="AO52">
        <v>10800</v>
      </c>
      <c r="AP52">
        <v>16</v>
      </c>
      <c r="AQ52">
        <v>8640</v>
      </c>
      <c r="AR52">
        <v>23</v>
      </c>
      <c r="AS52">
        <v>12420</v>
      </c>
      <c r="AT52">
        <v>16</v>
      </c>
      <c r="AU52">
        <v>8640</v>
      </c>
      <c r="AV52">
        <v>17</v>
      </c>
      <c r="AW52">
        <v>9180</v>
      </c>
      <c r="AX52">
        <v>16</v>
      </c>
      <c r="AY52">
        <v>8640</v>
      </c>
      <c r="AZ52">
        <v>17</v>
      </c>
      <c r="BA52">
        <v>9180</v>
      </c>
      <c r="BB52">
        <v>18</v>
      </c>
      <c r="BC52">
        <v>9720</v>
      </c>
      <c r="BD52">
        <v>28</v>
      </c>
      <c r="BE52">
        <v>15120</v>
      </c>
      <c r="BF52">
        <v>25</v>
      </c>
      <c r="BG52">
        <v>13500</v>
      </c>
      <c r="BH52">
        <v>26</v>
      </c>
      <c r="BI52">
        <v>14040</v>
      </c>
      <c r="BJ52">
        <v>26</v>
      </c>
      <c r="BK52">
        <v>14040</v>
      </c>
      <c r="BL52">
        <v>16</v>
      </c>
      <c r="BM52">
        <v>8640</v>
      </c>
      <c r="BN52">
        <v>6.6668661744255671</v>
      </c>
      <c r="BO52">
        <v>3600.1077341898063</v>
      </c>
      <c r="BP52">
        <v>24</v>
      </c>
      <c r="BQ52">
        <v>12960</v>
      </c>
      <c r="BR52">
        <v>20.623163212655594</v>
      </c>
      <c r="BS52">
        <v>11136.508134834021</v>
      </c>
      <c r="BT52">
        <v>21</v>
      </c>
      <c r="BU52">
        <v>11340</v>
      </c>
      <c r="BV52">
        <v>14.597356944230873</v>
      </c>
      <c r="BW52">
        <v>7882.5727498846709</v>
      </c>
      <c r="BX52">
        <v>11.284848430119835</v>
      </c>
      <c r="BY52">
        <v>6093.818152264711</v>
      </c>
      <c r="BZ52">
        <v>5.3583536325373444</v>
      </c>
      <c r="CA52">
        <v>2893.5109615701658</v>
      </c>
      <c r="CB52">
        <v>16</v>
      </c>
      <c r="CC52">
        <v>8640</v>
      </c>
      <c r="CD52">
        <v>18</v>
      </c>
      <c r="CE52">
        <v>9720</v>
      </c>
      <c r="CF52">
        <v>26</v>
      </c>
      <c r="CG52">
        <v>14040</v>
      </c>
      <c r="CH52">
        <v>14.062358959545787</v>
      </c>
      <c r="CI52">
        <v>7593.6738381547248</v>
      </c>
      <c r="CJ52">
        <v>2.2718384153941655</v>
      </c>
      <c r="CK52">
        <v>1226.7927443128494</v>
      </c>
      <c r="CL52">
        <v>3.0428803146050565</v>
      </c>
      <c r="CM52">
        <v>1643.1553698867306</v>
      </c>
      <c r="CN52">
        <v>24</v>
      </c>
      <c r="CO52">
        <v>12960</v>
      </c>
      <c r="CP52">
        <v>24</v>
      </c>
      <c r="CQ52">
        <v>12960</v>
      </c>
      <c r="CR52">
        <v>14</v>
      </c>
      <c r="CS52">
        <v>7560</v>
      </c>
      <c r="CT52">
        <v>26</v>
      </c>
      <c r="CU52">
        <v>14040</v>
      </c>
    </row>
    <row r="53" spans="2:99" x14ac:dyDescent="0.2">
      <c r="C53" s="118" t="s">
        <v>219</v>
      </c>
      <c r="D53">
        <v>0</v>
      </c>
      <c r="E53">
        <v>0</v>
      </c>
      <c r="F53">
        <v>12.636482510324178</v>
      </c>
      <c r="G53">
        <v>5140.5210851998763</v>
      </c>
      <c r="H53">
        <v>15</v>
      </c>
      <c r="I53">
        <v>6102</v>
      </c>
      <c r="J53">
        <v>8.542881010885587</v>
      </c>
      <c r="K53">
        <v>3475.2439952282571</v>
      </c>
      <c r="L53">
        <v>25</v>
      </c>
      <c r="M53">
        <v>10170</v>
      </c>
      <c r="N53">
        <v>26</v>
      </c>
      <c r="O53">
        <v>10576.800000000001</v>
      </c>
      <c r="P53">
        <v>19</v>
      </c>
      <c r="Q53">
        <v>7729.2</v>
      </c>
      <c r="R53">
        <v>25</v>
      </c>
      <c r="S53">
        <v>10170</v>
      </c>
      <c r="T53">
        <v>25</v>
      </c>
      <c r="U53">
        <v>10170</v>
      </c>
      <c r="V53">
        <v>19</v>
      </c>
      <c r="W53">
        <v>7729.2</v>
      </c>
      <c r="X53">
        <v>20</v>
      </c>
      <c r="Y53">
        <v>8136</v>
      </c>
      <c r="Z53">
        <v>22</v>
      </c>
      <c r="AA53">
        <v>8949.6</v>
      </c>
      <c r="AB53">
        <v>14</v>
      </c>
      <c r="AC53">
        <v>5695.2</v>
      </c>
      <c r="AD53">
        <v>25</v>
      </c>
      <c r="AE53">
        <v>10170</v>
      </c>
      <c r="AF53">
        <v>22</v>
      </c>
      <c r="AG53">
        <v>8949.6</v>
      </c>
      <c r="AH53">
        <v>18.923292943430681</v>
      </c>
      <c r="AI53">
        <v>7697.9955693876009</v>
      </c>
      <c r="AJ53">
        <v>28</v>
      </c>
      <c r="AK53">
        <v>11390.4</v>
      </c>
      <c r="AL53">
        <v>26</v>
      </c>
      <c r="AM53">
        <v>10576.800000000001</v>
      </c>
      <c r="AN53">
        <v>20</v>
      </c>
      <c r="AO53">
        <v>8136</v>
      </c>
      <c r="AP53">
        <v>17</v>
      </c>
      <c r="AQ53">
        <v>6915.6</v>
      </c>
      <c r="AR53">
        <v>23</v>
      </c>
      <c r="AS53">
        <v>9356.4</v>
      </c>
      <c r="AT53">
        <v>18</v>
      </c>
      <c r="AU53">
        <v>7322.4000000000005</v>
      </c>
      <c r="AV53">
        <v>18</v>
      </c>
      <c r="AW53">
        <v>7322.4000000000005</v>
      </c>
      <c r="AX53">
        <v>17</v>
      </c>
      <c r="AY53">
        <v>6915.6</v>
      </c>
      <c r="AZ53">
        <v>19</v>
      </c>
      <c r="BA53">
        <v>7729.2</v>
      </c>
      <c r="BB53">
        <v>19</v>
      </c>
      <c r="BC53">
        <v>7729.2</v>
      </c>
      <c r="BD53">
        <v>26</v>
      </c>
      <c r="BE53">
        <v>10576.800000000001</v>
      </c>
      <c r="BF53">
        <v>28</v>
      </c>
      <c r="BG53">
        <v>11390.4</v>
      </c>
      <c r="BH53">
        <v>28</v>
      </c>
      <c r="BI53">
        <v>11390.4</v>
      </c>
      <c r="BJ53">
        <v>23</v>
      </c>
      <c r="BK53">
        <v>9356.4</v>
      </c>
      <c r="BL53">
        <v>16</v>
      </c>
      <c r="BM53">
        <v>6508.8</v>
      </c>
      <c r="BN53">
        <v>7.2224383556276974</v>
      </c>
      <c r="BO53">
        <v>2938.0879230693472</v>
      </c>
      <c r="BP53">
        <v>25</v>
      </c>
      <c r="BQ53">
        <v>10170</v>
      </c>
      <c r="BR53">
        <v>19.763864745461611</v>
      </c>
      <c r="BS53">
        <v>8039.9401784537831</v>
      </c>
      <c r="BT53">
        <v>22</v>
      </c>
      <c r="BU53">
        <v>8949.6</v>
      </c>
      <c r="BV53">
        <v>17.334361371274163</v>
      </c>
      <c r="BW53">
        <v>7051.6182058343293</v>
      </c>
      <c r="BX53">
        <v>11.284848430119835</v>
      </c>
      <c r="BY53">
        <v>4590.6763413727494</v>
      </c>
      <c r="BZ53">
        <v>4.87123057503395</v>
      </c>
      <c r="CA53">
        <v>1981.6165979238108</v>
      </c>
      <c r="CB53">
        <v>16</v>
      </c>
      <c r="CC53">
        <v>6508.8</v>
      </c>
      <c r="CD53">
        <v>21</v>
      </c>
      <c r="CE53">
        <v>8542.8000000000011</v>
      </c>
      <c r="CF53">
        <v>28</v>
      </c>
      <c r="CG53">
        <v>11390.4</v>
      </c>
      <c r="CH53">
        <v>14.765476907523077</v>
      </c>
      <c r="CI53">
        <v>6006.5960059803874</v>
      </c>
      <c r="CJ53">
        <v>2.5242649059935167</v>
      </c>
      <c r="CK53">
        <v>1026.8709637581626</v>
      </c>
      <c r="CL53">
        <v>2.6231726850043593</v>
      </c>
      <c r="CM53">
        <v>1067.1066482597735</v>
      </c>
      <c r="CN53">
        <v>21</v>
      </c>
      <c r="CO53">
        <v>8542.8000000000011</v>
      </c>
      <c r="CP53">
        <v>23</v>
      </c>
      <c r="CQ53">
        <v>9356.4</v>
      </c>
      <c r="CR53">
        <v>14</v>
      </c>
      <c r="CS53">
        <v>5695.2</v>
      </c>
      <c r="CT53">
        <v>26</v>
      </c>
      <c r="CU53">
        <v>10576.800000000001</v>
      </c>
    </row>
    <row r="54" spans="2:99" x14ac:dyDescent="0.2">
      <c r="C54" s="118" t="s">
        <v>220</v>
      </c>
      <c r="D54">
        <v>0</v>
      </c>
      <c r="E54">
        <v>0</v>
      </c>
      <c r="F54">
        <v>13.238219772720569</v>
      </c>
      <c r="G54">
        <v>4432.1559799068464</v>
      </c>
      <c r="H54">
        <v>15</v>
      </c>
      <c r="I54">
        <v>5022</v>
      </c>
      <c r="J54">
        <v>7.2772690092729064</v>
      </c>
      <c r="K54">
        <v>2436.4296643045691</v>
      </c>
      <c r="L54">
        <v>25</v>
      </c>
      <c r="M54">
        <v>8370</v>
      </c>
      <c r="N54">
        <v>31</v>
      </c>
      <c r="O54">
        <v>10378.800000000001</v>
      </c>
      <c r="P54">
        <v>23</v>
      </c>
      <c r="Q54">
        <v>7700.4000000000005</v>
      </c>
      <c r="R54">
        <v>28</v>
      </c>
      <c r="S54">
        <v>9374.4</v>
      </c>
      <c r="T54">
        <v>27</v>
      </c>
      <c r="U54">
        <v>9039.6</v>
      </c>
      <c r="V54">
        <v>20</v>
      </c>
      <c r="W54">
        <v>6696</v>
      </c>
      <c r="X54">
        <v>20</v>
      </c>
      <c r="Y54">
        <v>6696</v>
      </c>
      <c r="Z54">
        <v>22</v>
      </c>
      <c r="AA54">
        <v>7365.6</v>
      </c>
      <c r="AB54">
        <v>17</v>
      </c>
      <c r="AC54">
        <v>5691.6</v>
      </c>
      <c r="AD54">
        <v>24</v>
      </c>
      <c r="AE54">
        <v>8035.2000000000007</v>
      </c>
      <c r="AF54">
        <v>27</v>
      </c>
      <c r="AG54">
        <v>9039.6</v>
      </c>
      <c r="AH54">
        <v>18.166361225693453</v>
      </c>
      <c r="AI54">
        <v>6082.0977383621685</v>
      </c>
      <c r="AJ54">
        <v>28</v>
      </c>
      <c r="AK54">
        <v>9374.4</v>
      </c>
      <c r="AL54">
        <v>27</v>
      </c>
      <c r="AM54">
        <v>9039.6</v>
      </c>
      <c r="AN54">
        <v>20</v>
      </c>
      <c r="AO54">
        <v>6696</v>
      </c>
      <c r="AP54">
        <v>16</v>
      </c>
      <c r="AQ54">
        <v>5356.8</v>
      </c>
      <c r="AR54">
        <v>23</v>
      </c>
      <c r="AS54">
        <v>7700.4000000000005</v>
      </c>
      <c r="AT54">
        <v>18</v>
      </c>
      <c r="AU54">
        <v>6026.4000000000005</v>
      </c>
      <c r="AV54">
        <v>17</v>
      </c>
      <c r="AW54">
        <v>5691.6</v>
      </c>
      <c r="AX54">
        <v>14</v>
      </c>
      <c r="AY54">
        <v>4687.2</v>
      </c>
      <c r="AZ54">
        <v>20</v>
      </c>
      <c r="BA54">
        <v>6696</v>
      </c>
      <c r="BB54">
        <v>20</v>
      </c>
      <c r="BC54">
        <v>6696</v>
      </c>
      <c r="BD54">
        <v>26</v>
      </c>
      <c r="BE54">
        <v>8704.8000000000011</v>
      </c>
      <c r="BF54">
        <v>29</v>
      </c>
      <c r="BG54">
        <v>9709.2000000000007</v>
      </c>
      <c r="BH54">
        <v>27</v>
      </c>
      <c r="BI54">
        <v>9039.6</v>
      </c>
      <c r="BJ54">
        <v>25</v>
      </c>
      <c r="BK54">
        <v>8370</v>
      </c>
      <c r="BL54">
        <v>16</v>
      </c>
      <c r="BM54">
        <v>5356.8</v>
      </c>
      <c r="BN54">
        <v>8.0557966274308939</v>
      </c>
      <c r="BO54">
        <v>2697.0807108638633</v>
      </c>
      <c r="BP54">
        <v>28</v>
      </c>
      <c r="BQ54">
        <v>9374.4</v>
      </c>
      <c r="BR54">
        <v>20.623163212655594</v>
      </c>
      <c r="BS54">
        <v>6904.6350435970935</v>
      </c>
      <c r="BT54">
        <v>20</v>
      </c>
      <c r="BU54">
        <v>6696</v>
      </c>
      <c r="BV54">
        <v>16.422026562259731</v>
      </c>
      <c r="BW54">
        <v>5498.0944930445585</v>
      </c>
      <c r="BX54">
        <v>11.990151457002323</v>
      </c>
      <c r="BY54">
        <v>4014.3027078043779</v>
      </c>
      <c r="BZ54">
        <v>5.3583536325373444</v>
      </c>
      <c r="CA54">
        <v>1793.9767961735029</v>
      </c>
      <c r="CB54">
        <v>16</v>
      </c>
      <c r="CC54">
        <v>5356.8</v>
      </c>
      <c r="CD54">
        <v>21</v>
      </c>
      <c r="CE54">
        <v>7030.8</v>
      </c>
      <c r="CF54">
        <v>25</v>
      </c>
      <c r="CG54">
        <v>8370</v>
      </c>
      <c r="CH54">
        <v>14.765476907523077</v>
      </c>
      <c r="CI54">
        <v>4943.4816686387267</v>
      </c>
      <c r="CJ54">
        <v>2.1456251700944895</v>
      </c>
      <c r="CK54">
        <v>718.35530694763509</v>
      </c>
      <c r="CL54">
        <v>3.0428803146050565</v>
      </c>
      <c r="CM54">
        <v>1018.7563293297729</v>
      </c>
      <c r="CN54">
        <v>23</v>
      </c>
      <c r="CO54">
        <v>7700.4000000000005</v>
      </c>
      <c r="CP54">
        <v>24</v>
      </c>
      <c r="CQ54">
        <v>8035.2000000000007</v>
      </c>
      <c r="CR54">
        <v>17</v>
      </c>
      <c r="CS54">
        <v>5691.6</v>
      </c>
      <c r="CT54">
        <v>28</v>
      </c>
      <c r="CU54">
        <v>9374.4</v>
      </c>
    </row>
    <row r="55" spans="2:99" x14ac:dyDescent="0.2">
      <c r="C55" s="118" t="s">
        <v>221</v>
      </c>
      <c r="D55">
        <v>0</v>
      </c>
      <c r="E55">
        <v>0</v>
      </c>
      <c r="F55">
        <v>12.636482510324178</v>
      </c>
      <c r="G55">
        <v>8385.5697938511257</v>
      </c>
      <c r="H55">
        <v>14</v>
      </c>
      <c r="I55">
        <v>9290.4</v>
      </c>
      <c r="J55">
        <v>7.9100750100792458</v>
      </c>
      <c r="K55">
        <v>5249.1257766885874</v>
      </c>
      <c r="L55">
        <v>22</v>
      </c>
      <c r="M55">
        <v>14599.2</v>
      </c>
      <c r="N55">
        <v>25</v>
      </c>
      <c r="O55">
        <v>16590</v>
      </c>
      <c r="P55">
        <v>20</v>
      </c>
      <c r="Q55">
        <v>13272</v>
      </c>
      <c r="R55">
        <v>24</v>
      </c>
      <c r="S55">
        <v>15926.400000000001</v>
      </c>
      <c r="T55">
        <v>24</v>
      </c>
      <c r="U55">
        <v>15926.400000000001</v>
      </c>
      <c r="V55">
        <v>20</v>
      </c>
      <c r="W55">
        <v>13272</v>
      </c>
      <c r="X55">
        <v>20</v>
      </c>
      <c r="Y55">
        <v>13272</v>
      </c>
      <c r="Z55">
        <v>21</v>
      </c>
      <c r="AA55">
        <v>13935.6</v>
      </c>
      <c r="AB55">
        <v>14</v>
      </c>
      <c r="AC55">
        <v>9290.4</v>
      </c>
      <c r="AD55">
        <v>24</v>
      </c>
      <c r="AE55">
        <v>15926.400000000001</v>
      </c>
      <c r="AF55">
        <v>23</v>
      </c>
      <c r="AG55">
        <v>15262.800000000001</v>
      </c>
      <c r="AH55">
        <v>18.166361225693453</v>
      </c>
      <c r="AI55">
        <v>12055.197309370176</v>
      </c>
      <c r="AJ55">
        <v>29</v>
      </c>
      <c r="AK55">
        <v>19244.400000000001</v>
      </c>
      <c r="AL55">
        <v>28</v>
      </c>
      <c r="AM55">
        <v>18580.8</v>
      </c>
      <c r="AN55">
        <v>19</v>
      </c>
      <c r="AO55">
        <v>12608.4</v>
      </c>
      <c r="AP55">
        <v>15</v>
      </c>
      <c r="AQ55">
        <v>9954</v>
      </c>
      <c r="AR55">
        <v>22</v>
      </c>
      <c r="AS55">
        <v>14599.2</v>
      </c>
      <c r="AT55">
        <v>16</v>
      </c>
      <c r="AU55">
        <v>10617.6</v>
      </c>
      <c r="AV55">
        <v>17</v>
      </c>
      <c r="AW55">
        <v>11281.2</v>
      </c>
      <c r="AX55">
        <v>14</v>
      </c>
      <c r="AY55">
        <v>9290.4</v>
      </c>
      <c r="AZ55">
        <v>18</v>
      </c>
      <c r="BA55">
        <v>11944.800000000001</v>
      </c>
      <c r="BB55">
        <v>19</v>
      </c>
      <c r="BC55">
        <v>12608.4</v>
      </c>
      <c r="BD55">
        <v>27</v>
      </c>
      <c r="BE55">
        <v>17917.2</v>
      </c>
      <c r="BF55">
        <v>28</v>
      </c>
      <c r="BG55">
        <v>18580.8</v>
      </c>
      <c r="BH55">
        <v>27</v>
      </c>
      <c r="BI55">
        <v>17917.2</v>
      </c>
      <c r="BJ55">
        <v>25</v>
      </c>
      <c r="BK55">
        <v>16590</v>
      </c>
      <c r="BL55">
        <v>17</v>
      </c>
      <c r="BM55">
        <v>11281.2</v>
      </c>
      <c r="BN55">
        <v>7.5002244462287635</v>
      </c>
      <c r="BO55">
        <v>4977.1489425174077</v>
      </c>
      <c r="BP55">
        <v>27</v>
      </c>
      <c r="BQ55">
        <v>17917.2</v>
      </c>
      <c r="BR55">
        <v>18.904566278267627</v>
      </c>
      <c r="BS55">
        <v>12545.070182258398</v>
      </c>
      <c r="BT55">
        <v>21</v>
      </c>
      <c r="BU55">
        <v>13935.6</v>
      </c>
      <c r="BV55">
        <v>14.597356944230873</v>
      </c>
      <c r="BW55">
        <v>9686.8060681916068</v>
      </c>
      <c r="BX55">
        <v>11.284848430119835</v>
      </c>
      <c r="BY55">
        <v>7488.6254182275225</v>
      </c>
      <c r="BZ55">
        <v>5.1147921037856472</v>
      </c>
      <c r="CA55">
        <v>3394.1760400721555</v>
      </c>
      <c r="CB55">
        <v>15</v>
      </c>
      <c r="CC55">
        <v>9954</v>
      </c>
      <c r="CD55">
        <v>18</v>
      </c>
      <c r="CE55">
        <v>11944.800000000001</v>
      </c>
      <c r="CF55">
        <v>23</v>
      </c>
      <c r="CG55">
        <v>15262.800000000001</v>
      </c>
      <c r="CH55">
        <v>15.468594855500365</v>
      </c>
      <c r="CI55">
        <v>10264.959546110043</v>
      </c>
      <c r="CJ55">
        <v>2.2718384153941655</v>
      </c>
      <c r="CK55">
        <v>1507.5919724555683</v>
      </c>
      <c r="CL55">
        <v>2.8330264998047081</v>
      </c>
      <c r="CM55">
        <v>1879.9963852704043</v>
      </c>
      <c r="CN55">
        <v>25</v>
      </c>
      <c r="CO55">
        <v>16590</v>
      </c>
      <c r="CP55">
        <v>25</v>
      </c>
      <c r="CQ55">
        <v>16590</v>
      </c>
      <c r="CR55">
        <v>15</v>
      </c>
      <c r="CS55">
        <v>9954</v>
      </c>
      <c r="CT55">
        <v>27</v>
      </c>
      <c r="CU55">
        <v>17917.2</v>
      </c>
    </row>
    <row r="56" spans="2:99" x14ac:dyDescent="0.2">
      <c r="C56" s="118" t="s">
        <v>222</v>
      </c>
      <c r="D56">
        <v>26</v>
      </c>
      <c r="E56">
        <v>29920.799999999999</v>
      </c>
      <c r="F56">
        <v>21</v>
      </c>
      <c r="G56">
        <v>24166.799999999999</v>
      </c>
      <c r="H56">
        <v>12</v>
      </c>
      <c r="I56">
        <v>13809.599999999999</v>
      </c>
      <c r="J56">
        <v>23</v>
      </c>
      <c r="K56">
        <v>26468.399999999998</v>
      </c>
      <c r="L56">
        <v>21.43065584751529</v>
      </c>
      <c r="M56">
        <v>24662.398749320593</v>
      </c>
      <c r="N56">
        <v>5.9541718039597669</v>
      </c>
      <c r="O56">
        <v>6852.0609119968994</v>
      </c>
      <c r="P56">
        <v>1.6011370897705395</v>
      </c>
      <c r="Q56">
        <v>1842.5885629079366</v>
      </c>
      <c r="R56">
        <v>6.3048256525652571</v>
      </c>
      <c r="S56">
        <v>7255.5933609720978</v>
      </c>
      <c r="T56">
        <v>2.2641941265307133</v>
      </c>
      <c r="U56">
        <v>2605.6346008115447</v>
      </c>
      <c r="V56">
        <v>5.6612873577914806</v>
      </c>
      <c r="W56">
        <v>6515.0094913464354</v>
      </c>
      <c r="X56">
        <v>4.6495335302808343</v>
      </c>
      <c r="Y56">
        <v>5350.6831866471839</v>
      </c>
      <c r="Z56">
        <v>5.3084810260689341</v>
      </c>
      <c r="AA56">
        <v>6108.9999648001294</v>
      </c>
      <c r="AB56">
        <v>3.3859464683456144</v>
      </c>
      <c r="AC56">
        <v>3896.5471957721329</v>
      </c>
      <c r="AD56">
        <v>2.9965947786606129</v>
      </c>
      <c r="AE56">
        <v>3448.4812712826333</v>
      </c>
      <c r="AF56">
        <v>8.3070132279380413</v>
      </c>
      <c r="AG56">
        <v>9559.7108227110984</v>
      </c>
      <c r="AH56">
        <v>5.8153457723866477</v>
      </c>
      <c r="AI56">
        <v>6692.299914862554</v>
      </c>
      <c r="AJ56">
        <v>0</v>
      </c>
      <c r="AK56">
        <v>0</v>
      </c>
      <c r="AL56">
        <v>5.2403036066961022</v>
      </c>
      <c r="AM56">
        <v>6030.5413905858741</v>
      </c>
      <c r="AN56">
        <v>7.2824123996137073</v>
      </c>
      <c r="AO56">
        <v>8380.6001894754536</v>
      </c>
      <c r="AP56">
        <v>2.503745442283313</v>
      </c>
      <c r="AQ56">
        <v>2881.3102549796363</v>
      </c>
      <c r="AR56">
        <v>1.6497320994605353</v>
      </c>
      <c r="AS56">
        <v>1898.511700059184</v>
      </c>
      <c r="AT56">
        <v>5.6557152245653084</v>
      </c>
      <c r="AU56">
        <v>6508.5970804297567</v>
      </c>
      <c r="AV56">
        <v>3.9423116447225572</v>
      </c>
      <c r="AW56">
        <v>4536.812240746719</v>
      </c>
      <c r="AX56">
        <v>3.0544080384846204</v>
      </c>
      <c r="AY56">
        <v>3515.0127706881012</v>
      </c>
      <c r="AZ56">
        <v>2.1073338459552566</v>
      </c>
      <c r="BA56">
        <v>2425.1197899253093</v>
      </c>
      <c r="BB56">
        <v>5.2500724815954021</v>
      </c>
      <c r="BC56">
        <v>6041.783411819988</v>
      </c>
      <c r="BD56">
        <v>3.5751579413988663</v>
      </c>
      <c r="BE56">
        <v>4114.2917589618155</v>
      </c>
      <c r="BF56">
        <v>14.740557924622953</v>
      </c>
      <c r="BG56">
        <v>16963.434059656094</v>
      </c>
      <c r="BH56">
        <v>6.1271242170600582</v>
      </c>
      <c r="BI56">
        <v>7051.0945489927144</v>
      </c>
      <c r="BJ56">
        <v>3.4692897948113215</v>
      </c>
      <c r="BK56">
        <v>3992.4586958688687</v>
      </c>
      <c r="BL56">
        <v>4.0657947240816155</v>
      </c>
      <c r="BM56">
        <v>4678.9165684731233</v>
      </c>
      <c r="BN56">
        <v>5.8245501816496841</v>
      </c>
      <c r="BO56">
        <v>6702.8923490424559</v>
      </c>
      <c r="BP56">
        <v>4.5717131465314269</v>
      </c>
      <c r="BQ56">
        <v>5261.1274890283657</v>
      </c>
      <c r="BR56">
        <v>5.4636997695212424</v>
      </c>
      <c r="BS56">
        <v>6287.6256947650454</v>
      </c>
      <c r="BT56">
        <v>0.24715290940411158</v>
      </c>
      <c r="BU56">
        <v>284.42356814225161</v>
      </c>
      <c r="BV56">
        <v>5.4272690611282961</v>
      </c>
      <c r="BW56">
        <v>6245.7012355464431</v>
      </c>
      <c r="BX56">
        <v>1.2652478326906578</v>
      </c>
      <c r="BY56">
        <v>1456.0472058604089</v>
      </c>
      <c r="BZ56">
        <v>6.7299226754196466</v>
      </c>
      <c r="CA56">
        <v>7744.7950148729287</v>
      </c>
      <c r="CB56">
        <v>2.363018269879519</v>
      </c>
      <c r="CC56">
        <v>2719.3614249773505</v>
      </c>
      <c r="CD56">
        <v>4.9758170680485101</v>
      </c>
      <c r="CE56">
        <v>5726.1702819102256</v>
      </c>
      <c r="CF56">
        <v>5.6276303950171185</v>
      </c>
      <c r="CG56">
        <v>6476.2770585856997</v>
      </c>
      <c r="CH56">
        <v>4.8975194948035528</v>
      </c>
      <c r="CI56">
        <v>5636.0654346199281</v>
      </c>
      <c r="CJ56">
        <v>2.3673805586481116</v>
      </c>
      <c r="CK56">
        <v>2724.3815468922467</v>
      </c>
      <c r="CL56">
        <v>5.4343800538341966</v>
      </c>
      <c r="CM56">
        <v>6253.8845659523931</v>
      </c>
      <c r="CN56">
        <v>4.8582238333021248</v>
      </c>
      <c r="CO56">
        <v>5590.8439873640846</v>
      </c>
      <c r="CP56">
        <v>4.3428468076846078</v>
      </c>
      <c r="CQ56">
        <v>4997.7481062834468</v>
      </c>
      <c r="CR56">
        <v>1.0015174910798101</v>
      </c>
      <c r="CS56">
        <v>1152.5463287346454</v>
      </c>
      <c r="CT56">
        <v>6.5435124012919905</v>
      </c>
      <c r="CU56">
        <v>7530.2740714068223</v>
      </c>
    </row>
    <row r="57" spans="2:99" x14ac:dyDescent="0.2">
      <c r="C57" s="118" t="s">
        <v>223</v>
      </c>
      <c r="D57">
        <v>0</v>
      </c>
      <c r="E57">
        <v>0</v>
      </c>
      <c r="F57">
        <v>12.034745247927789</v>
      </c>
      <c r="G57">
        <v>16983.432493875698</v>
      </c>
      <c r="H57">
        <v>13</v>
      </c>
      <c r="I57">
        <v>18345.600000000002</v>
      </c>
      <c r="J57">
        <v>6.6444630084665661</v>
      </c>
      <c r="K57">
        <v>9376.6661975480183</v>
      </c>
      <c r="L57">
        <v>22</v>
      </c>
      <c r="M57">
        <v>31046.400000000001</v>
      </c>
      <c r="N57">
        <v>26</v>
      </c>
      <c r="O57">
        <v>36691.200000000004</v>
      </c>
      <c r="P57">
        <v>17</v>
      </c>
      <c r="Q57">
        <v>23990.400000000001</v>
      </c>
      <c r="R57">
        <v>22</v>
      </c>
      <c r="S57">
        <v>31046.400000000001</v>
      </c>
      <c r="T57">
        <v>25</v>
      </c>
      <c r="U57">
        <v>35280</v>
      </c>
      <c r="V57">
        <v>17</v>
      </c>
      <c r="W57">
        <v>23990.400000000001</v>
      </c>
      <c r="X57">
        <v>19</v>
      </c>
      <c r="Y57">
        <v>26812.799999999999</v>
      </c>
      <c r="Z57">
        <v>19</v>
      </c>
      <c r="AA57">
        <v>26812.799999999999</v>
      </c>
      <c r="AB57">
        <v>13</v>
      </c>
      <c r="AC57">
        <v>18345.600000000002</v>
      </c>
      <c r="AD57">
        <v>20</v>
      </c>
      <c r="AE57">
        <v>28224</v>
      </c>
      <c r="AF57">
        <v>22</v>
      </c>
      <c r="AG57">
        <v>31046.400000000001</v>
      </c>
      <c r="AH57">
        <v>15.895566072481772</v>
      </c>
      <c r="AI57">
        <v>22431.822841486279</v>
      </c>
      <c r="AJ57">
        <v>26</v>
      </c>
      <c r="AK57">
        <v>36691.200000000004</v>
      </c>
      <c r="AL57">
        <v>24</v>
      </c>
      <c r="AM57">
        <v>33868.800000000003</v>
      </c>
      <c r="AN57">
        <v>19</v>
      </c>
      <c r="AO57">
        <v>26812.799999999999</v>
      </c>
      <c r="AP57">
        <v>13</v>
      </c>
      <c r="AQ57">
        <v>18345.600000000002</v>
      </c>
      <c r="AR57">
        <v>20</v>
      </c>
      <c r="AS57">
        <v>28224</v>
      </c>
      <c r="AT57">
        <v>18</v>
      </c>
      <c r="AU57">
        <v>25401.600000000002</v>
      </c>
      <c r="AV57">
        <v>16</v>
      </c>
      <c r="AW57">
        <v>22579.200000000001</v>
      </c>
      <c r="AX57">
        <v>14</v>
      </c>
      <c r="AY57">
        <v>19756.8</v>
      </c>
      <c r="AZ57">
        <v>17</v>
      </c>
      <c r="BA57">
        <v>23990.400000000001</v>
      </c>
      <c r="BB57">
        <v>16</v>
      </c>
      <c r="BC57">
        <v>22579.200000000001</v>
      </c>
      <c r="BD57">
        <v>27</v>
      </c>
      <c r="BE57">
        <v>38102.400000000001</v>
      </c>
      <c r="BF57">
        <v>22</v>
      </c>
      <c r="BG57">
        <v>31046.400000000001</v>
      </c>
      <c r="BH57">
        <v>24</v>
      </c>
      <c r="BI57">
        <v>33868.800000000003</v>
      </c>
      <c r="BJ57">
        <v>23</v>
      </c>
      <c r="BK57">
        <v>32457.600000000002</v>
      </c>
      <c r="BL57">
        <v>15</v>
      </c>
      <c r="BM57">
        <v>21168</v>
      </c>
      <c r="BN57">
        <v>6.6668661744255671</v>
      </c>
      <c r="BO57">
        <v>9408.2815453493604</v>
      </c>
      <c r="BP57">
        <v>25</v>
      </c>
      <c r="BQ57">
        <v>35280</v>
      </c>
      <c r="BR57">
        <v>18.045267811073643</v>
      </c>
      <c r="BS57">
        <v>25465.481934987125</v>
      </c>
      <c r="BT57">
        <v>17</v>
      </c>
      <c r="BU57">
        <v>23990.400000000001</v>
      </c>
      <c r="BV57">
        <v>14.597356944230873</v>
      </c>
      <c r="BW57">
        <v>20599.790119698609</v>
      </c>
      <c r="BX57">
        <v>9.8742423763548537</v>
      </c>
      <c r="BY57">
        <v>13934.530841511971</v>
      </c>
      <c r="BZ57">
        <v>4.3841075175305546</v>
      </c>
      <c r="CA57">
        <v>6186.8525287391185</v>
      </c>
      <c r="CB57">
        <v>14</v>
      </c>
      <c r="CC57">
        <v>19756.8</v>
      </c>
      <c r="CD57">
        <v>19</v>
      </c>
      <c r="CE57">
        <v>26812.799999999999</v>
      </c>
      <c r="CF57">
        <v>24</v>
      </c>
      <c r="CG57">
        <v>33868.800000000003</v>
      </c>
      <c r="CH57">
        <v>14.062358959545787</v>
      </c>
      <c r="CI57">
        <v>19844.800963711015</v>
      </c>
      <c r="CJ57">
        <v>2.0194119247948135</v>
      </c>
      <c r="CK57">
        <v>2849.794108270441</v>
      </c>
      <c r="CL57">
        <v>2.7280995924045337</v>
      </c>
      <c r="CM57">
        <v>3849.8941448012779</v>
      </c>
      <c r="CN57">
        <v>21</v>
      </c>
      <c r="CO57">
        <v>29635.200000000001</v>
      </c>
      <c r="CP57">
        <v>22</v>
      </c>
      <c r="CQ57">
        <v>31046.400000000001</v>
      </c>
      <c r="CR57">
        <v>12</v>
      </c>
      <c r="CS57">
        <v>16934.400000000001</v>
      </c>
      <c r="CT57">
        <v>25</v>
      </c>
      <c r="CU57">
        <v>35280</v>
      </c>
    </row>
    <row r="58" spans="2:99" x14ac:dyDescent="0.2">
      <c r="C58" s="118" t="s">
        <v>224</v>
      </c>
      <c r="D58">
        <v>28</v>
      </c>
      <c r="E58">
        <v>32961.599999999999</v>
      </c>
      <c r="F58">
        <v>22</v>
      </c>
      <c r="G58">
        <v>25898.400000000001</v>
      </c>
      <c r="H58">
        <v>15</v>
      </c>
      <c r="I58">
        <v>17658</v>
      </c>
      <c r="J58">
        <v>22</v>
      </c>
      <c r="K58">
        <v>25898.400000000001</v>
      </c>
      <c r="L58">
        <v>21.43065584751529</v>
      </c>
      <c r="M58">
        <v>25228.168063695</v>
      </c>
      <c r="N58">
        <v>5.7488555348577064</v>
      </c>
      <c r="O58">
        <v>6767.5527356344919</v>
      </c>
      <c r="P58">
        <v>1.5168667166247216</v>
      </c>
      <c r="Q58">
        <v>1785.6554988106222</v>
      </c>
      <c r="R58">
        <v>5.5482465742574263</v>
      </c>
      <c r="S58">
        <v>6531.3958672158424</v>
      </c>
      <c r="T58">
        <v>2.2641941265307133</v>
      </c>
      <c r="U58">
        <v>2665.4093257519557</v>
      </c>
      <c r="V58">
        <v>6.3689482775154165</v>
      </c>
      <c r="W58">
        <v>7497.5259122911484</v>
      </c>
      <c r="X58">
        <v>4.6495335302808343</v>
      </c>
      <c r="Y58">
        <v>5473.4308718465982</v>
      </c>
      <c r="Z58">
        <v>5.0290872878547797</v>
      </c>
      <c r="AA58">
        <v>5920.2415552626471</v>
      </c>
      <c r="AB58">
        <v>3.906861309629555</v>
      </c>
      <c r="AC58">
        <v>4599.1571336959123</v>
      </c>
      <c r="AD58">
        <v>2.8603859250851302</v>
      </c>
      <c r="AE58">
        <v>3367.2463110102153</v>
      </c>
      <c r="AF58">
        <v>7.9608876767739556</v>
      </c>
      <c r="AG58">
        <v>9371.5569730983007</v>
      </c>
      <c r="AH58">
        <v>5.8153457723866477</v>
      </c>
      <c r="AI58">
        <v>6845.8250432535624</v>
      </c>
      <c r="AJ58">
        <v>0</v>
      </c>
      <c r="AK58">
        <v>0</v>
      </c>
      <c r="AL58">
        <v>5.449915750963946</v>
      </c>
      <c r="AM58">
        <v>6415.6408220347575</v>
      </c>
      <c r="AN58">
        <v>7.6656972627512712</v>
      </c>
      <c r="AO58">
        <v>9024.0588177107966</v>
      </c>
      <c r="AP58">
        <v>2.8889370487884376</v>
      </c>
      <c r="AQ58">
        <v>3400.856693833749</v>
      </c>
      <c r="AR58">
        <v>1.7282907708634181</v>
      </c>
      <c r="AS58">
        <v>2034.5438954604158</v>
      </c>
      <c r="AT58">
        <v>6.3626796276359725</v>
      </c>
      <c r="AU58">
        <v>7490.146457653067</v>
      </c>
      <c r="AV58">
        <v>3.9423116447225572</v>
      </c>
      <c r="AW58">
        <v>4640.8892681673942</v>
      </c>
      <c r="AX58">
        <v>3.272580041233522</v>
      </c>
      <c r="AY58">
        <v>3852.4812245401022</v>
      </c>
      <c r="AZ58">
        <v>1.8855092305915455</v>
      </c>
      <c r="BA58">
        <v>2219.6214662523676</v>
      </c>
      <c r="BB58">
        <v>4.6667310947514693</v>
      </c>
      <c r="BC58">
        <v>5493.6758447414295</v>
      </c>
      <c r="BD58">
        <v>3.5751579413988663</v>
      </c>
      <c r="BE58">
        <v>4208.6759286147453</v>
      </c>
      <c r="BF58">
        <v>15.919802558592787</v>
      </c>
      <c r="BG58">
        <v>18740.791571975431</v>
      </c>
      <c r="BH58">
        <v>5.9082983521650556</v>
      </c>
      <c r="BI58">
        <v>6955.2488201687038</v>
      </c>
      <c r="BJ58">
        <v>3.9649026226415098</v>
      </c>
      <c r="BK58">
        <v>4667.4833673735857</v>
      </c>
      <c r="BL58">
        <v>4.0657947240816155</v>
      </c>
      <c r="BM58">
        <v>4786.2535491888775</v>
      </c>
      <c r="BN58">
        <v>4.9924715842711587</v>
      </c>
      <c r="BO58">
        <v>5877.1375490040082</v>
      </c>
      <c r="BP58">
        <v>4.3729430097257129</v>
      </c>
      <c r="BQ58">
        <v>5147.8285110491097</v>
      </c>
      <c r="BR58">
        <v>4.9669997904738565</v>
      </c>
      <c r="BS58">
        <v>5847.1521533458244</v>
      </c>
      <c r="BT58">
        <v>0.24715290940411158</v>
      </c>
      <c r="BU58">
        <v>290.94840495052017</v>
      </c>
      <c r="BV58">
        <v>4.788766818642614</v>
      </c>
      <c r="BW58">
        <v>5637.3362989060852</v>
      </c>
      <c r="BX58">
        <v>1.0965481216652369</v>
      </c>
      <c r="BY58">
        <v>1290.8564488243169</v>
      </c>
      <c r="BZ58">
        <v>7.0664188091906288</v>
      </c>
      <c r="CA58">
        <v>8318.588222179209</v>
      </c>
      <c r="CB58">
        <v>2.5318052891566274</v>
      </c>
      <c r="CC58">
        <v>2980.4411863951818</v>
      </c>
      <c r="CD58">
        <v>5.2522513496067607</v>
      </c>
      <c r="CE58">
        <v>6182.9502887570789</v>
      </c>
      <c r="CF58">
        <v>4.9782884263612974</v>
      </c>
      <c r="CG58">
        <v>5860.4411355125194</v>
      </c>
      <c r="CH58">
        <v>4.8975194948035528</v>
      </c>
      <c r="CI58">
        <v>5765.3599492827425</v>
      </c>
      <c r="CJ58">
        <v>2.5066382385685886</v>
      </c>
      <c r="CK58">
        <v>2950.8145344429427</v>
      </c>
      <c r="CL58">
        <v>6.3794896284140572</v>
      </c>
      <c r="CM58">
        <v>7509.9351905690282</v>
      </c>
      <c r="CN58">
        <v>5.5869574082974429</v>
      </c>
      <c r="CO58">
        <v>6576.9662610477499</v>
      </c>
      <c r="CP58">
        <v>3.8417490991056145</v>
      </c>
      <c r="CQ58">
        <v>4522.5070394671293</v>
      </c>
      <c r="CR58">
        <v>1.073054454728368</v>
      </c>
      <c r="CS58">
        <v>1263.1997041062348</v>
      </c>
      <c r="CT58">
        <v>6.5435124012919905</v>
      </c>
      <c r="CU58">
        <v>7703.0227988009319</v>
      </c>
    </row>
    <row r="59" spans="2:99" x14ac:dyDescent="0.2">
      <c r="C59" s="118" t="s">
        <v>225</v>
      </c>
      <c r="D59">
        <v>0</v>
      </c>
      <c r="E59">
        <v>0</v>
      </c>
      <c r="F59">
        <v>12.636482510324178</v>
      </c>
      <c r="G59">
        <v>3836.4360901344203</v>
      </c>
      <c r="H59">
        <v>16</v>
      </c>
      <c r="I59">
        <v>4857.5999999999995</v>
      </c>
      <c r="J59">
        <v>7.9100750100792458</v>
      </c>
      <c r="K59">
        <v>2401.4987730600587</v>
      </c>
      <c r="L59">
        <v>26</v>
      </c>
      <c r="M59">
        <v>7893.5999999999995</v>
      </c>
      <c r="N59">
        <v>27</v>
      </c>
      <c r="O59">
        <v>8197.1999999999989</v>
      </c>
      <c r="P59">
        <v>20</v>
      </c>
      <c r="Q59">
        <v>6071.9999999999991</v>
      </c>
      <c r="R59">
        <v>26</v>
      </c>
      <c r="S59">
        <v>7893.5999999999995</v>
      </c>
      <c r="T59">
        <v>28</v>
      </c>
      <c r="U59">
        <v>8500.7999999999993</v>
      </c>
      <c r="V59">
        <v>20</v>
      </c>
      <c r="W59">
        <v>6071.9999999999991</v>
      </c>
      <c r="X59">
        <v>21</v>
      </c>
      <c r="Y59">
        <v>6375.5999999999995</v>
      </c>
      <c r="Z59">
        <v>21</v>
      </c>
      <c r="AA59">
        <v>6375.5999999999995</v>
      </c>
      <c r="AB59">
        <v>16</v>
      </c>
      <c r="AC59">
        <v>4857.5999999999995</v>
      </c>
      <c r="AD59">
        <v>23</v>
      </c>
      <c r="AE59">
        <v>6982.7999999999993</v>
      </c>
      <c r="AF59">
        <v>24</v>
      </c>
      <c r="AG59">
        <v>7286.4</v>
      </c>
      <c r="AH59">
        <v>18.166361225693453</v>
      </c>
      <c r="AI59">
        <v>5515.3072681205322</v>
      </c>
      <c r="AJ59">
        <v>28</v>
      </c>
      <c r="AK59">
        <v>8500.7999999999993</v>
      </c>
      <c r="AL59">
        <v>30</v>
      </c>
      <c r="AM59">
        <v>9107.9999999999982</v>
      </c>
      <c r="AN59">
        <v>20</v>
      </c>
      <c r="AO59">
        <v>6071.9999999999991</v>
      </c>
      <c r="AP59">
        <v>15</v>
      </c>
      <c r="AQ59">
        <v>4553.9999999999991</v>
      </c>
      <c r="AR59">
        <v>27</v>
      </c>
      <c r="AS59">
        <v>8197.1999999999989</v>
      </c>
      <c r="AT59">
        <v>20</v>
      </c>
      <c r="AU59">
        <v>6071.9999999999991</v>
      </c>
      <c r="AV59">
        <v>17</v>
      </c>
      <c r="AW59">
        <v>5161.2</v>
      </c>
      <c r="AX59">
        <v>17</v>
      </c>
      <c r="AY59">
        <v>5161.2</v>
      </c>
      <c r="AZ59">
        <v>19</v>
      </c>
      <c r="BA59">
        <v>5768.4</v>
      </c>
      <c r="BB59">
        <v>21</v>
      </c>
      <c r="BC59">
        <v>6375.5999999999995</v>
      </c>
      <c r="BD59">
        <v>30</v>
      </c>
      <c r="BE59">
        <v>9107.9999999999982</v>
      </c>
      <c r="BF59">
        <v>27</v>
      </c>
      <c r="BG59">
        <v>8197.1999999999989</v>
      </c>
      <c r="BH59">
        <v>27</v>
      </c>
      <c r="BI59">
        <v>8197.1999999999989</v>
      </c>
      <c r="BJ59">
        <v>23</v>
      </c>
      <c r="BK59">
        <v>6982.7999999999993</v>
      </c>
      <c r="BL59">
        <v>17</v>
      </c>
      <c r="BM59">
        <v>5161.2</v>
      </c>
      <c r="BN59">
        <v>8.333582718031959</v>
      </c>
      <c r="BO59">
        <v>2530.0757131945024</v>
      </c>
      <c r="BP59">
        <v>28</v>
      </c>
      <c r="BQ59">
        <v>8500.7999999999993</v>
      </c>
      <c r="BR59">
        <v>21.482461679849578</v>
      </c>
      <c r="BS59">
        <v>6522.0753660023311</v>
      </c>
      <c r="BT59">
        <v>21</v>
      </c>
      <c r="BU59">
        <v>6375.5999999999995</v>
      </c>
      <c r="BV59">
        <v>16.422026562259731</v>
      </c>
      <c r="BW59">
        <v>4985.7272643020542</v>
      </c>
      <c r="BX59">
        <v>11.284848430119835</v>
      </c>
      <c r="BY59">
        <v>3426.0799833843816</v>
      </c>
      <c r="BZ59">
        <v>5.6019151612890425</v>
      </c>
      <c r="CA59">
        <v>1700.7414429673531</v>
      </c>
      <c r="CB59">
        <v>16</v>
      </c>
      <c r="CC59">
        <v>4857.5999999999995</v>
      </c>
      <c r="CD59">
        <v>19</v>
      </c>
      <c r="CE59">
        <v>5768.4</v>
      </c>
      <c r="CF59">
        <v>26</v>
      </c>
      <c r="CG59">
        <v>7893.5999999999995</v>
      </c>
      <c r="CH59">
        <v>16.874830751454944</v>
      </c>
      <c r="CI59">
        <v>5123.1986161417208</v>
      </c>
      <c r="CJ59">
        <v>2.5242649059935167</v>
      </c>
      <c r="CK59">
        <v>766.36682545963163</v>
      </c>
      <c r="CL59">
        <v>2.7280995924045337</v>
      </c>
      <c r="CM59">
        <v>828.2510362540163</v>
      </c>
      <c r="CN59">
        <v>24</v>
      </c>
      <c r="CO59">
        <v>7286.4</v>
      </c>
      <c r="CP59">
        <v>25</v>
      </c>
      <c r="CQ59">
        <v>7589.9999999999991</v>
      </c>
      <c r="CR59">
        <v>15</v>
      </c>
      <c r="CS59">
        <v>4553.9999999999991</v>
      </c>
      <c r="CT59">
        <v>28</v>
      </c>
      <c r="CU59">
        <v>8500.7999999999993</v>
      </c>
    </row>
    <row r="60" spans="2:99" x14ac:dyDescent="0.2">
      <c r="C60" s="118" t="s">
        <v>226</v>
      </c>
      <c r="D60">
        <v>0</v>
      </c>
      <c r="E60">
        <v>0</v>
      </c>
      <c r="F60">
        <v>12.034745247927789</v>
      </c>
      <c r="G60">
        <v>7841.840003549748</v>
      </c>
      <c r="H60">
        <v>15</v>
      </c>
      <c r="I60">
        <v>9774</v>
      </c>
      <c r="J60">
        <v>8.2264780104824169</v>
      </c>
      <c r="K60">
        <v>5360.3730716303435</v>
      </c>
      <c r="L60">
        <v>26</v>
      </c>
      <c r="M60">
        <v>16941.600000000002</v>
      </c>
      <c r="N60">
        <v>30</v>
      </c>
      <c r="O60">
        <v>19548</v>
      </c>
      <c r="P60">
        <v>21</v>
      </c>
      <c r="Q60">
        <v>13683.6</v>
      </c>
      <c r="R60">
        <v>23</v>
      </c>
      <c r="S60">
        <v>14986.800000000001</v>
      </c>
      <c r="T60">
        <v>24</v>
      </c>
      <c r="U60">
        <v>15638.400000000001</v>
      </c>
      <c r="V60">
        <v>20</v>
      </c>
      <c r="W60">
        <v>13032</v>
      </c>
      <c r="X60">
        <v>20</v>
      </c>
      <c r="Y60">
        <v>13032</v>
      </c>
      <c r="Z60">
        <v>19</v>
      </c>
      <c r="AA60">
        <v>12380.4</v>
      </c>
      <c r="AB60">
        <v>15</v>
      </c>
      <c r="AC60">
        <v>9774</v>
      </c>
      <c r="AD60">
        <v>24</v>
      </c>
      <c r="AE60">
        <v>15638.400000000001</v>
      </c>
      <c r="AF60">
        <v>22</v>
      </c>
      <c r="AG60">
        <v>14335.2</v>
      </c>
      <c r="AH60">
        <v>16.652497790218998</v>
      </c>
      <c r="AI60">
        <v>10850.7675601067</v>
      </c>
      <c r="AJ60">
        <v>27</v>
      </c>
      <c r="AK60">
        <v>17593.2</v>
      </c>
      <c r="AL60">
        <v>29</v>
      </c>
      <c r="AM60">
        <v>18896.400000000001</v>
      </c>
      <c r="AN60">
        <v>19</v>
      </c>
      <c r="AO60">
        <v>12380.4</v>
      </c>
      <c r="AP60">
        <v>14</v>
      </c>
      <c r="AQ60">
        <v>9122.4</v>
      </c>
      <c r="AR60">
        <v>25</v>
      </c>
      <c r="AS60">
        <v>16290</v>
      </c>
      <c r="AT60">
        <v>18</v>
      </c>
      <c r="AU60">
        <v>11728.800000000001</v>
      </c>
      <c r="AV60">
        <v>17</v>
      </c>
      <c r="AW60">
        <v>11077.2</v>
      </c>
      <c r="AX60">
        <v>15</v>
      </c>
      <c r="AY60">
        <v>9774</v>
      </c>
      <c r="AZ60">
        <v>17</v>
      </c>
      <c r="BA60">
        <v>11077.2</v>
      </c>
      <c r="BB60">
        <v>18</v>
      </c>
      <c r="BC60">
        <v>11728.800000000001</v>
      </c>
      <c r="BD60">
        <v>28</v>
      </c>
      <c r="BE60">
        <v>18244.8</v>
      </c>
      <c r="BF60">
        <v>28</v>
      </c>
      <c r="BG60">
        <v>18244.8</v>
      </c>
      <c r="BH60">
        <v>25</v>
      </c>
      <c r="BI60">
        <v>16290</v>
      </c>
      <c r="BJ60">
        <v>23</v>
      </c>
      <c r="BK60">
        <v>14986.800000000001</v>
      </c>
      <c r="BL60">
        <v>18</v>
      </c>
      <c r="BM60">
        <v>11728.800000000001</v>
      </c>
      <c r="BN60">
        <v>7.2224383556276974</v>
      </c>
      <c r="BO60">
        <v>4706.1408325270077</v>
      </c>
      <c r="BP60">
        <v>27</v>
      </c>
      <c r="BQ60">
        <v>17593.2</v>
      </c>
      <c r="BR60">
        <v>18.904566278267627</v>
      </c>
      <c r="BS60">
        <v>12318.215386919186</v>
      </c>
      <c r="BT60">
        <v>21</v>
      </c>
      <c r="BU60">
        <v>13683.6</v>
      </c>
      <c r="BV60">
        <v>15.509691753245303</v>
      </c>
      <c r="BW60">
        <v>10106.115146414639</v>
      </c>
      <c r="BX60">
        <v>11.990151457002323</v>
      </c>
      <c r="BY60">
        <v>7812.7826893827141</v>
      </c>
      <c r="BZ60">
        <v>5.1147921037856472</v>
      </c>
      <c r="CA60">
        <v>3332.798534826728</v>
      </c>
      <c r="CB60">
        <v>17</v>
      </c>
      <c r="CC60">
        <v>11077.2</v>
      </c>
      <c r="CD60">
        <v>17</v>
      </c>
      <c r="CE60">
        <v>11077.2</v>
      </c>
      <c r="CF60">
        <v>26</v>
      </c>
      <c r="CG60">
        <v>16941.600000000002</v>
      </c>
      <c r="CH60">
        <v>16.171712803477654</v>
      </c>
      <c r="CI60">
        <v>10537.488062746039</v>
      </c>
      <c r="CJ60">
        <v>2.2718384153941655</v>
      </c>
      <c r="CK60">
        <v>1480.3299114708384</v>
      </c>
      <c r="CL60">
        <v>2.8330264998047081</v>
      </c>
      <c r="CM60">
        <v>1846.0000672727479</v>
      </c>
      <c r="CN60">
        <v>22</v>
      </c>
      <c r="CO60">
        <v>14335.2</v>
      </c>
      <c r="CP60">
        <v>26</v>
      </c>
      <c r="CQ60">
        <v>16941.600000000002</v>
      </c>
      <c r="CR60">
        <v>15</v>
      </c>
      <c r="CS60">
        <v>9774</v>
      </c>
      <c r="CT60">
        <v>30</v>
      </c>
      <c r="CU60">
        <v>19548</v>
      </c>
    </row>
    <row r="61" spans="2:99" x14ac:dyDescent="0.2">
      <c r="C61" s="118" t="s">
        <v>227</v>
      </c>
      <c r="D61">
        <v>0</v>
      </c>
      <c r="E61">
        <v>0</v>
      </c>
      <c r="F61">
        <v>13.839957035116957</v>
      </c>
      <c r="G61">
        <v>13170.103114617295</v>
      </c>
      <c r="H61">
        <v>15</v>
      </c>
      <c r="I61">
        <v>14273.999999999998</v>
      </c>
      <c r="J61">
        <v>7.9100750100792458</v>
      </c>
      <c r="K61">
        <v>7527.2273795914098</v>
      </c>
      <c r="L61">
        <v>22</v>
      </c>
      <c r="M61">
        <v>20935.199999999997</v>
      </c>
      <c r="N61">
        <v>29</v>
      </c>
      <c r="O61">
        <v>27596.399999999998</v>
      </c>
      <c r="P61">
        <v>19</v>
      </c>
      <c r="Q61">
        <v>18080.399999999998</v>
      </c>
      <c r="R61">
        <v>25</v>
      </c>
      <c r="S61">
        <v>23789.999999999996</v>
      </c>
      <c r="T61">
        <v>26</v>
      </c>
      <c r="U61">
        <v>24741.599999999999</v>
      </c>
      <c r="V61">
        <v>20</v>
      </c>
      <c r="W61">
        <v>19032</v>
      </c>
      <c r="X61">
        <v>17</v>
      </c>
      <c r="Y61">
        <v>16177.199999999999</v>
      </c>
      <c r="Z61">
        <v>22</v>
      </c>
      <c r="AA61">
        <v>20935.199999999997</v>
      </c>
      <c r="AB61">
        <v>15</v>
      </c>
      <c r="AC61">
        <v>14273.999999999998</v>
      </c>
      <c r="AD61">
        <v>21</v>
      </c>
      <c r="AE61">
        <v>19983.599999999999</v>
      </c>
      <c r="AF61">
        <v>25</v>
      </c>
      <c r="AG61">
        <v>23789.999999999996</v>
      </c>
      <c r="AH61">
        <v>15.138634354744545</v>
      </c>
      <c r="AI61">
        <v>14405.924451974906</v>
      </c>
      <c r="AJ61">
        <v>27</v>
      </c>
      <c r="AK61">
        <v>25693.199999999997</v>
      </c>
      <c r="AL61">
        <v>26</v>
      </c>
      <c r="AM61">
        <v>24741.599999999999</v>
      </c>
      <c r="AN61">
        <v>17</v>
      </c>
      <c r="AO61">
        <v>16177.199999999999</v>
      </c>
      <c r="AP61">
        <v>15</v>
      </c>
      <c r="AQ61">
        <v>14273.999999999998</v>
      </c>
      <c r="AR61">
        <v>22</v>
      </c>
      <c r="AS61">
        <v>20935.199999999997</v>
      </c>
      <c r="AT61">
        <v>17</v>
      </c>
      <c r="AU61">
        <v>16177.199999999999</v>
      </c>
      <c r="AV61">
        <v>16</v>
      </c>
      <c r="AW61">
        <v>15225.599999999999</v>
      </c>
      <c r="AX61">
        <v>14</v>
      </c>
      <c r="AY61">
        <v>13322.399999999998</v>
      </c>
      <c r="AZ61">
        <v>17</v>
      </c>
      <c r="BA61">
        <v>16177.199999999999</v>
      </c>
      <c r="BB61">
        <v>17</v>
      </c>
      <c r="BC61">
        <v>16177.199999999999</v>
      </c>
      <c r="BD61">
        <v>27</v>
      </c>
      <c r="BE61">
        <v>25693.199999999997</v>
      </c>
      <c r="BF61">
        <v>23</v>
      </c>
      <c r="BG61">
        <v>21886.799999999999</v>
      </c>
      <c r="BH61">
        <v>26</v>
      </c>
      <c r="BI61">
        <v>24741.599999999999</v>
      </c>
      <c r="BJ61">
        <v>23</v>
      </c>
      <c r="BK61">
        <v>21886.799999999999</v>
      </c>
      <c r="BL61">
        <v>17</v>
      </c>
      <c r="BM61">
        <v>16177.199999999999</v>
      </c>
      <c r="BN61">
        <v>7.7780105368298287</v>
      </c>
      <c r="BO61">
        <v>7401.5548268472639</v>
      </c>
      <c r="BP61">
        <v>27</v>
      </c>
      <c r="BQ61">
        <v>25693.199999999997</v>
      </c>
      <c r="BR61">
        <v>20.623163212655594</v>
      </c>
      <c r="BS61">
        <v>19625.00211316306</v>
      </c>
      <c r="BT61">
        <v>20</v>
      </c>
      <c r="BU61">
        <v>19032</v>
      </c>
      <c r="BV61">
        <v>15.509691753245303</v>
      </c>
      <c r="BW61">
        <v>14759.022672388228</v>
      </c>
      <c r="BX61">
        <v>9.8742423763548537</v>
      </c>
      <c r="BY61">
        <v>9396.3290453392783</v>
      </c>
      <c r="BZ61">
        <v>5.1147921037856472</v>
      </c>
      <c r="CA61">
        <v>4867.2361659624212</v>
      </c>
      <c r="CB61">
        <v>16</v>
      </c>
      <c r="CC61">
        <v>15225.599999999999</v>
      </c>
      <c r="CD61">
        <v>17</v>
      </c>
      <c r="CE61">
        <v>16177.199999999999</v>
      </c>
      <c r="CF61">
        <v>22</v>
      </c>
      <c r="CG61">
        <v>20935.199999999997</v>
      </c>
      <c r="CH61">
        <v>15.468594855500365</v>
      </c>
      <c r="CI61">
        <v>14719.914864494147</v>
      </c>
      <c r="CJ61">
        <v>2.1456251700944895</v>
      </c>
      <c r="CK61">
        <v>2041.776911861916</v>
      </c>
      <c r="CL61">
        <v>2.4133188702040105</v>
      </c>
      <c r="CM61">
        <v>2296.5142368861361</v>
      </c>
      <c r="CN61">
        <v>21</v>
      </c>
      <c r="CO61">
        <v>19983.599999999999</v>
      </c>
      <c r="CP61">
        <v>26</v>
      </c>
      <c r="CQ61">
        <v>24741.599999999999</v>
      </c>
      <c r="CR61">
        <v>16</v>
      </c>
      <c r="CS61">
        <v>15225.599999999999</v>
      </c>
      <c r="CT61">
        <v>28</v>
      </c>
      <c r="CU61">
        <v>26644.799999999996</v>
      </c>
    </row>
    <row r="62" spans="2:99" x14ac:dyDescent="0.2">
      <c r="C62" s="118" t="s">
        <v>228</v>
      </c>
      <c r="D62">
        <v>0</v>
      </c>
      <c r="E62">
        <v>0</v>
      </c>
      <c r="F62">
        <v>13.238219772720569</v>
      </c>
      <c r="G62">
        <v>22573.812356443115</v>
      </c>
      <c r="H62">
        <v>12</v>
      </c>
      <c r="I62">
        <v>20462.400000000001</v>
      </c>
      <c r="J62">
        <v>7.5936720096760757</v>
      </c>
      <c r="K62">
        <v>12948.729510899644</v>
      </c>
      <c r="L62">
        <v>21</v>
      </c>
      <c r="M62">
        <v>35809.200000000004</v>
      </c>
      <c r="N62">
        <v>23</v>
      </c>
      <c r="O62">
        <v>39219.599999999999</v>
      </c>
      <c r="P62">
        <v>17</v>
      </c>
      <c r="Q62">
        <v>28988.400000000001</v>
      </c>
      <c r="R62">
        <v>21</v>
      </c>
      <c r="S62">
        <v>35809.200000000004</v>
      </c>
      <c r="T62">
        <v>21</v>
      </c>
      <c r="U62">
        <v>35809.200000000004</v>
      </c>
      <c r="V62">
        <v>18</v>
      </c>
      <c r="W62">
        <v>30693.600000000002</v>
      </c>
      <c r="X62">
        <v>17</v>
      </c>
      <c r="Y62">
        <v>28988.400000000001</v>
      </c>
      <c r="Z62">
        <v>20</v>
      </c>
      <c r="AA62">
        <v>34104</v>
      </c>
      <c r="AB62">
        <v>12</v>
      </c>
      <c r="AC62">
        <v>20462.400000000001</v>
      </c>
      <c r="AD62">
        <v>23</v>
      </c>
      <c r="AE62">
        <v>39219.599999999999</v>
      </c>
      <c r="AF62">
        <v>21</v>
      </c>
      <c r="AG62">
        <v>35809.200000000004</v>
      </c>
      <c r="AH62">
        <v>14.381702637007317</v>
      </c>
      <c r="AI62">
        <v>24523.679336624878</v>
      </c>
      <c r="AJ62">
        <v>23</v>
      </c>
      <c r="AK62">
        <v>39219.599999999999</v>
      </c>
      <c r="AL62">
        <v>24</v>
      </c>
      <c r="AM62">
        <v>40924.800000000003</v>
      </c>
      <c r="AN62">
        <v>16</v>
      </c>
      <c r="AO62">
        <v>27283.200000000001</v>
      </c>
      <c r="AP62">
        <v>14</v>
      </c>
      <c r="AQ62">
        <v>23872.799999999999</v>
      </c>
      <c r="AR62">
        <v>22</v>
      </c>
      <c r="AS62">
        <v>37514.400000000001</v>
      </c>
      <c r="AT62">
        <v>17</v>
      </c>
      <c r="AU62">
        <v>28988.400000000001</v>
      </c>
      <c r="AV62">
        <v>14</v>
      </c>
      <c r="AW62">
        <v>23872.799999999999</v>
      </c>
      <c r="AX62">
        <v>14</v>
      </c>
      <c r="AY62">
        <v>23872.799999999999</v>
      </c>
      <c r="AZ62">
        <v>15</v>
      </c>
      <c r="BA62">
        <v>25578</v>
      </c>
      <c r="BB62">
        <v>18</v>
      </c>
      <c r="BC62">
        <v>30693.600000000002</v>
      </c>
      <c r="BD62">
        <v>26</v>
      </c>
      <c r="BE62">
        <v>44335.200000000004</v>
      </c>
      <c r="BF62">
        <v>22</v>
      </c>
      <c r="BG62">
        <v>37514.400000000001</v>
      </c>
      <c r="BH62">
        <v>24</v>
      </c>
      <c r="BI62">
        <v>40924.800000000003</v>
      </c>
      <c r="BJ62">
        <v>19</v>
      </c>
      <c r="BK62">
        <v>32398.799999999999</v>
      </c>
      <c r="BL62">
        <v>14</v>
      </c>
      <c r="BM62">
        <v>23872.799999999999</v>
      </c>
      <c r="BN62">
        <v>7.2224383556276974</v>
      </c>
      <c r="BO62">
        <v>12315.701884016349</v>
      </c>
      <c r="BP62">
        <v>22</v>
      </c>
      <c r="BQ62">
        <v>37514.400000000001</v>
      </c>
      <c r="BR62">
        <v>17.185969343879663</v>
      </c>
      <c r="BS62">
        <v>29305.514925183601</v>
      </c>
      <c r="BT62">
        <v>17</v>
      </c>
      <c r="BU62">
        <v>28988.400000000001</v>
      </c>
      <c r="BV62">
        <v>12.772687326202012</v>
      </c>
      <c r="BW62">
        <v>21779.986428639673</v>
      </c>
      <c r="BX62">
        <v>9.1689393494723657</v>
      </c>
      <c r="BY62">
        <v>15634.875378720279</v>
      </c>
      <c r="BZ62">
        <v>4.6276690462822518</v>
      </c>
      <c r="CA62">
        <v>7891.1012577204956</v>
      </c>
      <c r="CB62">
        <v>15</v>
      </c>
      <c r="CC62">
        <v>25578</v>
      </c>
      <c r="CD62">
        <v>16</v>
      </c>
      <c r="CE62">
        <v>27283.200000000001</v>
      </c>
      <c r="CF62">
        <v>23</v>
      </c>
      <c r="CG62">
        <v>39219.599999999999</v>
      </c>
      <c r="CH62">
        <v>14.062358959545787</v>
      </c>
      <c r="CI62">
        <v>23979.134497817475</v>
      </c>
      <c r="CJ62">
        <v>2.0194119247948135</v>
      </c>
      <c r="CK62">
        <v>3443.501214160116</v>
      </c>
      <c r="CL62">
        <v>2.2034650554036617</v>
      </c>
      <c r="CM62">
        <v>3757.348612474324</v>
      </c>
      <c r="CN62">
        <v>19</v>
      </c>
      <c r="CO62">
        <v>32398.799999999999</v>
      </c>
      <c r="CP62">
        <v>23</v>
      </c>
      <c r="CQ62">
        <v>39219.599999999999</v>
      </c>
      <c r="CR62">
        <v>14</v>
      </c>
      <c r="CS62">
        <v>23872.799999999999</v>
      </c>
      <c r="CT62">
        <v>24</v>
      </c>
      <c r="CU62">
        <v>40924.800000000003</v>
      </c>
    </row>
    <row r="63" spans="2:99" x14ac:dyDescent="0.2">
      <c r="C63" s="118" t="s">
        <v>229</v>
      </c>
      <c r="D63">
        <v>0</v>
      </c>
      <c r="E63">
        <v>0</v>
      </c>
      <c r="F63">
        <v>14.441694297513346</v>
      </c>
      <c r="G63">
        <v>11489.811983101617</v>
      </c>
      <c r="H63">
        <v>15</v>
      </c>
      <c r="I63">
        <v>11934</v>
      </c>
      <c r="J63">
        <v>8.2264780104824169</v>
      </c>
      <c r="K63">
        <v>6544.9859051398107</v>
      </c>
      <c r="L63">
        <v>23</v>
      </c>
      <c r="M63">
        <v>18298.8</v>
      </c>
      <c r="N63">
        <v>29</v>
      </c>
      <c r="O63">
        <v>23072.400000000001</v>
      </c>
      <c r="P63">
        <v>19</v>
      </c>
      <c r="Q63">
        <v>15116.4</v>
      </c>
      <c r="R63">
        <v>26</v>
      </c>
      <c r="S63">
        <v>20685.600000000002</v>
      </c>
      <c r="T63">
        <v>24</v>
      </c>
      <c r="U63">
        <v>19094.400000000001</v>
      </c>
      <c r="V63">
        <v>20</v>
      </c>
      <c r="W63">
        <v>15912</v>
      </c>
      <c r="X63">
        <v>20</v>
      </c>
      <c r="Y63">
        <v>15912</v>
      </c>
      <c r="Z63">
        <v>21</v>
      </c>
      <c r="AA63">
        <v>16707.600000000002</v>
      </c>
      <c r="AB63">
        <v>13</v>
      </c>
      <c r="AC63">
        <v>10342.800000000001</v>
      </c>
      <c r="AD63">
        <v>24</v>
      </c>
      <c r="AE63">
        <v>19094.400000000001</v>
      </c>
      <c r="AF63">
        <v>23</v>
      </c>
      <c r="AG63">
        <v>18298.8</v>
      </c>
      <c r="AH63">
        <v>16.652497790218998</v>
      </c>
      <c r="AI63">
        <v>13248.727241898236</v>
      </c>
      <c r="AJ63">
        <v>25</v>
      </c>
      <c r="AK63">
        <v>19890</v>
      </c>
      <c r="AL63">
        <v>29</v>
      </c>
      <c r="AM63">
        <v>23072.400000000001</v>
      </c>
      <c r="AN63">
        <v>19</v>
      </c>
      <c r="AO63">
        <v>15116.4</v>
      </c>
      <c r="AP63">
        <v>15</v>
      </c>
      <c r="AQ63">
        <v>11934</v>
      </c>
      <c r="AR63">
        <v>21</v>
      </c>
      <c r="AS63">
        <v>16707.600000000002</v>
      </c>
      <c r="AT63">
        <v>19</v>
      </c>
      <c r="AU63">
        <v>15116.4</v>
      </c>
      <c r="AV63">
        <v>18</v>
      </c>
      <c r="AW63">
        <v>14320.800000000001</v>
      </c>
      <c r="AX63">
        <v>14</v>
      </c>
      <c r="AY63">
        <v>11138.4</v>
      </c>
      <c r="AZ63">
        <v>20</v>
      </c>
      <c r="BA63">
        <v>15912</v>
      </c>
      <c r="BB63">
        <v>18</v>
      </c>
      <c r="BC63">
        <v>14320.800000000001</v>
      </c>
      <c r="BD63">
        <v>29</v>
      </c>
      <c r="BE63">
        <v>23072.400000000001</v>
      </c>
      <c r="BF63">
        <v>26</v>
      </c>
      <c r="BG63">
        <v>20685.600000000002</v>
      </c>
      <c r="BH63">
        <v>28</v>
      </c>
      <c r="BI63">
        <v>22276.799999999999</v>
      </c>
      <c r="BJ63">
        <v>25</v>
      </c>
      <c r="BK63">
        <v>19890</v>
      </c>
      <c r="BL63">
        <v>16</v>
      </c>
      <c r="BM63">
        <v>12729.6</v>
      </c>
      <c r="BN63">
        <v>8.0557966274308939</v>
      </c>
      <c r="BO63">
        <v>6409.1917967840191</v>
      </c>
      <c r="BP63">
        <v>28</v>
      </c>
      <c r="BQ63">
        <v>22276.799999999999</v>
      </c>
      <c r="BR63">
        <v>19.763864745461611</v>
      </c>
      <c r="BS63">
        <v>15724.130791489259</v>
      </c>
      <c r="BT63">
        <v>21</v>
      </c>
      <c r="BU63">
        <v>16707.600000000002</v>
      </c>
      <c r="BV63">
        <v>14.597356944230873</v>
      </c>
      <c r="BW63">
        <v>11613.657184830083</v>
      </c>
      <c r="BX63">
        <v>10.579545403237343</v>
      </c>
      <c r="BY63">
        <v>8417.0863228156304</v>
      </c>
      <c r="BZ63">
        <v>4.87123057503395</v>
      </c>
      <c r="CA63">
        <v>3875.5510454970108</v>
      </c>
      <c r="CB63">
        <v>17</v>
      </c>
      <c r="CC63">
        <v>13525.2</v>
      </c>
      <c r="CD63">
        <v>19</v>
      </c>
      <c r="CE63">
        <v>15116.4</v>
      </c>
      <c r="CF63">
        <v>23</v>
      </c>
      <c r="CG63">
        <v>18298.8</v>
      </c>
      <c r="CH63">
        <v>14.062358959545787</v>
      </c>
      <c r="CI63">
        <v>11188.012788214628</v>
      </c>
      <c r="CJ63">
        <v>2.0194119247948135</v>
      </c>
      <c r="CK63">
        <v>1606.6441273667535</v>
      </c>
      <c r="CL63">
        <v>2.5182457776041844</v>
      </c>
      <c r="CM63">
        <v>2003.5163406618892</v>
      </c>
      <c r="CN63">
        <v>23</v>
      </c>
      <c r="CO63">
        <v>18298.8</v>
      </c>
      <c r="CP63">
        <v>22</v>
      </c>
      <c r="CQ63">
        <v>17503.2</v>
      </c>
      <c r="CR63">
        <v>15</v>
      </c>
      <c r="CS63">
        <v>11934</v>
      </c>
      <c r="CT63">
        <v>28</v>
      </c>
      <c r="CU63">
        <v>22276.799999999999</v>
      </c>
    </row>
    <row r="64" spans="2:99" x14ac:dyDescent="0.2">
      <c r="C64" s="118" t="s">
        <v>230</v>
      </c>
      <c r="D64">
        <v>0</v>
      </c>
      <c r="E64">
        <v>0</v>
      </c>
      <c r="F64">
        <v>13.238219772720569</v>
      </c>
      <c r="G64">
        <v>13360.011394629597</v>
      </c>
      <c r="H64">
        <v>13</v>
      </c>
      <c r="I64">
        <v>13119.599999999999</v>
      </c>
      <c r="J64">
        <v>7.5936720096760757</v>
      </c>
      <c r="K64">
        <v>7663.5337921650944</v>
      </c>
      <c r="L64">
        <v>22</v>
      </c>
      <c r="M64">
        <v>22202.399999999994</v>
      </c>
      <c r="N64">
        <v>28</v>
      </c>
      <c r="O64">
        <v>28257.599999999995</v>
      </c>
      <c r="P64">
        <v>21</v>
      </c>
      <c r="Q64">
        <v>21193.199999999997</v>
      </c>
      <c r="R64">
        <v>24</v>
      </c>
      <c r="S64">
        <v>24220.799999999996</v>
      </c>
      <c r="T64">
        <v>24</v>
      </c>
      <c r="U64">
        <v>24220.799999999996</v>
      </c>
      <c r="V64">
        <v>19</v>
      </c>
      <c r="W64">
        <v>19174.799999999996</v>
      </c>
      <c r="X64">
        <v>19</v>
      </c>
      <c r="Y64">
        <v>19174.799999999996</v>
      </c>
      <c r="Z64">
        <v>18</v>
      </c>
      <c r="AA64">
        <v>18165.599999999999</v>
      </c>
      <c r="AB64">
        <v>14</v>
      </c>
      <c r="AC64">
        <v>14128.799999999997</v>
      </c>
      <c r="AD64">
        <v>21</v>
      </c>
      <c r="AE64">
        <v>21193.199999999997</v>
      </c>
      <c r="AF64">
        <v>22</v>
      </c>
      <c r="AG64">
        <v>22202.399999999994</v>
      </c>
      <c r="AH64">
        <v>17.409429507956226</v>
      </c>
      <c r="AI64">
        <v>17569.596259429421</v>
      </c>
      <c r="AJ64">
        <v>27</v>
      </c>
      <c r="AK64">
        <v>27248.399999999994</v>
      </c>
      <c r="AL64">
        <v>26</v>
      </c>
      <c r="AM64">
        <v>26239.199999999997</v>
      </c>
      <c r="AN64">
        <v>20</v>
      </c>
      <c r="AO64">
        <v>20183.999999999996</v>
      </c>
      <c r="AP64">
        <v>13</v>
      </c>
      <c r="AQ64">
        <v>13119.599999999999</v>
      </c>
      <c r="AR64">
        <v>23</v>
      </c>
      <c r="AS64">
        <v>23211.599999999995</v>
      </c>
      <c r="AT64">
        <v>18</v>
      </c>
      <c r="AU64">
        <v>18165.599999999999</v>
      </c>
      <c r="AV64">
        <v>15</v>
      </c>
      <c r="AW64">
        <v>15137.999999999996</v>
      </c>
      <c r="AX64">
        <v>14</v>
      </c>
      <c r="AY64">
        <v>14128.799999999997</v>
      </c>
      <c r="AZ64">
        <v>19</v>
      </c>
      <c r="BA64">
        <v>19174.799999999996</v>
      </c>
      <c r="BB64">
        <v>20</v>
      </c>
      <c r="BC64">
        <v>20183.999999999996</v>
      </c>
      <c r="BD64">
        <v>28</v>
      </c>
      <c r="BE64">
        <v>28257.599999999995</v>
      </c>
      <c r="BF64">
        <v>25</v>
      </c>
      <c r="BG64">
        <v>25229.999999999996</v>
      </c>
      <c r="BH64">
        <v>27</v>
      </c>
      <c r="BI64">
        <v>27248.399999999994</v>
      </c>
      <c r="BJ64">
        <v>23</v>
      </c>
      <c r="BK64">
        <v>23211.599999999995</v>
      </c>
      <c r="BL64">
        <v>16</v>
      </c>
      <c r="BM64">
        <v>16147.199999999997</v>
      </c>
      <c r="BN64">
        <v>6.9446522650266322</v>
      </c>
      <c r="BO64">
        <v>7008.5430658648756</v>
      </c>
      <c r="BP64">
        <v>24</v>
      </c>
      <c r="BQ64">
        <v>24220.799999999996</v>
      </c>
      <c r="BR64">
        <v>17.185969343879663</v>
      </c>
      <c r="BS64">
        <v>17344.080261843352</v>
      </c>
      <c r="BT64">
        <v>21</v>
      </c>
      <c r="BU64">
        <v>21193.199999999997</v>
      </c>
      <c r="BV64">
        <v>14.597356944230873</v>
      </c>
      <c r="BW64">
        <v>14731.652628117794</v>
      </c>
      <c r="BX64">
        <v>10.579545403237343</v>
      </c>
      <c r="BY64">
        <v>10676.877220947124</v>
      </c>
      <c r="BZ64">
        <v>4.6276690462822518</v>
      </c>
      <c r="CA64">
        <v>4670.2436015080475</v>
      </c>
      <c r="CB64">
        <v>14</v>
      </c>
      <c r="CC64">
        <v>14128.799999999997</v>
      </c>
      <c r="CD64">
        <v>17</v>
      </c>
      <c r="CE64">
        <v>17156.399999999998</v>
      </c>
      <c r="CF64">
        <v>23</v>
      </c>
      <c r="CG64">
        <v>23211.599999999995</v>
      </c>
      <c r="CH64">
        <v>14.062358959545787</v>
      </c>
      <c r="CI64">
        <v>14191.732661973605</v>
      </c>
      <c r="CJ64">
        <v>2.0194119247948135</v>
      </c>
      <c r="CK64">
        <v>2037.9905145029254</v>
      </c>
      <c r="CL64">
        <v>2.4133188702040105</v>
      </c>
      <c r="CM64">
        <v>2435.521403809887</v>
      </c>
      <c r="CN64">
        <v>22</v>
      </c>
      <c r="CO64">
        <v>22202.399999999994</v>
      </c>
      <c r="CP64">
        <v>24</v>
      </c>
      <c r="CQ64">
        <v>24220.799999999996</v>
      </c>
      <c r="CR64">
        <v>13</v>
      </c>
      <c r="CS64">
        <v>13119.599999999999</v>
      </c>
      <c r="CT64">
        <v>25</v>
      </c>
      <c r="CU64">
        <v>25229.999999999996</v>
      </c>
    </row>
    <row r="65" spans="2:99" x14ac:dyDescent="0.2">
      <c r="C65" s="118" t="s">
        <v>231</v>
      </c>
      <c r="D65">
        <v>0</v>
      </c>
      <c r="E65">
        <v>0</v>
      </c>
      <c r="F65">
        <v>13.238219772720569</v>
      </c>
      <c r="G65">
        <v>13582.413486811303</v>
      </c>
      <c r="H65">
        <v>13</v>
      </c>
      <c r="I65">
        <v>13338</v>
      </c>
      <c r="J65">
        <v>7.5936720096760757</v>
      </c>
      <c r="K65">
        <v>7791.1074819276537</v>
      </c>
      <c r="L65">
        <v>23</v>
      </c>
      <c r="M65">
        <v>23598</v>
      </c>
      <c r="N65">
        <v>25</v>
      </c>
      <c r="O65">
        <v>25650</v>
      </c>
      <c r="P65">
        <v>21</v>
      </c>
      <c r="Q65">
        <v>21546</v>
      </c>
      <c r="R65">
        <v>26</v>
      </c>
      <c r="S65">
        <v>26676</v>
      </c>
      <c r="T65">
        <v>21</v>
      </c>
      <c r="U65">
        <v>21546</v>
      </c>
      <c r="V65">
        <v>17</v>
      </c>
      <c r="W65">
        <v>17442</v>
      </c>
      <c r="X65">
        <v>17</v>
      </c>
      <c r="Y65">
        <v>17442</v>
      </c>
      <c r="Z65">
        <v>18</v>
      </c>
      <c r="AA65">
        <v>18468</v>
      </c>
      <c r="AB65">
        <v>15</v>
      </c>
      <c r="AC65">
        <v>15390</v>
      </c>
      <c r="AD65">
        <v>23</v>
      </c>
      <c r="AE65">
        <v>23598</v>
      </c>
      <c r="AF65">
        <v>24</v>
      </c>
      <c r="AG65">
        <v>24624</v>
      </c>
      <c r="AH65">
        <v>18.166361225693453</v>
      </c>
      <c r="AI65">
        <v>18638.686617561485</v>
      </c>
      <c r="AJ65">
        <v>26</v>
      </c>
      <c r="AK65">
        <v>26676</v>
      </c>
      <c r="AL65">
        <v>27</v>
      </c>
      <c r="AM65">
        <v>27702</v>
      </c>
      <c r="AN65">
        <v>18</v>
      </c>
      <c r="AO65">
        <v>18468</v>
      </c>
      <c r="AP65">
        <v>14</v>
      </c>
      <c r="AQ65">
        <v>14364</v>
      </c>
      <c r="AR65">
        <v>22</v>
      </c>
      <c r="AS65">
        <v>22572</v>
      </c>
      <c r="AT65">
        <v>17</v>
      </c>
      <c r="AU65">
        <v>17442</v>
      </c>
      <c r="AV65">
        <v>15</v>
      </c>
      <c r="AW65">
        <v>15390</v>
      </c>
      <c r="AX65">
        <v>15</v>
      </c>
      <c r="AY65">
        <v>15390</v>
      </c>
      <c r="AZ65">
        <v>16</v>
      </c>
      <c r="BA65">
        <v>16416</v>
      </c>
      <c r="BB65">
        <v>19</v>
      </c>
      <c r="BC65">
        <v>19494</v>
      </c>
      <c r="BD65">
        <v>24</v>
      </c>
      <c r="BE65">
        <v>24624</v>
      </c>
      <c r="BF65">
        <v>27</v>
      </c>
      <c r="BG65">
        <v>27702</v>
      </c>
      <c r="BH65">
        <v>24</v>
      </c>
      <c r="BI65">
        <v>24624</v>
      </c>
      <c r="BJ65">
        <v>21</v>
      </c>
      <c r="BK65">
        <v>21546</v>
      </c>
      <c r="BL65">
        <v>15</v>
      </c>
      <c r="BM65">
        <v>15390</v>
      </c>
      <c r="BN65">
        <v>6.3890800838245019</v>
      </c>
      <c r="BO65">
        <v>6555.1961660039387</v>
      </c>
      <c r="BP65">
        <v>23</v>
      </c>
      <c r="BQ65">
        <v>23598</v>
      </c>
      <c r="BR65">
        <v>20.623163212655594</v>
      </c>
      <c r="BS65">
        <v>21159.365456184642</v>
      </c>
      <c r="BT65">
        <v>20</v>
      </c>
      <c r="BU65">
        <v>20520</v>
      </c>
      <c r="BV65">
        <v>15.509691753245303</v>
      </c>
      <c r="BW65">
        <v>15912.943738829681</v>
      </c>
      <c r="BX65">
        <v>10.579545403237343</v>
      </c>
      <c r="BY65">
        <v>10854.613583721515</v>
      </c>
      <c r="BZ65">
        <v>5.3583536325373444</v>
      </c>
      <c r="CA65">
        <v>5497.6708269833152</v>
      </c>
      <c r="CB65">
        <v>16</v>
      </c>
      <c r="CC65">
        <v>16416</v>
      </c>
      <c r="CD65">
        <v>18</v>
      </c>
      <c r="CE65">
        <v>18468</v>
      </c>
      <c r="CF65">
        <v>22</v>
      </c>
      <c r="CG65">
        <v>22572</v>
      </c>
      <c r="CH65">
        <v>14.062358959545787</v>
      </c>
      <c r="CI65">
        <v>14427.980292493978</v>
      </c>
      <c r="CJ65">
        <v>2.1456251700944895</v>
      </c>
      <c r="CK65">
        <v>2201.4114245169462</v>
      </c>
      <c r="CL65">
        <v>2.4133188702040105</v>
      </c>
      <c r="CM65">
        <v>2476.0651608293147</v>
      </c>
      <c r="CN65">
        <v>22</v>
      </c>
      <c r="CO65">
        <v>22572</v>
      </c>
      <c r="CP65">
        <v>24</v>
      </c>
      <c r="CQ65">
        <v>24624</v>
      </c>
      <c r="CR65">
        <v>13</v>
      </c>
      <c r="CS65">
        <v>13338</v>
      </c>
      <c r="CT65">
        <v>25</v>
      </c>
      <c r="CU65">
        <v>25650</v>
      </c>
    </row>
    <row r="66" spans="2:99" x14ac:dyDescent="0.2">
      <c r="C66" s="118" t="s">
        <v>232</v>
      </c>
      <c r="D66">
        <v>0</v>
      </c>
      <c r="E66">
        <v>0</v>
      </c>
      <c r="F66">
        <v>11.433007985531399</v>
      </c>
      <c r="G66">
        <v>13609.852705976575</v>
      </c>
      <c r="H66">
        <v>13</v>
      </c>
      <c r="I66">
        <v>15475.199999999999</v>
      </c>
      <c r="J66">
        <v>6.9608660088697372</v>
      </c>
      <c r="K66">
        <v>8286.2148969585342</v>
      </c>
      <c r="L66">
        <v>23</v>
      </c>
      <c r="M66">
        <v>27379.199999999997</v>
      </c>
      <c r="N66">
        <v>24</v>
      </c>
      <c r="O66">
        <v>28569.599999999999</v>
      </c>
      <c r="P66">
        <v>19</v>
      </c>
      <c r="Q66">
        <v>22617.599999999999</v>
      </c>
      <c r="R66">
        <v>25</v>
      </c>
      <c r="S66">
        <v>29759.999999999996</v>
      </c>
      <c r="T66">
        <v>24</v>
      </c>
      <c r="U66">
        <v>28569.599999999999</v>
      </c>
      <c r="V66">
        <v>19</v>
      </c>
      <c r="W66">
        <v>22617.599999999999</v>
      </c>
      <c r="X66">
        <v>19</v>
      </c>
      <c r="Y66">
        <v>22617.599999999999</v>
      </c>
      <c r="Z66">
        <v>21</v>
      </c>
      <c r="AA66">
        <v>24998.399999999998</v>
      </c>
      <c r="AB66">
        <v>12</v>
      </c>
      <c r="AC66">
        <v>14284.8</v>
      </c>
      <c r="AD66">
        <v>22</v>
      </c>
      <c r="AE66">
        <v>26188.799999999996</v>
      </c>
      <c r="AF66">
        <v>22</v>
      </c>
      <c r="AG66">
        <v>26188.799999999996</v>
      </c>
      <c r="AH66">
        <v>17.409429507956226</v>
      </c>
      <c r="AI66">
        <v>20724.18488627109</v>
      </c>
      <c r="AJ66">
        <v>27</v>
      </c>
      <c r="AK66">
        <v>32140.799999999996</v>
      </c>
      <c r="AL66">
        <v>27</v>
      </c>
      <c r="AM66">
        <v>32140.799999999996</v>
      </c>
      <c r="AN66">
        <v>18</v>
      </c>
      <c r="AO66">
        <v>21427.199999999997</v>
      </c>
      <c r="AP66">
        <v>15</v>
      </c>
      <c r="AQ66">
        <v>17855.999999999996</v>
      </c>
      <c r="AR66">
        <v>24</v>
      </c>
      <c r="AS66">
        <v>28569.599999999999</v>
      </c>
      <c r="AT66">
        <v>15</v>
      </c>
      <c r="AU66">
        <v>17855.999999999996</v>
      </c>
      <c r="AV66">
        <v>16</v>
      </c>
      <c r="AW66">
        <v>19046.399999999998</v>
      </c>
      <c r="AX66">
        <v>16</v>
      </c>
      <c r="AY66">
        <v>19046.399999999998</v>
      </c>
      <c r="AZ66">
        <v>18</v>
      </c>
      <c r="BA66">
        <v>21427.199999999997</v>
      </c>
      <c r="BB66">
        <v>19</v>
      </c>
      <c r="BC66">
        <v>22617.599999999999</v>
      </c>
      <c r="BD66">
        <v>27</v>
      </c>
      <c r="BE66">
        <v>32140.799999999996</v>
      </c>
      <c r="BF66">
        <v>27</v>
      </c>
      <c r="BG66">
        <v>32140.799999999996</v>
      </c>
      <c r="BH66">
        <v>26</v>
      </c>
      <c r="BI66">
        <v>30950.399999999998</v>
      </c>
      <c r="BJ66">
        <v>23</v>
      </c>
      <c r="BK66">
        <v>27379.199999999997</v>
      </c>
      <c r="BL66">
        <v>16</v>
      </c>
      <c r="BM66">
        <v>19046.399999999998</v>
      </c>
      <c r="BN66">
        <v>7.2224383556276974</v>
      </c>
      <c r="BO66">
        <v>8597.5906185392105</v>
      </c>
      <c r="BP66">
        <v>22</v>
      </c>
      <c r="BQ66">
        <v>26188.799999999996</v>
      </c>
      <c r="BR66">
        <v>20.623163212655594</v>
      </c>
      <c r="BS66">
        <v>24549.813488345219</v>
      </c>
      <c r="BT66">
        <v>20</v>
      </c>
      <c r="BU66">
        <v>23807.999999999996</v>
      </c>
      <c r="BV66">
        <v>15.509691753245303</v>
      </c>
      <c r="BW66">
        <v>18462.737063063207</v>
      </c>
      <c r="BX66">
        <v>9.8742423763548537</v>
      </c>
      <c r="BY66">
        <v>11754.298124812816</v>
      </c>
      <c r="BZ66">
        <v>5.1147921037856472</v>
      </c>
      <c r="CA66">
        <v>6088.6485203464335</v>
      </c>
      <c r="CB66">
        <v>15</v>
      </c>
      <c r="CC66">
        <v>17855.999999999996</v>
      </c>
      <c r="CD66">
        <v>17</v>
      </c>
      <c r="CE66">
        <v>20236.8</v>
      </c>
      <c r="CF66">
        <v>25</v>
      </c>
      <c r="CG66">
        <v>29759.999999999996</v>
      </c>
      <c r="CH66">
        <v>14.062358959545787</v>
      </c>
      <c r="CI66">
        <v>16739.832105443304</v>
      </c>
      <c r="CJ66">
        <v>2.0194119247948135</v>
      </c>
      <c r="CK66">
        <v>2403.9079552757457</v>
      </c>
      <c r="CL66">
        <v>2.5182457776041844</v>
      </c>
      <c r="CM66">
        <v>2997.719773660021</v>
      </c>
      <c r="CN66">
        <v>22</v>
      </c>
      <c r="CO66">
        <v>26188.799999999996</v>
      </c>
      <c r="CP66">
        <v>22</v>
      </c>
      <c r="CQ66">
        <v>26188.799999999996</v>
      </c>
      <c r="CR66">
        <v>14</v>
      </c>
      <c r="CS66">
        <v>16665.599999999999</v>
      </c>
      <c r="CT66">
        <v>24</v>
      </c>
      <c r="CU66">
        <v>28569.599999999999</v>
      </c>
    </row>
    <row r="67" spans="2:99" x14ac:dyDescent="0.2">
      <c r="C67" s="118" t="s">
        <v>233</v>
      </c>
      <c r="D67">
        <v>0</v>
      </c>
      <c r="E67">
        <v>0</v>
      </c>
      <c r="F67">
        <v>13.839957035116957</v>
      </c>
      <c r="G67">
        <v>15545.039741843366</v>
      </c>
      <c r="H67">
        <v>12</v>
      </c>
      <c r="I67">
        <v>13478.400000000001</v>
      </c>
      <c r="J67">
        <v>6.6444630084665661</v>
      </c>
      <c r="K67">
        <v>7463.060851109647</v>
      </c>
      <c r="L67">
        <v>21</v>
      </c>
      <c r="M67">
        <v>23587.200000000001</v>
      </c>
      <c r="N67">
        <v>27</v>
      </c>
      <c r="O67">
        <v>30326.400000000001</v>
      </c>
      <c r="P67">
        <v>19</v>
      </c>
      <c r="Q67">
        <v>21340.799999999999</v>
      </c>
      <c r="R67">
        <v>25</v>
      </c>
      <c r="S67">
        <v>28080</v>
      </c>
      <c r="T67">
        <v>26</v>
      </c>
      <c r="U67">
        <v>29203.200000000001</v>
      </c>
      <c r="V67">
        <v>18</v>
      </c>
      <c r="W67">
        <v>20217.600000000002</v>
      </c>
      <c r="X67">
        <v>20</v>
      </c>
      <c r="Y67">
        <v>22464</v>
      </c>
      <c r="Z67">
        <v>18</v>
      </c>
      <c r="AA67">
        <v>20217.600000000002</v>
      </c>
      <c r="AB67">
        <v>14</v>
      </c>
      <c r="AC67">
        <v>15724.800000000001</v>
      </c>
      <c r="AD67">
        <v>24</v>
      </c>
      <c r="AE67">
        <v>26956.800000000003</v>
      </c>
      <c r="AF67">
        <v>23</v>
      </c>
      <c r="AG67">
        <v>25833.600000000002</v>
      </c>
      <c r="AH67">
        <v>16.652497790218998</v>
      </c>
      <c r="AI67">
        <v>18704.085517973981</v>
      </c>
      <c r="AJ67">
        <v>28</v>
      </c>
      <c r="AK67">
        <v>31449.600000000002</v>
      </c>
      <c r="AL67">
        <v>26</v>
      </c>
      <c r="AM67">
        <v>29203.200000000001</v>
      </c>
      <c r="AN67">
        <v>20</v>
      </c>
      <c r="AO67">
        <v>22464</v>
      </c>
      <c r="AP67">
        <v>14</v>
      </c>
      <c r="AQ67">
        <v>15724.800000000001</v>
      </c>
      <c r="AR67">
        <v>20</v>
      </c>
      <c r="AS67">
        <v>22464</v>
      </c>
      <c r="AT67">
        <v>17</v>
      </c>
      <c r="AU67">
        <v>19094.400000000001</v>
      </c>
      <c r="AV67">
        <v>16</v>
      </c>
      <c r="AW67">
        <v>17971.2</v>
      </c>
      <c r="AX67">
        <v>13</v>
      </c>
      <c r="AY67">
        <v>14601.6</v>
      </c>
      <c r="AZ67">
        <v>18</v>
      </c>
      <c r="BA67">
        <v>20217.600000000002</v>
      </c>
      <c r="BB67">
        <v>19</v>
      </c>
      <c r="BC67">
        <v>21340.799999999999</v>
      </c>
      <c r="BD67">
        <v>28</v>
      </c>
      <c r="BE67">
        <v>31449.600000000002</v>
      </c>
      <c r="BF67">
        <v>26</v>
      </c>
      <c r="BG67">
        <v>29203.200000000001</v>
      </c>
      <c r="BH67">
        <v>27</v>
      </c>
      <c r="BI67">
        <v>30326.400000000001</v>
      </c>
      <c r="BJ67">
        <v>23</v>
      </c>
      <c r="BK67">
        <v>25833.600000000002</v>
      </c>
      <c r="BL67">
        <v>15</v>
      </c>
      <c r="BM67">
        <v>16848</v>
      </c>
      <c r="BN67">
        <v>7.2224383556276974</v>
      </c>
      <c r="BO67">
        <v>8112.2427610410305</v>
      </c>
      <c r="BP67">
        <v>23</v>
      </c>
      <c r="BQ67">
        <v>25833.600000000002</v>
      </c>
      <c r="BR67">
        <v>18.045267811073643</v>
      </c>
      <c r="BS67">
        <v>20268.444805397918</v>
      </c>
      <c r="BT67">
        <v>19</v>
      </c>
      <c r="BU67">
        <v>21340.799999999999</v>
      </c>
      <c r="BV67">
        <v>15.509691753245303</v>
      </c>
      <c r="BW67">
        <v>17420.485777245125</v>
      </c>
      <c r="BX67">
        <v>9.8742423763548537</v>
      </c>
      <c r="BY67">
        <v>11090.749037121772</v>
      </c>
      <c r="BZ67">
        <v>4.3841075175305546</v>
      </c>
      <c r="CA67">
        <v>4924.2295636903191</v>
      </c>
      <c r="CB67">
        <v>16</v>
      </c>
      <c r="CC67">
        <v>17971.2</v>
      </c>
      <c r="CD67">
        <v>18</v>
      </c>
      <c r="CE67">
        <v>20217.600000000002</v>
      </c>
      <c r="CF67">
        <v>24</v>
      </c>
      <c r="CG67">
        <v>26956.800000000003</v>
      </c>
      <c r="CH67">
        <v>15.468594855500365</v>
      </c>
      <c r="CI67">
        <v>17374.325741698012</v>
      </c>
      <c r="CJ67">
        <v>2.1456251700944895</v>
      </c>
      <c r="CK67">
        <v>2409.9661910501309</v>
      </c>
      <c r="CL67">
        <v>2.4133188702040105</v>
      </c>
      <c r="CM67">
        <v>2710.6397550131446</v>
      </c>
      <c r="CN67">
        <v>22</v>
      </c>
      <c r="CO67">
        <v>24710.400000000001</v>
      </c>
      <c r="CP67">
        <v>24</v>
      </c>
      <c r="CQ67">
        <v>26956.800000000003</v>
      </c>
      <c r="CR67">
        <v>14</v>
      </c>
      <c r="CS67">
        <v>15724.800000000001</v>
      </c>
      <c r="CT67">
        <v>28</v>
      </c>
      <c r="CU67">
        <v>31449.600000000002</v>
      </c>
    </row>
    <row r="68" spans="2:99" x14ac:dyDescent="0.2">
      <c r="C68" s="118" t="s">
        <v>234</v>
      </c>
      <c r="D68">
        <v>0</v>
      </c>
      <c r="E68">
        <v>0</v>
      </c>
      <c r="F68">
        <v>13.839957035116957</v>
      </c>
      <c r="G68">
        <v>14299.443608682841</v>
      </c>
      <c r="H68">
        <v>13</v>
      </c>
      <c r="I68">
        <v>13431.6</v>
      </c>
      <c r="J68">
        <v>7.2772690092729064</v>
      </c>
      <c r="K68">
        <v>7518.8743403807675</v>
      </c>
      <c r="L68">
        <v>24</v>
      </c>
      <c r="M68">
        <v>24796.800000000003</v>
      </c>
      <c r="N68">
        <v>26</v>
      </c>
      <c r="O68">
        <v>26863.200000000001</v>
      </c>
      <c r="P68">
        <v>20</v>
      </c>
      <c r="Q68">
        <v>20664</v>
      </c>
      <c r="R68">
        <v>24</v>
      </c>
      <c r="S68">
        <v>24796.800000000003</v>
      </c>
      <c r="T68">
        <v>25</v>
      </c>
      <c r="U68">
        <v>25830</v>
      </c>
      <c r="V68">
        <v>18</v>
      </c>
      <c r="W68">
        <v>18597.600000000002</v>
      </c>
      <c r="X68">
        <v>20</v>
      </c>
      <c r="Y68">
        <v>20664</v>
      </c>
      <c r="Z68">
        <v>21</v>
      </c>
      <c r="AA68">
        <v>21697.200000000001</v>
      </c>
      <c r="AB68">
        <v>14</v>
      </c>
      <c r="AC68">
        <v>14464.800000000001</v>
      </c>
      <c r="AD68">
        <v>22</v>
      </c>
      <c r="AE68">
        <v>22730.400000000001</v>
      </c>
      <c r="AF68">
        <v>21</v>
      </c>
      <c r="AG68">
        <v>21697.200000000001</v>
      </c>
      <c r="AH68">
        <v>17.409429507956226</v>
      </c>
      <c r="AI68">
        <v>17987.422567620375</v>
      </c>
      <c r="AJ68">
        <v>25</v>
      </c>
      <c r="AK68">
        <v>25830</v>
      </c>
      <c r="AL68">
        <v>25</v>
      </c>
      <c r="AM68">
        <v>25830</v>
      </c>
      <c r="AN68">
        <v>18</v>
      </c>
      <c r="AO68">
        <v>18597.600000000002</v>
      </c>
      <c r="AP68">
        <v>14</v>
      </c>
      <c r="AQ68">
        <v>14464.800000000001</v>
      </c>
      <c r="AR68">
        <v>22</v>
      </c>
      <c r="AS68">
        <v>22730.400000000001</v>
      </c>
      <c r="AT68">
        <v>19</v>
      </c>
      <c r="AU68">
        <v>19630.8</v>
      </c>
      <c r="AV68">
        <v>15</v>
      </c>
      <c r="AW68">
        <v>15498</v>
      </c>
      <c r="AX68">
        <v>15</v>
      </c>
      <c r="AY68">
        <v>15498</v>
      </c>
      <c r="AZ68">
        <v>18</v>
      </c>
      <c r="BA68">
        <v>18597.600000000002</v>
      </c>
      <c r="BB68">
        <v>18</v>
      </c>
      <c r="BC68">
        <v>18597.600000000002</v>
      </c>
      <c r="BD68">
        <v>25</v>
      </c>
      <c r="BE68">
        <v>25830</v>
      </c>
      <c r="BF68">
        <v>23</v>
      </c>
      <c r="BG68">
        <v>23763.600000000002</v>
      </c>
      <c r="BH68">
        <v>25</v>
      </c>
      <c r="BI68">
        <v>25830</v>
      </c>
      <c r="BJ68">
        <v>24</v>
      </c>
      <c r="BK68">
        <v>24796.800000000003</v>
      </c>
      <c r="BL68">
        <v>15</v>
      </c>
      <c r="BM68">
        <v>15498</v>
      </c>
      <c r="BN68">
        <v>6.6668661744255671</v>
      </c>
      <c r="BO68">
        <v>6888.2061314164957</v>
      </c>
      <c r="BP68">
        <v>26</v>
      </c>
      <c r="BQ68">
        <v>26863.200000000001</v>
      </c>
      <c r="BR68">
        <v>20.623163212655594</v>
      </c>
      <c r="BS68">
        <v>21307.852231315763</v>
      </c>
      <c r="BT68">
        <v>20</v>
      </c>
      <c r="BU68">
        <v>20664</v>
      </c>
      <c r="BV68">
        <v>13.685022135216443</v>
      </c>
      <c r="BW68">
        <v>14139.364870105628</v>
      </c>
      <c r="BX68">
        <v>11.284848430119835</v>
      </c>
      <c r="BY68">
        <v>11659.505397999814</v>
      </c>
      <c r="BZ68">
        <v>4.6276690462822518</v>
      </c>
      <c r="CA68">
        <v>4781.3076586188226</v>
      </c>
      <c r="CB68">
        <v>14</v>
      </c>
      <c r="CC68">
        <v>14464.800000000001</v>
      </c>
      <c r="CD68">
        <v>18</v>
      </c>
      <c r="CE68">
        <v>18597.600000000002</v>
      </c>
      <c r="CF68">
        <v>25</v>
      </c>
      <c r="CG68">
        <v>25830</v>
      </c>
      <c r="CH68">
        <v>14.765476907523077</v>
      </c>
      <c r="CI68">
        <v>15255.690740852844</v>
      </c>
      <c r="CJ68">
        <v>2.0194119247948135</v>
      </c>
      <c r="CK68">
        <v>2086.4564006980013</v>
      </c>
      <c r="CL68">
        <v>2.6231726850043593</v>
      </c>
      <c r="CM68">
        <v>2710.262018146504</v>
      </c>
      <c r="CN68">
        <v>23</v>
      </c>
      <c r="CO68">
        <v>23763.600000000002</v>
      </c>
      <c r="CP68">
        <v>22</v>
      </c>
      <c r="CQ68">
        <v>22730.400000000001</v>
      </c>
      <c r="CR68">
        <v>13</v>
      </c>
      <c r="CS68">
        <v>13431.6</v>
      </c>
      <c r="CT68">
        <v>29</v>
      </c>
      <c r="CU68">
        <v>29962.800000000003</v>
      </c>
    </row>
    <row r="69" spans="2:99" x14ac:dyDescent="0.2">
      <c r="C69" s="118" t="s">
        <v>235</v>
      </c>
      <c r="D69">
        <v>0</v>
      </c>
      <c r="E69">
        <v>0</v>
      </c>
      <c r="F69">
        <v>13.839957035116957</v>
      </c>
      <c r="G69">
        <v>10496.2234154327</v>
      </c>
      <c r="H69">
        <v>14</v>
      </c>
      <c r="I69">
        <v>10617.6</v>
      </c>
      <c r="J69">
        <v>8.2264780104824169</v>
      </c>
      <c r="K69">
        <v>6238.9609231498644</v>
      </c>
      <c r="L69">
        <v>22</v>
      </c>
      <c r="M69">
        <v>16684.8</v>
      </c>
      <c r="N69">
        <v>26</v>
      </c>
      <c r="O69">
        <v>19718.399999999998</v>
      </c>
      <c r="P69">
        <v>20</v>
      </c>
      <c r="Q69">
        <v>15168</v>
      </c>
      <c r="R69">
        <v>26</v>
      </c>
      <c r="S69">
        <v>19718.399999999998</v>
      </c>
      <c r="T69">
        <v>23</v>
      </c>
      <c r="U69">
        <v>17443.2</v>
      </c>
      <c r="V69">
        <v>17</v>
      </c>
      <c r="W69">
        <v>12892.8</v>
      </c>
      <c r="X69">
        <v>18</v>
      </c>
      <c r="Y69">
        <v>13651.199999999999</v>
      </c>
      <c r="Z69">
        <v>22</v>
      </c>
      <c r="AA69">
        <v>16684.8</v>
      </c>
      <c r="AB69">
        <v>13</v>
      </c>
      <c r="AC69">
        <v>9859.1999999999989</v>
      </c>
      <c r="AD69">
        <v>24</v>
      </c>
      <c r="AE69">
        <v>18201.599999999999</v>
      </c>
      <c r="AF69">
        <v>22</v>
      </c>
      <c r="AG69">
        <v>16684.8</v>
      </c>
      <c r="AH69">
        <v>17.409429507956226</v>
      </c>
      <c r="AI69">
        <v>13203.311338834001</v>
      </c>
      <c r="AJ69">
        <v>29</v>
      </c>
      <c r="AK69">
        <v>21993.599999999999</v>
      </c>
      <c r="AL69">
        <v>24</v>
      </c>
      <c r="AM69">
        <v>18201.599999999999</v>
      </c>
      <c r="AN69">
        <v>20</v>
      </c>
      <c r="AO69">
        <v>15168</v>
      </c>
      <c r="AP69">
        <v>16</v>
      </c>
      <c r="AQ69">
        <v>12134.4</v>
      </c>
      <c r="AR69">
        <v>22</v>
      </c>
      <c r="AS69">
        <v>16684.8</v>
      </c>
      <c r="AT69">
        <v>16</v>
      </c>
      <c r="AU69">
        <v>12134.4</v>
      </c>
      <c r="AV69">
        <v>17</v>
      </c>
      <c r="AW69">
        <v>12892.8</v>
      </c>
      <c r="AX69">
        <v>16</v>
      </c>
      <c r="AY69">
        <v>12134.4</v>
      </c>
      <c r="AZ69">
        <v>18</v>
      </c>
      <c r="BA69">
        <v>13651.199999999999</v>
      </c>
      <c r="BB69">
        <v>18</v>
      </c>
      <c r="BC69">
        <v>13651.199999999999</v>
      </c>
      <c r="BD69">
        <v>25</v>
      </c>
      <c r="BE69">
        <v>18960</v>
      </c>
      <c r="BF69">
        <v>24</v>
      </c>
      <c r="BG69">
        <v>18201.599999999999</v>
      </c>
      <c r="BH69">
        <v>29</v>
      </c>
      <c r="BI69">
        <v>21993.599999999999</v>
      </c>
      <c r="BJ69">
        <v>23</v>
      </c>
      <c r="BK69">
        <v>17443.2</v>
      </c>
      <c r="BL69">
        <v>18</v>
      </c>
      <c r="BM69">
        <v>13651.199999999999</v>
      </c>
      <c r="BN69">
        <v>6.6668661744255671</v>
      </c>
      <c r="BO69">
        <v>5056.1513066843499</v>
      </c>
      <c r="BP69">
        <v>28</v>
      </c>
      <c r="BQ69">
        <v>21235.200000000001</v>
      </c>
      <c r="BR69">
        <v>18.904566278267627</v>
      </c>
      <c r="BS69">
        <v>14337.223065438167</v>
      </c>
      <c r="BT69">
        <v>18</v>
      </c>
      <c r="BU69">
        <v>13651.199999999999</v>
      </c>
      <c r="BV69">
        <v>14.597356944230873</v>
      </c>
      <c r="BW69">
        <v>11070.635506504694</v>
      </c>
      <c r="BX69">
        <v>11.284848430119835</v>
      </c>
      <c r="BY69">
        <v>8558.4290494028828</v>
      </c>
      <c r="BZ69">
        <v>5.3583536325373444</v>
      </c>
      <c r="CA69">
        <v>4063.7753949163221</v>
      </c>
      <c r="CB69">
        <v>14</v>
      </c>
      <c r="CC69">
        <v>10617.6</v>
      </c>
      <c r="CD69">
        <v>20</v>
      </c>
      <c r="CE69">
        <v>15168</v>
      </c>
      <c r="CF69">
        <v>27</v>
      </c>
      <c r="CG69">
        <v>20476.8</v>
      </c>
      <c r="CH69">
        <v>14.062358959545787</v>
      </c>
      <c r="CI69">
        <v>10664.893034919523</v>
      </c>
      <c r="CJ69">
        <v>2.3980516606938416</v>
      </c>
      <c r="CK69">
        <v>1818.6823794702093</v>
      </c>
      <c r="CL69">
        <v>2.9379534072048821</v>
      </c>
      <c r="CM69">
        <v>2228.1438640241827</v>
      </c>
      <c r="CN69">
        <v>22</v>
      </c>
      <c r="CO69">
        <v>16684.8</v>
      </c>
      <c r="CP69">
        <v>24</v>
      </c>
      <c r="CQ69">
        <v>18201.599999999999</v>
      </c>
      <c r="CR69">
        <v>16</v>
      </c>
      <c r="CS69">
        <v>12134.4</v>
      </c>
      <c r="CT69">
        <v>25</v>
      </c>
      <c r="CU69">
        <v>18960</v>
      </c>
    </row>
    <row r="70" spans="2:99" x14ac:dyDescent="0.2">
      <c r="C70" s="118" t="s">
        <v>236</v>
      </c>
      <c r="D70">
        <v>0</v>
      </c>
      <c r="E70">
        <v>0</v>
      </c>
      <c r="F70">
        <v>13.839957035116957</v>
      </c>
      <c r="G70">
        <v>7407.145005194594</v>
      </c>
      <c r="H70">
        <v>14</v>
      </c>
      <c r="I70">
        <v>7492.7999999999993</v>
      </c>
      <c r="J70">
        <v>8.542881010885587</v>
      </c>
      <c r="K70">
        <v>4572.1499170259658</v>
      </c>
      <c r="L70">
        <v>27</v>
      </c>
      <c r="M70">
        <v>14450.399999999998</v>
      </c>
      <c r="N70">
        <v>28</v>
      </c>
      <c r="O70">
        <v>14985.599999999999</v>
      </c>
      <c r="P70">
        <v>22</v>
      </c>
      <c r="Q70">
        <v>11774.399999999998</v>
      </c>
      <c r="R70">
        <v>27</v>
      </c>
      <c r="S70">
        <v>14450.399999999998</v>
      </c>
      <c r="T70">
        <v>27</v>
      </c>
      <c r="U70">
        <v>14450.399999999998</v>
      </c>
      <c r="V70">
        <v>20</v>
      </c>
      <c r="W70">
        <v>10703.999999999998</v>
      </c>
      <c r="X70">
        <v>21</v>
      </c>
      <c r="Y70">
        <v>11239.199999999999</v>
      </c>
      <c r="Z70">
        <v>21</v>
      </c>
      <c r="AA70">
        <v>11239.199999999999</v>
      </c>
      <c r="AB70">
        <v>14</v>
      </c>
      <c r="AC70">
        <v>7492.7999999999993</v>
      </c>
      <c r="AD70">
        <v>22</v>
      </c>
      <c r="AE70">
        <v>11774.399999999998</v>
      </c>
      <c r="AF70">
        <v>23</v>
      </c>
      <c r="AG70">
        <v>12309.599999999999</v>
      </c>
      <c r="AH70">
        <v>15.895566072481772</v>
      </c>
      <c r="AI70">
        <v>8507.3069619922426</v>
      </c>
      <c r="AJ70">
        <v>25</v>
      </c>
      <c r="AK70">
        <v>13379.999999999998</v>
      </c>
      <c r="AL70">
        <v>30</v>
      </c>
      <c r="AM70">
        <v>16055.999999999998</v>
      </c>
      <c r="AN70">
        <v>21</v>
      </c>
      <c r="AO70">
        <v>11239.199999999999</v>
      </c>
      <c r="AP70">
        <v>15</v>
      </c>
      <c r="AQ70">
        <v>8027.9999999999991</v>
      </c>
      <c r="AR70">
        <v>24</v>
      </c>
      <c r="AS70">
        <v>12844.8</v>
      </c>
      <c r="AT70">
        <v>18</v>
      </c>
      <c r="AU70">
        <v>9633.5999999999985</v>
      </c>
      <c r="AV70">
        <v>17</v>
      </c>
      <c r="AW70">
        <v>9098.4</v>
      </c>
      <c r="AX70">
        <v>15</v>
      </c>
      <c r="AY70">
        <v>8027.9999999999991</v>
      </c>
      <c r="AZ70">
        <v>18</v>
      </c>
      <c r="BA70">
        <v>9633.5999999999985</v>
      </c>
      <c r="BB70">
        <v>20</v>
      </c>
      <c r="BC70">
        <v>10703.999999999998</v>
      </c>
      <c r="BD70">
        <v>27</v>
      </c>
      <c r="BE70">
        <v>14450.399999999998</v>
      </c>
      <c r="BF70">
        <v>25</v>
      </c>
      <c r="BG70">
        <v>13379.999999999998</v>
      </c>
      <c r="BH70">
        <v>27</v>
      </c>
      <c r="BI70">
        <v>14450.399999999998</v>
      </c>
      <c r="BJ70">
        <v>25</v>
      </c>
      <c r="BK70">
        <v>13379.999999999998</v>
      </c>
      <c r="BL70">
        <v>17</v>
      </c>
      <c r="BM70">
        <v>9098.4</v>
      </c>
      <c r="BN70">
        <v>8.0557966274308939</v>
      </c>
      <c r="BO70">
        <v>4311.4623550010137</v>
      </c>
      <c r="BP70">
        <v>26</v>
      </c>
      <c r="BQ70">
        <v>13915.199999999999</v>
      </c>
      <c r="BR70">
        <v>22.341760147043559</v>
      </c>
      <c r="BS70">
        <v>11957.31003069771</v>
      </c>
      <c r="BT70">
        <v>20</v>
      </c>
      <c r="BU70">
        <v>10703.999999999998</v>
      </c>
      <c r="BV70">
        <v>15.509691753245303</v>
      </c>
      <c r="BW70">
        <v>8300.7870263368841</v>
      </c>
      <c r="BX70">
        <v>11.284848430119835</v>
      </c>
      <c r="BY70">
        <v>6039.650879800135</v>
      </c>
      <c r="BZ70">
        <v>5.3583536325373444</v>
      </c>
      <c r="CA70">
        <v>2867.7908641339864</v>
      </c>
      <c r="CB70">
        <v>18</v>
      </c>
      <c r="CC70">
        <v>9633.5999999999985</v>
      </c>
      <c r="CD70">
        <v>17</v>
      </c>
      <c r="CE70">
        <v>9098.4</v>
      </c>
      <c r="CF70">
        <v>24</v>
      </c>
      <c r="CG70">
        <v>12844.8</v>
      </c>
      <c r="CH70">
        <v>15.468594855500365</v>
      </c>
      <c r="CI70">
        <v>8278.7919666637936</v>
      </c>
      <c r="CJ70">
        <v>2.2718384153941655</v>
      </c>
      <c r="CK70">
        <v>1215.8879199189573</v>
      </c>
      <c r="CL70">
        <v>2.9379534072048821</v>
      </c>
      <c r="CM70">
        <v>1572.3926635360526</v>
      </c>
      <c r="CN70">
        <v>23</v>
      </c>
      <c r="CO70">
        <v>12309.599999999999</v>
      </c>
      <c r="CP70">
        <v>23</v>
      </c>
      <c r="CQ70">
        <v>12309.599999999999</v>
      </c>
      <c r="CR70">
        <v>15</v>
      </c>
      <c r="CS70">
        <v>8027.9999999999991</v>
      </c>
      <c r="CT70">
        <v>30</v>
      </c>
      <c r="CU70">
        <v>16055.999999999998</v>
      </c>
    </row>
    <row r="71" spans="2:99" x14ac:dyDescent="0.2">
      <c r="B71" s="118" t="s">
        <v>130</v>
      </c>
      <c r="C71" s="118" t="s">
        <v>237</v>
      </c>
      <c r="D71">
        <v>37</v>
      </c>
      <c r="E71">
        <v>20868</v>
      </c>
      <c r="F71">
        <v>21</v>
      </c>
      <c r="G71">
        <v>11844</v>
      </c>
      <c r="H71">
        <v>34</v>
      </c>
      <c r="I71">
        <v>19176</v>
      </c>
      <c r="J71">
        <v>40</v>
      </c>
      <c r="K71">
        <v>22560</v>
      </c>
      <c r="L71">
        <v>27.275380169564915</v>
      </c>
      <c r="M71">
        <v>15383.314415634612</v>
      </c>
      <c r="N71">
        <v>6.5701206112659492</v>
      </c>
      <c r="O71">
        <v>3705.5480247539954</v>
      </c>
      <c r="P71">
        <v>2.6966519406661718</v>
      </c>
      <c r="Q71">
        <v>1520.9116945357209</v>
      </c>
      <c r="R71">
        <v>9.583334991899191</v>
      </c>
      <c r="S71">
        <v>5405.0009354311442</v>
      </c>
      <c r="T71">
        <v>2.2641941265307133</v>
      </c>
      <c r="U71">
        <v>1277.0054873633223</v>
      </c>
      <c r="V71">
        <v>14.153218394478701</v>
      </c>
      <c r="W71">
        <v>7982.4151744859873</v>
      </c>
      <c r="X71">
        <v>5.9410706220255109</v>
      </c>
      <c r="Y71">
        <v>3350.7638308223882</v>
      </c>
      <c r="Z71">
        <v>6.7054497171397056</v>
      </c>
      <c r="AA71">
        <v>3781.8736404667939</v>
      </c>
      <c r="AB71">
        <v>8.5950948811850214</v>
      </c>
      <c r="AC71">
        <v>4847.6335129883519</v>
      </c>
      <c r="AD71">
        <v>4.0862656072644725</v>
      </c>
      <c r="AE71">
        <v>2304.6538024971624</v>
      </c>
      <c r="AF71">
        <v>9.3453898814302967</v>
      </c>
      <c r="AG71">
        <v>5270.7998931266875</v>
      </c>
      <c r="AH71">
        <v>6.0922669996431553</v>
      </c>
      <c r="AI71">
        <v>3436.0385877987396</v>
      </c>
      <c r="AJ71">
        <v>0</v>
      </c>
      <c r="AK71">
        <v>0</v>
      </c>
      <c r="AL71">
        <v>8.174873626445919</v>
      </c>
      <c r="AM71">
        <v>4610.6287253154987</v>
      </c>
      <c r="AN71">
        <v>13.414970209814724</v>
      </c>
      <c r="AO71">
        <v>7566.0431983355047</v>
      </c>
      <c r="AP71">
        <v>8.4742153431127498</v>
      </c>
      <c r="AQ71">
        <v>4779.4574535155907</v>
      </c>
      <c r="AR71">
        <v>3.1423468561153056</v>
      </c>
      <c r="AS71">
        <v>1772.2836268490323</v>
      </c>
      <c r="AT71">
        <v>14.492770262948603</v>
      </c>
      <c r="AU71">
        <v>8173.9224283030126</v>
      </c>
      <c r="AV71">
        <v>5.9134674670838354</v>
      </c>
      <c r="AW71">
        <v>3335.1956514352833</v>
      </c>
      <c r="AX71">
        <v>7.6360200962115501</v>
      </c>
      <c r="AY71">
        <v>4306.7153342633146</v>
      </c>
      <c r="AZ71">
        <v>3.4382815381375242</v>
      </c>
      <c r="BA71">
        <v>1939.1907875095637</v>
      </c>
      <c r="BB71">
        <v>7.0000966421272031</v>
      </c>
      <c r="BC71">
        <v>3948.0545061597427</v>
      </c>
      <c r="BD71">
        <v>5.2965302835538761</v>
      </c>
      <c r="BE71">
        <v>2987.2430799243862</v>
      </c>
      <c r="BF71">
        <v>14.740557924622953</v>
      </c>
      <c r="BG71">
        <v>8313.6746694873455</v>
      </c>
      <c r="BH71">
        <v>6.783601811745064</v>
      </c>
      <c r="BI71">
        <v>3825.9514218242161</v>
      </c>
      <c r="BJ71">
        <v>3.9649026226415098</v>
      </c>
      <c r="BK71">
        <v>2236.2050791698116</v>
      </c>
      <c r="BL71">
        <v>6.3528042563775244</v>
      </c>
      <c r="BM71">
        <v>3582.9816005969237</v>
      </c>
      <c r="BN71">
        <v>7.6967270257513682</v>
      </c>
      <c r="BO71">
        <v>4340.9540425237719</v>
      </c>
      <c r="BP71">
        <v>8.149575609034283</v>
      </c>
      <c r="BQ71">
        <v>4596.3606434953354</v>
      </c>
      <c r="BR71">
        <v>6.2087497380923207</v>
      </c>
      <c r="BS71">
        <v>3501.7348522840689</v>
      </c>
      <c r="BT71">
        <v>0.45311366724087127</v>
      </c>
      <c r="BU71">
        <v>255.55610832385139</v>
      </c>
      <c r="BV71">
        <v>10.854538122256592</v>
      </c>
      <c r="BW71">
        <v>6121.9595009527184</v>
      </c>
      <c r="BX71">
        <v>2.6148455208940264</v>
      </c>
      <c r="BY71">
        <v>1474.772873784231</v>
      </c>
      <c r="BZ71">
        <v>13.796341484610275</v>
      </c>
      <c r="CA71">
        <v>7781.1365973201955</v>
      </c>
      <c r="CB71">
        <v>4.726036539759038</v>
      </c>
      <c r="CC71">
        <v>2665.4846084240976</v>
      </c>
      <c r="CD71">
        <v>11.057371262330022</v>
      </c>
      <c r="CE71">
        <v>6236.3573919541323</v>
      </c>
      <c r="CF71">
        <v>7.5756563009845825</v>
      </c>
      <c r="CG71">
        <v>4272.6701537553045</v>
      </c>
      <c r="CH71">
        <v>6.0635955649948743</v>
      </c>
      <c r="CI71">
        <v>3419.867898657109</v>
      </c>
      <c r="CJ71">
        <v>5.84882255666004</v>
      </c>
      <c r="CK71">
        <v>3298.7359219562627</v>
      </c>
      <c r="CL71">
        <v>5.6706574474791616</v>
      </c>
      <c r="CM71">
        <v>3198.2508003782473</v>
      </c>
      <c r="CN71">
        <v>9.4735364749391415</v>
      </c>
      <c r="CO71">
        <v>5343.0745718656763</v>
      </c>
      <c r="CP71">
        <v>7.516465628684899</v>
      </c>
      <c r="CQ71">
        <v>4239.2866145782828</v>
      </c>
      <c r="CR71">
        <v>1.9314980185110626</v>
      </c>
      <c r="CS71">
        <v>1089.3648824402394</v>
      </c>
      <c r="CT71">
        <v>12.080330587000597</v>
      </c>
      <c r="CU71">
        <v>6813.3064510683371</v>
      </c>
    </row>
    <row r="72" spans="2:99" x14ac:dyDescent="0.2">
      <c r="C72" s="118" t="s">
        <v>238</v>
      </c>
      <c r="D72">
        <v>37</v>
      </c>
      <c r="E72">
        <v>2752.7999999999997</v>
      </c>
      <c r="F72">
        <v>23</v>
      </c>
      <c r="G72">
        <v>1711.1999999999998</v>
      </c>
      <c r="H72">
        <v>37</v>
      </c>
      <c r="I72">
        <v>2752.7999999999997</v>
      </c>
      <c r="J72">
        <v>39</v>
      </c>
      <c r="K72">
        <v>2901.5999999999995</v>
      </c>
      <c r="L72">
        <v>27.275380169564915</v>
      </c>
      <c r="M72">
        <v>2029.2882846156294</v>
      </c>
      <c r="N72">
        <v>6.5701206112659492</v>
      </c>
      <c r="O72">
        <v>488.81697347818658</v>
      </c>
      <c r="P72">
        <v>3.202274179541079</v>
      </c>
      <c r="Q72">
        <v>238.24919895785624</v>
      </c>
      <c r="R72">
        <v>10.339914070207021</v>
      </c>
      <c r="S72">
        <v>769.28960682340232</v>
      </c>
      <c r="T72">
        <v>2.7564102409939117</v>
      </c>
      <c r="U72">
        <v>205.07692192994702</v>
      </c>
      <c r="V72">
        <v>15.568540233926571</v>
      </c>
      <c r="W72">
        <v>1158.2993934041367</v>
      </c>
      <c r="X72">
        <v>6.1993780403744463</v>
      </c>
      <c r="Y72">
        <v>461.23372620385874</v>
      </c>
      <c r="Z72">
        <v>6.984843455353861</v>
      </c>
      <c r="AA72">
        <v>519.67235307832721</v>
      </c>
      <c r="AB72">
        <v>7.81372261925911</v>
      </c>
      <c r="AC72">
        <v>581.34096287287775</v>
      </c>
      <c r="AD72">
        <v>4.0862656072644725</v>
      </c>
      <c r="AE72">
        <v>304.01816118047674</v>
      </c>
      <c r="AF72">
        <v>11.422143188414807</v>
      </c>
      <c r="AG72">
        <v>849.8074532180616</v>
      </c>
      <c r="AH72">
        <v>7.4768731359256897</v>
      </c>
      <c r="AI72">
        <v>556.27936131287129</v>
      </c>
      <c r="AJ72">
        <v>0</v>
      </c>
      <c r="AK72">
        <v>0</v>
      </c>
      <c r="AL72">
        <v>8.5940979149816084</v>
      </c>
      <c r="AM72">
        <v>639.40088487463163</v>
      </c>
      <c r="AN72">
        <v>14.181539936089854</v>
      </c>
      <c r="AO72">
        <v>1055.106571245085</v>
      </c>
      <c r="AP72">
        <v>8.4742153431127498</v>
      </c>
      <c r="AQ72">
        <v>630.48162152758846</v>
      </c>
      <c r="AR72">
        <v>3.5351402131297185</v>
      </c>
      <c r="AS72">
        <v>263.01443185685105</v>
      </c>
      <c r="AT72">
        <v>16.967145673695928</v>
      </c>
      <c r="AU72">
        <v>1262.3556381229769</v>
      </c>
      <c r="AV72">
        <v>6.8990453782644741</v>
      </c>
      <c r="AW72">
        <v>513.28897614287678</v>
      </c>
      <c r="AX72">
        <v>9.1632241154538612</v>
      </c>
      <c r="AY72">
        <v>681.74387418976721</v>
      </c>
      <c r="AZ72">
        <v>3.1055446150919574</v>
      </c>
      <c r="BA72">
        <v>231.05251936284162</v>
      </c>
      <c r="BB72">
        <v>7.0000966421272031</v>
      </c>
      <c r="BC72">
        <v>520.80719017426384</v>
      </c>
      <c r="BD72">
        <v>5.0317037693761826</v>
      </c>
      <c r="BE72">
        <v>374.35876044158795</v>
      </c>
      <c r="BF72">
        <v>13.561313290653116</v>
      </c>
      <c r="BG72">
        <v>1008.9617088245917</v>
      </c>
      <c r="BH72">
        <v>7.2212535415350683</v>
      </c>
      <c r="BI72">
        <v>537.26126349020899</v>
      </c>
      <c r="BJ72">
        <v>4.4605154504716982</v>
      </c>
      <c r="BK72">
        <v>331.86234951509431</v>
      </c>
      <c r="BL72">
        <v>7.877477277908131</v>
      </c>
      <c r="BM72">
        <v>586.08430947636487</v>
      </c>
      <c r="BN72">
        <v>9.1528645711637893</v>
      </c>
      <c r="BO72">
        <v>680.97312409458584</v>
      </c>
      <c r="BP72">
        <v>8.7458860194514259</v>
      </c>
      <c r="BQ72">
        <v>650.69391984718595</v>
      </c>
      <c r="BR72">
        <v>6.7054497171397056</v>
      </c>
      <c r="BS72">
        <v>498.88545895519405</v>
      </c>
      <c r="BT72">
        <v>0.49430581880822316</v>
      </c>
      <c r="BU72">
        <v>36.776352919331799</v>
      </c>
      <c r="BV72">
        <v>13.08929597095648</v>
      </c>
      <c r="BW72">
        <v>973.84362023916196</v>
      </c>
      <c r="BX72">
        <v>2.6148455208940264</v>
      </c>
      <c r="BY72">
        <v>194.54450675451554</v>
      </c>
      <c r="BZ72">
        <v>14.805829885923222</v>
      </c>
      <c r="CA72">
        <v>1101.5537435126876</v>
      </c>
      <c r="CB72">
        <v>4.726036539759038</v>
      </c>
      <c r="CC72">
        <v>351.61711855807238</v>
      </c>
      <c r="CD72">
        <v>11.886674107004774</v>
      </c>
      <c r="CE72">
        <v>884.36855356115507</v>
      </c>
      <c r="CF72">
        <v>8.2249982696404036</v>
      </c>
      <c r="CG72">
        <v>611.93987126124591</v>
      </c>
      <c r="CH72">
        <v>6.2968107790331391</v>
      </c>
      <c r="CI72">
        <v>468.48272196006548</v>
      </c>
      <c r="CJ72">
        <v>6.5451109562624259</v>
      </c>
      <c r="CK72">
        <v>486.95625514592444</v>
      </c>
      <c r="CL72">
        <v>5.9069348411241265</v>
      </c>
      <c r="CM72">
        <v>439.47595217963499</v>
      </c>
      <c r="CN72">
        <v>10.93100362492978</v>
      </c>
      <c r="CO72">
        <v>813.26666969477549</v>
      </c>
      <c r="CP72">
        <v>7.1824004896322355</v>
      </c>
      <c r="CQ72">
        <v>534.37059642863824</v>
      </c>
      <c r="CR72">
        <v>2.146108909456736</v>
      </c>
      <c r="CS72">
        <v>159.67050286358113</v>
      </c>
      <c r="CT72">
        <v>13.087024802583981</v>
      </c>
      <c r="CU72">
        <v>973.67464531224812</v>
      </c>
    </row>
    <row r="73" spans="2:99" x14ac:dyDescent="0.2">
      <c r="C73" s="118" t="s">
        <v>239</v>
      </c>
      <c r="D73">
        <v>40</v>
      </c>
      <c r="E73">
        <v>22367.999999999996</v>
      </c>
      <c r="F73">
        <v>25</v>
      </c>
      <c r="G73">
        <v>13979.999999999998</v>
      </c>
      <c r="H73">
        <v>31</v>
      </c>
      <c r="I73">
        <v>17335.199999999997</v>
      </c>
      <c r="J73">
        <v>39</v>
      </c>
      <c r="K73">
        <v>21808.799999999996</v>
      </c>
      <c r="L73">
        <v>27.275380169564915</v>
      </c>
      <c r="M73">
        <v>15252.392590820698</v>
      </c>
      <c r="N73">
        <v>6.5701206112659492</v>
      </c>
      <c r="O73">
        <v>3674.0114458199182</v>
      </c>
      <c r="P73">
        <v>2.7809223138119896</v>
      </c>
      <c r="Q73">
        <v>1555.0917578836645</v>
      </c>
      <c r="R73">
        <v>9.835528018001801</v>
      </c>
      <c r="S73">
        <v>5500.0272676666063</v>
      </c>
      <c r="T73">
        <v>2.4610805723159928</v>
      </c>
      <c r="U73">
        <v>1376.236256039103</v>
      </c>
      <c r="V73">
        <v>14.153218394478701</v>
      </c>
      <c r="W73">
        <v>7914.4797261924887</v>
      </c>
      <c r="X73">
        <v>6.4576854587233816</v>
      </c>
      <c r="Y73">
        <v>3611.1377085181148</v>
      </c>
      <c r="Z73">
        <v>7.8230246699963235</v>
      </c>
      <c r="AA73">
        <v>4374.6353954619435</v>
      </c>
      <c r="AB73">
        <v>7.81372261925911</v>
      </c>
      <c r="AC73">
        <v>4369.4336886896936</v>
      </c>
      <c r="AD73">
        <v>4.0862656072644725</v>
      </c>
      <c r="AE73">
        <v>2285.0397275822929</v>
      </c>
      <c r="AF73">
        <v>10.037640983758465</v>
      </c>
      <c r="AG73">
        <v>5613.0488381177329</v>
      </c>
      <c r="AH73">
        <v>6.6461094541561687</v>
      </c>
      <c r="AI73">
        <v>3716.5044067641293</v>
      </c>
      <c r="AJ73">
        <v>0</v>
      </c>
      <c r="AK73">
        <v>0</v>
      </c>
      <c r="AL73">
        <v>7.5460371936423867</v>
      </c>
      <c r="AM73">
        <v>4219.7439986848221</v>
      </c>
      <c r="AN73">
        <v>12.648400483539596</v>
      </c>
      <c r="AO73">
        <v>7072.9855503953413</v>
      </c>
      <c r="AP73">
        <v>9.4371943593755638</v>
      </c>
      <c r="AQ73">
        <v>5277.2790857628142</v>
      </c>
      <c r="AR73">
        <v>2.9066708419066578</v>
      </c>
      <c r="AS73">
        <v>1625.4103347942028</v>
      </c>
      <c r="AT73">
        <v>15.199734666019268</v>
      </c>
      <c r="AU73">
        <v>8499.6916252379742</v>
      </c>
      <c r="AV73">
        <v>5.9134674670838354</v>
      </c>
      <c r="AW73">
        <v>3306.8110075932805</v>
      </c>
      <c r="AX73">
        <v>8.0723641017093541</v>
      </c>
      <c r="AY73">
        <v>4514.0660056758707</v>
      </c>
      <c r="AZ73">
        <v>3.2164569227738129</v>
      </c>
      <c r="BA73">
        <v>1798.6427112151159</v>
      </c>
      <c r="BB73">
        <v>7.0000966421272031</v>
      </c>
      <c r="BC73">
        <v>3914.4540422775317</v>
      </c>
      <c r="BD73">
        <v>4.8992905122873349</v>
      </c>
      <c r="BE73">
        <v>2739.6832544710774</v>
      </c>
      <c r="BF73">
        <v>14.150935607638035</v>
      </c>
      <c r="BG73">
        <v>7913.2031917911881</v>
      </c>
      <c r="BH73">
        <v>7.0024276766400657</v>
      </c>
      <c r="BI73">
        <v>3915.7575567771241</v>
      </c>
      <c r="BJ73">
        <v>3.9649026226415098</v>
      </c>
      <c r="BK73">
        <v>2217.1735465811321</v>
      </c>
      <c r="BL73">
        <v>6.6069164266326261</v>
      </c>
      <c r="BM73">
        <v>3694.5876657729641</v>
      </c>
      <c r="BN73">
        <v>8.320785973785263</v>
      </c>
      <c r="BO73">
        <v>4652.9835165407185</v>
      </c>
      <c r="BP73">
        <v>7.7520353354228542</v>
      </c>
      <c r="BQ73">
        <v>4334.9381595684599</v>
      </c>
      <c r="BR73">
        <v>6.9537997066633981</v>
      </c>
      <c r="BS73">
        <v>3888.5647959661719</v>
      </c>
      <c r="BT73">
        <v>0.49430581880822316</v>
      </c>
      <c r="BU73">
        <v>276.41581387755838</v>
      </c>
      <c r="BV73">
        <v>12.450793728470797</v>
      </c>
      <c r="BW73">
        <v>6962.4838529608687</v>
      </c>
      <c r="BX73">
        <v>2.4461458098686051</v>
      </c>
      <c r="BY73">
        <v>1367.8847368785239</v>
      </c>
      <c r="BZ73">
        <v>15.142326019694206</v>
      </c>
      <c r="CA73">
        <v>8467.5887102129982</v>
      </c>
      <c r="CB73">
        <v>5.2323975975903636</v>
      </c>
      <c r="CC73">
        <v>2925.9567365725311</v>
      </c>
      <c r="CD73">
        <v>11.610239825446524</v>
      </c>
      <c r="CE73">
        <v>6492.4461103896956</v>
      </c>
      <c r="CF73">
        <v>6.4934196865582132</v>
      </c>
      <c r="CG73">
        <v>3631.1202887233526</v>
      </c>
      <c r="CH73">
        <v>5.5971651369183446</v>
      </c>
      <c r="CI73">
        <v>3129.9347445647381</v>
      </c>
      <c r="CJ73">
        <v>6.4058532763419489</v>
      </c>
      <c r="CK73">
        <v>3582.1531521304173</v>
      </c>
      <c r="CL73">
        <v>5.6706574474791616</v>
      </c>
      <c r="CM73">
        <v>3171.0316446303468</v>
      </c>
      <c r="CN73">
        <v>11.173914816594886</v>
      </c>
      <c r="CO73">
        <v>6248.4531654398597</v>
      </c>
      <c r="CP73">
        <v>7.516465628684899</v>
      </c>
      <c r="CQ73">
        <v>4203.2075795605951</v>
      </c>
      <c r="CR73">
        <v>2.0030349821596203</v>
      </c>
      <c r="CS73">
        <v>1120.0971620236596</v>
      </c>
      <c r="CT73">
        <v>12.332004140896446</v>
      </c>
      <c r="CU73">
        <v>6896.0567155892913</v>
      </c>
    </row>
    <row r="74" spans="2:99" x14ac:dyDescent="0.2">
      <c r="C74" s="118" t="s">
        <v>240</v>
      </c>
      <c r="D74">
        <v>40</v>
      </c>
      <c r="E74">
        <v>16128</v>
      </c>
      <c r="F74">
        <v>23</v>
      </c>
      <c r="G74">
        <v>9273.6</v>
      </c>
      <c r="H74">
        <v>30</v>
      </c>
      <c r="I74">
        <v>12096</v>
      </c>
      <c r="J74">
        <v>39</v>
      </c>
      <c r="K74">
        <v>15724.8</v>
      </c>
      <c r="L74">
        <v>26.301259449223309</v>
      </c>
      <c r="M74">
        <v>10604.667809926837</v>
      </c>
      <c r="N74">
        <v>6.3648043421638887</v>
      </c>
      <c r="O74">
        <v>2566.2891107604801</v>
      </c>
      <c r="P74">
        <v>2.6123815675203539</v>
      </c>
      <c r="Q74">
        <v>1053.3122480242066</v>
      </c>
      <c r="R74">
        <v>9.583334991899191</v>
      </c>
      <c r="S74">
        <v>3864.0006687337536</v>
      </c>
      <c r="T74">
        <v>2.2641941265307133</v>
      </c>
      <c r="U74">
        <v>912.92307181718354</v>
      </c>
      <c r="V74">
        <v>13.445557474754766</v>
      </c>
      <c r="W74">
        <v>5421.2487738211212</v>
      </c>
      <c r="X74">
        <v>6.715992877072317</v>
      </c>
      <c r="Y74">
        <v>2707.8883280355581</v>
      </c>
      <c r="Z74">
        <v>7.2642371935680154</v>
      </c>
      <c r="AA74">
        <v>2928.9404364466236</v>
      </c>
      <c r="AB74">
        <v>7.0323503573331996</v>
      </c>
      <c r="AC74">
        <v>2835.4436640767458</v>
      </c>
      <c r="AD74">
        <v>3.5414301929625425</v>
      </c>
      <c r="AE74">
        <v>1427.904653802497</v>
      </c>
      <c r="AF74">
        <v>11.422143188414807</v>
      </c>
      <c r="AG74">
        <v>4605.4081335688506</v>
      </c>
      <c r="AH74">
        <v>7.1999519086691821</v>
      </c>
      <c r="AI74">
        <v>2903.0206095754143</v>
      </c>
      <c r="AJ74">
        <v>0</v>
      </c>
      <c r="AK74">
        <v>0</v>
      </c>
      <c r="AL74">
        <v>8.174873626445919</v>
      </c>
      <c r="AM74">
        <v>3296.1090461829945</v>
      </c>
      <c r="AN74">
        <v>13.414970209814724</v>
      </c>
      <c r="AO74">
        <v>5408.9159885972967</v>
      </c>
      <c r="AP74">
        <v>9.0520027528704397</v>
      </c>
      <c r="AQ74">
        <v>3649.7675099573612</v>
      </c>
      <c r="AR74">
        <v>2.8281121705037751</v>
      </c>
      <c r="AS74">
        <v>1140.2948271471221</v>
      </c>
      <c r="AT74">
        <v>15.90669906908993</v>
      </c>
      <c r="AU74">
        <v>6413.5810646570599</v>
      </c>
      <c r="AV74">
        <v>6.6526509004693146</v>
      </c>
      <c r="AW74">
        <v>2682.3488430692278</v>
      </c>
      <c r="AX74">
        <v>8.2905361044582548</v>
      </c>
      <c r="AY74">
        <v>3342.7441573175684</v>
      </c>
      <c r="AZ74">
        <v>3.4382815381375242</v>
      </c>
      <c r="BA74">
        <v>1386.3151161770497</v>
      </c>
      <c r="BB74">
        <v>6.7084259487052362</v>
      </c>
      <c r="BC74">
        <v>2704.8373425179511</v>
      </c>
      <c r="BD74">
        <v>4.7668772551984882</v>
      </c>
      <c r="BE74">
        <v>1922.0049092960303</v>
      </c>
      <c r="BF74">
        <v>12.971690973668197</v>
      </c>
      <c r="BG74">
        <v>5230.1858005830172</v>
      </c>
      <c r="BH74">
        <v>8.0965570011150749</v>
      </c>
      <c r="BI74">
        <v>3264.5317828495981</v>
      </c>
      <c r="BJ74">
        <v>4.1301068985849065</v>
      </c>
      <c r="BK74">
        <v>1665.2591015094342</v>
      </c>
      <c r="BL74">
        <v>6.8610285968877269</v>
      </c>
      <c r="BM74">
        <v>2766.3667302651315</v>
      </c>
      <c r="BN74">
        <v>8.5288056231298945</v>
      </c>
      <c r="BO74">
        <v>3438.8144272459735</v>
      </c>
      <c r="BP74">
        <v>8.3483457458399961</v>
      </c>
      <c r="BQ74">
        <v>3366.0530047226862</v>
      </c>
      <c r="BR74">
        <v>6.7054497171397056</v>
      </c>
      <c r="BS74">
        <v>2703.6373259507291</v>
      </c>
      <c r="BT74">
        <v>0.50803653599734044</v>
      </c>
      <c r="BU74">
        <v>204.84033131412767</v>
      </c>
      <c r="BV74">
        <v>12.770044849713637</v>
      </c>
      <c r="BW74">
        <v>5148.8820834045382</v>
      </c>
      <c r="BX74">
        <v>2.6991953764067369</v>
      </c>
      <c r="BY74">
        <v>1088.3155757671964</v>
      </c>
      <c r="BZ74">
        <v>13.123349217068309</v>
      </c>
      <c r="CA74">
        <v>5291.3344043219422</v>
      </c>
      <c r="CB74">
        <v>5.5699716361445804</v>
      </c>
      <c r="CC74">
        <v>2245.8125636934947</v>
      </c>
      <c r="CD74">
        <v>11.610239825446524</v>
      </c>
      <c r="CE74">
        <v>4681.248697620038</v>
      </c>
      <c r="CF74">
        <v>7.1427616552140343</v>
      </c>
      <c r="CG74">
        <v>2879.9614993822984</v>
      </c>
      <c r="CH74">
        <v>5.8303803509566103</v>
      </c>
      <c r="CI74">
        <v>2350.8093575057051</v>
      </c>
      <c r="CJ74">
        <v>5.988080236580517</v>
      </c>
      <c r="CK74">
        <v>2414.3939513892642</v>
      </c>
      <c r="CL74">
        <v>6.1432122347690914</v>
      </c>
      <c r="CM74">
        <v>2476.9431730588976</v>
      </c>
      <c r="CN74">
        <v>10.688092433264675</v>
      </c>
      <c r="CO74">
        <v>4309.438869092317</v>
      </c>
      <c r="CP74">
        <v>7.6834981982112289</v>
      </c>
      <c r="CQ74">
        <v>3097.9864735187675</v>
      </c>
      <c r="CR74">
        <v>1.7884240912139469</v>
      </c>
      <c r="CS74">
        <v>721.09259357746339</v>
      </c>
      <c r="CT74">
        <v>12.583677694792289</v>
      </c>
      <c r="CU74">
        <v>5073.738846540251</v>
      </c>
    </row>
    <row r="75" spans="2:99" x14ac:dyDescent="0.2">
      <c r="C75" s="118" t="s">
        <v>241</v>
      </c>
      <c r="D75">
        <v>39</v>
      </c>
      <c r="E75">
        <v>25084.799999999996</v>
      </c>
      <c r="F75">
        <v>24</v>
      </c>
      <c r="G75">
        <v>15436.8</v>
      </c>
      <c r="H75">
        <v>31</v>
      </c>
      <c r="I75">
        <v>19939.199999999997</v>
      </c>
      <c r="J75">
        <v>37</v>
      </c>
      <c r="K75">
        <v>23798.399999999998</v>
      </c>
      <c r="L75">
        <v>24.353018008540104</v>
      </c>
      <c r="M75">
        <v>15663.861183092993</v>
      </c>
      <c r="N75">
        <v>6.7754368803680105</v>
      </c>
      <c r="O75">
        <v>4357.9610014527043</v>
      </c>
      <c r="P75">
        <v>2.9494630601036254</v>
      </c>
      <c r="Q75">
        <v>1897.0946402586517</v>
      </c>
      <c r="R75">
        <v>9.3311419657965793</v>
      </c>
      <c r="S75">
        <v>6001.7905124003591</v>
      </c>
      <c r="T75">
        <v>2.2641941265307133</v>
      </c>
      <c r="U75">
        <v>1456.3296621845545</v>
      </c>
      <c r="V75">
        <v>13.091727014892799</v>
      </c>
      <c r="W75">
        <v>8420.5988159790468</v>
      </c>
      <c r="X75">
        <v>6.715992877072317</v>
      </c>
      <c r="Y75">
        <v>4319.7266185329136</v>
      </c>
      <c r="Z75">
        <v>7.2642371935680154</v>
      </c>
      <c r="AA75">
        <v>4672.357362902947</v>
      </c>
      <c r="AB75">
        <v>7.0323503573331996</v>
      </c>
      <c r="AC75">
        <v>4523.2077498367134</v>
      </c>
      <c r="AD75">
        <v>3.5414301929625425</v>
      </c>
      <c r="AE75">
        <v>2277.847900113507</v>
      </c>
      <c r="AF75">
        <v>10.383766534922552</v>
      </c>
      <c r="AG75">
        <v>6678.8386352621847</v>
      </c>
      <c r="AH75">
        <v>6.9230306814126754</v>
      </c>
      <c r="AI75">
        <v>4452.8933342846321</v>
      </c>
      <c r="AJ75">
        <v>0</v>
      </c>
      <c r="AK75">
        <v>0</v>
      </c>
      <c r="AL75">
        <v>7.9652614821780743</v>
      </c>
      <c r="AM75">
        <v>5123.2561853369371</v>
      </c>
      <c r="AN75">
        <v>14.181539936089854</v>
      </c>
      <c r="AO75">
        <v>9121.5664868929925</v>
      </c>
      <c r="AP75">
        <v>9.2445985561230017</v>
      </c>
      <c r="AQ75">
        <v>5946.1257912983137</v>
      </c>
      <c r="AR75">
        <v>3.2209055275181879</v>
      </c>
      <c r="AS75">
        <v>2071.6864352996981</v>
      </c>
      <c r="AT75">
        <v>15.90669906908993</v>
      </c>
      <c r="AU75">
        <v>10231.188841238642</v>
      </c>
      <c r="AV75">
        <v>6.6526509004693146</v>
      </c>
      <c r="AW75">
        <v>4278.9850591818631</v>
      </c>
      <c r="AX75">
        <v>7.8541920989604534</v>
      </c>
      <c r="AY75">
        <v>5051.8163580513628</v>
      </c>
      <c r="AZ75">
        <v>3.4382815381375242</v>
      </c>
      <c r="BA75">
        <v>2211.5026853300556</v>
      </c>
      <c r="BB75">
        <v>7.2917673355491708</v>
      </c>
      <c r="BC75">
        <v>4690.0647502252259</v>
      </c>
      <c r="BD75">
        <v>5.1641170264650285</v>
      </c>
      <c r="BE75">
        <v>3321.560071422306</v>
      </c>
      <c r="BF75">
        <v>14.740557924622953</v>
      </c>
      <c r="BG75">
        <v>9481.1268571174824</v>
      </c>
      <c r="BH75">
        <v>6.783601811745064</v>
      </c>
      <c r="BI75">
        <v>4363.2126853144246</v>
      </c>
      <c r="BJ75">
        <v>3.7996983466981136</v>
      </c>
      <c r="BK75">
        <v>2443.9659765962265</v>
      </c>
      <c r="BL75">
        <v>6.3528042563775244</v>
      </c>
      <c r="BM75">
        <v>4086.1236977020235</v>
      </c>
      <c r="BN75">
        <v>8.320785973785263</v>
      </c>
      <c r="BO75">
        <v>5351.9295383386807</v>
      </c>
      <c r="BP75">
        <v>7.7520353354228542</v>
      </c>
      <c r="BQ75">
        <v>4986.1091277439791</v>
      </c>
      <c r="BR75">
        <v>6.2087497380923207</v>
      </c>
      <c r="BS75">
        <v>3993.4678315409801</v>
      </c>
      <c r="BT75">
        <v>0.52176725318645789</v>
      </c>
      <c r="BU75">
        <v>335.60069724952967</v>
      </c>
      <c r="BV75">
        <v>10.854538122256592</v>
      </c>
      <c r="BW75">
        <v>6981.6389202354394</v>
      </c>
      <c r="BX75">
        <v>2.5304956653813155</v>
      </c>
      <c r="BY75">
        <v>1627.614811973262</v>
      </c>
      <c r="BZ75">
        <v>15.478822153465185</v>
      </c>
      <c r="CA75">
        <v>9955.9784091088059</v>
      </c>
      <c r="CB75">
        <v>5.2323975975903636</v>
      </c>
      <c r="CC75">
        <v>3365.4781347701214</v>
      </c>
      <c r="CD75">
        <v>11.610239825446524</v>
      </c>
      <c r="CE75">
        <v>7467.7062557272029</v>
      </c>
      <c r="CF75">
        <v>6.4934196865582132</v>
      </c>
      <c r="CG75">
        <v>4176.5675423942421</v>
      </c>
      <c r="CH75">
        <v>5.3639499228800807</v>
      </c>
      <c r="CI75">
        <v>3450.0925903964676</v>
      </c>
      <c r="CJ75">
        <v>5.988080236580517</v>
      </c>
      <c r="CK75">
        <v>3851.5332081685883</v>
      </c>
      <c r="CL75">
        <v>5.9069348411241265</v>
      </c>
      <c r="CM75">
        <v>3799.340489811038</v>
      </c>
      <c r="CN75">
        <v>10.445181241599567</v>
      </c>
      <c r="CO75">
        <v>6718.3405745968403</v>
      </c>
      <c r="CP75">
        <v>6.8483353505795739</v>
      </c>
      <c r="CQ75">
        <v>4404.8492974927813</v>
      </c>
      <c r="CR75">
        <v>1.7168871275653887</v>
      </c>
      <c r="CS75">
        <v>1104.301800450058</v>
      </c>
      <c r="CT75">
        <v>10.318615709729679</v>
      </c>
      <c r="CU75">
        <v>6636.9336244981287</v>
      </c>
    </row>
    <row r="76" spans="2:99" x14ac:dyDescent="0.2">
      <c r="C76" s="118" t="s">
        <v>242</v>
      </c>
      <c r="D76">
        <v>36</v>
      </c>
      <c r="E76">
        <v>28036.799999999999</v>
      </c>
      <c r="F76">
        <v>21</v>
      </c>
      <c r="G76">
        <v>16354.8</v>
      </c>
      <c r="H76">
        <v>30</v>
      </c>
      <c r="I76">
        <v>23364</v>
      </c>
      <c r="J76">
        <v>34</v>
      </c>
      <c r="K76">
        <v>26479.199999999997</v>
      </c>
      <c r="L76">
        <v>23.378897288198498</v>
      </c>
      <c r="M76">
        <v>18207.485208048991</v>
      </c>
      <c r="N76">
        <v>6.5701206112659492</v>
      </c>
      <c r="O76">
        <v>5116.8099320539213</v>
      </c>
      <c r="P76">
        <v>2.6966519406661718</v>
      </c>
      <c r="Q76">
        <v>2100.1525313908146</v>
      </c>
      <c r="R76">
        <v>8.8267559135913594</v>
      </c>
      <c r="S76">
        <v>6874.2775055049506</v>
      </c>
      <c r="T76">
        <v>2.3626373494233532</v>
      </c>
      <c r="U76">
        <v>1840.0219677309074</v>
      </c>
      <c r="V76">
        <v>13.799387934616734</v>
      </c>
      <c r="W76">
        <v>10746.963323479511</v>
      </c>
      <c r="X76">
        <v>6.715992877072317</v>
      </c>
      <c r="Y76">
        <v>5230.41525266392</v>
      </c>
      <c r="Z76">
        <v>7.543630931782169</v>
      </c>
      <c r="AA76">
        <v>5874.9797696719525</v>
      </c>
      <c r="AB76">
        <v>8.0741800399010799</v>
      </c>
      <c r="AC76">
        <v>6288.1714150749604</v>
      </c>
      <c r="AD76">
        <v>3.6776390465380251</v>
      </c>
      <c r="AE76">
        <v>2864.1452894438139</v>
      </c>
      <c r="AF76">
        <v>10.729892086086634</v>
      </c>
      <c r="AG76">
        <v>8356.4399566442698</v>
      </c>
      <c r="AH76">
        <v>6.0922669996431553</v>
      </c>
      <c r="AI76">
        <v>4744.6575393220892</v>
      </c>
      <c r="AJ76">
        <v>0</v>
      </c>
      <c r="AK76">
        <v>0</v>
      </c>
      <c r="AL76">
        <v>8.8037100592494504</v>
      </c>
      <c r="AM76">
        <v>6856.3293941434713</v>
      </c>
      <c r="AN76">
        <v>14.564824799227415</v>
      </c>
      <c r="AO76">
        <v>11343.08555363831</v>
      </c>
      <c r="AP76">
        <v>8.4742153431127498</v>
      </c>
      <c r="AQ76">
        <v>6599.7189092162089</v>
      </c>
      <c r="AR76">
        <v>2.9066708419066578</v>
      </c>
      <c r="AS76">
        <v>2263.7152516769052</v>
      </c>
      <c r="AT76">
        <v>14.492770262948603</v>
      </c>
      <c r="AU76">
        <v>11286.969480784372</v>
      </c>
      <c r="AV76">
        <v>6.4062564226741552</v>
      </c>
      <c r="AW76">
        <v>4989.1925019786322</v>
      </c>
      <c r="AX76">
        <v>8.5087081072071573</v>
      </c>
      <c r="AY76">
        <v>6626.5818738929338</v>
      </c>
      <c r="AZ76">
        <v>3.4382815381375242</v>
      </c>
      <c r="BA76">
        <v>2677.7336619015036</v>
      </c>
      <c r="BB76">
        <v>7.5834380289711358</v>
      </c>
      <c r="BC76">
        <v>5905.9815369627204</v>
      </c>
      <c r="BD76">
        <v>4.7668772551984882</v>
      </c>
      <c r="BE76">
        <v>3712.4440063485822</v>
      </c>
      <c r="BF76">
        <v>12.971690973668197</v>
      </c>
      <c r="BG76">
        <v>10102.352930292791</v>
      </c>
      <c r="BH76">
        <v>7.4400794064300708</v>
      </c>
      <c r="BI76">
        <v>5794.3338417277391</v>
      </c>
      <c r="BJ76">
        <v>4.2953111745283028</v>
      </c>
      <c r="BK76">
        <v>3345.1883427226421</v>
      </c>
      <c r="BL76">
        <v>7.1151407671428277</v>
      </c>
      <c r="BM76">
        <v>5541.2716294508336</v>
      </c>
      <c r="BN76">
        <v>8.5288056231298945</v>
      </c>
      <c r="BO76">
        <v>6642.2338192935613</v>
      </c>
      <c r="BP76">
        <v>6.9569547881999974</v>
      </c>
      <c r="BQ76">
        <v>5418.0763890501576</v>
      </c>
      <c r="BR76">
        <v>5.9603997485686273</v>
      </c>
      <c r="BS76">
        <v>4641.9593241852463</v>
      </c>
      <c r="BT76">
        <v>0.49430581880822316</v>
      </c>
      <c r="BU76">
        <v>384.9653716878442</v>
      </c>
      <c r="BV76">
        <v>12.450793728470797</v>
      </c>
      <c r="BW76">
        <v>9696.678155733056</v>
      </c>
      <c r="BX76">
        <v>2.6148455208940264</v>
      </c>
      <c r="BY76">
        <v>2036.4416916722678</v>
      </c>
      <c r="BZ76">
        <v>15.142326019694206</v>
      </c>
      <c r="CA76">
        <v>11792.843504137847</v>
      </c>
      <c r="CB76">
        <v>5.0636105783132548</v>
      </c>
      <c r="CC76">
        <v>3943.5399183903628</v>
      </c>
      <c r="CD76">
        <v>11.057371262330022</v>
      </c>
      <c r="CE76">
        <v>8611.4807391026206</v>
      </c>
      <c r="CF76">
        <v>6.9263143323287606</v>
      </c>
      <c r="CG76">
        <v>5394.2136020176386</v>
      </c>
      <c r="CH76">
        <v>5.1307347088418167</v>
      </c>
      <c r="CI76">
        <v>3995.8161912460068</v>
      </c>
      <c r="CJ76">
        <v>5.431049516898609</v>
      </c>
      <c r="CK76">
        <v>4229.7013637606369</v>
      </c>
      <c r="CL76">
        <v>6.3794896284140572</v>
      </c>
      <c r="CM76">
        <v>4968.3465226088674</v>
      </c>
      <c r="CN76">
        <v>10.688092433264675</v>
      </c>
      <c r="CO76">
        <v>8323.8863870265286</v>
      </c>
      <c r="CP76">
        <v>6.8483353505795739</v>
      </c>
      <c r="CQ76">
        <v>5333.4835710313719</v>
      </c>
      <c r="CR76">
        <v>1.8599610548625045</v>
      </c>
      <c r="CS76">
        <v>1448.5376695269185</v>
      </c>
      <c r="CT76">
        <v>10.066942155833832</v>
      </c>
      <c r="CU76">
        <v>7840.1345509633884</v>
      </c>
    </row>
    <row r="77" spans="2:99" x14ac:dyDescent="0.2">
      <c r="C77" s="118" t="s">
        <v>243</v>
      </c>
      <c r="D77">
        <v>39</v>
      </c>
      <c r="E77">
        <v>10857.599999999999</v>
      </c>
      <c r="F77">
        <v>21</v>
      </c>
      <c r="G77">
        <v>5846.4</v>
      </c>
      <c r="H77">
        <v>35</v>
      </c>
      <c r="I77">
        <v>9744</v>
      </c>
      <c r="J77">
        <v>35</v>
      </c>
      <c r="K77">
        <v>9744</v>
      </c>
      <c r="L77">
        <v>29.22362161024812</v>
      </c>
      <c r="M77">
        <v>8135.8562562930756</v>
      </c>
      <c r="N77">
        <v>6.9807531494700719</v>
      </c>
      <c r="O77">
        <v>1943.4416768124679</v>
      </c>
      <c r="P77">
        <v>2.6123815675203539</v>
      </c>
      <c r="Q77">
        <v>727.28702839766652</v>
      </c>
      <c r="R77">
        <v>9.835528018001801</v>
      </c>
      <c r="S77">
        <v>2738.211000211701</v>
      </c>
      <c r="T77">
        <v>2.5595237952086327</v>
      </c>
      <c r="U77">
        <v>712.57142458608325</v>
      </c>
      <c r="V77">
        <v>16.630031613512475</v>
      </c>
      <c r="W77">
        <v>4629.8008012018727</v>
      </c>
      <c r="X77">
        <v>6.4576854587233816</v>
      </c>
      <c r="Y77">
        <v>1797.8196317085892</v>
      </c>
      <c r="Z77">
        <v>7.2642371935680154</v>
      </c>
      <c r="AA77">
        <v>2022.3636346893354</v>
      </c>
      <c r="AB77">
        <v>8.5950948811850214</v>
      </c>
      <c r="AC77">
        <v>2392.8744149219096</v>
      </c>
      <c r="AD77">
        <v>3.6776390465380251</v>
      </c>
      <c r="AE77">
        <v>1023.8547105561861</v>
      </c>
      <c r="AF77">
        <v>9.6915154325943806</v>
      </c>
      <c r="AG77">
        <v>2698.1178964342753</v>
      </c>
      <c r="AH77">
        <v>6.6461094541561687</v>
      </c>
      <c r="AI77">
        <v>1850.2768720370773</v>
      </c>
      <c r="AJ77">
        <v>0</v>
      </c>
      <c r="AK77">
        <v>0</v>
      </c>
      <c r="AL77">
        <v>7.9652614821780743</v>
      </c>
      <c r="AM77">
        <v>2217.5287966383758</v>
      </c>
      <c r="AN77">
        <v>14.948109662364978</v>
      </c>
      <c r="AO77">
        <v>4161.5537300024098</v>
      </c>
      <c r="AP77">
        <v>9.2445985561230017</v>
      </c>
      <c r="AQ77">
        <v>2573.6962380246437</v>
      </c>
      <c r="AR77">
        <v>3.3780228703239534</v>
      </c>
      <c r="AS77">
        <v>940.44156709818856</v>
      </c>
      <c r="AT77">
        <v>15.90669906908993</v>
      </c>
      <c r="AU77">
        <v>4428.4250208346357</v>
      </c>
      <c r="AV77">
        <v>6.1598619448789949</v>
      </c>
      <c r="AW77">
        <v>1714.905565454312</v>
      </c>
      <c r="AX77">
        <v>8.2905361044582548</v>
      </c>
      <c r="AY77">
        <v>2308.0852514811781</v>
      </c>
      <c r="AZ77">
        <v>3.4382815381375242</v>
      </c>
      <c r="BA77">
        <v>957.21758021748667</v>
      </c>
      <c r="BB77">
        <v>7.0000966421272031</v>
      </c>
      <c r="BC77">
        <v>1948.8269051682132</v>
      </c>
      <c r="BD77">
        <v>5.0317037693761826</v>
      </c>
      <c r="BE77">
        <v>1400.8263293943292</v>
      </c>
      <c r="BF77">
        <v>15.330180241607868</v>
      </c>
      <c r="BG77">
        <v>4267.9221792636299</v>
      </c>
      <c r="BH77">
        <v>7.877731136220075</v>
      </c>
      <c r="BI77">
        <v>2193.1603483236686</v>
      </c>
      <c r="BJ77">
        <v>4.4605154504716982</v>
      </c>
      <c r="BK77">
        <v>1241.8075014113206</v>
      </c>
      <c r="BL77">
        <v>7.6233651076530302</v>
      </c>
      <c r="BM77">
        <v>2122.3448459706033</v>
      </c>
      <c r="BN77">
        <v>9.3608842205084226</v>
      </c>
      <c r="BO77">
        <v>2606.0701669895448</v>
      </c>
      <c r="BP77">
        <v>7.3544950618114262</v>
      </c>
      <c r="BQ77">
        <v>2047.4914252083008</v>
      </c>
      <c r="BR77">
        <v>6.2087497380923207</v>
      </c>
      <c r="BS77">
        <v>1728.5159270849019</v>
      </c>
      <c r="BT77">
        <v>0.45311366724087127</v>
      </c>
      <c r="BU77">
        <v>126.14684495985856</v>
      </c>
      <c r="BV77">
        <v>13.08929597095648</v>
      </c>
      <c r="BW77">
        <v>3644.0599983142838</v>
      </c>
      <c r="BX77">
        <v>2.7835452319194474</v>
      </c>
      <c r="BY77">
        <v>774.93899256637405</v>
      </c>
      <c r="BZ77">
        <v>13.459845350839293</v>
      </c>
      <c r="CA77">
        <v>3747.2209456736591</v>
      </c>
      <c r="CB77">
        <v>5.0636105783132548</v>
      </c>
      <c r="CC77">
        <v>1409.7091850024101</v>
      </c>
      <c r="CD77">
        <v>12.163108388563025</v>
      </c>
      <c r="CE77">
        <v>3386.2093753759459</v>
      </c>
      <c r="CF77">
        <v>7.5756563009845825</v>
      </c>
      <c r="CG77">
        <v>2109.0627141941077</v>
      </c>
      <c r="CH77">
        <v>5.3639499228800807</v>
      </c>
      <c r="CI77">
        <v>1493.3236585298143</v>
      </c>
      <c r="CJ77">
        <v>6.5451109562624259</v>
      </c>
      <c r="CK77">
        <v>1822.1588902234591</v>
      </c>
      <c r="CL77">
        <v>6.3794896284140572</v>
      </c>
      <c r="CM77">
        <v>1776.0499125504734</v>
      </c>
      <c r="CN77">
        <v>10.93100362492978</v>
      </c>
      <c r="CO77">
        <v>3043.1914091804506</v>
      </c>
      <c r="CP77">
        <v>7.1824004896322355</v>
      </c>
      <c r="CQ77">
        <v>1999.5802963136141</v>
      </c>
      <c r="CR77">
        <v>1.8599610548625045</v>
      </c>
      <c r="CS77">
        <v>517.81315767372121</v>
      </c>
      <c r="CT77">
        <v>10.570289263625524</v>
      </c>
      <c r="CU77">
        <v>2942.7685309933454</v>
      </c>
    </row>
    <row r="78" spans="2:99" x14ac:dyDescent="0.2">
      <c r="C78" s="118" t="s">
        <v>244</v>
      </c>
      <c r="D78">
        <v>39</v>
      </c>
      <c r="E78">
        <v>21528</v>
      </c>
      <c r="F78">
        <v>23</v>
      </c>
      <c r="G78">
        <v>12696</v>
      </c>
      <c r="H78">
        <v>29</v>
      </c>
      <c r="I78">
        <v>16008</v>
      </c>
      <c r="J78">
        <v>37</v>
      </c>
      <c r="K78">
        <v>20424</v>
      </c>
      <c r="L78">
        <v>29.22362161024812</v>
      </c>
      <c r="M78">
        <v>16131.439128856962</v>
      </c>
      <c r="N78">
        <v>6.1594880730618282</v>
      </c>
      <c r="O78">
        <v>3400.037416330129</v>
      </c>
      <c r="P78">
        <v>2.9494630601036254</v>
      </c>
      <c r="Q78">
        <v>1628.1036091772012</v>
      </c>
      <c r="R78">
        <v>9.835528018001801</v>
      </c>
      <c r="S78">
        <v>5429.2114659369945</v>
      </c>
      <c r="T78">
        <v>2.4610805723159928</v>
      </c>
      <c r="U78">
        <v>1358.5164759184281</v>
      </c>
      <c r="V78">
        <v>13.799387934616734</v>
      </c>
      <c r="W78">
        <v>7617.2621399084373</v>
      </c>
      <c r="X78">
        <v>5.9410706220255109</v>
      </c>
      <c r="Y78">
        <v>3279.4709833580819</v>
      </c>
      <c r="Z78">
        <v>6.7054497171397056</v>
      </c>
      <c r="AA78">
        <v>3701.4082438611176</v>
      </c>
      <c r="AB78">
        <v>7.2928077779751703</v>
      </c>
      <c r="AC78">
        <v>4025.6298934422939</v>
      </c>
      <c r="AD78">
        <v>3.8138479001135073</v>
      </c>
      <c r="AE78">
        <v>2105.2440408626562</v>
      </c>
      <c r="AF78">
        <v>9.6915154325943806</v>
      </c>
      <c r="AG78">
        <v>5349.7165187920982</v>
      </c>
      <c r="AH78">
        <v>6.0922669996431553</v>
      </c>
      <c r="AI78">
        <v>3362.9313838030216</v>
      </c>
      <c r="AJ78">
        <v>0</v>
      </c>
      <c r="AK78">
        <v>0</v>
      </c>
      <c r="AL78">
        <v>9.013322203517296</v>
      </c>
      <c r="AM78">
        <v>4975.3538563415477</v>
      </c>
      <c r="AN78">
        <v>14.564824799227415</v>
      </c>
      <c r="AO78">
        <v>8039.7832891735325</v>
      </c>
      <c r="AP78">
        <v>8.0890237366076256</v>
      </c>
      <c r="AQ78">
        <v>4465.1411026074093</v>
      </c>
      <c r="AR78">
        <v>3.1423468561153056</v>
      </c>
      <c r="AS78">
        <v>1734.5754645756488</v>
      </c>
      <c r="AT78">
        <v>14.492770262948603</v>
      </c>
      <c r="AU78">
        <v>8000.0091851476291</v>
      </c>
      <c r="AV78">
        <v>6.6526509004693146</v>
      </c>
      <c r="AW78">
        <v>3672.2632970590616</v>
      </c>
      <c r="AX78">
        <v>7.6360200962115501</v>
      </c>
      <c r="AY78">
        <v>4215.0830931087758</v>
      </c>
      <c r="AZ78">
        <v>3.2164569227738129</v>
      </c>
      <c r="BA78">
        <v>1775.4842213711447</v>
      </c>
      <c r="BB78">
        <v>7.5834380289711358</v>
      </c>
      <c r="BC78">
        <v>4186.057791992067</v>
      </c>
      <c r="BD78">
        <v>4.6344639981096405</v>
      </c>
      <c r="BE78">
        <v>2558.2241269565216</v>
      </c>
      <c r="BF78">
        <v>13.561313290653116</v>
      </c>
      <c r="BG78">
        <v>7485.8449364405196</v>
      </c>
      <c r="BH78">
        <v>7.2212535415350683</v>
      </c>
      <c r="BI78">
        <v>3986.1319549273576</v>
      </c>
      <c r="BJ78">
        <v>4.4605154504716982</v>
      </c>
      <c r="BK78">
        <v>2462.2045286603775</v>
      </c>
      <c r="BL78">
        <v>7.3692529373979285</v>
      </c>
      <c r="BM78">
        <v>4067.8276214436564</v>
      </c>
      <c r="BN78">
        <v>8.320785973785263</v>
      </c>
      <c r="BO78">
        <v>4593.0738575294654</v>
      </c>
      <c r="BP78">
        <v>7.1557249250057113</v>
      </c>
      <c r="BQ78">
        <v>3949.9601586031526</v>
      </c>
      <c r="BR78">
        <v>6.9537997066633981</v>
      </c>
      <c r="BS78">
        <v>3838.497438078196</v>
      </c>
      <c r="BT78">
        <v>0.52176725318645789</v>
      </c>
      <c r="BU78">
        <v>288.01552375892476</v>
      </c>
      <c r="BV78">
        <v>12.770044849713637</v>
      </c>
      <c r="BW78">
        <v>7049.0647570419278</v>
      </c>
      <c r="BX78">
        <v>2.6991953764067369</v>
      </c>
      <c r="BY78">
        <v>1489.9558477765188</v>
      </c>
      <c r="BZ78">
        <v>14.132837618381258</v>
      </c>
      <c r="CA78">
        <v>7801.3263653464546</v>
      </c>
      <c r="CB78">
        <v>5.0636105783132548</v>
      </c>
      <c r="CC78">
        <v>2795.1130392289165</v>
      </c>
      <c r="CD78">
        <v>11.057371262330022</v>
      </c>
      <c r="CE78">
        <v>6103.6689368061725</v>
      </c>
      <c r="CF78">
        <v>6.7098670094434869</v>
      </c>
      <c r="CG78">
        <v>3703.8465892128047</v>
      </c>
      <c r="CH78">
        <v>5.8303803509566103</v>
      </c>
      <c r="CI78">
        <v>3218.369953728049</v>
      </c>
      <c r="CJ78">
        <v>5.431049516898609</v>
      </c>
      <c r="CK78">
        <v>2997.9393333280323</v>
      </c>
      <c r="CL78">
        <v>5.4343800538341966</v>
      </c>
      <c r="CM78">
        <v>2999.7777897164765</v>
      </c>
      <c r="CN78">
        <v>9.7164476666042496</v>
      </c>
      <c r="CO78">
        <v>5363.4791119655456</v>
      </c>
      <c r="CP78">
        <v>7.0153679201059056</v>
      </c>
      <c r="CQ78">
        <v>3872.4830918984599</v>
      </c>
      <c r="CR78">
        <v>1.9314980185110626</v>
      </c>
      <c r="CS78">
        <v>1066.1869062181065</v>
      </c>
      <c r="CT78">
        <v>11.576983479208907</v>
      </c>
      <c r="CU78">
        <v>6390.4948805233171</v>
      </c>
    </row>
    <row r="79" spans="2:99" x14ac:dyDescent="0.2">
      <c r="C79" s="118" t="s">
        <v>245</v>
      </c>
      <c r="D79">
        <v>34</v>
      </c>
      <c r="E79">
        <v>25744.799999999999</v>
      </c>
      <c r="F79">
        <v>23</v>
      </c>
      <c r="G79">
        <v>17415.599999999999</v>
      </c>
      <c r="H79">
        <v>29</v>
      </c>
      <c r="I79">
        <v>21958.799999999999</v>
      </c>
      <c r="J79">
        <v>35</v>
      </c>
      <c r="K79">
        <v>26501.999999999996</v>
      </c>
      <c r="L79">
        <v>27.275380169564915</v>
      </c>
      <c r="M79">
        <v>20652.917864394552</v>
      </c>
      <c r="N79">
        <v>6.1594880730618282</v>
      </c>
      <c r="O79">
        <v>4663.9643689224158</v>
      </c>
      <c r="P79">
        <v>2.9494630601036254</v>
      </c>
      <c r="Q79">
        <v>2233.3334291104647</v>
      </c>
      <c r="R79">
        <v>9.835528018001801</v>
      </c>
      <c r="S79">
        <v>7447.4618152309631</v>
      </c>
      <c r="T79">
        <v>2.4610805723159928</v>
      </c>
      <c r="U79">
        <v>1863.5302093576695</v>
      </c>
      <c r="V79">
        <v>15.214709774064605</v>
      </c>
      <c r="W79">
        <v>11520.578240921717</v>
      </c>
      <c r="X79">
        <v>6.715992877072317</v>
      </c>
      <c r="Y79">
        <v>5085.3498065191579</v>
      </c>
      <c r="Z79">
        <v>6.984843455353861</v>
      </c>
      <c r="AA79">
        <v>5288.9234643939435</v>
      </c>
      <c r="AB79">
        <v>7.81372261925911</v>
      </c>
      <c r="AC79">
        <v>5916.5507673029979</v>
      </c>
      <c r="AD79">
        <v>3.9500567536889895</v>
      </c>
      <c r="AE79">
        <v>2990.9829738933026</v>
      </c>
      <c r="AF79">
        <v>10.383766534922552</v>
      </c>
      <c r="AG79">
        <v>7862.5880202433555</v>
      </c>
      <c r="AH79">
        <v>5.8153457723866477</v>
      </c>
      <c r="AI79">
        <v>4403.3798188511691</v>
      </c>
      <c r="AJ79">
        <v>0</v>
      </c>
      <c r="AK79">
        <v>0</v>
      </c>
      <c r="AL79">
        <v>7.5460371936423867</v>
      </c>
      <c r="AM79">
        <v>5713.8593630260148</v>
      </c>
      <c r="AN79">
        <v>14.948109662364978</v>
      </c>
      <c r="AO79">
        <v>11318.708636342761</v>
      </c>
      <c r="AP79">
        <v>7.7038321301025006</v>
      </c>
      <c r="AQ79">
        <v>5833.3416889136133</v>
      </c>
      <c r="AR79">
        <v>2.9066708419066578</v>
      </c>
      <c r="AS79">
        <v>2200.931161491721</v>
      </c>
      <c r="AT79">
        <v>15.199734666019268</v>
      </c>
      <c r="AU79">
        <v>11509.239089109788</v>
      </c>
      <c r="AV79">
        <v>6.6526509004693146</v>
      </c>
      <c r="AW79">
        <v>5037.3872618353644</v>
      </c>
      <c r="AX79">
        <v>8.726880109956058</v>
      </c>
      <c r="AY79">
        <v>6607.9936192587265</v>
      </c>
      <c r="AZ79">
        <v>3.2164569227738129</v>
      </c>
      <c r="BA79">
        <v>2435.5011819243309</v>
      </c>
      <c r="BB79">
        <v>7.0000966421272031</v>
      </c>
      <c r="BC79">
        <v>5300.4731774187176</v>
      </c>
      <c r="BD79">
        <v>4.3696374839319478</v>
      </c>
      <c r="BE79">
        <v>3308.6895028332706</v>
      </c>
      <c r="BF79">
        <v>11.792446339698362</v>
      </c>
      <c r="BG79">
        <v>8929.2403684195997</v>
      </c>
      <c r="BH79">
        <v>6.783601811745064</v>
      </c>
      <c r="BI79">
        <v>5136.5432918533625</v>
      </c>
      <c r="BJ79">
        <v>4.1301068985849065</v>
      </c>
      <c r="BK79">
        <v>3127.3169436084909</v>
      </c>
      <c r="BL79">
        <v>7.1151407671428277</v>
      </c>
      <c r="BM79">
        <v>5387.5845888805488</v>
      </c>
      <c r="BN79">
        <v>9.1528645711637893</v>
      </c>
      <c r="BO79">
        <v>6930.5490532852209</v>
      </c>
      <c r="BP79">
        <v>7.5532651986171402</v>
      </c>
      <c r="BQ79">
        <v>5719.3324083928983</v>
      </c>
      <c r="BR79">
        <v>5.9603997485686273</v>
      </c>
      <c r="BS79">
        <v>4513.2146896161639</v>
      </c>
      <c r="BT79">
        <v>0.45311366724087127</v>
      </c>
      <c r="BU79">
        <v>343.09766883478767</v>
      </c>
      <c r="BV79">
        <v>10.535287001013753</v>
      </c>
      <c r="BW79">
        <v>7977.319317167613</v>
      </c>
      <c r="BX79">
        <v>2.4461458098686051</v>
      </c>
      <c r="BY79">
        <v>1852.2216072325075</v>
      </c>
      <c r="BZ79">
        <v>13.459845350839293</v>
      </c>
      <c r="CA79">
        <v>10191.794899655511</v>
      </c>
      <c r="CB79">
        <v>4.726036539759038</v>
      </c>
      <c r="CC79">
        <v>3578.5548679055432</v>
      </c>
      <c r="CD79">
        <v>10.504502699213521</v>
      </c>
      <c r="CE79">
        <v>7954.0094438444776</v>
      </c>
      <c r="CF79">
        <v>6.9263143323287606</v>
      </c>
      <c r="CG79">
        <v>5244.6052124393373</v>
      </c>
      <c r="CH79">
        <v>5.5971651369183446</v>
      </c>
      <c r="CI79">
        <v>4238.1734416745703</v>
      </c>
      <c r="CJ79">
        <v>6.2665955964214719</v>
      </c>
      <c r="CK79">
        <v>4745.0661856103379</v>
      </c>
      <c r="CL79">
        <v>5.9069348411241265</v>
      </c>
      <c r="CM79">
        <v>4472.7310616991881</v>
      </c>
      <c r="CN79">
        <v>10.93100362492978</v>
      </c>
      <c r="CO79">
        <v>8276.9559447968277</v>
      </c>
      <c r="CP79">
        <v>7.0153679201059056</v>
      </c>
      <c r="CQ79">
        <v>5312.0365891041911</v>
      </c>
      <c r="CR79">
        <v>1.7884240912139469</v>
      </c>
      <c r="CS79">
        <v>1354.1947218672005</v>
      </c>
      <c r="CT79">
        <v>11.325309925313062</v>
      </c>
      <c r="CU79">
        <v>8575.52467544705</v>
      </c>
    </row>
    <row r="80" spans="2:99" x14ac:dyDescent="0.2">
      <c r="C80" s="118" t="s">
        <v>246</v>
      </c>
      <c r="D80">
        <v>35</v>
      </c>
      <c r="E80">
        <v>28181.999999999996</v>
      </c>
      <c r="F80">
        <v>21</v>
      </c>
      <c r="G80">
        <v>16909.199999999997</v>
      </c>
      <c r="H80">
        <v>32</v>
      </c>
      <c r="I80">
        <v>25766.399999999998</v>
      </c>
      <c r="J80">
        <v>39</v>
      </c>
      <c r="K80">
        <v>31402.799999999996</v>
      </c>
      <c r="L80">
        <v>28.249500889906518</v>
      </c>
      <c r="M80">
        <v>22746.498116552728</v>
      </c>
      <c r="N80">
        <v>5.543539265755645</v>
      </c>
      <c r="O80">
        <v>4463.6578167864454</v>
      </c>
      <c r="P80">
        <v>2.8651926869578075</v>
      </c>
      <c r="Q80">
        <v>2307.0531515384264</v>
      </c>
      <c r="R80">
        <v>9.583334991899191</v>
      </c>
      <c r="S80">
        <v>7716.5013354772282</v>
      </c>
      <c r="T80">
        <v>2.3626373494233532</v>
      </c>
      <c r="U80">
        <v>1902.3955937556839</v>
      </c>
      <c r="V80">
        <v>14.860879314202636</v>
      </c>
      <c r="W80">
        <v>11965.980023795961</v>
      </c>
      <c r="X80">
        <v>6.715992877072317</v>
      </c>
      <c r="Y80">
        <v>5407.7174646186295</v>
      </c>
      <c r="Z80">
        <v>7.543630931782169</v>
      </c>
      <c r="AA80">
        <v>6074.1316262710016</v>
      </c>
      <c r="AB80">
        <v>7.0323503573331996</v>
      </c>
      <c r="AC80">
        <v>5662.4485077246918</v>
      </c>
      <c r="AD80">
        <v>3.9500567536889895</v>
      </c>
      <c r="AE80">
        <v>3180.5856980703738</v>
      </c>
      <c r="AF80">
        <v>10.037640983758465</v>
      </c>
      <c r="AG80">
        <v>8082.3085201223148</v>
      </c>
      <c r="AH80">
        <v>6.0922669996431553</v>
      </c>
      <c r="AI80">
        <v>4905.4933881126681</v>
      </c>
      <c r="AJ80">
        <v>0</v>
      </c>
      <c r="AK80">
        <v>0</v>
      </c>
      <c r="AL80">
        <v>7.7556493379102314</v>
      </c>
      <c r="AM80">
        <v>6244.8488468853175</v>
      </c>
      <c r="AN80">
        <v>12.648400483539596</v>
      </c>
      <c r="AO80">
        <v>10184.492069346083</v>
      </c>
      <c r="AP80">
        <v>8.6668111463653137</v>
      </c>
      <c r="AQ80">
        <v>6978.5163350533503</v>
      </c>
      <c r="AR80">
        <v>2.7495534991008923</v>
      </c>
      <c r="AS80">
        <v>2213.9404774760383</v>
      </c>
      <c r="AT80">
        <v>14.492770262948603</v>
      </c>
      <c r="AU80">
        <v>11669.578615726214</v>
      </c>
      <c r="AV80">
        <v>6.6526509004693146</v>
      </c>
      <c r="AW80">
        <v>5356.714505057892</v>
      </c>
      <c r="AX80">
        <v>8.0723641017093541</v>
      </c>
      <c r="AY80">
        <v>6499.8675746963718</v>
      </c>
      <c r="AZ80">
        <v>2.9946323074101016</v>
      </c>
      <c r="BA80">
        <v>2411.2779339266135</v>
      </c>
      <c r="BB80">
        <v>7.0000966421272031</v>
      </c>
      <c r="BC80">
        <v>5636.4778162408238</v>
      </c>
      <c r="BD80">
        <v>5.0317037693761826</v>
      </c>
      <c r="BE80">
        <v>4051.5278751017017</v>
      </c>
      <c r="BF80">
        <v>13.561313290653116</v>
      </c>
      <c r="BG80">
        <v>10919.569461633888</v>
      </c>
      <c r="BH80">
        <v>7.4400794064300708</v>
      </c>
      <c r="BI80">
        <v>5990.7519380574922</v>
      </c>
      <c r="BJ80">
        <v>4.4605154504716982</v>
      </c>
      <c r="BK80">
        <v>3591.6070407198113</v>
      </c>
      <c r="BL80">
        <v>6.0986920861224236</v>
      </c>
      <c r="BM80">
        <v>4910.6668677457747</v>
      </c>
      <c r="BN80">
        <v>7.9047466750959998</v>
      </c>
      <c r="BO80">
        <v>6364.9020227872988</v>
      </c>
      <c r="BP80">
        <v>7.1557249250057113</v>
      </c>
      <c r="BQ80">
        <v>5761.789709614598</v>
      </c>
      <c r="BR80">
        <v>5.9603997485686273</v>
      </c>
      <c r="BS80">
        <v>4799.3138775474581</v>
      </c>
      <c r="BT80">
        <v>0.42565223286263659</v>
      </c>
      <c r="BU80">
        <v>342.73517790099493</v>
      </c>
      <c r="BV80">
        <v>12.450793728470797</v>
      </c>
      <c r="BW80">
        <v>10025.379110164686</v>
      </c>
      <c r="BX80">
        <v>2.1930962433304737</v>
      </c>
      <c r="BY80">
        <v>1765.8810951296973</v>
      </c>
      <c r="BZ80">
        <v>12.786853083297327</v>
      </c>
      <c r="CA80">
        <v>10295.974102671007</v>
      </c>
      <c r="CB80">
        <v>4.3884625012048213</v>
      </c>
      <c r="CC80">
        <v>3533.5900059701216</v>
      </c>
      <c r="CD80">
        <v>12.439542670121275</v>
      </c>
      <c r="CE80">
        <v>10016.31975798165</v>
      </c>
      <c r="CF80">
        <v>7.3592089780993089</v>
      </c>
      <c r="CG80">
        <v>5925.6350691655634</v>
      </c>
      <c r="CH80">
        <v>5.8303803509566103</v>
      </c>
      <c r="CI80">
        <v>4694.6222585902624</v>
      </c>
      <c r="CJ80">
        <v>5.988080236580517</v>
      </c>
      <c r="CK80">
        <v>4821.6022064946319</v>
      </c>
      <c r="CL80">
        <v>5.6706574474791616</v>
      </c>
      <c r="CM80">
        <v>4566.0133767102207</v>
      </c>
      <c r="CN80">
        <v>9.230625283274037</v>
      </c>
      <c r="CO80">
        <v>7432.4994780922543</v>
      </c>
      <c r="CP80">
        <v>6.5142702115269122</v>
      </c>
      <c r="CQ80">
        <v>5245.2903743214692</v>
      </c>
      <c r="CR80">
        <v>1.7168871275653887</v>
      </c>
      <c r="CS80">
        <v>1382.437515115651</v>
      </c>
      <c r="CT80">
        <v>10.066942155833832</v>
      </c>
      <c r="CU80">
        <v>8105.9018238774006</v>
      </c>
    </row>
    <row r="81" spans="2:99" x14ac:dyDescent="0.2">
      <c r="C81" s="118" t="s">
        <v>247</v>
      </c>
      <c r="D81">
        <v>40</v>
      </c>
      <c r="E81">
        <v>30144</v>
      </c>
      <c r="F81">
        <v>22</v>
      </c>
      <c r="G81">
        <v>16579.2</v>
      </c>
      <c r="H81">
        <v>31</v>
      </c>
      <c r="I81">
        <v>23361.600000000002</v>
      </c>
      <c r="J81">
        <v>35</v>
      </c>
      <c r="K81">
        <v>26376</v>
      </c>
      <c r="L81">
        <v>24.353018008540104</v>
      </c>
      <c r="M81">
        <v>18352.434371235824</v>
      </c>
      <c r="N81">
        <v>6.3648043421638887</v>
      </c>
      <c r="O81">
        <v>4796.5165522547068</v>
      </c>
      <c r="P81">
        <v>2.9494630601036254</v>
      </c>
      <c r="Q81">
        <v>2222.7153620940921</v>
      </c>
      <c r="R81">
        <v>9.583334991899191</v>
      </c>
      <c r="S81">
        <v>7222.001249895231</v>
      </c>
      <c r="T81">
        <v>2.1657509036380738</v>
      </c>
      <c r="U81">
        <v>1632.1098809816524</v>
      </c>
      <c r="V81">
        <v>14.153218394478701</v>
      </c>
      <c r="W81">
        <v>10665.86538207915</v>
      </c>
      <c r="X81">
        <v>6.1993780403744463</v>
      </c>
      <c r="Y81">
        <v>4671.8512912261831</v>
      </c>
      <c r="Z81">
        <v>6.984843455353861</v>
      </c>
      <c r="AA81">
        <v>5263.7780279546696</v>
      </c>
      <c r="AB81">
        <v>8.0741800399010799</v>
      </c>
      <c r="AC81">
        <v>6084.7020780694538</v>
      </c>
      <c r="AD81">
        <v>3.2690124858115777</v>
      </c>
      <c r="AE81">
        <v>2463.5278093076049</v>
      </c>
      <c r="AF81">
        <v>9.6915154325943806</v>
      </c>
      <c r="AG81">
        <v>7303.5260300031259</v>
      </c>
      <c r="AH81">
        <v>6.369188226899662</v>
      </c>
      <c r="AI81">
        <v>4799.8202477915856</v>
      </c>
      <c r="AJ81">
        <v>0</v>
      </c>
      <c r="AK81">
        <v>0</v>
      </c>
      <c r="AL81">
        <v>8.8037100592494504</v>
      </c>
      <c r="AM81">
        <v>6634.4759006503864</v>
      </c>
      <c r="AN81">
        <v>14.564824799227415</v>
      </c>
      <c r="AO81">
        <v>10976.05196869778</v>
      </c>
      <c r="AP81">
        <v>8.2816195398601877</v>
      </c>
      <c r="AQ81">
        <v>6241.0284852386376</v>
      </c>
      <c r="AR81">
        <v>3.0637881847124229</v>
      </c>
      <c r="AS81">
        <v>2308.8707759992822</v>
      </c>
      <c r="AT81">
        <v>15.5532168675546</v>
      </c>
      <c r="AU81">
        <v>11720.904231389146</v>
      </c>
      <c r="AV81">
        <v>5.667072989288676</v>
      </c>
      <c r="AW81">
        <v>4270.706204727946</v>
      </c>
      <c r="AX81">
        <v>8.2905361044582548</v>
      </c>
      <c r="AY81">
        <v>6247.7480083197406</v>
      </c>
      <c r="AZ81">
        <v>2.8837199997282461</v>
      </c>
      <c r="BA81">
        <v>2173.1713917952065</v>
      </c>
      <c r="BB81">
        <v>7.5834380289711358</v>
      </c>
      <c r="BC81">
        <v>5714.8788986326481</v>
      </c>
      <c r="BD81">
        <v>4.3696374839319478</v>
      </c>
      <c r="BE81">
        <v>3292.9588078911161</v>
      </c>
      <c r="BF81">
        <v>12.971690973668197</v>
      </c>
      <c r="BG81">
        <v>9775.4663177563543</v>
      </c>
      <c r="BH81">
        <v>7.6589052713250725</v>
      </c>
      <c r="BI81">
        <v>5771.751012470575</v>
      </c>
      <c r="BJ81">
        <v>4.4605154504716982</v>
      </c>
      <c r="BK81">
        <v>3361.4444434754719</v>
      </c>
      <c r="BL81">
        <v>6.0986920861224236</v>
      </c>
      <c r="BM81">
        <v>4595.9743561018586</v>
      </c>
      <c r="BN81">
        <v>8.320785973785263</v>
      </c>
      <c r="BO81">
        <v>6270.5443098445739</v>
      </c>
      <c r="BP81">
        <v>7.3544950618114262</v>
      </c>
      <c r="BQ81">
        <v>5542.3474785810913</v>
      </c>
      <c r="BR81">
        <v>6.7054497171397056</v>
      </c>
      <c r="BS81">
        <v>5053.2269068364822</v>
      </c>
      <c r="BT81">
        <v>0.49430581880822316</v>
      </c>
      <c r="BU81">
        <v>372.508865053877</v>
      </c>
      <c r="BV81">
        <v>10.535287001013753</v>
      </c>
      <c r="BW81">
        <v>7939.3922839639645</v>
      </c>
      <c r="BX81">
        <v>2.3617959543558946</v>
      </c>
      <c r="BY81">
        <v>1779.8494312026023</v>
      </c>
      <c r="BZ81">
        <v>15.142326019694206</v>
      </c>
      <c r="CA81">
        <v>11411.256888441554</v>
      </c>
      <c r="CB81">
        <v>5.0636105783132548</v>
      </c>
      <c r="CC81">
        <v>3815.9369318168688</v>
      </c>
      <c r="CD81">
        <v>11.057371262330022</v>
      </c>
      <c r="CE81">
        <v>8332.8349832919048</v>
      </c>
      <c r="CF81">
        <v>7.3592089780993089</v>
      </c>
      <c r="CG81">
        <v>5545.8998858956393</v>
      </c>
      <c r="CH81">
        <v>5.3639499228800807</v>
      </c>
      <c r="CI81">
        <v>4042.272661882429</v>
      </c>
      <c r="CJ81">
        <v>6.2665955964214719</v>
      </c>
      <c r="CK81">
        <v>4722.5064414632216</v>
      </c>
      <c r="CL81">
        <v>6.1432122347690914</v>
      </c>
      <c r="CM81">
        <v>4629.5247401219876</v>
      </c>
      <c r="CN81">
        <v>9.7164476666042496</v>
      </c>
      <c r="CO81">
        <v>7322.3149615529628</v>
      </c>
      <c r="CP81">
        <v>7.516465628684899</v>
      </c>
      <c r="CQ81">
        <v>5664.4084977769398</v>
      </c>
      <c r="CR81">
        <v>1.6453501639168309</v>
      </c>
      <c r="CS81">
        <v>1239.9358835277237</v>
      </c>
      <c r="CT81">
        <v>10.821962817521371</v>
      </c>
      <c r="CU81">
        <v>8155.4311792841054</v>
      </c>
    </row>
    <row r="82" spans="2:99" x14ac:dyDescent="0.2">
      <c r="C82" s="118" t="s">
        <v>248</v>
      </c>
      <c r="D82">
        <v>41</v>
      </c>
      <c r="E82">
        <v>20860.799999999996</v>
      </c>
      <c r="F82">
        <v>24</v>
      </c>
      <c r="G82">
        <v>12211.199999999997</v>
      </c>
      <c r="H82">
        <v>29</v>
      </c>
      <c r="I82">
        <v>14755.199999999997</v>
      </c>
      <c r="J82">
        <v>35</v>
      </c>
      <c r="K82">
        <v>17807.999999999996</v>
      </c>
      <c r="L82">
        <v>25.327138728881707</v>
      </c>
      <c r="M82">
        <v>12886.448185255011</v>
      </c>
      <c r="N82">
        <v>6.3648043421638887</v>
      </c>
      <c r="O82">
        <v>3238.4124492929859</v>
      </c>
      <c r="P82">
        <v>2.9494630601036254</v>
      </c>
      <c r="Q82">
        <v>1500.6868049807242</v>
      </c>
      <c r="R82">
        <v>9.3311419657965793</v>
      </c>
      <c r="S82">
        <v>4747.6850321972988</v>
      </c>
      <c r="T82">
        <v>2.5595237952086327</v>
      </c>
      <c r="U82">
        <v>1302.2857070021521</v>
      </c>
      <c r="V82">
        <v>14.50704885434067</v>
      </c>
      <c r="W82">
        <v>7381.1864570885318</v>
      </c>
      <c r="X82">
        <v>5.9410706220255109</v>
      </c>
      <c r="Y82">
        <v>3022.8167324865794</v>
      </c>
      <c r="Z82">
        <v>7.2642371935680154</v>
      </c>
      <c r="AA82">
        <v>3696.0438840874053</v>
      </c>
      <c r="AB82">
        <v>7.81372261925911</v>
      </c>
      <c r="AC82">
        <v>3975.6220686790343</v>
      </c>
      <c r="AD82">
        <v>3.5414301929625425</v>
      </c>
      <c r="AE82">
        <v>1801.8796821793412</v>
      </c>
      <c r="AF82">
        <v>11.07601763725072</v>
      </c>
      <c r="AG82">
        <v>5635.477773833165</v>
      </c>
      <c r="AH82">
        <v>6.369188226899662</v>
      </c>
      <c r="AI82">
        <v>3240.6429698465472</v>
      </c>
      <c r="AJ82">
        <v>0</v>
      </c>
      <c r="AK82">
        <v>0</v>
      </c>
      <c r="AL82">
        <v>8.5940979149816084</v>
      </c>
      <c r="AM82">
        <v>4372.6770191426413</v>
      </c>
      <c r="AN82">
        <v>13.414970209814724</v>
      </c>
      <c r="AO82">
        <v>6825.5368427537305</v>
      </c>
      <c r="AP82">
        <v>9.2445985561230017</v>
      </c>
      <c r="AQ82">
        <v>4703.6517453553824</v>
      </c>
      <c r="AR82">
        <v>3.1423468561153056</v>
      </c>
      <c r="AS82">
        <v>1598.8260803914673</v>
      </c>
      <c r="AT82">
        <v>14.492770262948603</v>
      </c>
      <c r="AU82">
        <v>7373.9215097882479</v>
      </c>
      <c r="AV82">
        <v>6.4062564226741552</v>
      </c>
      <c r="AW82">
        <v>3259.5032678566095</v>
      </c>
      <c r="AX82">
        <v>8.2905361044582548</v>
      </c>
      <c r="AY82">
        <v>4218.2247699483596</v>
      </c>
      <c r="AZ82">
        <v>3.3273692304556683</v>
      </c>
      <c r="BA82">
        <v>1692.9654644558436</v>
      </c>
      <c r="BB82">
        <v>7.2917673355491708</v>
      </c>
      <c r="BC82">
        <v>3710.0512203274175</v>
      </c>
      <c r="BD82">
        <v>5.1641170264650285</v>
      </c>
      <c r="BE82">
        <v>2627.5027430654059</v>
      </c>
      <c r="BF82">
        <v>14.740557924622953</v>
      </c>
      <c r="BG82">
        <v>7499.9958720481573</v>
      </c>
      <c r="BH82">
        <v>7.877731136220075</v>
      </c>
      <c r="BI82">
        <v>4008.1896021087732</v>
      </c>
      <c r="BJ82">
        <v>4.1301068985849065</v>
      </c>
      <c r="BK82">
        <v>2101.3983899999998</v>
      </c>
      <c r="BL82">
        <v>7.1151407671428277</v>
      </c>
      <c r="BM82">
        <v>3620.1836223222699</v>
      </c>
      <c r="BN82">
        <v>8.320785973785263</v>
      </c>
      <c r="BO82">
        <v>4233.6159034619413</v>
      </c>
      <c r="BP82">
        <v>7.950805472228569</v>
      </c>
      <c r="BQ82">
        <v>4045.3698242698952</v>
      </c>
      <c r="BR82">
        <v>5.9603997485686273</v>
      </c>
      <c r="BS82">
        <v>3032.6513920717171</v>
      </c>
      <c r="BT82">
        <v>0.52176725318645789</v>
      </c>
      <c r="BU82">
        <v>265.47517842126973</v>
      </c>
      <c r="BV82">
        <v>12.131542607227956</v>
      </c>
      <c r="BW82">
        <v>6172.5288785575831</v>
      </c>
      <c r="BX82">
        <v>2.6991953764067369</v>
      </c>
      <c r="BY82">
        <v>1373.3506075157475</v>
      </c>
      <c r="BZ82">
        <v>15.142326019694206</v>
      </c>
      <c r="CA82">
        <v>7704.4154788204105</v>
      </c>
      <c r="CB82">
        <v>4.726036539759038</v>
      </c>
      <c r="CC82">
        <v>2404.6073914293979</v>
      </c>
      <c r="CD82">
        <v>12.715976951679526</v>
      </c>
      <c r="CE82">
        <v>6469.8890730145413</v>
      </c>
      <c r="CF82">
        <v>6.7098670094434869</v>
      </c>
      <c r="CG82">
        <v>3413.9803344048455</v>
      </c>
      <c r="CH82">
        <v>5.5971651369183446</v>
      </c>
      <c r="CI82">
        <v>2847.8376216640531</v>
      </c>
      <c r="CJ82">
        <v>5.988080236580517</v>
      </c>
      <c r="CK82">
        <v>3046.7352243721666</v>
      </c>
      <c r="CL82">
        <v>6.6157670220590212</v>
      </c>
      <c r="CM82">
        <v>3366.1022608236294</v>
      </c>
      <c r="CN82">
        <v>10.445181241599567</v>
      </c>
      <c r="CO82">
        <v>5314.5082157258585</v>
      </c>
      <c r="CP82">
        <v>6.6813027810532422</v>
      </c>
      <c r="CQ82">
        <v>3399.4468549998887</v>
      </c>
      <c r="CR82">
        <v>2.0030349821596203</v>
      </c>
      <c r="CS82">
        <v>1019.1441989228146</v>
      </c>
      <c r="CT82">
        <v>12.332004140896446</v>
      </c>
      <c r="CU82">
        <v>6274.5237068881106</v>
      </c>
    </row>
    <row r="83" spans="2:99" x14ac:dyDescent="0.2">
      <c r="C83" s="118" t="s">
        <v>249</v>
      </c>
      <c r="D83">
        <v>35</v>
      </c>
      <c r="E83">
        <v>30114</v>
      </c>
      <c r="F83">
        <v>20</v>
      </c>
      <c r="G83">
        <v>17208</v>
      </c>
      <c r="H83">
        <v>31</v>
      </c>
      <c r="I83">
        <v>26672.399999999998</v>
      </c>
      <c r="J83">
        <v>33</v>
      </c>
      <c r="K83">
        <v>28393.200000000001</v>
      </c>
      <c r="L83">
        <v>25.327138728881707</v>
      </c>
      <c r="M83">
        <v>21791.470162329821</v>
      </c>
      <c r="N83">
        <v>6.1594880730618282</v>
      </c>
      <c r="O83">
        <v>5299.6235380623966</v>
      </c>
      <c r="P83">
        <v>2.6966519406661718</v>
      </c>
      <c r="Q83">
        <v>2320.199329749174</v>
      </c>
      <c r="R83">
        <v>8.5745628874887494</v>
      </c>
      <c r="S83">
        <v>7377.5539083953199</v>
      </c>
      <c r="T83">
        <v>2.2641941265307133</v>
      </c>
      <c r="U83">
        <v>1948.1126264670256</v>
      </c>
      <c r="V83">
        <v>14.860879314202636</v>
      </c>
      <c r="W83">
        <v>12786.300561939948</v>
      </c>
      <c r="X83">
        <v>5.9410706220255109</v>
      </c>
      <c r="Y83">
        <v>5111.6971631907491</v>
      </c>
      <c r="Z83">
        <v>7.2642371935680154</v>
      </c>
      <c r="AA83">
        <v>6250.1496813459207</v>
      </c>
      <c r="AB83">
        <v>7.5532651986171402</v>
      </c>
      <c r="AC83">
        <v>6498.8293768901876</v>
      </c>
      <c r="AD83">
        <v>3.4052213393870598</v>
      </c>
      <c r="AE83">
        <v>2929.8524404086261</v>
      </c>
      <c r="AF83">
        <v>10.729892086086634</v>
      </c>
      <c r="AG83">
        <v>9231.99915086894</v>
      </c>
      <c r="AH83">
        <v>6.0922669996431553</v>
      </c>
      <c r="AI83">
        <v>5241.7865264929706</v>
      </c>
      <c r="AJ83">
        <v>0</v>
      </c>
      <c r="AK83">
        <v>0</v>
      </c>
      <c r="AL83">
        <v>8.5940979149816084</v>
      </c>
      <c r="AM83">
        <v>7394.3618460501757</v>
      </c>
      <c r="AN83">
        <v>12.265115620402035</v>
      </c>
      <c r="AO83">
        <v>10552.905479793912</v>
      </c>
      <c r="AP83">
        <v>7.7038321301025006</v>
      </c>
      <c r="AQ83">
        <v>6628.3771647401909</v>
      </c>
      <c r="AR83">
        <v>3.2209055275181879</v>
      </c>
      <c r="AS83">
        <v>2771.2671158766489</v>
      </c>
      <c r="AT83">
        <v>16.613663472160596</v>
      </c>
      <c r="AU83">
        <v>14294.396051446976</v>
      </c>
      <c r="AV83">
        <v>6.1598619448789949</v>
      </c>
      <c r="AW83">
        <v>5299.9452173738873</v>
      </c>
      <c r="AX83">
        <v>8.2905361044582548</v>
      </c>
      <c r="AY83">
        <v>7133.1772642758824</v>
      </c>
      <c r="AZ83">
        <v>2.9946323074101016</v>
      </c>
      <c r="BA83">
        <v>2576.5816372956515</v>
      </c>
      <c r="BB83">
        <v>6.4167552552832694</v>
      </c>
      <c r="BC83">
        <v>5520.9762216457248</v>
      </c>
      <c r="BD83">
        <v>5.1641170264650285</v>
      </c>
      <c r="BE83">
        <v>4443.2062895705103</v>
      </c>
      <c r="BF83">
        <v>14.150935607638035</v>
      </c>
      <c r="BG83">
        <v>12175.464996811765</v>
      </c>
      <c r="BH83">
        <v>7.0024276766400657</v>
      </c>
      <c r="BI83">
        <v>6024.8887729811122</v>
      </c>
      <c r="BJ83">
        <v>3.9649026226415098</v>
      </c>
      <c r="BK83">
        <v>3411.4022165207548</v>
      </c>
      <c r="BL83">
        <v>6.6069164266326261</v>
      </c>
      <c r="BM83">
        <v>5684.5908934747113</v>
      </c>
      <c r="BN83">
        <v>8.1127663244406314</v>
      </c>
      <c r="BO83">
        <v>6980.2241455487192</v>
      </c>
      <c r="BP83">
        <v>6.9569547881999974</v>
      </c>
      <c r="BQ83">
        <v>5985.7638997672775</v>
      </c>
      <c r="BR83">
        <v>5.9603997485686273</v>
      </c>
      <c r="BS83">
        <v>5128.327943668447</v>
      </c>
      <c r="BT83">
        <v>0.45311366724087127</v>
      </c>
      <c r="BU83">
        <v>389.85899929404565</v>
      </c>
      <c r="BV83">
        <v>10.535287001013753</v>
      </c>
      <c r="BW83">
        <v>9064.5609356722325</v>
      </c>
      <c r="BX83">
        <v>2.1930962433304737</v>
      </c>
      <c r="BY83">
        <v>1886.9400077615396</v>
      </c>
      <c r="BZ83">
        <v>12.450356949526345</v>
      </c>
      <c r="CA83">
        <v>10712.287119372468</v>
      </c>
      <c r="CB83">
        <v>4.3884625012048213</v>
      </c>
      <c r="CC83">
        <v>3775.8331360366283</v>
      </c>
      <c r="CD83">
        <v>11.333805543888273</v>
      </c>
      <c r="CE83">
        <v>9751.6062899614699</v>
      </c>
      <c r="CF83">
        <v>7.1427616552140343</v>
      </c>
      <c r="CG83">
        <v>6145.6321281461551</v>
      </c>
      <c r="CH83">
        <v>5.3639499228800807</v>
      </c>
      <c r="CI83">
        <v>4615.1425136460211</v>
      </c>
      <c r="CJ83">
        <v>6.1273379165009949</v>
      </c>
      <c r="CK83">
        <v>5271.9615433574563</v>
      </c>
      <c r="CL83">
        <v>5.9069348411241265</v>
      </c>
      <c r="CM83">
        <v>5082.3267373031986</v>
      </c>
      <c r="CN83">
        <v>10.202270049934461</v>
      </c>
      <c r="CO83">
        <v>8778.0331509636089</v>
      </c>
      <c r="CP83">
        <v>7.0153679201059056</v>
      </c>
      <c r="CQ83">
        <v>6036.0225584591208</v>
      </c>
      <c r="CR83">
        <v>1.7884240912139469</v>
      </c>
      <c r="CS83">
        <v>1538.7600880804798</v>
      </c>
      <c r="CT83">
        <v>10.066942155833832</v>
      </c>
      <c r="CU83">
        <v>8661.5970308794294</v>
      </c>
    </row>
    <row r="84" spans="2:99" x14ac:dyDescent="0.2">
      <c r="C84" s="118" t="s">
        <v>250</v>
      </c>
      <c r="D84">
        <v>33</v>
      </c>
      <c r="E84">
        <v>25779.599999999999</v>
      </c>
      <c r="F84">
        <v>22</v>
      </c>
      <c r="G84">
        <v>17186.399999999998</v>
      </c>
      <c r="H84">
        <v>28</v>
      </c>
      <c r="I84">
        <v>21873.599999999999</v>
      </c>
      <c r="J84">
        <v>34</v>
      </c>
      <c r="K84">
        <v>26560.799999999999</v>
      </c>
      <c r="L84">
        <v>27.275380169564915</v>
      </c>
      <c r="M84">
        <v>21307.526988464109</v>
      </c>
      <c r="N84">
        <v>6.5701206112659492</v>
      </c>
      <c r="O84">
        <v>5132.5782215209592</v>
      </c>
      <c r="P84">
        <v>2.8651926869578075</v>
      </c>
      <c r="Q84">
        <v>2238.2885270514389</v>
      </c>
      <c r="R84">
        <v>8.8267559135913594</v>
      </c>
      <c r="S84">
        <v>6895.4617196975696</v>
      </c>
      <c r="T84">
        <v>2.1657509036380738</v>
      </c>
      <c r="U84">
        <v>1691.884605922063</v>
      </c>
      <c r="V84">
        <v>13.445557474754766</v>
      </c>
      <c r="W84">
        <v>10503.669499278423</v>
      </c>
      <c r="X84">
        <v>5.6827632036765756</v>
      </c>
      <c r="Y84">
        <v>4439.3746147121401</v>
      </c>
      <c r="Z84">
        <v>6.7054497171397056</v>
      </c>
      <c r="AA84">
        <v>5238.2973190295379</v>
      </c>
      <c r="AB84">
        <v>7.81372261925911</v>
      </c>
      <c r="AC84">
        <v>6104.080110165216</v>
      </c>
      <c r="AD84">
        <v>3.9500567536889895</v>
      </c>
      <c r="AE84">
        <v>3085.7843359818385</v>
      </c>
      <c r="AF84">
        <v>10.383766534922552</v>
      </c>
      <c r="AG84">
        <v>8111.7984170814971</v>
      </c>
      <c r="AH84">
        <v>6.9230306814126754</v>
      </c>
      <c r="AI84">
        <v>5408.271568319582</v>
      </c>
      <c r="AJ84">
        <v>0</v>
      </c>
      <c r="AK84">
        <v>0</v>
      </c>
      <c r="AL84">
        <v>7.7556493379102314</v>
      </c>
      <c r="AM84">
        <v>6058.7132627754718</v>
      </c>
      <c r="AN84">
        <v>13.798255072952289</v>
      </c>
      <c r="AO84">
        <v>10779.196862990328</v>
      </c>
      <c r="AP84">
        <v>8.4742153431127498</v>
      </c>
      <c r="AQ84">
        <v>6620.0570260396798</v>
      </c>
      <c r="AR84">
        <v>2.7495534991008923</v>
      </c>
      <c r="AS84">
        <v>2147.9511934976167</v>
      </c>
      <c r="AT84">
        <v>15.199734666019268</v>
      </c>
      <c r="AU84">
        <v>11874.032721094251</v>
      </c>
      <c r="AV84">
        <v>5.667072989288676</v>
      </c>
      <c r="AW84">
        <v>4427.1174192323133</v>
      </c>
      <c r="AX84">
        <v>8.0723641017093541</v>
      </c>
      <c r="AY84">
        <v>6306.1308362553473</v>
      </c>
      <c r="AZ84">
        <v>3.3273692304556683</v>
      </c>
      <c r="BA84">
        <v>2599.3408428319681</v>
      </c>
      <c r="BB84">
        <v>7.2917673355491708</v>
      </c>
      <c r="BC84">
        <v>5696.3286425310116</v>
      </c>
      <c r="BD84">
        <v>4.3696374839319478</v>
      </c>
      <c r="BE84">
        <v>3413.5608024476373</v>
      </c>
      <c r="BF84">
        <v>12.971690973668197</v>
      </c>
      <c r="BG84">
        <v>10133.484988629594</v>
      </c>
      <c r="BH84">
        <v>7.0024276766400657</v>
      </c>
      <c r="BI84">
        <v>5470.2965009912186</v>
      </c>
      <c r="BJ84">
        <v>3.7996983466981136</v>
      </c>
      <c r="BK84">
        <v>2968.3243484405662</v>
      </c>
      <c r="BL84">
        <v>6.0986920861224236</v>
      </c>
      <c r="BM84">
        <v>4764.2982576788372</v>
      </c>
      <c r="BN84">
        <v>8.1127663244406314</v>
      </c>
      <c r="BO84">
        <v>6337.6930526530205</v>
      </c>
      <c r="BP84">
        <v>6.9569547881999974</v>
      </c>
      <c r="BQ84">
        <v>5434.7730805418378</v>
      </c>
      <c r="BR84">
        <v>6.9537997066633981</v>
      </c>
      <c r="BS84">
        <v>5432.3083308454461</v>
      </c>
      <c r="BT84">
        <v>0.43938295005175393</v>
      </c>
      <c r="BU84">
        <v>343.24596058043016</v>
      </c>
      <c r="BV84">
        <v>10.21603587977091</v>
      </c>
      <c r="BW84">
        <v>7980.7672292770339</v>
      </c>
      <c r="BX84">
        <v>2.3617959543558946</v>
      </c>
      <c r="BY84">
        <v>1845.0349995428246</v>
      </c>
      <c r="BZ84">
        <v>14.132837618381258</v>
      </c>
      <c r="CA84">
        <v>11040.572747479437</v>
      </c>
      <c r="CB84">
        <v>5.0636105783132548</v>
      </c>
      <c r="CC84">
        <v>3955.6925837783142</v>
      </c>
      <c r="CD84">
        <v>10.228068417655271</v>
      </c>
      <c r="CE84">
        <v>7990.1670478722972</v>
      </c>
      <c r="CF84">
        <v>7.1427616552140343</v>
      </c>
      <c r="CG84">
        <v>5579.9254050532027</v>
      </c>
      <c r="CH84">
        <v>5.5971651369183446</v>
      </c>
      <c r="CI84">
        <v>4372.5054049606106</v>
      </c>
      <c r="CJ84">
        <v>5.84882255666004</v>
      </c>
      <c r="CK84">
        <v>4569.1001812628228</v>
      </c>
      <c r="CL84">
        <v>5.4343800538341966</v>
      </c>
      <c r="CM84">
        <v>4245.3376980552739</v>
      </c>
      <c r="CN84">
        <v>9.4735364749391415</v>
      </c>
      <c r="CO84">
        <v>7400.7266942224569</v>
      </c>
      <c r="CP84">
        <v>7.516465628684899</v>
      </c>
      <c r="CQ84">
        <v>5871.8629491286429</v>
      </c>
      <c r="CR84">
        <v>1.6453501639168309</v>
      </c>
      <c r="CS84">
        <v>1285.3475480518282</v>
      </c>
      <c r="CT84">
        <v>11.325309925313062</v>
      </c>
      <c r="CU84">
        <v>8847.3321136545637</v>
      </c>
    </row>
    <row r="85" spans="2:99" x14ac:dyDescent="0.2">
      <c r="C85" s="118" t="s">
        <v>251</v>
      </c>
      <c r="D85">
        <v>44</v>
      </c>
      <c r="E85">
        <v>6600</v>
      </c>
      <c r="F85">
        <v>24</v>
      </c>
      <c r="G85">
        <v>3600</v>
      </c>
      <c r="H85">
        <v>33</v>
      </c>
      <c r="I85">
        <v>4950</v>
      </c>
      <c r="J85">
        <v>40</v>
      </c>
      <c r="K85">
        <v>6000</v>
      </c>
      <c r="L85">
        <v>29.22362161024812</v>
      </c>
      <c r="M85">
        <v>4383.5432415372179</v>
      </c>
      <c r="N85">
        <v>6.1594880730618282</v>
      </c>
      <c r="O85">
        <v>923.92321095927423</v>
      </c>
      <c r="P85">
        <v>3.1180038063952611</v>
      </c>
      <c r="Q85">
        <v>467.70057095928917</v>
      </c>
      <c r="R85">
        <v>9.0789489396939711</v>
      </c>
      <c r="S85">
        <v>1361.8423409540956</v>
      </c>
      <c r="T85">
        <v>2.5595237952086327</v>
      </c>
      <c r="U85">
        <v>383.92856928129493</v>
      </c>
      <c r="V85">
        <v>16.630031613512475</v>
      </c>
      <c r="W85">
        <v>2494.5047420268711</v>
      </c>
      <c r="X85">
        <v>5.9410706220255109</v>
      </c>
      <c r="Y85">
        <v>891.16059330382666</v>
      </c>
      <c r="Z85">
        <v>6.984843455353861</v>
      </c>
      <c r="AA85">
        <v>1047.726518303079</v>
      </c>
      <c r="AB85">
        <v>8.0741800399010799</v>
      </c>
      <c r="AC85">
        <v>1211.127005985162</v>
      </c>
      <c r="AD85">
        <v>3.8138479001135073</v>
      </c>
      <c r="AE85">
        <v>572.07718501702607</v>
      </c>
      <c r="AF85">
        <v>10.037640983758465</v>
      </c>
      <c r="AG85">
        <v>1505.6461475637698</v>
      </c>
      <c r="AH85">
        <v>7.1999519086691821</v>
      </c>
      <c r="AI85">
        <v>1079.9927863003772</v>
      </c>
      <c r="AJ85">
        <v>0</v>
      </c>
      <c r="AK85">
        <v>0</v>
      </c>
      <c r="AL85">
        <v>8.174873626445919</v>
      </c>
      <c r="AM85">
        <v>1226.2310439668879</v>
      </c>
      <c r="AN85">
        <v>14.564824799227415</v>
      </c>
      <c r="AO85">
        <v>2184.7237198841121</v>
      </c>
      <c r="AP85">
        <v>8.8594069496178758</v>
      </c>
      <c r="AQ85">
        <v>1328.9110424426813</v>
      </c>
      <c r="AR85">
        <v>3.4565815417268362</v>
      </c>
      <c r="AS85">
        <v>518.48723125902541</v>
      </c>
      <c r="AT85">
        <v>16.613663472160596</v>
      </c>
      <c r="AU85">
        <v>2492.0495208240895</v>
      </c>
      <c r="AV85">
        <v>6.1598619448789949</v>
      </c>
      <c r="AW85">
        <v>923.97929173184923</v>
      </c>
      <c r="AX85">
        <v>8.5087081072071573</v>
      </c>
      <c r="AY85">
        <v>1276.3062160810737</v>
      </c>
      <c r="AZ85">
        <v>3.5491938458193797</v>
      </c>
      <c r="BA85">
        <v>532.37907687290692</v>
      </c>
      <c r="BB85">
        <v>7.0000966421272031</v>
      </c>
      <c r="BC85">
        <v>1050.0144963190805</v>
      </c>
      <c r="BD85">
        <v>5.0317037693761826</v>
      </c>
      <c r="BE85">
        <v>754.75556540642742</v>
      </c>
      <c r="BF85">
        <v>13.561313290653116</v>
      </c>
      <c r="BG85">
        <v>2034.1969935979673</v>
      </c>
      <c r="BH85">
        <v>7.6589052713250725</v>
      </c>
      <c r="BI85">
        <v>1148.8357906987608</v>
      </c>
      <c r="BJ85">
        <v>4.6257197264150944</v>
      </c>
      <c r="BK85">
        <v>693.85795896226421</v>
      </c>
      <c r="BL85">
        <v>7.1151407671428277</v>
      </c>
      <c r="BM85">
        <v>1067.2711150714242</v>
      </c>
      <c r="BN85">
        <v>8.9448449218191577</v>
      </c>
      <c r="BO85">
        <v>1341.7267382728737</v>
      </c>
      <c r="BP85">
        <v>7.3544950618114262</v>
      </c>
      <c r="BQ85">
        <v>1103.1742592717139</v>
      </c>
      <c r="BR85">
        <v>7.4504996857107848</v>
      </c>
      <c r="BS85">
        <v>1117.5749528566178</v>
      </c>
      <c r="BT85">
        <v>0.52176725318645789</v>
      </c>
      <c r="BU85">
        <v>78.26508797796869</v>
      </c>
      <c r="BV85">
        <v>13.408547092199321</v>
      </c>
      <c r="BW85">
        <v>2011.2820638298981</v>
      </c>
      <c r="BX85">
        <v>2.6148455208940264</v>
      </c>
      <c r="BY85">
        <v>392.22682813410398</v>
      </c>
      <c r="BZ85">
        <v>14.805829885923222</v>
      </c>
      <c r="CA85">
        <v>2220.8744828884833</v>
      </c>
      <c r="CB85">
        <v>5.2323975975903636</v>
      </c>
      <c r="CC85">
        <v>784.85963963855454</v>
      </c>
      <c r="CD85">
        <v>13.268845514796027</v>
      </c>
      <c r="CE85">
        <v>1990.3268272194041</v>
      </c>
      <c r="CF85">
        <v>8.2249982696404036</v>
      </c>
      <c r="CG85">
        <v>1233.7497404460605</v>
      </c>
      <c r="CH85">
        <v>6.2968107790331391</v>
      </c>
      <c r="CI85">
        <v>944.52161685497083</v>
      </c>
      <c r="CJ85">
        <v>5.709564876739563</v>
      </c>
      <c r="CK85">
        <v>856.4347315109344</v>
      </c>
      <c r="CL85">
        <v>6.3794896284140572</v>
      </c>
      <c r="CM85">
        <v>956.92344426210855</v>
      </c>
      <c r="CN85">
        <v>11.416826008259992</v>
      </c>
      <c r="CO85">
        <v>1712.5239012389989</v>
      </c>
      <c r="CP85">
        <v>7.6834981982112289</v>
      </c>
      <c r="CQ85">
        <v>1152.5247297316844</v>
      </c>
      <c r="CR85">
        <v>2.0030349821596203</v>
      </c>
      <c r="CS85">
        <v>300.45524732394307</v>
      </c>
      <c r="CT85">
        <v>13.087024802583981</v>
      </c>
      <c r="CU85">
        <v>1963.0537203875972</v>
      </c>
    </row>
    <row r="86" spans="2:99" x14ac:dyDescent="0.2">
      <c r="C86" s="118" t="s">
        <v>252</v>
      </c>
      <c r="D86">
        <v>41</v>
      </c>
      <c r="E86">
        <v>22140</v>
      </c>
      <c r="F86">
        <v>22</v>
      </c>
      <c r="G86">
        <v>11880</v>
      </c>
      <c r="H86">
        <v>32</v>
      </c>
      <c r="I86">
        <v>17280</v>
      </c>
      <c r="J86">
        <v>37</v>
      </c>
      <c r="K86">
        <v>19980</v>
      </c>
      <c r="L86">
        <v>28.249500889906518</v>
      </c>
      <c r="M86">
        <v>15254.730480549519</v>
      </c>
      <c r="N86">
        <v>6.3648043421638887</v>
      </c>
      <c r="O86">
        <v>3436.9943447685</v>
      </c>
      <c r="P86">
        <v>2.8651926869578075</v>
      </c>
      <c r="Q86">
        <v>1547.2040509572159</v>
      </c>
      <c r="R86">
        <v>8.5745628874887494</v>
      </c>
      <c r="S86">
        <v>4630.2639592439245</v>
      </c>
      <c r="T86">
        <v>2.5595237952086327</v>
      </c>
      <c r="U86">
        <v>1382.1428494126617</v>
      </c>
      <c r="V86">
        <v>14.50704885434067</v>
      </c>
      <c r="W86">
        <v>7833.8063813439621</v>
      </c>
      <c r="X86">
        <v>6.4576854587233816</v>
      </c>
      <c r="Y86">
        <v>3487.1501477106262</v>
      </c>
      <c r="Z86">
        <v>7.2642371935680154</v>
      </c>
      <c r="AA86">
        <v>3922.6880845267283</v>
      </c>
      <c r="AB86">
        <v>8.3346374605430498</v>
      </c>
      <c r="AC86">
        <v>4500.7042286932465</v>
      </c>
      <c r="AD86">
        <v>3.9500567536889895</v>
      </c>
      <c r="AE86">
        <v>2133.0306469920542</v>
      </c>
      <c r="AF86">
        <v>10.037640983758465</v>
      </c>
      <c r="AG86">
        <v>5420.3261312295708</v>
      </c>
      <c r="AH86">
        <v>6.6461094541561687</v>
      </c>
      <c r="AI86">
        <v>3588.8991052443312</v>
      </c>
      <c r="AJ86">
        <v>0</v>
      </c>
      <c r="AK86">
        <v>0</v>
      </c>
      <c r="AL86">
        <v>9.2229343477851398</v>
      </c>
      <c r="AM86">
        <v>4980.3845478039757</v>
      </c>
      <c r="AN86">
        <v>13.798255072952289</v>
      </c>
      <c r="AO86">
        <v>7451.0577393942358</v>
      </c>
      <c r="AP86">
        <v>8.6668111463653137</v>
      </c>
      <c r="AQ86">
        <v>4680.0780190372698</v>
      </c>
      <c r="AR86">
        <v>2.8281121705037751</v>
      </c>
      <c r="AS86">
        <v>1527.1805720720386</v>
      </c>
      <c r="AT86">
        <v>14.846252464483937</v>
      </c>
      <c r="AU86">
        <v>8016.976330821326</v>
      </c>
      <c r="AV86">
        <v>6.8990453782644741</v>
      </c>
      <c r="AW86">
        <v>3725.4845042628158</v>
      </c>
      <c r="AX86">
        <v>8.2905361044582548</v>
      </c>
      <c r="AY86">
        <v>4476.889496407458</v>
      </c>
      <c r="AZ86">
        <v>3.1055446150919574</v>
      </c>
      <c r="BA86">
        <v>1676.994092149657</v>
      </c>
      <c r="BB86">
        <v>6.7084259487052362</v>
      </c>
      <c r="BC86">
        <v>3622.5500123008273</v>
      </c>
      <c r="BD86">
        <v>4.5020507410207946</v>
      </c>
      <c r="BE86">
        <v>2431.1074001512293</v>
      </c>
      <c r="BF86">
        <v>12.382068656683279</v>
      </c>
      <c r="BG86">
        <v>6686.3170746089709</v>
      </c>
      <c r="BH86">
        <v>7.4400794064300708</v>
      </c>
      <c r="BI86">
        <v>4017.6428794722383</v>
      </c>
      <c r="BJ86">
        <v>4.4605154504716982</v>
      </c>
      <c r="BK86">
        <v>2408.6783432547172</v>
      </c>
      <c r="BL86">
        <v>7.6233651076530302</v>
      </c>
      <c r="BM86">
        <v>4116.6171581326362</v>
      </c>
      <c r="BN86">
        <v>9.1528645711637893</v>
      </c>
      <c r="BO86">
        <v>4942.546868428446</v>
      </c>
      <c r="BP86">
        <v>6.9569547881999974</v>
      </c>
      <c r="BQ86">
        <v>3756.7555856279987</v>
      </c>
      <c r="BR86">
        <v>6.2087497380923207</v>
      </c>
      <c r="BS86">
        <v>3352.724858569853</v>
      </c>
      <c r="BT86">
        <v>0.50803653599734044</v>
      </c>
      <c r="BU86">
        <v>274.33972943856384</v>
      </c>
      <c r="BV86">
        <v>11.173789243499433</v>
      </c>
      <c r="BW86">
        <v>6033.8461914896943</v>
      </c>
      <c r="BX86">
        <v>2.4461458098686051</v>
      </c>
      <c r="BY86">
        <v>1320.9187373290467</v>
      </c>
      <c r="BZ86">
        <v>13.123349217068309</v>
      </c>
      <c r="CA86">
        <v>7086.6085772168872</v>
      </c>
      <c r="CB86">
        <v>4.726036539759038</v>
      </c>
      <c r="CC86">
        <v>2552.0597314698807</v>
      </c>
      <c r="CD86">
        <v>10.780936980771772</v>
      </c>
      <c r="CE86">
        <v>5821.7059696167571</v>
      </c>
      <c r="CF86">
        <v>7.7921036238698571</v>
      </c>
      <c r="CG86">
        <v>4207.7359568897227</v>
      </c>
      <c r="CH86">
        <v>5.1307347088418167</v>
      </c>
      <c r="CI86">
        <v>2770.5967427745809</v>
      </c>
      <c r="CJ86">
        <v>6.1273379165009949</v>
      </c>
      <c r="CK86">
        <v>3308.7624749105371</v>
      </c>
      <c r="CL86">
        <v>6.3794896284140572</v>
      </c>
      <c r="CM86">
        <v>3444.9243993435907</v>
      </c>
      <c r="CN86">
        <v>11.173914816594886</v>
      </c>
      <c r="CO86">
        <v>6033.9140009612383</v>
      </c>
      <c r="CP86">
        <v>7.1824004896322355</v>
      </c>
      <c r="CQ86">
        <v>3878.4962644014072</v>
      </c>
      <c r="CR86">
        <v>1.7168871275653887</v>
      </c>
      <c r="CS86">
        <v>927.11904888530989</v>
      </c>
      <c r="CT86">
        <v>12.080330587000597</v>
      </c>
      <c r="CU86">
        <v>6523.3785169803223</v>
      </c>
    </row>
    <row r="87" spans="2:99" x14ac:dyDescent="0.2">
      <c r="B87" s="118" t="s">
        <v>131</v>
      </c>
      <c r="C87" s="118" t="s">
        <v>253</v>
      </c>
      <c r="D87">
        <v>20</v>
      </c>
      <c r="E87">
        <v>39096</v>
      </c>
      <c r="F87">
        <v>12</v>
      </c>
      <c r="G87">
        <v>23457.599999999999</v>
      </c>
      <c r="H87">
        <v>13</v>
      </c>
      <c r="I87">
        <v>25412.399999999998</v>
      </c>
      <c r="J87">
        <v>24</v>
      </c>
      <c r="K87">
        <v>46915.199999999997</v>
      </c>
      <c r="L87">
        <v>22.404776567856892</v>
      </c>
      <c r="M87">
        <v>43796.857234846655</v>
      </c>
      <c r="N87">
        <v>4.3116416511432796</v>
      </c>
      <c r="O87">
        <v>8428.3970996548833</v>
      </c>
      <c r="P87">
        <v>1.7696778360621752</v>
      </c>
      <c r="Q87">
        <v>3459.36623393434</v>
      </c>
      <c r="R87">
        <v>6.8092117047704779</v>
      </c>
      <c r="S87">
        <v>13310.64704048533</v>
      </c>
      <c r="T87">
        <v>2.3626373494233532</v>
      </c>
      <c r="U87">
        <v>4618.4834906527713</v>
      </c>
      <c r="V87">
        <v>4.9536264380675457</v>
      </c>
      <c r="W87">
        <v>9683.3489611344376</v>
      </c>
      <c r="X87">
        <v>5.9410706220255109</v>
      </c>
      <c r="Y87">
        <v>11613.604851935468</v>
      </c>
      <c r="Z87">
        <v>6.1466622407113976</v>
      </c>
      <c r="AA87">
        <v>12015.49534814264</v>
      </c>
      <c r="AB87">
        <v>5.4696058334813777</v>
      </c>
      <c r="AC87">
        <v>10691.985483289396</v>
      </c>
      <c r="AD87">
        <v>2.3155505107832006</v>
      </c>
      <c r="AE87">
        <v>4526.4381384790004</v>
      </c>
      <c r="AF87">
        <v>5.53800881862536</v>
      </c>
      <c r="AG87">
        <v>10825.699638648854</v>
      </c>
      <c r="AH87">
        <v>5.8153457723866477</v>
      </c>
      <c r="AI87">
        <v>11367.837915861419</v>
      </c>
      <c r="AJ87">
        <v>0</v>
      </c>
      <c r="AK87">
        <v>0</v>
      </c>
      <c r="AL87">
        <v>3.1441821640176615</v>
      </c>
      <c r="AM87">
        <v>6146.2472942217246</v>
      </c>
      <c r="AN87">
        <v>7.2824123996137073</v>
      </c>
      <c r="AO87">
        <v>14235.659758764874</v>
      </c>
      <c r="AP87">
        <v>3.4667244585461257</v>
      </c>
      <c r="AQ87">
        <v>6776.7529715659666</v>
      </c>
      <c r="AR87">
        <v>1.4926147566547701</v>
      </c>
      <c r="AS87">
        <v>2917.7633263087446</v>
      </c>
      <c r="AT87">
        <v>4.9487508214946452</v>
      </c>
      <c r="AU87">
        <v>9673.818105857732</v>
      </c>
      <c r="AV87">
        <v>6.1598619448789949</v>
      </c>
      <c r="AW87">
        <v>12041.29812984946</v>
      </c>
      <c r="AX87">
        <v>5.2361280659736353</v>
      </c>
      <c r="AY87">
        <v>10235.583143365262</v>
      </c>
      <c r="AZ87">
        <v>2.7728076920463907</v>
      </c>
      <c r="BA87">
        <v>5420.2844764122847</v>
      </c>
      <c r="BB87">
        <v>4.3750604013295016</v>
      </c>
      <c r="BC87">
        <v>8552.3680725189097</v>
      </c>
      <c r="BD87">
        <v>2.5158518846880913</v>
      </c>
      <c r="BE87">
        <v>4917.9872641882812</v>
      </c>
      <c r="BF87">
        <v>8.8443347547737705</v>
      </c>
      <c r="BG87">
        <v>17288.905578631766</v>
      </c>
      <c r="BH87">
        <v>4.3765172979000413</v>
      </c>
      <c r="BI87">
        <v>8555.2160139349999</v>
      </c>
      <c r="BJ87">
        <v>4.6257197264150944</v>
      </c>
      <c r="BK87">
        <v>9042.3569211962258</v>
      </c>
      <c r="BL87">
        <v>6.3528042563775244</v>
      </c>
      <c r="BM87">
        <v>12418.461760366785</v>
      </c>
      <c r="BN87">
        <v>4.1603929868926315</v>
      </c>
      <c r="BO87">
        <v>8132.7362107777162</v>
      </c>
      <c r="BP87">
        <v>4.1741728729199981</v>
      </c>
      <c r="BQ87">
        <v>8159.6731319840119</v>
      </c>
      <c r="BR87">
        <v>7.6988496752344782</v>
      </c>
      <c r="BS87">
        <v>15049.711345148358</v>
      </c>
      <c r="BT87">
        <v>0.32953721253881546</v>
      </c>
      <c r="BU87">
        <v>644.17934307087648</v>
      </c>
      <c r="BV87">
        <v>7.6620269098281826</v>
      </c>
      <c r="BW87">
        <v>14977.73020333213</v>
      </c>
      <c r="BX87">
        <v>2.1087463878177628</v>
      </c>
      <c r="BY87">
        <v>4122.1774389061629</v>
      </c>
      <c r="BZ87">
        <v>7.7394110767325923</v>
      </c>
      <c r="CA87">
        <v>15129.000772796871</v>
      </c>
      <c r="CB87">
        <v>3.8821014433734948</v>
      </c>
      <c r="CC87">
        <v>7588.7319015065077</v>
      </c>
      <c r="CD87">
        <v>5.2522513496067607</v>
      </c>
      <c r="CE87">
        <v>10267.100938211295</v>
      </c>
      <c r="CF87">
        <v>4.3289464577054755</v>
      </c>
      <c r="CG87">
        <v>8462.2245355226642</v>
      </c>
      <c r="CH87">
        <v>3.9646586386504947</v>
      </c>
      <c r="CI87">
        <v>7750.1147068339869</v>
      </c>
      <c r="CJ87">
        <v>2.3673805586481116</v>
      </c>
      <c r="CK87">
        <v>4627.7555160453285</v>
      </c>
      <c r="CL87">
        <v>5.1981026601892317</v>
      </c>
      <c r="CM87">
        <v>10161.25108013791</v>
      </c>
      <c r="CN87">
        <v>7.04442455828808</v>
      </c>
      <c r="CO87">
        <v>13770.441126541538</v>
      </c>
      <c r="CP87">
        <v>3.5076839600529528</v>
      </c>
      <c r="CQ87">
        <v>6856.8206051115121</v>
      </c>
      <c r="CR87">
        <v>1.3592023093225993</v>
      </c>
      <c r="CS87">
        <v>2656.9686742638173</v>
      </c>
      <c r="CT87">
        <v>6.5435124012919905</v>
      </c>
      <c r="CU87">
        <v>12791.258042045583</v>
      </c>
    </row>
    <row r="88" spans="2:99" x14ac:dyDescent="0.2">
      <c r="C88" s="118" t="s">
        <v>254</v>
      </c>
      <c r="D88">
        <v>20</v>
      </c>
      <c r="E88">
        <v>37848</v>
      </c>
      <c r="F88">
        <v>14</v>
      </c>
      <c r="G88">
        <v>26493.599999999999</v>
      </c>
      <c r="H88">
        <v>14</v>
      </c>
      <c r="I88">
        <v>26493.599999999999</v>
      </c>
      <c r="J88">
        <v>25</v>
      </c>
      <c r="K88">
        <v>47310</v>
      </c>
      <c r="L88">
        <v>22.404776567856892</v>
      </c>
      <c r="M88">
        <v>42398.799177012377</v>
      </c>
      <c r="N88">
        <v>5.1329067275515232</v>
      </c>
      <c r="O88">
        <v>9713.5126912185024</v>
      </c>
      <c r="P88">
        <v>1.6011370897705395</v>
      </c>
      <c r="Q88">
        <v>3029.9918286817688</v>
      </c>
      <c r="R88">
        <v>7.0614047308730878</v>
      </c>
      <c r="S88">
        <v>13363.002312704231</v>
      </c>
      <c r="T88">
        <v>2.6579670181012722</v>
      </c>
      <c r="U88">
        <v>5029.936785054847</v>
      </c>
      <c r="V88">
        <v>4.5997959782055782</v>
      </c>
      <c r="W88">
        <v>8704.6539091562354</v>
      </c>
      <c r="X88">
        <v>6.4576854587233816</v>
      </c>
      <c r="Y88">
        <v>12220.523962088126</v>
      </c>
      <c r="Z88">
        <v>6.1466622407113976</v>
      </c>
      <c r="AA88">
        <v>11631.943624322248</v>
      </c>
      <c r="AB88">
        <v>5.209148412839407</v>
      </c>
      <c r="AC88">
        <v>9857.7924564572932</v>
      </c>
      <c r="AD88">
        <v>2.4517593643586832</v>
      </c>
      <c r="AE88">
        <v>4639.7094211123722</v>
      </c>
      <c r="AF88">
        <v>6.2302599209535297</v>
      </c>
      <c r="AG88">
        <v>11790.143874412459</v>
      </c>
      <c r="AH88">
        <v>6.6461094541561687</v>
      </c>
      <c r="AI88">
        <v>12577.097531045132</v>
      </c>
      <c r="AJ88">
        <v>0</v>
      </c>
      <c r="AK88">
        <v>0</v>
      </c>
      <c r="AL88">
        <v>2.9345700197498172</v>
      </c>
      <c r="AM88">
        <v>5553.3803053745542</v>
      </c>
      <c r="AN88">
        <v>7.6656972627512712</v>
      </c>
      <c r="AO88">
        <v>14506.565500030505</v>
      </c>
      <c r="AP88">
        <v>3.6593202617986877</v>
      </c>
      <c r="AQ88">
        <v>6924.8976634278361</v>
      </c>
      <c r="AR88">
        <v>1.4140560852518875</v>
      </c>
      <c r="AS88">
        <v>2675.9597357306716</v>
      </c>
      <c r="AT88">
        <v>5.3022330230299772</v>
      </c>
      <c r="AU88">
        <v>10033.945772781928</v>
      </c>
      <c r="AV88">
        <v>6.1598619448789949</v>
      </c>
      <c r="AW88">
        <v>11656.922744489009</v>
      </c>
      <c r="AX88">
        <v>5.2361280659736353</v>
      </c>
      <c r="AY88">
        <v>9908.8487520485069</v>
      </c>
      <c r="AZ88">
        <v>3.1055446150919574</v>
      </c>
      <c r="BA88">
        <v>5876.9326296000199</v>
      </c>
      <c r="BB88">
        <v>4.6667310947514693</v>
      </c>
      <c r="BC88">
        <v>8831.3219237076792</v>
      </c>
      <c r="BD88">
        <v>2.3834386275992441</v>
      </c>
      <c r="BE88">
        <v>4510.4192588688093</v>
      </c>
      <c r="BF88">
        <v>8.8443347547737705</v>
      </c>
      <c r="BG88">
        <v>16737.019089933881</v>
      </c>
      <c r="BH88">
        <v>4.5953431627950438</v>
      </c>
      <c r="BI88">
        <v>8696.2274012733396</v>
      </c>
      <c r="BJ88">
        <v>4.1301068985849065</v>
      </c>
      <c r="BK88">
        <v>7815.8142948820769</v>
      </c>
      <c r="BL88">
        <v>5.590467745612222</v>
      </c>
      <c r="BM88">
        <v>10579.401161796568</v>
      </c>
      <c r="BN88">
        <v>4.1603929868926315</v>
      </c>
      <c r="BO88">
        <v>7873.1276883956152</v>
      </c>
      <c r="BP88">
        <v>4.3729430097257129</v>
      </c>
      <c r="BQ88">
        <v>8275.3573516049382</v>
      </c>
      <c r="BR88">
        <v>7.4504996857107848</v>
      </c>
      <c r="BS88">
        <v>14099.325605239088</v>
      </c>
      <c r="BT88">
        <v>0.35699864691705008</v>
      </c>
      <c r="BU88">
        <v>675.58423942582556</v>
      </c>
      <c r="BV88">
        <v>7.0235246673425014</v>
      </c>
      <c r="BW88">
        <v>13291.318080478948</v>
      </c>
      <c r="BX88">
        <v>2.2774460988431842</v>
      </c>
      <c r="BY88">
        <v>4309.8389974508418</v>
      </c>
      <c r="BZ88">
        <v>7.402914942961611</v>
      </c>
      <c r="CA88">
        <v>14009.276238060551</v>
      </c>
      <c r="CB88">
        <v>4.0508884626506036</v>
      </c>
      <c r="CC88">
        <v>7665.9013267200016</v>
      </c>
      <c r="CD88">
        <v>4.9758170680485101</v>
      </c>
      <c r="CE88">
        <v>9416.2362195749993</v>
      </c>
      <c r="CF88">
        <v>4.5453937805907501</v>
      </c>
      <c r="CG88">
        <v>8601.7031903899351</v>
      </c>
      <c r="CH88">
        <v>4.4310890667270231</v>
      </c>
      <c r="CI88">
        <v>8385.3929498742182</v>
      </c>
      <c r="CJ88">
        <v>2.3673805586481116</v>
      </c>
      <c r="CK88">
        <v>4480.0309691856864</v>
      </c>
      <c r="CL88">
        <v>4.725547872899301</v>
      </c>
      <c r="CM88">
        <v>8942.6267946746357</v>
      </c>
      <c r="CN88">
        <v>6.8015133666229746</v>
      </c>
      <c r="CO88">
        <v>12871.183894997315</v>
      </c>
      <c r="CP88">
        <v>3.3406513905266211</v>
      </c>
      <c r="CQ88">
        <v>6321.8486914325777</v>
      </c>
      <c r="CR88">
        <v>1.2876653456740417</v>
      </c>
      <c r="CS88">
        <v>2436.7779001535564</v>
      </c>
      <c r="CT88">
        <v>6.7951859551878364</v>
      </c>
      <c r="CU88">
        <v>12859.20990159746</v>
      </c>
    </row>
    <row r="89" spans="2:99" x14ac:dyDescent="0.2">
      <c r="C89" s="118" t="s">
        <v>255</v>
      </c>
      <c r="D89">
        <v>22</v>
      </c>
      <c r="E89">
        <v>52747.199999999997</v>
      </c>
      <c r="F89">
        <v>14</v>
      </c>
      <c r="G89">
        <v>33566.400000000001</v>
      </c>
      <c r="H89">
        <v>13</v>
      </c>
      <c r="I89">
        <v>31168.799999999999</v>
      </c>
      <c r="J89">
        <v>24</v>
      </c>
      <c r="K89">
        <v>57542.399999999994</v>
      </c>
      <c r="L89">
        <v>22.404776567856892</v>
      </c>
      <c r="M89">
        <v>53717.69229909368</v>
      </c>
      <c r="N89">
        <v>4.9275904584494628</v>
      </c>
      <c r="O89">
        <v>11814.390883178432</v>
      </c>
      <c r="P89">
        <v>1.6011370897705395</v>
      </c>
      <c r="Q89">
        <v>3838.8862864338453</v>
      </c>
      <c r="R89">
        <v>6.8092117047704779</v>
      </c>
      <c r="S89">
        <v>16325.765983357696</v>
      </c>
      <c r="T89">
        <v>2.3626373494233532</v>
      </c>
      <c r="U89">
        <v>5664.6593089774315</v>
      </c>
      <c r="V89">
        <v>4.5997959782055782</v>
      </c>
      <c r="W89">
        <v>11028.470837345694</v>
      </c>
      <c r="X89">
        <v>5.4244557853276403</v>
      </c>
      <c r="Y89">
        <v>13005.675190901549</v>
      </c>
      <c r="Z89">
        <v>5.3084810260689341</v>
      </c>
      <c r="AA89">
        <v>12727.614108102876</v>
      </c>
      <c r="AB89">
        <v>4.9486909921974362</v>
      </c>
      <c r="AC89">
        <v>11864.981522892573</v>
      </c>
      <c r="AD89">
        <v>2.4517593643586832</v>
      </c>
      <c r="AE89">
        <v>5878.338251986379</v>
      </c>
      <c r="AF89">
        <v>5.8841343697894448</v>
      </c>
      <c r="AG89">
        <v>14107.800565007172</v>
      </c>
      <c r="AH89">
        <v>6.369188226899662</v>
      </c>
      <c r="AI89">
        <v>15270.76569281463</v>
      </c>
      <c r="AJ89">
        <v>0</v>
      </c>
      <c r="AK89">
        <v>0</v>
      </c>
      <c r="AL89">
        <v>2.9345700197498172</v>
      </c>
      <c r="AM89">
        <v>7035.9250793521614</v>
      </c>
      <c r="AN89">
        <v>7.6656972627512712</v>
      </c>
      <c r="AO89">
        <v>18379.275757172447</v>
      </c>
      <c r="AP89">
        <v>3.4667244585461257</v>
      </c>
      <c r="AQ89">
        <v>8311.8185618101907</v>
      </c>
      <c r="AR89">
        <v>1.4140560852518875</v>
      </c>
      <c r="AS89">
        <v>3390.3408699999254</v>
      </c>
      <c r="AT89">
        <v>5.3022330230299772</v>
      </c>
      <c r="AU89">
        <v>12712.633896016672</v>
      </c>
      <c r="AV89">
        <v>6.1598619448789949</v>
      </c>
      <c r="AW89">
        <v>14768.884999041877</v>
      </c>
      <c r="AX89">
        <v>4.5816120577269306</v>
      </c>
      <c r="AY89">
        <v>10984.873069606088</v>
      </c>
      <c r="AZ89">
        <v>3.1055446150919574</v>
      </c>
      <c r="BA89">
        <v>7445.8537691444772</v>
      </c>
      <c r="BB89">
        <v>3.7917190144855679</v>
      </c>
      <c r="BC89">
        <v>9091.0255091305971</v>
      </c>
      <c r="BD89">
        <v>2.2510253705103973</v>
      </c>
      <c r="BE89">
        <v>5397.0584283357284</v>
      </c>
      <c r="BF89">
        <v>8.2547124377888537</v>
      </c>
      <c r="BG89">
        <v>19791.498540842556</v>
      </c>
      <c r="BH89">
        <v>4.5953431627950438</v>
      </c>
      <c r="BI89">
        <v>11017.794767117397</v>
      </c>
      <c r="BJ89">
        <v>3.9649026226415098</v>
      </c>
      <c r="BK89">
        <v>9506.2505280452842</v>
      </c>
      <c r="BL89">
        <v>5.0822434051020196</v>
      </c>
      <c r="BM89">
        <v>12185.186788072602</v>
      </c>
      <c r="BN89">
        <v>4.3684126362372631</v>
      </c>
      <c r="BO89">
        <v>10473.706136642462</v>
      </c>
      <c r="BP89">
        <v>4.3729430097257129</v>
      </c>
      <c r="BQ89">
        <v>10484.56816011837</v>
      </c>
      <c r="BR89">
        <v>6.7054497171397056</v>
      </c>
      <c r="BS89">
        <v>16076.986241814158</v>
      </c>
      <c r="BT89">
        <v>0.32953721253881546</v>
      </c>
      <c r="BU89">
        <v>790.09842078306394</v>
      </c>
      <c r="BV89">
        <v>7.6620269098281826</v>
      </c>
      <c r="BW89">
        <v>18370.475719004051</v>
      </c>
      <c r="BX89">
        <v>2.3617959543558946</v>
      </c>
      <c r="BY89">
        <v>5662.641980163693</v>
      </c>
      <c r="BZ89">
        <v>8.0759072105035745</v>
      </c>
      <c r="CA89">
        <v>19362.79512790337</v>
      </c>
      <c r="CB89">
        <v>3.8821014433734948</v>
      </c>
      <c r="CC89">
        <v>9307.7264206322907</v>
      </c>
      <c r="CD89">
        <v>5.5286856311650112</v>
      </c>
      <c r="CE89">
        <v>13255.57666928123</v>
      </c>
      <c r="CF89">
        <v>3.6796044890496544</v>
      </c>
      <c r="CG89">
        <v>8822.2197229454505</v>
      </c>
      <c r="CH89">
        <v>3.7314434246122303</v>
      </c>
      <c r="CI89">
        <v>8946.5087548502834</v>
      </c>
      <c r="CJ89">
        <v>2.2281228787276341</v>
      </c>
      <c r="CK89">
        <v>5342.1474140373757</v>
      </c>
      <c r="CL89">
        <v>4.9618252665442659</v>
      </c>
      <c r="CM89">
        <v>11896.472259066531</v>
      </c>
      <c r="CN89">
        <v>6.0727797916276556</v>
      </c>
      <c r="CO89">
        <v>14560.096828406466</v>
      </c>
      <c r="CP89">
        <v>3.6747165295792836</v>
      </c>
      <c r="CQ89">
        <v>8810.5003513192896</v>
      </c>
      <c r="CR89">
        <v>1.4307392729711574</v>
      </c>
      <c r="CS89">
        <v>3430.3404808756468</v>
      </c>
      <c r="CT89">
        <v>6.0401652935002987</v>
      </c>
      <c r="CU89">
        <v>14481.900307696316</v>
      </c>
    </row>
    <row r="90" spans="2:99" x14ac:dyDescent="0.2">
      <c r="C90" s="118" t="s">
        <v>256</v>
      </c>
      <c r="D90">
        <v>23</v>
      </c>
      <c r="E90">
        <v>50535.6</v>
      </c>
      <c r="F90">
        <v>14</v>
      </c>
      <c r="G90">
        <v>30760.799999999996</v>
      </c>
      <c r="H90">
        <v>12</v>
      </c>
      <c r="I90">
        <v>26366.399999999998</v>
      </c>
      <c r="J90">
        <v>24</v>
      </c>
      <c r="K90">
        <v>52732.799999999996</v>
      </c>
      <c r="L90">
        <v>22.404776567856892</v>
      </c>
      <c r="M90">
        <v>49227.775074895158</v>
      </c>
      <c r="N90">
        <v>4.9275904584494628</v>
      </c>
      <c r="O90">
        <v>10826.901755305158</v>
      </c>
      <c r="P90">
        <v>1.6854074629163573</v>
      </c>
      <c r="Q90">
        <v>3703.1772775198201</v>
      </c>
      <c r="R90">
        <v>6.0526326264626471</v>
      </c>
      <c r="S90">
        <v>13298.844406863727</v>
      </c>
      <c r="T90">
        <v>2.5595237952086327</v>
      </c>
      <c r="U90">
        <v>5623.7856828324075</v>
      </c>
      <c r="V90">
        <v>4.9536264380675457</v>
      </c>
      <c r="W90">
        <v>10884.108009722011</v>
      </c>
      <c r="X90">
        <v>5.4244557853276403</v>
      </c>
      <c r="Y90">
        <v>11918.614251521891</v>
      </c>
      <c r="Z90">
        <v>5.8672685024972422</v>
      </c>
      <c r="AA90">
        <v>12891.562353686939</v>
      </c>
      <c r="AB90">
        <v>4.9486909921974362</v>
      </c>
      <c r="AC90">
        <v>10873.263848056205</v>
      </c>
      <c r="AD90">
        <v>2.3155505107832006</v>
      </c>
      <c r="AE90">
        <v>5087.7275822928477</v>
      </c>
      <c r="AF90">
        <v>5.53800881862536</v>
      </c>
      <c r="AG90">
        <v>12168.112976283641</v>
      </c>
      <c r="AH90">
        <v>5.5384245451301402</v>
      </c>
      <c r="AI90">
        <v>12169.026410559944</v>
      </c>
      <c r="AJ90">
        <v>0</v>
      </c>
      <c r="AK90">
        <v>0</v>
      </c>
      <c r="AL90">
        <v>3.1441821640176615</v>
      </c>
      <c r="AM90">
        <v>6908.3970507796048</v>
      </c>
      <c r="AN90">
        <v>6.5158426733385806</v>
      </c>
      <c r="AO90">
        <v>14316.609521859527</v>
      </c>
      <c r="AP90">
        <v>3.2741286552935627</v>
      </c>
      <c r="AQ90">
        <v>7193.9154814110152</v>
      </c>
      <c r="AR90">
        <v>1.256938742446122</v>
      </c>
      <c r="AS90">
        <v>2761.7458049026191</v>
      </c>
      <c r="AT90">
        <v>4.9487508214946452</v>
      </c>
      <c r="AU90">
        <v>10873.395304988033</v>
      </c>
      <c r="AV90">
        <v>5.4206785114935156</v>
      </c>
      <c r="AW90">
        <v>11910.314825453552</v>
      </c>
      <c r="AX90">
        <v>4.1452680522291274</v>
      </c>
      <c r="AY90">
        <v>9107.9829643578378</v>
      </c>
      <c r="AZ90">
        <v>3.1055446150919574</v>
      </c>
      <c r="BA90">
        <v>6823.5026282800482</v>
      </c>
      <c r="BB90">
        <v>4.3750604013295016</v>
      </c>
      <c r="BC90">
        <v>9612.8827138011802</v>
      </c>
      <c r="BD90">
        <v>2.2510253705103973</v>
      </c>
      <c r="BE90">
        <v>4945.9529440854449</v>
      </c>
      <c r="BF90">
        <v>9.4339570717586891</v>
      </c>
      <c r="BG90">
        <v>20728.290478068189</v>
      </c>
      <c r="BH90">
        <v>4.3765172979000413</v>
      </c>
      <c r="BI90">
        <v>9616.0838069459696</v>
      </c>
      <c r="BJ90">
        <v>3.9649026226415098</v>
      </c>
      <c r="BK90">
        <v>8711.6840424679249</v>
      </c>
      <c r="BL90">
        <v>5.8445799158673228</v>
      </c>
      <c r="BM90">
        <v>12841.71099114368</v>
      </c>
      <c r="BN90">
        <v>3.9523733375479999</v>
      </c>
      <c r="BO90">
        <v>8684.1546972604647</v>
      </c>
      <c r="BP90">
        <v>4.3729430097257129</v>
      </c>
      <c r="BQ90">
        <v>9608.2303809693349</v>
      </c>
      <c r="BR90">
        <v>7.4504996857107848</v>
      </c>
      <c r="BS90">
        <v>16370.237909443735</v>
      </c>
      <c r="BT90">
        <v>0.32953721253881546</v>
      </c>
      <c r="BU90">
        <v>724.05916339028522</v>
      </c>
      <c r="BV90">
        <v>7.6620269098281826</v>
      </c>
      <c r="BW90">
        <v>16835.005526274483</v>
      </c>
      <c r="BX90">
        <v>2.2774460988431842</v>
      </c>
      <c r="BY90">
        <v>5004.0045683782437</v>
      </c>
      <c r="BZ90">
        <v>7.7394110767325923</v>
      </c>
      <c r="CA90">
        <v>17005.03401779685</v>
      </c>
      <c r="CB90">
        <v>3.8821014433734948</v>
      </c>
      <c r="CC90">
        <v>8529.7532913802424</v>
      </c>
      <c r="CD90">
        <v>5.5286856311650112</v>
      </c>
      <c r="CE90">
        <v>12147.628068795762</v>
      </c>
      <c r="CF90">
        <v>3.8960518119349286</v>
      </c>
      <c r="CG90">
        <v>8560.4050411834251</v>
      </c>
      <c r="CH90">
        <v>4.1978738526887591</v>
      </c>
      <c r="CI90">
        <v>9223.5684291277412</v>
      </c>
      <c r="CJ90">
        <v>2.0888651988071572</v>
      </c>
      <c r="CK90">
        <v>4589.6546148190855</v>
      </c>
      <c r="CL90">
        <v>4.9618252665442659</v>
      </c>
      <c r="CM90">
        <v>10902.12247565106</v>
      </c>
      <c r="CN90">
        <v>7.04442455828808</v>
      </c>
      <c r="CO90">
        <v>15478.009639470569</v>
      </c>
      <c r="CP90">
        <v>3.5076839600529528</v>
      </c>
      <c r="CQ90">
        <v>7707.0831970283471</v>
      </c>
      <c r="CR90">
        <v>1.3592023093225993</v>
      </c>
      <c r="CS90">
        <v>2986.439314043615</v>
      </c>
      <c r="CT90">
        <v>6.0401652935002987</v>
      </c>
      <c r="CU90">
        <v>13271.451182878855</v>
      </c>
    </row>
    <row r="91" spans="2:99" x14ac:dyDescent="0.2">
      <c r="C91" s="118" t="s">
        <v>257</v>
      </c>
      <c r="D91">
        <v>22</v>
      </c>
      <c r="E91">
        <v>50529.599999999991</v>
      </c>
      <c r="F91">
        <v>12</v>
      </c>
      <c r="G91">
        <v>27561.599999999999</v>
      </c>
      <c r="H91">
        <v>12</v>
      </c>
      <c r="I91">
        <v>27561.599999999999</v>
      </c>
      <c r="J91">
        <v>23</v>
      </c>
      <c r="K91">
        <v>52826.399999999994</v>
      </c>
      <c r="L91">
        <v>23.378897288198498</v>
      </c>
      <c r="M91">
        <v>53696.651291534305</v>
      </c>
      <c r="N91">
        <v>4.5169579202453409</v>
      </c>
      <c r="O91">
        <v>10374.548951219498</v>
      </c>
      <c r="P91">
        <v>1.6011370897705395</v>
      </c>
      <c r="Q91">
        <v>3677.4916677849747</v>
      </c>
      <c r="R91">
        <v>6.557018678667867</v>
      </c>
      <c r="S91">
        <v>15060.160501164355</v>
      </c>
      <c r="T91">
        <v>2.2641941265307133</v>
      </c>
      <c r="U91">
        <v>5200.4010698157417</v>
      </c>
      <c r="V91">
        <v>4.5997959782055782</v>
      </c>
      <c r="W91">
        <v>10564.811402742571</v>
      </c>
      <c r="X91">
        <v>5.4244557853276403</v>
      </c>
      <c r="Y91">
        <v>12458.890047740522</v>
      </c>
      <c r="Z91">
        <v>6.1466622407113976</v>
      </c>
      <c r="AA91">
        <v>14117.653834465937</v>
      </c>
      <c r="AB91">
        <v>4.6882335715554664</v>
      </c>
      <c r="AC91">
        <v>10767.934867148593</v>
      </c>
      <c r="AD91">
        <v>2.4517593643586832</v>
      </c>
      <c r="AE91">
        <v>5631.2009080590233</v>
      </c>
      <c r="AF91">
        <v>5.53800881862536</v>
      </c>
      <c r="AG91">
        <v>12719.698654618725</v>
      </c>
      <c r="AH91">
        <v>6.0922669996431553</v>
      </c>
      <c r="AI91">
        <v>13992.718844780398</v>
      </c>
      <c r="AJ91">
        <v>0</v>
      </c>
      <c r="AK91">
        <v>0</v>
      </c>
      <c r="AL91">
        <v>3.1441821640176615</v>
      </c>
      <c r="AM91">
        <v>7221.5575943157637</v>
      </c>
      <c r="AN91">
        <v>7.2824123996137073</v>
      </c>
      <c r="AO91">
        <v>16726.244799432759</v>
      </c>
      <c r="AP91">
        <v>3.2741286552935627</v>
      </c>
      <c r="AQ91">
        <v>7520.0186954782539</v>
      </c>
      <c r="AR91">
        <v>1.256938742446122</v>
      </c>
      <c r="AS91">
        <v>2886.9369036502526</v>
      </c>
      <c r="AT91">
        <v>5.3022330230299772</v>
      </c>
      <c r="AU91">
        <v>12178.168807295251</v>
      </c>
      <c r="AV91">
        <v>5.9134674670838354</v>
      </c>
      <c r="AW91">
        <v>13582.052078398152</v>
      </c>
      <c r="AX91">
        <v>5.0179560632247338</v>
      </c>
      <c r="AY91">
        <v>11525.241486014567</v>
      </c>
      <c r="AZ91">
        <v>3.1055446150919574</v>
      </c>
      <c r="BA91">
        <v>7132.8148719432074</v>
      </c>
      <c r="BB91">
        <v>4.3750604013295016</v>
      </c>
      <c r="BC91">
        <v>10048.638729773598</v>
      </c>
      <c r="BD91">
        <v>2.5158518846880913</v>
      </c>
      <c r="BE91">
        <v>5778.4086087516071</v>
      </c>
      <c r="BF91">
        <v>8.8443347547737705</v>
      </c>
      <c r="BG91">
        <v>20313.668064764395</v>
      </c>
      <c r="BH91">
        <v>4.3765172979000413</v>
      </c>
      <c r="BI91">
        <v>10051.984929816814</v>
      </c>
      <c r="BJ91">
        <v>4.4605154504716982</v>
      </c>
      <c r="BK91">
        <v>10244.911886643395</v>
      </c>
      <c r="BL91">
        <v>6.0986920861224236</v>
      </c>
      <c r="BM91">
        <v>14007.475983405981</v>
      </c>
      <c r="BN91">
        <v>4.3684126362372631</v>
      </c>
      <c r="BO91">
        <v>10033.370142909745</v>
      </c>
      <c r="BP91">
        <v>4.1741728729199981</v>
      </c>
      <c r="BQ91">
        <v>9587.2402545226505</v>
      </c>
      <c r="BR91">
        <v>6.4570997276160131</v>
      </c>
      <c r="BS91">
        <v>14830.666654388457</v>
      </c>
      <c r="BT91">
        <v>0.28834506097146351</v>
      </c>
      <c r="BU91">
        <v>662.27093603925732</v>
      </c>
      <c r="BV91">
        <v>7.0235246673425014</v>
      </c>
      <c r="BW91">
        <v>16131.631455952254</v>
      </c>
      <c r="BX91">
        <v>2.3617959543558946</v>
      </c>
      <c r="BY91">
        <v>5424.5729479646179</v>
      </c>
      <c r="BZ91">
        <v>8.4124033442745585</v>
      </c>
      <c r="CA91">
        <v>19321.608001129804</v>
      </c>
      <c r="CB91">
        <v>4.2196754819277125</v>
      </c>
      <c r="CC91">
        <v>9691.750646891569</v>
      </c>
      <c r="CD91">
        <v>5.2522513496067607</v>
      </c>
      <c r="CE91">
        <v>12063.370899776806</v>
      </c>
      <c r="CF91">
        <v>4.3289464577054755</v>
      </c>
      <c r="CG91">
        <v>9942.7242240579344</v>
      </c>
      <c r="CH91">
        <v>4.1978738526887591</v>
      </c>
      <c r="CI91">
        <v>9641.6766648555404</v>
      </c>
      <c r="CJ91">
        <v>2.2281228787276341</v>
      </c>
      <c r="CK91">
        <v>5117.5526278616298</v>
      </c>
      <c r="CL91">
        <v>4.725547872899301</v>
      </c>
      <c r="CM91">
        <v>10853.638354475113</v>
      </c>
      <c r="CN91">
        <v>6.3156909832927619</v>
      </c>
      <c r="CO91">
        <v>14505.879050426815</v>
      </c>
      <c r="CP91">
        <v>3.1736188210002902</v>
      </c>
      <c r="CQ91">
        <v>7289.1677080734662</v>
      </c>
      <c r="CR91">
        <v>1.2876653456740417</v>
      </c>
      <c r="CS91">
        <v>2957.5097659441385</v>
      </c>
      <c r="CT91">
        <v>5.7884917396044537</v>
      </c>
      <c r="CU91">
        <v>13295.007827523508</v>
      </c>
    </row>
    <row r="92" spans="2:99" x14ac:dyDescent="0.2">
      <c r="C92" s="118" t="s">
        <v>258</v>
      </c>
      <c r="D92">
        <v>23</v>
      </c>
      <c r="E92">
        <v>32678.399999999998</v>
      </c>
      <c r="F92">
        <v>15</v>
      </c>
      <c r="G92">
        <v>21312</v>
      </c>
      <c r="H92">
        <v>15</v>
      </c>
      <c r="I92">
        <v>21312</v>
      </c>
      <c r="J92">
        <v>25</v>
      </c>
      <c r="K92">
        <v>35520</v>
      </c>
      <c r="L92">
        <v>23.378897288198498</v>
      </c>
      <c r="M92">
        <v>33216.737267072422</v>
      </c>
      <c r="N92">
        <v>5.3382229966535846</v>
      </c>
      <c r="O92">
        <v>7584.5472336454131</v>
      </c>
      <c r="P92">
        <v>1.6011370897705395</v>
      </c>
      <c r="Q92">
        <v>2274.8955771459823</v>
      </c>
      <c r="R92">
        <v>7.3135977569756978</v>
      </c>
      <c r="S92">
        <v>10391.159693111071</v>
      </c>
      <c r="T92">
        <v>2.3626373494233532</v>
      </c>
      <c r="U92">
        <v>3356.8351460607</v>
      </c>
      <c r="V92">
        <v>5.6612873577914806</v>
      </c>
      <c r="W92">
        <v>8043.5570779501359</v>
      </c>
      <c r="X92">
        <v>5.9410706220255109</v>
      </c>
      <c r="Y92">
        <v>8441.0731397738455</v>
      </c>
      <c r="Z92">
        <v>5.8672685024972422</v>
      </c>
      <c r="AA92">
        <v>8336.2150883480808</v>
      </c>
      <c r="AB92">
        <v>5.7300632541233476</v>
      </c>
      <c r="AC92">
        <v>8141.273871458452</v>
      </c>
      <c r="AD92">
        <v>2.4517593643586832</v>
      </c>
      <c r="AE92">
        <v>3483.4597048808168</v>
      </c>
      <c r="AF92">
        <v>5.8841343697894448</v>
      </c>
      <c r="AG92">
        <v>8360.1781125968428</v>
      </c>
      <c r="AH92">
        <v>7.1999519086691821</v>
      </c>
      <c r="AI92">
        <v>10229.691671837174</v>
      </c>
      <c r="AJ92">
        <v>0</v>
      </c>
      <c r="AK92">
        <v>0</v>
      </c>
      <c r="AL92">
        <v>3.5634064525533491</v>
      </c>
      <c r="AM92">
        <v>5062.8878877877978</v>
      </c>
      <c r="AN92">
        <v>8.8155518521639618</v>
      </c>
      <c r="AO92">
        <v>12525.136071554556</v>
      </c>
      <c r="AP92">
        <v>3.8519160650512503</v>
      </c>
      <c r="AQ92">
        <v>5472.8023452248162</v>
      </c>
      <c r="AR92">
        <v>1.3354974138490048</v>
      </c>
      <c r="AS92">
        <v>1897.4747255966658</v>
      </c>
      <c r="AT92">
        <v>5.6557152245653084</v>
      </c>
      <c r="AU92">
        <v>8035.6401910623899</v>
      </c>
      <c r="AV92">
        <v>6.4062564226741552</v>
      </c>
      <c r="AW92">
        <v>9102.0091253354385</v>
      </c>
      <c r="AX92">
        <v>4.7997840604758322</v>
      </c>
      <c r="AY92">
        <v>6819.5331931240626</v>
      </c>
      <c r="AZ92">
        <v>3.4382815381375242</v>
      </c>
      <c r="BA92">
        <v>4885.1104093857939</v>
      </c>
      <c r="BB92">
        <v>4.3750604013295016</v>
      </c>
      <c r="BC92">
        <v>6216.085818208956</v>
      </c>
      <c r="BD92">
        <v>2.2510253705103973</v>
      </c>
      <c r="BE92">
        <v>3198.2568464211722</v>
      </c>
      <c r="BF92">
        <v>10.023579388743606</v>
      </c>
      <c r="BG92">
        <v>14241.501595526915</v>
      </c>
      <c r="BH92">
        <v>4.5953431627950438</v>
      </c>
      <c r="BI92">
        <v>6529.0635656991981</v>
      </c>
      <c r="BJ92">
        <v>4.1301068985849065</v>
      </c>
      <c r="BK92">
        <v>5868.0558815094346</v>
      </c>
      <c r="BL92">
        <v>6.8610285968877269</v>
      </c>
      <c r="BM92">
        <v>9748.1494304580829</v>
      </c>
      <c r="BN92">
        <v>4.9924715842711587</v>
      </c>
      <c r="BO92">
        <v>7093.3036269324621</v>
      </c>
      <c r="BP92">
        <v>4.5717131465314269</v>
      </c>
      <c r="BQ92">
        <v>6495.4900385918509</v>
      </c>
      <c r="BR92">
        <v>6.7054497171397056</v>
      </c>
      <c r="BS92">
        <v>9527.1029581120929</v>
      </c>
      <c r="BT92">
        <v>0.35699864691705008</v>
      </c>
      <c r="BU92">
        <v>507.22367753974476</v>
      </c>
      <c r="BV92">
        <v>8.6197802735567066</v>
      </c>
      <c r="BW92">
        <v>12246.983812669368</v>
      </c>
      <c r="BX92">
        <v>2.2774460988431842</v>
      </c>
      <c r="BY92">
        <v>3235.7954172363961</v>
      </c>
      <c r="BZ92">
        <v>9.4218917455875033</v>
      </c>
      <c r="CA92">
        <v>13386.623792130724</v>
      </c>
      <c r="CB92">
        <v>3.8821014433734948</v>
      </c>
      <c r="CC92">
        <v>5515.6897307450608</v>
      </c>
      <c r="CD92">
        <v>5.8051199127232618</v>
      </c>
      <c r="CE92">
        <v>8247.9143719972108</v>
      </c>
      <c r="CF92">
        <v>4.7618411034760229</v>
      </c>
      <c r="CG92">
        <v>6765.6238398187334</v>
      </c>
      <c r="CH92">
        <v>3.9646586386504947</v>
      </c>
      <c r="CI92">
        <v>5632.9869937946223</v>
      </c>
      <c r="CJ92">
        <v>2.5066382385685886</v>
      </c>
      <c r="CK92">
        <v>3561.4316093582506</v>
      </c>
      <c r="CL92">
        <v>5.1981026601892317</v>
      </c>
      <c r="CM92">
        <v>7385.4642595968598</v>
      </c>
      <c r="CN92">
        <v>7.773158133283399</v>
      </c>
      <c r="CO92">
        <v>11044.103075769053</v>
      </c>
      <c r="CP92">
        <v>4.175814238158277</v>
      </c>
      <c r="CQ92">
        <v>5932.9968695752796</v>
      </c>
      <c r="CR92">
        <v>1.4307392729711574</v>
      </c>
      <c r="CS92">
        <v>2032.7943590374205</v>
      </c>
      <c r="CT92">
        <v>6.2918388473961446</v>
      </c>
      <c r="CU92">
        <v>8939.4446343804411</v>
      </c>
    </row>
    <row r="93" spans="2:99" x14ac:dyDescent="0.2">
      <c r="C93" s="118" t="s">
        <v>259</v>
      </c>
      <c r="D93">
        <v>22</v>
      </c>
      <c r="E93">
        <v>38992.799999999996</v>
      </c>
      <c r="F93">
        <v>14</v>
      </c>
      <c r="G93">
        <v>24813.599999999999</v>
      </c>
      <c r="H93">
        <v>15</v>
      </c>
      <c r="I93">
        <v>26585.999999999996</v>
      </c>
      <c r="J93">
        <v>27</v>
      </c>
      <c r="K93">
        <v>47854.799999999996</v>
      </c>
      <c r="L93">
        <v>26.301259449223309</v>
      </c>
      <c r="M93">
        <v>46616.352247803392</v>
      </c>
      <c r="N93">
        <v>4.7222741893474014</v>
      </c>
      <c r="O93">
        <v>8369.7587731993335</v>
      </c>
      <c r="P93">
        <v>1.6011370897705395</v>
      </c>
      <c r="Q93">
        <v>2837.855377909304</v>
      </c>
      <c r="R93">
        <v>6.557018678667867</v>
      </c>
      <c r="S93">
        <v>11621.659906070927</v>
      </c>
      <c r="T93">
        <v>2.6579670181012722</v>
      </c>
      <c r="U93">
        <v>4710.9807428826944</v>
      </c>
      <c r="V93">
        <v>4.9536264380675457</v>
      </c>
      <c r="W93">
        <v>8779.8074988309181</v>
      </c>
      <c r="X93">
        <v>6.1993780403744463</v>
      </c>
      <c r="Y93">
        <v>10987.777638759668</v>
      </c>
      <c r="Z93">
        <v>6.7054497171397056</v>
      </c>
      <c r="AA93">
        <v>11884.739078658413</v>
      </c>
      <c r="AB93">
        <v>5.4696058334813777</v>
      </c>
      <c r="AC93">
        <v>9694.3293792623936</v>
      </c>
      <c r="AD93">
        <v>2.4517593643586832</v>
      </c>
      <c r="AE93">
        <v>4345.4982973893302</v>
      </c>
      <c r="AF93">
        <v>5.8841343697894448</v>
      </c>
      <c r="AG93">
        <v>10429.039757014811</v>
      </c>
      <c r="AH93">
        <v>6.9230306814126754</v>
      </c>
      <c r="AI93">
        <v>12270.379579735825</v>
      </c>
      <c r="AJ93">
        <v>0</v>
      </c>
      <c r="AK93">
        <v>0</v>
      </c>
      <c r="AL93">
        <v>3.3537943082855053</v>
      </c>
      <c r="AM93">
        <v>5944.2650320052289</v>
      </c>
      <c r="AN93">
        <v>7.2824123996137073</v>
      </c>
      <c r="AO93">
        <v>12907.347737075333</v>
      </c>
      <c r="AP93">
        <v>3.8519160650512503</v>
      </c>
      <c r="AQ93">
        <v>6827.1360336968355</v>
      </c>
      <c r="AR93">
        <v>1.4926147566547701</v>
      </c>
      <c r="AS93">
        <v>2645.5103946949143</v>
      </c>
      <c r="AT93">
        <v>5.3022330230299772</v>
      </c>
      <c r="AU93">
        <v>9397.677810018331</v>
      </c>
      <c r="AV93">
        <v>5.667072989288676</v>
      </c>
      <c r="AW93">
        <v>10044.320166215248</v>
      </c>
      <c r="AX93">
        <v>4.5816120577269306</v>
      </c>
      <c r="AY93">
        <v>8120.4492111152113</v>
      </c>
      <c r="AZ93">
        <v>3.3273692304556683</v>
      </c>
      <c r="BA93">
        <v>5897.429224059626</v>
      </c>
      <c r="BB93">
        <v>4.0833897079075356</v>
      </c>
      <c r="BC93">
        <v>7237.3999182953157</v>
      </c>
      <c r="BD93">
        <v>2.3834386275992441</v>
      </c>
      <c r="BE93">
        <v>4224.4066235568998</v>
      </c>
      <c r="BF93">
        <v>8.8443347547737705</v>
      </c>
      <c r="BG93">
        <v>15675.69891936103</v>
      </c>
      <c r="BH93">
        <v>4.5953431627950438</v>
      </c>
      <c r="BI93">
        <v>8144.7862217379352</v>
      </c>
      <c r="BJ93">
        <v>4.2953111745283028</v>
      </c>
      <c r="BK93">
        <v>7613.0095257339635</v>
      </c>
      <c r="BL93">
        <v>6.0986920861224236</v>
      </c>
      <c r="BM93">
        <v>10809.321853443384</v>
      </c>
      <c r="BN93">
        <v>4.1603929868926315</v>
      </c>
      <c r="BO93">
        <v>7373.8805299684991</v>
      </c>
      <c r="BP93">
        <v>4.1741728729199981</v>
      </c>
      <c r="BQ93">
        <v>7398.3039999634038</v>
      </c>
      <c r="BR93">
        <v>6.7054497171397056</v>
      </c>
      <c r="BS93">
        <v>11884.739078658413</v>
      </c>
      <c r="BT93">
        <v>0.30207577816058084</v>
      </c>
      <c r="BU93">
        <v>535.39910921181342</v>
      </c>
      <c r="BV93">
        <v>7.9812780310710236</v>
      </c>
      <c r="BW93">
        <v>14146.017182270281</v>
      </c>
      <c r="BX93">
        <v>2.2774460988431842</v>
      </c>
      <c r="BY93">
        <v>4036.5454655896592</v>
      </c>
      <c r="BZ93">
        <v>8.4124033442745585</v>
      </c>
      <c r="CA93">
        <v>14910.143687392227</v>
      </c>
      <c r="CB93">
        <v>4.0508884626506036</v>
      </c>
      <c r="CC93">
        <v>7179.7947112019292</v>
      </c>
      <c r="CD93">
        <v>5.2522513496067607</v>
      </c>
      <c r="CE93">
        <v>9309.0902920430217</v>
      </c>
      <c r="CF93">
        <v>4.5453937805907501</v>
      </c>
      <c r="CG93">
        <v>8056.2559367190452</v>
      </c>
      <c r="CH93">
        <v>3.9646586386504947</v>
      </c>
      <c r="CI93">
        <v>7026.9609711441362</v>
      </c>
      <c r="CJ93">
        <v>2.2281228787276341</v>
      </c>
      <c r="CK93">
        <v>3949.1249902568584</v>
      </c>
      <c r="CL93">
        <v>4.4892704792543361</v>
      </c>
      <c r="CM93">
        <v>7956.782997430385</v>
      </c>
      <c r="CN93">
        <v>6.5586021749578673</v>
      </c>
      <c r="CO93">
        <v>11624.466494895323</v>
      </c>
      <c r="CP93">
        <v>3.5076839600529528</v>
      </c>
      <c r="CQ93">
        <v>6217.0190507978532</v>
      </c>
      <c r="CR93">
        <v>1.2876653456740417</v>
      </c>
      <c r="CS93">
        <v>2282.2580586726713</v>
      </c>
      <c r="CT93">
        <v>6.0401652935002987</v>
      </c>
      <c r="CU93">
        <v>10705.588966199928</v>
      </c>
    </row>
    <row r="94" spans="2:99" x14ac:dyDescent="0.2">
      <c r="C94" s="118" t="s">
        <v>260</v>
      </c>
      <c r="D94">
        <v>23</v>
      </c>
      <c r="E94">
        <v>55089.599999999999</v>
      </c>
      <c r="F94">
        <v>13</v>
      </c>
      <c r="G94">
        <v>31137.599999999999</v>
      </c>
      <c r="H94">
        <v>12</v>
      </c>
      <c r="I94">
        <v>28742.399999999998</v>
      </c>
      <c r="J94">
        <v>23</v>
      </c>
      <c r="K94">
        <v>55089.599999999999</v>
      </c>
      <c r="L94">
        <v>25.327138728881707</v>
      </c>
      <c r="M94">
        <v>60663.562683417462</v>
      </c>
      <c r="N94">
        <v>4.3116416511432796</v>
      </c>
      <c r="O94">
        <v>10327.244082818383</v>
      </c>
      <c r="P94">
        <v>1.5168667166247216</v>
      </c>
      <c r="Q94">
        <v>3633.1991596595331</v>
      </c>
      <c r="R94">
        <v>6.8092117047704779</v>
      </c>
      <c r="S94">
        <v>16309.423875266248</v>
      </c>
      <c r="T94">
        <v>2.1657509036380738</v>
      </c>
      <c r="U94">
        <v>5187.4065643939139</v>
      </c>
      <c r="V94">
        <v>4.9536264380675457</v>
      </c>
      <c r="W94">
        <v>11864.926044459384</v>
      </c>
      <c r="X94">
        <v>5.6827632036765756</v>
      </c>
      <c r="Y94">
        <v>13611.354425446132</v>
      </c>
      <c r="Z94">
        <v>5.5878747642830886</v>
      </c>
      <c r="AA94">
        <v>13384.077635410853</v>
      </c>
      <c r="AB94">
        <v>5.209148412839407</v>
      </c>
      <c r="AC94">
        <v>12476.952278432947</v>
      </c>
      <c r="AD94">
        <v>2.3155505107832006</v>
      </c>
      <c r="AE94">
        <v>5546.2065834279219</v>
      </c>
      <c r="AF94">
        <v>6.2302599209535297</v>
      </c>
      <c r="AG94">
        <v>14922.718562667893</v>
      </c>
      <c r="AH94">
        <v>5.5384245451301402</v>
      </c>
      <c r="AI94">
        <v>13265.63447049571</v>
      </c>
      <c r="AJ94">
        <v>0</v>
      </c>
      <c r="AK94">
        <v>0</v>
      </c>
      <c r="AL94">
        <v>3.3537943082855053</v>
      </c>
      <c r="AM94">
        <v>8033.0081272054413</v>
      </c>
      <c r="AN94">
        <v>6.5158426733385806</v>
      </c>
      <c r="AO94">
        <v>15606.746371180567</v>
      </c>
      <c r="AP94">
        <v>3.0815328520410001</v>
      </c>
      <c r="AQ94">
        <v>7380.8874872086026</v>
      </c>
      <c r="AR94">
        <v>1.3354974138490048</v>
      </c>
      <c r="AS94">
        <v>3198.783405651136</v>
      </c>
      <c r="AT94">
        <v>4.9487508214946452</v>
      </c>
      <c r="AU94">
        <v>11853.247967643973</v>
      </c>
      <c r="AV94">
        <v>5.667072989288676</v>
      </c>
      <c r="AW94">
        <v>13573.773223944236</v>
      </c>
      <c r="AX94">
        <v>4.363440054978029</v>
      </c>
      <c r="AY94">
        <v>10451.311619683374</v>
      </c>
      <c r="AZ94">
        <v>2.6618953843645348</v>
      </c>
      <c r="BA94">
        <v>6375.7718246299328</v>
      </c>
      <c r="BB94">
        <v>4.0833897079075356</v>
      </c>
      <c r="BC94">
        <v>9780.535028380129</v>
      </c>
      <c r="BD94">
        <v>2.1186121134215505</v>
      </c>
      <c r="BE94">
        <v>5074.4997340672971</v>
      </c>
      <c r="BF94">
        <v>7.6650901208039341</v>
      </c>
      <c r="BG94">
        <v>18359.423857349582</v>
      </c>
      <c r="BH94">
        <v>4.1576914330050387</v>
      </c>
      <c r="BI94">
        <v>9958.5025203336681</v>
      </c>
      <c r="BJ94">
        <v>4.2953111745283028</v>
      </c>
      <c r="BK94">
        <v>10288.129325230189</v>
      </c>
      <c r="BL94">
        <v>5.8445799158673228</v>
      </c>
      <c r="BM94">
        <v>13998.937814485411</v>
      </c>
      <c r="BN94">
        <v>4.3684126362372631</v>
      </c>
      <c r="BO94">
        <v>10463.221946315492</v>
      </c>
      <c r="BP94">
        <v>3.9754027361142845</v>
      </c>
      <c r="BQ94">
        <v>9521.8846335409344</v>
      </c>
      <c r="BR94">
        <v>6.7054497171397056</v>
      </c>
      <c r="BS94">
        <v>16060.893162493021</v>
      </c>
      <c r="BT94">
        <v>0.32953721253881546</v>
      </c>
      <c r="BU94">
        <v>789.30753147297071</v>
      </c>
      <c r="BV94">
        <v>7.3427757885853424</v>
      </c>
      <c r="BW94">
        <v>17587.416568819612</v>
      </c>
      <c r="BX94">
        <v>2.1087463878177628</v>
      </c>
      <c r="BY94">
        <v>5050.8693481011051</v>
      </c>
      <c r="BZ94">
        <v>8.4124033442745585</v>
      </c>
      <c r="CA94">
        <v>20149.38849020642</v>
      </c>
      <c r="CB94">
        <v>3.7133144240963865</v>
      </c>
      <c r="CC94">
        <v>8894.1307085956651</v>
      </c>
      <c r="CD94">
        <v>4.6993827864902595</v>
      </c>
      <c r="CE94">
        <v>11255.961650201469</v>
      </c>
      <c r="CF94">
        <v>3.8960518119349286</v>
      </c>
      <c r="CG94">
        <v>9331.8232999465399</v>
      </c>
      <c r="CH94">
        <v>3.9646586386504947</v>
      </c>
      <c r="CI94">
        <v>9496.1503712956637</v>
      </c>
      <c r="CJ94">
        <v>2.2281228787276341</v>
      </c>
      <c r="CK94">
        <v>5336.7999191284289</v>
      </c>
      <c r="CL94">
        <v>4.725547872899301</v>
      </c>
      <c r="CM94">
        <v>11318.632265168404</v>
      </c>
      <c r="CN94">
        <v>6.8015133666229746</v>
      </c>
      <c r="CO94">
        <v>16290.984815735348</v>
      </c>
      <c r="CP94">
        <v>3.6747165295792836</v>
      </c>
      <c r="CQ94">
        <v>8801.6810316482988</v>
      </c>
      <c r="CR94">
        <v>1.3592023093225993</v>
      </c>
      <c r="CS94">
        <v>3255.5613712894897</v>
      </c>
      <c r="CT94">
        <v>5.7884917396044537</v>
      </c>
      <c r="CU94">
        <v>13864.595414700587</v>
      </c>
    </row>
    <row r="95" spans="2:99" x14ac:dyDescent="0.2">
      <c r="B95" s="118" t="s">
        <v>132</v>
      </c>
      <c r="C95" s="118" t="s">
        <v>261</v>
      </c>
      <c r="D95">
        <v>21</v>
      </c>
      <c r="E95">
        <v>36388.799999999996</v>
      </c>
      <c r="F95">
        <v>13</v>
      </c>
      <c r="G95">
        <v>22526.399999999998</v>
      </c>
      <c r="H95">
        <v>21</v>
      </c>
      <c r="I95">
        <v>36388.799999999996</v>
      </c>
      <c r="J95">
        <v>16</v>
      </c>
      <c r="K95">
        <v>27724.799999999999</v>
      </c>
      <c r="L95">
        <v>11.689448644099249</v>
      </c>
      <c r="M95">
        <v>20255.476610495178</v>
      </c>
      <c r="N95">
        <v>3.4903765747350359</v>
      </c>
      <c r="O95">
        <v>6048.1245287008705</v>
      </c>
      <c r="P95">
        <v>1.0955148508956323</v>
      </c>
      <c r="Q95">
        <v>1898.3081336319515</v>
      </c>
      <c r="R95">
        <v>4.7916674959495955</v>
      </c>
      <c r="S95">
        <v>8303.001436981458</v>
      </c>
      <c r="T95">
        <v>1.3782051204969559</v>
      </c>
      <c r="U95">
        <v>2388.1538327971252</v>
      </c>
      <c r="V95">
        <v>6.0151178176534472</v>
      </c>
      <c r="W95">
        <v>10422.996154429893</v>
      </c>
      <c r="X95">
        <v>4.9078409486297696</v>
      </c>
      <c r="Y95">
        <v>8504.3067957856638</v>
      </c>
      <c r="Z95">
        <v>3.6321185967840077</v>
      </c>
      <c r="AA95">
        <v>6293.7351045073283</v>
      </c>
      <c r="AB95">
        <v>3.6464038889875852</v>
      </c>
      <c r="AC95">
        <v>6318.4886588376876</v>
      </c>
      <c r="AD95">
        <v>2.8603859250851302</v>
      </c>
      <c r="AE95">
        <v>4956.4767309875133</v>
      </c>
      <c r="AF95">
        <v>7.9608876767739556</v>
      </c>
      <c r="AG95">
        <v>13794.62616631391</v>
      </c>
      <c r="AH95">
        <v>4.4307396361041134</v>
      </c>
      <c r="AI95">
        <v>7677.5856414412074</v>
      </c>
      <c r="AJ95">
        <v>0</v>
      </c>
      <c r="AK95">
        <v>0</v>
      </c>
      <c r="AL95">
        <v>4.1922428853568814</v>
      </c>
      <c r="AM95">
        <v>7264.3184717464037</v>
      </c>
      <c r="AN95">
        <v>4.9827032207883262</v>
      </c>
      <c r="AO95">
        <v>8634.0281409820109</v>
      </c>
      <c r="AP95">
        <v>2.1185538357781875</v>
      </c>
      <c r="AQ95">
        <v>3671.0300866364432</v>
      </c>
      <c r="AR95">
        <v>1.3354974138490048</v>
      </c>
      <c r="AS95">
        <v>2314.1499187175555</v>
      </c>
      <c r="AT95">
        <v>4.9487508214946452</v>
      </c>
      <c r="AU95">
        <v>8575.1954234859204</v>
      </c>
      <c r="AV95">
        <v>5.667072989288676</v>
      </c>
      <c r="AW95">
        <v>9819.9040758394167</v>
      </c>
      <c r="AX95">
        <v>3.9270960494802267</v>
      </c>
      <c r="AY95">
        <v>6804.8720345393367</v>
      </c>
      <c r="AZ95">
        <v>1.3309476921822674</v>
      </c>
      <c r="BA95">
        <v>2306.2661610134328</v>
      </c>
      <c r="BB95">
        <v>5.2500724815954021</v>
      </c>
      <c r="BC95">
        <v>9097.3255961085124</v>
      </c>
      <c r="BD95">
        <v>3.3103314272211724</v>
      </c>
      <c r="BE95">
        <v>5736.142297088847</v>
      </c>
      <c r="BF95">
        <v>10.613201705728525</v>
      </c>
      <c r="BG95">
        <v>18390.555915686386</v>
      </c>
      <c r="BH95">
        <v>4.5953431627950438</v>
      </c>
      <c r="BI95">
        <v>7962.8106324912515</v>
      </c>
      <c r="BJ95">
        <v>2.4780641391509435</v>
      </c>
      <c r="BK95">
        <v>4293.9895403207547</v>
      </c>
      <c r="BL95">
        <v>4.574019064591818</v>
      </c>
      <c r="BM95">
        <v>7925.8602351247018</v>
      </c>
      <c r="BN95">
        <v>2.912275090824842</v>
      </c>
      <c r="BO95">
        <v>5046.3902773812861</v>
      </c>
      <c r="BP95">
        <v>4.7704832833371409</v>
      </c>
      <c r="BQ95">
        <v>8266.293433366598</v>
      </c>
      <c r="BR95">
        <v>3.9735998323790853</v>
      </c>
      <c r="BS95">
        <v>6885.4537895464791</v>
      </c>
      <c r="BT95">
        <v>0.32953721253881546</v>
      </c>
      <c r="BU95">
        <v>571.02208188725945</v>
      </c>
      <c r="BV95">
        <v>6.3850224248568184</v>
      </c>
      <c r="BW95">
        <v>11063.966857791895</v>
      </c>
      <c r="BX95">
        <v>1.6026472547415</v>
      </c>
      <c r="BY95">
        <v>2777.0671630160714</v>
      </c>
      <c r="BZ95">
        <v>6.7299226754196466</v>
      </c>
      <c r="CA95">
        <v>11661.610011967163</v>
      </c>
      <c r="CB95">
        <v>1.8566572120481932</v>
      </c>
      <c r="CC95">
        <v>3217.215617037109</v>
      </c>
      <c r="CD95">
        <v>5.2522513496067607</v>
      </c>
      <c r="CE95">
        <v>9101.1011385985948</v>
      </c>
      <c r="CF95">
        <v>5.1947357492465702</v>
      </c>
      <c r="CG95">
        <v>9001.4381062944558</v>
      </c>
      <c r="CH95">
        <v>3.9646586386504947</v>
      </c>
      <c r="CI95">
        <v>6869.9604890535775</v>
      </c>
      <c r="CJ95">
        <v>1.6710921590457257</v>
      </c>
      <c r="CK95">
        <v>2895.6684931944333</v>
      </c>
      <c r="CL95">
        <v>4.0167156919644063</v>
      </c>
      <c r="CM95">
        <v>6960.164951035923</v>
      </c>
      <c r="CN95">
        <v>3.8865790666416995</v>
      </c>
      <c r="CO95">
        <v>6734.6642066767363</v>
      </c>
      <c r="CP95">
        <v>2.0043908343159726</v>
      </c>
      <c r="CQ95">
        <v>3473.2084377027172</v>
      </c>
      <c r="CR95">
        <v>1.573813200268273</v>
      </c>
      <c r="CS95">
        <v>2727.1035134248632</v>
      </c>
      <c r="CT95">
        <v>5.285144631812762</v>
      </c>
      <c r="CU95">
        <v>9158.0986180051532</v>
      </c>
    </row>
    <row r="96" spans="2:99" x14ac:dyDescent="0.2">
      <c r="C96" s="118" t="s">
        <v>262</v>
      </c>
      <c r="D96">
        <v>20</v>
      </c>
      <c r="E96">
        <v>16464</v>
      </c>
      <c r="F96">
        <v>14</v>
      </c>
      <c r="G96">
        <v>11524.8</v>
      </c>
      <c r="H96">
        <v>23</v>
      </c>
      <c r="I96">
        <v>18933.599999999999</v>
      </c>
      <c r="J96">
        <v>17</v>
      </c>
      <c r="K96">
        <v>13994.4</v>
      </c>
      <c r="L96">
        <v>13.637690084782458</v>
      </c>
      <c r="M96">
        <v>11226.546477792917</v>
      </c>
      <c r="N96">
        <v>4.5169579202453409</v>
      </c>
      <c r="O96">
        <v>3718.3597599459645</v>
      </c>
      <c r="P96">
        <v>1.0112444777498144</v>
      </c>
      <c r="Q96">
        <v>832.45645408364715</v>
      </c>
      <c r="R96">
        <v>6.0526326264626471</v>
      </c>
      <c r="S96">
        <v>4982.527178104051</v>
      </c>
      <c r="T96">
        <v>1.4766483433895958</v>
      </c>
      <c r="U96">
        <v>1215.5769162783151</v>
      </c>
      <c r="V96">
        <v>6.3689482775154165</v>
      </c>
      <c r="W96">
        <v>5242.91822205069</v>
      </c>
      <c r="X96">
        <v>6.4576854587233816</v>
      </c>
      <c r="Y96">
        <v>5315.966669621087</v>
      </c>
      <c r="Z96">
        <v>4.1909060732123162</v>
      </c>
      <c r="AA96">
        <v>3449.9538794683785</v>
      </c>
      <c r="AB96">
        <v>4.1673187302715249</v>
      </c>
      <c r="AC96">
        <v>3430.5367787595192</v>
      </c>
      <c r="AD96">
        <v>3.2690124858115777</v>
      </c>
      <c r="AE96">
        <v>2691.0510783200907</v>
      </c>
      <c r="AF96">
        <v>7.9608876767739556</v>
      </c>
      <c r="AG96">
        <v>6553.4027355203198</v>
      </c>
      <c r="AH96">
        <v>4.9845820906171268</v>
      </c>
      <c r="AI96">
        <v>4103.3079769960186</v>
      </c>
      <c r="AJ96">
        <v>0</v>
      </c>
      <c r="AK96">
        <v>0</v>
      </c>
      <c r="AL96">
        <v>4.1922428853568814</v>
      </c>
      <c r="AM96">
        <v>3451.0543432257846</v>
      </c>
      <c r="AN96">
        <v>5.7492729470634529</v>
      </c>
      <c r="AO96">
        <v>4732.8014900226344</v>
      </c>
      <c r="AP96">
        <v>2.3111496390307504</v>
      </c>
      <c r="AQ96">
        <v>1902.5383828501135</v>
      </c>
      <c r="AR96">
        <v>1.256938742446122</v>
      </c>
      <c r="AS96">
        <v>1034.7119727816475</v>
      </c>
      <c r="AT96">
        <v>5.3022330230299772</v>
      </c>
      <c r="AU96">
        <v>4364.7982245582771</v>
      </c>
      <c r="AV96">
        <v>6.1598619448789949</v>
      </c>
      <c r="AW96">
        <v>5070.7983530243882</v>
      </c>
      <c r="AX96">
        <v>3.9270960494802267</v>
      </c>
      <c r="AY96">
        <v>3232.7854679321222</v>
      </c>
      <c r="AZ96">
        <v>1.6636846152278342</v>
      </c>
      <c r="BA96">
        <v>1369.545175255553</v>
      </c>
      <c r="BB96">
        <v>5.5417431750173689</v>
      </c>
      <c r="BC96">
        <v>4561.9629816742981</v>
      </c>
      <c r="BD96">
        <v>3.3103314272211724</v>
      </c>
      <c r="BE96">
        <v>2725.0648308884688</v>
      </c>
      <c r="BF96">
        <v>10.613201705728525</v>
      </c>
      <c r="BG96">
        <v>8736.78764415572</v>
      </c>
      <c r="BH96">
        <v>5.4706466223750514</v>
      </c>
      <c r="BI96">
        <v>4503.4362995391421</v>
      </c>
      <c r="BJ96">
        <v>2.4780641391509435</v>
      </c>
      <c r="BK96">
        <v>2039.9423993490566</v>
      </c>
      <c r="BL96">
        <v>5.0822434051020196</v>
      </c>
      <c r="BM96">
        <v>4183.7027710799821</v>
      </c>
      <c r="BN96">
        <v>3.1202947401694741</v>
      </c>
      <c r="BO96">
        <v>2568.6266301075107</v>
      </c>
      <c r="BP96">
        <v>5.3667936937542837</v>
      </c>
      <c r="BQ96">
        <v>4417.9445686985264</v>
      </c>
      <c r="BR96">
        <v>4.4702998114264707</v>
      </c>
      <c r="BS96">
        <v>3679.9508047662703</v>
      </c>
      <c r="BT96">
        <v>0.32953721253881546</v>
      </c>
      <c r="BU96">
        <v>271.27503336195286</v>
      </c>
      <c r="BV96">
        <v>7.6620269098281826</v>
      </c>
      <c r="BW96">
        <v>6307.380552170559</v>
      </c>
      <c r="BX96">
        <v>1.6869971102542105</v>
      </c>
      <c r="BY96">
        <v>1388.7360211612661</v>
      </c>
      <c r="BZ96">
        <v>6.0569304078776813</v>
      </c>
      <c r="CA96">
        <v>4986.0651117649068</v>
      </c>
      <c r="CB96">
        <v>2.363018269879519</v>
      </c>
      <c r="CC96">
        <v>1945.23663976482</v>
      </c>
      <c r="CD96">
        <v>5.2522513496067607</v>
      </c>
      <c r="CE96">
        <v>4323.6533109962847</v>
      </c>
      <c r="CF96">
        <v>4.9782884263612974</v>
      </c>
      <c r="CG96">
        <v>4098.1270325806199</v>
      </c>
      <c r="CH96">
        <v>4.1978738526887591</v>
      </c>
      <c r="CI96">
        <v>3455.6897555333862</v>
      </c>
      <c r="CJ96">
        <v>1.8103498389662029</v>
      </c>
      <c r="CK96">
        <v>1490.2799874369782</v>
      </c>
      <c r="CL96">
        <v>4.725547872899301</v>
      </c>
      <c r="CM96">
        <v>3890.071008970704</v>
      </c>
      <c r="CN96">
        <v>4.3724014499719122</v>
      </c>
      <c r="CO96">
        <v>3599.3608736168776</v>
      </c>
      <c r="CP96">
        <v>2.3384559733686348</v>
      </c>
      <c r="CQ96">
        <v>1925.0169572770599</v>
      </c>
      <c r="CR96">
        <v>1.573813200268273</v>
      </c>
      <c r="CS96">
        <v>1295.5630264608421</v>
      </c>
      <c r="CT96">
        <v>6.5435124012919905</v>
      </c>
      <c r="CU96">
        <v>5386.6194087435661</v>
      </c>
    </row>
    <row r="97" spans="2:99" x14ac:dyDescent="0.2">
      <c r="C97" s="118" t="s">
        <v>263</v>
      </c>
      <c r="D97">
        <v>18</v>
      </c>
      <c r="E97">
        <v>32918.400000000001</v>
      </c>
      <c r="F97">
        <v>13</v>
      </c>
      <c r="G97">
        <v>23774.399999999998</v>
      </c>
      <c r="H97">
        <v>24</v>
      </c>
      <c r="I97">
        <v>43891.199999999997</v>
      </c>
      <c r="J97">
        <v>14</v>
      </c>
      <c r="K97">
        <v>25603.200000000001</v>
      </c>
      <c r="L97">
        <v>10.715327923757645</v>
      </c>
      <c r="M97">
        <v>19596.19170696798</v>
      </c>
      <c r="N97">
        <v>3.4903765747350359</v>
      </c>
      <c r="O97">
        <v>6383.2006798754337</v>
      </c>
      <c r="P97">
        <v>1.0112444777498144</v>
      </c>
      <c r="Q97">
        <v>1849.3639009088606</v>
      </c>
      <c r="R97">
        <v>5.8004396003600363</v>
      </c>
      <c r="S97">
        <v>10607.843941138433</v>
      </c>
      <c r="T97">
        <v>1.1813186747116766</v>
      </c>
      <c r="U97">
        <v>2160.3955923127141</v>
      </c>
      <c r="V97">
        <v>6.3689482775154165</v>
      </c>
      <c r="W97">
        <v>11647.532609920194</v>
      </c>
      <c r="X97">
        <v>5.1661483669787058</v>
      </c>
      <c r="Y97">
        <v>9447.8521335306577</v>
      </c>
      <c r="Z97">
        <v>3.9115123349981618</v>
      </c>
      <c r="AA97">
        <v>7153.3737582446383</v>
      </c>
      <c r="AB97">
        <v>4.1673187302715249</v>
      </c>
      <c r="AC97">
        <v>7621.1924939205646</v>
      </c>
      <c r="AD97">
        <v>2.8603859250851302</v>
      </c>
      <c r="AE97">
        <v>5231.0737797956863</v>
      </c>
      <c r="AF97">
        <v>7.268636574445785</v>
      </c>
      <c r="AG97">
        <v>13292.882567346451</v>
      </c>
      <c r="AH97">
        <v>4.1538184088476058</v>
      </c>
      <c r="AI97">
        <v>7596.5031061005011</v>
      </c>
      <c r="AJ97">
        <v>0</v>
      </c>
      <c r="AK97">
        <v>0</v>
      </c>
      <c r="AL97">
        <v>4.1922428853568814</v>
      </c>
      <c r="AM97">
        <v>7666.7737887406647</v>
      </c>
      <c r="AN97">
        <v>4.9827032207883262</v>
      </c>
      <c r="AO97">
        <v>9112.3676501776899</v>
      </c>
      <c r="AP97">
        <v>2.3111496390307504</v>
      </c>
      <c r="AQ97">
        <v>4226.6304598594361</v>
      </c>
      <c r="AR97">
        <v>1.099821399640357</v>
      </c>
      <c r="AS97">
        <v>2011.3533756622849</v>
      </c>
      <c r="AT97">
        <v>5.3022330230299772</v>
      </c>
      <c r="AU97">
        <v>9696.7237525172222</v>
      </c>
      <c r="AV97">
        <v>4.6814950781080364</v>
      </c>
      <c r="AW97">
        <v>8561.5181988439763</v>
      </c>
      <c r="AX97">
        <v>3.4907520439824231</v>
      </c>
      <c r="AY97">
        <v>6383.8873380350551</v>
      </c>
      <c r="AZ97">
        <v>1.4418599998641231</v>
      </c>
      <c r="BA97">
        <v>2636.8735677515083</v>
      </c>
      <c r="BB97">
        <v>4.9584017881734352</v>
      </c>
      <c r="BC97">
        <v>9067.9251902115775</v>
      </c>
      <c r="BD97">
        <v>3.0455049130434784</v>
      </c>
      <c r="BE97">
        <v>5569.6193849739129</v>
      </c>
      <c r="BF97">
        <v>8.8443347547737705</v>
      </c>
      <c r="BG97">
        <v>16174.519399530271</v>
      </c>
      <c r="BH97">
        <v>4.5953431627950438</v>
      </c>
      <c r="BI97">
        <v>8403.9635761195768</v>
      </c>
      <c r="BJ97">
        <v>2.6432684150943397</v>
      </c>
      <c r="BK97">
        <v>4834.0092775245284</v>
      </c>
      <c r="BL97">
        <v>4.574019064591818</v>
      </c>
      <c r="BM97">
        <v>8364.966065325516</v>
      </c>
      <c r="BN97">
        <v>3.1202947401694741</v>
      </c>
      <c r="BO97">
        <v>5706.3950208219339</v>
      </c>
      <c r="BP97">
        <v>4.5717131465314269</v>
      </c>
      <c r="BQ97">
        <v>8360.7490023766732</v>
      </c>
      <c r="BR97">
        <v>4.2219498219027773</v>
      </c>
      <c r="BS97">
        <v>7721.1018342957987</v>
      </c>
      <c r="BT97">
        <v>0.30207577816058084</v>
      </c>
      <c r="BU97">
        <v>552.43618310007025</v>
      </c>
      <c r="BV97">
        <v>6.3850224248568184</v>
      </c>
      <c r="BW97">
        <v>11676.929010578149</v>
      </c>
      <c r="BX97">
        <v>1.5182973992287896</v>
      </c>
      <c r="BY97">
        <v>2776.6622837096102</v>
      </c>
      <c r="BZ97">
        <v>6.3934265416486635</v>
      </c>
      <c r="CA97">
        <v>11692.298459367075</v>
      </c>
      <c r="CB97">
        <v>1.8566572120481932</v>
      </c>
      <c r="CC97">
        <v>3395.4547093937358</v>
      </c>
      <c r="CD97">
        <v>5.5286856311650112</v>
      </c>
      <c r="CE97">
        <v>10110.860282274572</v>
      </c>
      <c r="CF97">
        <v>4.9782884263612974</v>
      </c>
      <c r="CG97">
        <v>9104.2938741295402</v>
      </c>
      <c r="CH97">
        <v>3.4982282105739659</v>
      </c>
      <c r="CI97">
        <v>6397.5597514976689</v>
      </c>
      <c r="CJ97">
        <v>1.5318344791252487</v>
      </c>
      <c r="CK97">
        <v>2801.418895424255</v>
      </c>
      <c r="CL97">
        <v>4.0167156919644063</v>
      </c>
      <c r="CM97">
        <v>7345.7696574645061</v>
      </c>
      <c r="CN97">
        <v>3.8865790666416995</v>
      </c>
      <c r="CO97">
        <v>7107.7757970743396</v>
      </c>
      <c r="CP97">
        <v>2.0043908343159726</v>
      </c>
      <c r="CQ97">
        <v>3665.6299577970508</v>
      </c>
      <c r="CR97">
        <v>1.573813200268273</v>
      </c>
      <c r="CS97">
        <v>2878.1895806506177</v>
      </c>
      <c r="CT97">
        <v>6.0401652935002987</v>
      </c>
      <c r="CU97">
        <v>11046.254288753345</v>
      </c>
    </row>
    <row r="98" spans="2:99" x14ac:dyDescent="0.2">
      <c r="C98" s="118" t="s">
        <v>264</v>
      </c>
      <c r="D98">
        <v>20</v>
      </c>
      <c r="E98">
        <v>25272</v>
      </c>
      <c r="F98">
        <v>14</v>
      </c>
      <c r="G98">
        <v>17690.399999999998</v>
      </c>
      <c r="H98">
        <v>24</v>
      </c>
      <c r="I98">
        <v>30326.399999999998</v>
      </c>
      <c r="J98">
        <v>15</v>
      </c>
      <c r="K98">
        <v>18954</v>
      </c>
      <c r="L98">
        <v>13.637690084782458</v>
      </c>
      <c r="M98">
        <v>17232.585191131111</v>
      </c>
      <c r="N98">
        <v>4.3116416511432796</v>
      </c>
      <c r="O98">
        <v>5448.1903903846478</v>
      </c>
      <c r="P98">
        <v>1.1797852240414501</v>
      </c>
      <c r="Q98">
        <v>1490.7766090987764</v>
      </c>
      <c r="R98">
        <v>5.2960535481548163</v>
      </c>
      <c r="S98">
        <v>6692.0932634484252</v>
      </c>
      <c r="T98">
        <v>1.3782051204969559</v>
      </c>
      <c r="U98">
        <v>1741.4999902599534</v>
      </c>
      <c r="V98">
        <v>6.0151178176534472</v>
      </c>
      <c r="W98">
        <v>7600.702874386895</v>
      </c>
      <c r="X98">
        <v>5.6827632036765756</v>
      </c>
      <c r="Y98">
        <v>7180.7395841657208</v>
      </c>
      <c r="Z98">
        <v>4.1909060732123162</v>
      </c>
      <c r="AA98">
        <v>5295.6289141110828</v>
      </c>
      <c r="AB98">
        <v>4.1673187302715249</v>
      </c>
      <c r="AC98">
        <v>5265.8239475710989</v>
      </c>
      <c r="AD98">
        <v>3.2690124858115777</v>
      </c>
      <c r="AE98">
        <v>4130.7241770715091</v>
      </c>
      <c r="AF98">
        <v>8.3070132279380413</v>
      </c>
      <c r="AG98">
        <v>10496.741914822509</v>
      </c>
      <c r="AH98">
        <v>4.4307396361041134</v>
      </c>
      <c r="AI98">
        <v>5598.6826041811573</v>
      </c>
      <c r="AJ98">
        <v>0</v>
      </c>
      <c r="AK98">
        <v>0</v>
      </c>
      <c r="AL98">
        <v>4.1922428853568814</v>
      </c>
      <c r="AM98">
        <v>5297.3181099369549</v>
      </c>
      <c r="AN98">
        <v>4.9827032207883262</v>
      </c>
      <c r="AO98">
        <v>6296.1437897881287</v>
      </c>
      <c r="AP98">
        <v>2.503745442283313</v>
      </c>
      <c r="AQ98">
        <v>3163.732740869194</v>
      </c>
      <c r="AR98">
        <v>1.256938742446122</v>
      </c>
      <c r="AS98">
        <v>1588.2677949549197</v>
      </c>
      <c r="AT98">
        <v>5.3022330230299772</v>
      </c>
      <c r="AU98">
        <v>6699.9016479006787</v>
      </c>
      <c r="AV98">
        <v>5.9134674670838354</v>
      </c>
      <c r="AW98">
        <v>7472.2574914071338</v>
      </c>
      <c r="AX98">
        <v>3.4907520439824231</v>
      </c>
      <c r="AY98">
        <v>4410.9142827761898</v>
      </c>
      <c r="AZ98">
        <v>1.6636846152278342</v>
      </c>
      <c r="BA98">
        <v>2102.231879801891</v>
      </c>
      <c r="BB98">
        <v>5.5417431750173689</v>
      </c>
      <c r="BC98">
        <v>7002.5466759519468</v>
      </c>
      <c r="BD98">
        <v>3.3103314272211724</v>
      </c>
      <c r="BE98">
        <v>4182.9347914366726</v>
      </c>
      <c r="BF98">
        <v>10.613201705728525</v>
      </c>
      <c r="BG98">
        <v>13410.841675358562</v>
      </c>
      <c r="BH98">
        <v>4.3765172979000413</v>
      </c>
      <c r="BI98">
        <v>5530.1672576264918</v>
      </c>
      <c r="BJ98">
        <v>2.6432684150943397</v>
      </c>
      <c r="BK98">
        <v>3340.0339693132073</v>
      </c>
      <c r="BL98">
        <v>4.574019064591818</v>
      </c>
      <c r="BM98">
        <v>5779.7304900182207</v>
      </c>
      <c r="BN98">
        <v>2.912275090824842</v>
      </c>
      <c r="BO98">
        <v>3679.9508047662703</v>
      </c>
      <c r="BP98">
        <v>4.9692534201428558</v>
      </c>
      <c r="BQ98">
        <v>6279.1486216925123</v>
      </c>
      <c r="BR98">
        <v>4.4702998114264707</v>
      </c>
      <c r="BS98">
        <v>5648.6708417184882</v>
      </c>
      <c r="BT98">
        <v>0.35699864691705008</v>
      </c>
      <c r="BU98">
        <v>451.10349024438443</v>
      </c>
      <c r="BV98">
        <v>7.3427757885853424</v>
      </c>
      <c r="BW98">
        <v>9278.3314864564381</v>
      </c>
      <c r="BX98">
        <v>1.6026472547415</v>
      </c>
      <c r="BY98">
        <v>2025.1050710913594</v>
      </c>
      <c r="BZ98">
        <v>6.7299226754196466</v>
      </c>
      <c r="CA98">
        <v>8503.930292660265</v>
      </c>
      <c r="CB98">
        <v>2.0254442313253018</v>
      </c>
      <c r="CC98">
        <v>2559.351330702651</v>
      </c>
      <c r="CD98">
        <v>5.5286856311650112</v>
      </c>
      <c r="CE98">
        <v>6986.0471635401072</v>
      </c>
      <c r="CF98">
        <v>5.1947357492465702</v>
      </c>
      <c r="CG98">
        <v>6564.0680927479652</v>
      </c>
      <c r="CH98">
        <v>4.1978738526887591</v>
      </c>
      <c r="CI98">
        <v>5304.433400257516</v>
      </c>
      <c r="CJ98">
        <v>1.8103498389662029</v>
      </c>
      <c r="CK98">
        <v>2287.5580565176938</v>
      </c>
      <c r="CL98">
        <v>4.2529930856093712</v>
      </c>
      <c r="CM98">
        <v>5374.082062976001</v>
      </c>
      <c r="CN98">
        <v>4.3724014499719122</v>
      </c>
      <c r="CO98">
        <v>5524.9664721845074</v>
      </c>
      <c r="CP98">
        <v>2.1714234038423039</v>
      </c>
      <c r="CQ98">
        <v>2743.8106130951351</v>
      </c>
      <c r="CR98">
        <v>1.4307392729711574</v>
      </c>
      <c r="CS98">
        <v>1807.8821453263545</v>
      </c>
      <c r="CT98">
        <v>6.5435124012919905</v>
      </c>
      <c r="CU98">
        <v>8268.3822702725593</v>
      </c>
    </row>
    <row r="99" spans="2:99" x14ac:dyDescent="0.2">
      <c r="C99" s="118" t="s">
        <v>265</v>
      </c>
      <c r="D99">
        <v>14</v>
      </c>
      <c r="E99">
        <v>76742.399999999994</v>
      </c>
      <c r="F99">
        <v>10</v>
      </c>
      <c r="G99">
        <v>54815.999999999993</v>
      </c>
      <c r="H99">
        <v>17</v>
      </c>
      <c r="I99">
        <v>93187.199999999997</v>
      </c>
      <c r="J99">
        <v>12</v>
      </c>
      <c r="K99">
        <v>65779.199999999997</v>
      </c>
      <c r="L99">
        <v>8.7670864830744382</v>
      </c>
      <c r="M99">
        <v>48057.661265620838</v>
      </c>
      <c r="N99">
        <v>2.6691114983267923</v>
      </c>
      <c r="O99">
        <v>14631.001589228143</v>
      </c>
      <c r="P99">
        <v>0.75843335831236081</v>
      </c>
      <c r="Q99">
        <v>4157.4282969250362</v>
      </c>
      <c r="R99">
        <v>4.2872814437443747</v>
      </c>
      <c r="S99">
        <v>23501.16196202916</v>
      </c>
      <c r="T99">
        <v>0.98443222892639715</v>
      </c>
      <c r="U99">
        <v>5396.2637060829384</v>
      </c>
      <c r="V99">
        <v>4.5997959782055782</v>
      </c>
      <c r="W99">
        <v>25214.241634131693</v>
      </c>
      <c r="X99">
        <v>4.1329186935829636</v>
      </c>
      <c r="Y99">
        <v>22655.007110744373</v>
      </c>
      <c r="Z99">
        <v>2.7939373821415443</v>
      </c>
      <c r="AA99">
        <v>15315.247153947088</v>
      </c>
      <c r="AB99">
        <v>2.6045742064197035</v>
      </c>
      <c r="AC99">
        <v>14277.233969910245</v>
      </c>
      <c r="AD99">
        <v>2.1793416572077184</v>
      </c>
      <c r="AE99">
        <v>11946.279228149828</v>
      </c>
      <c r="AF99">
        <v>5.8841343697894448</v>
      </c>
      <c r="AG99">
        <v>32254.470961437819</v>
      </c>
      <c r="AH99">
        <v>3.3230547270780844</v>
      </c>
      <c r="AI99">
        <v>18215.656791951227</v>
      </c>
      <c r="AJ99">
        <v>0</v>
      </c>
      <c r="AK99">
        <v>0</v>
      </c>
      <c r="AL99">
        <v>2.724957875481973</v>
      </c>
      <c r="AM99">
        <v>14937.129090241982</v>
      </c>
      <c r="AN99">
        <v>3.8328486313756356</v>
      </c>
      <c r="AO99">
        <v>21010.143057748683</v>
      </c>
      <c r="AP99">
        <v>1.7333622292730628</v>
      </c>
      <c r="AQ99">
        <v>9501.5983959832211</v>
      </c>
      <c r="AR99">
        <v>1.0212627282374742</v>
      </c>
      <c r="AS99">
        <v>5598.1537711065384</v>
      </c>
      <c r="AT99">
        <v>3.8883042168886499</v>
      </c>
      <c r="AU99">
        <v>21314.128395296822</v>
      </c>
      <c r="AV99">
        <v>3.449522689132237</v>
      </c>
      <c r="AW99">
        <v>18908.903572747269</v>
      </c>
      <c r="AX99">
        <v>2.6180640329868177</v>
      </c>
      <c r="AY99">
        <v>14351.179803220539</v>
      </c>
      <c r="AZ99">
        <v>1.109123076818556</v>
      </c>
      <c r="BA99">
        <v>6079.7690578885959</v>
      </c>
      <c r="BB99">
        <v>3.5000483210636015</v>
      </c>
      <c r="BC99">
        <v>19185.864876742235</v>
      </c>
      <c r="BD99">
        <v>2.3834386275992441</v>
      </c>
      <c r="BE99">
        <v>13065.057181048014</v>
      </c>
      <c r="BF99">
        <v>7.0754678038190173</v>
      </c>
      <c r="BG99">
        <v>38784.884313414324</v>
      </c>
      <c r="BH99">
        <v>3.2823879734250312</v>
      </c>
      <c r="BI99">
        <v>17992.73791512665</v>
      </c>
      <c r="BJ99">
        <v>1.8172470353773589</v>
      </c>
      <c r="BK99">
        <v>9961.42134912453</v>
      </c>
      <c r="BL99">
        <v>3.3034582133163131</v>
      </c>
      <c r="BM99">
        <v>18108.236542114701</v>
      </c>
      <c r="BN99">
        <v>2.0801964934463157</v>
      </c>
      <c r="BO99">
        <v>11402.805098475323</v>
      </c>
      <c r="BP99">
        <v>3.1803221888914273</v>
      </c>
      <c r="BQ99">
        <v>17433.254110627247</v>
      </c>
      <c r="BR99">
        <v>2.9801998742843137</v>
      </c>
      <c r="BS99">
        <v>16336.263630876892</v>
      </c>
      <c r="BT99">
        <v>0.20596075783675966</v>
      </c>
      <c r="BU99">
        <v>1128.9944901579815</v>
      </c>
      <c r="BV99">
        <v>4.4695156973997738</v>
      </c>
      <c r="BW99">
        <v>24500.097246866597</v>
      </c>
      <c r="BX99">
        <v>1.0965481216652369</v>
      </c>
      <c r="BY99">
        <v>6010.8381837201614</v>
      </c>
      <c r="BZ99">
        <v>4.0379536052517873</v>
      </c>
      <c r="CA99">
        <v>22134.446482548195</v>
      </c>
      <c r="CB99">
        <v>1.5190831734939763</v>
      </c>
      <c r="CC99">
        <v>8327.0063238245802</v>
      </c>
      <c r="CD99">
        <v>3.5936456602572573</v>
      </c>
      <c r="CE99">
        <v>19698.928051266179</v>
      </c>
      <c r="CF99">
        <v>3.4631571661643803</v>
      </c>
      <c r="CG99">
        <v>18983.642322046664</v>
      </c>
      <c r="CH99">
        <v>3.0317977824974371</v>
      </c>
      <c r="CI99">
        <v>16619.102724537948</v>
      </c>
      <c r="CJ99">
        <v>1.2533191192842943</v>
      </c>
      <c r="CK99">
        <v>6870.1940842687873</v>
      </c>
      <c r="CL99">
        <v>3.3078835110295106</v>
      </c>
      <c r="CM99">
        <v>18132.494254059362</v>
      </c>
      <c r="CN99">
        <v>2.4291119166510624</v>
      </c>
      <c r="CO99">
        <v>13315.419882314462</v>
      </c>
      <c r="CP99">
        <v>1.6703256952633105</v>
      </c>
      <c r="CQ99">
        <v>9156.0573311553617</v>
      </c>
      <c r="CR99">
        <v>1.1445914183769259</v>
      </c>
      <c r="CS99">
        <v>6274.1923189749568</v>
      </c>
      <c r="CT99">
        <v>4.2784504162293784</v>
      </c>
      <c r="CU99">
        <v>23452.753801602958</v>
      </c>
    </row>
    <row r="100" spans="2:99" x14ac:dyDescent="0.2">
      <c r="C100" s="118" t="s">
        <v>266</v>
      </c>
      <c r="D100">
        <v>19</v>
      </c>
      <c r="E100">
        <v>30825.599999999999</v>
      </c>
      <c r="F100">
        <v>14</v>
      </c>
      <c r="G100">
        <v>22713.599999999999</v>
      </c>
      <c r="H100">
        <v>24</v>
      </c>
      <c r="I100">
        <v>38937.599999999999</v>
      </c>
      <c r="J100">
        <v>15</v>
      </c>
      <c r="K100">
        <v>24335.999999999996</v>
      </c>
      <c r="L100">
        <v>12.663569364440853</v>
      </c>
      <c r="M100">
        <v>20545.37493686884</v>
      </c>
      <c r="N100">
        <v>3.6956928438370968</v>
      </c>
      <c r="O100">
        <v>5995.8920698413058</v>
      </c>
      <c r="P100">
        <v>1.0112444777498144</v>
      </c>
      <c r="Q100">
        <v>1640.6430407012988</v>
      </c>
      <c r="R100">
        <v>5.8004396003600363</v>
      </c>
      <c r="S100">
        <v>9410.6332076241215</v>
      </c>
      <c r="T100">
        <v>1.3782051204969559</v>
      </c>
      <c r="U100">
        <v>2235.9999874942609</v>
      </c>
      <c r="V100">
        <v>6.7227787373773831</v>
      </c>
      <c r="W100">
        <v>10907.036223521065</v>
      </c>
      <c r="X100">
        <v>5.4244557853276403</v>
      </c>
      <c r="Y100">
        <v>8800.6370661155634</v>
      </c>
      <c r="Z100">
        <v>3.9115123349981618</v>
      </c>
      <c r="AA100">
        <v>6346.0376123010174</v>
      </c>
      <c r="AB100">
        <v>3.6464038889875852</v>
      </c>
      <c r="AC100">
        <v>5915.9256694934575</v>
      </c>
      <c r="AD100">
        <v>2.9965947786606129</v>
      </c>
      <c r="AE100">
        <v>4861.6753688989775</v>
      </c>
      <c r="AF100">
        <v>8.3070132279380413</v>
      </c>
      <c r="AG100">
        <v>13477.298261006677</v>
      </c>
      <c r="AH100">
        <v>4.1538184088476058</v>
      </c>
      <c r="AI100">
        <v>6739.1549865143552</v>
      </c>
      <c r="AJ100">
        <v>0</v>
      </c>
      <c r="AK100">
        <v>0</v>
      </c>
      <c r="AL100">
        <v>4.4018550296247252</v>
      </c>
      <c r="AM100">
        <v>7141.5696000631533</v>
      </c>
      <c r="AN100">
        <v>5.36598808392589</v>
      </c>
      <c r="AO100">
        <v>8705.7790673613636</v>
      </c>
      <c r="AP100">
        <v>2.503745442283313</v>
      </c>
      <c r="AQ100">
        <v>4062.0766055604468</v>
      </c>
      <c r="AR100">
        <v>1.256938742446122</v>
      </c>
      <c r="AS100">
        <v>2039.2574157445881</v>
      </c>
      <c r="AT100">
        <v>5.3022330230299772</v>
      </c>
      <c r="AU100">
        <v>8602.3428565638351</v>
      </c>
      <c r="AV100">
        <v>5.4206785114935156</v>
      </c>
      <c r="AW100">
        <v>8794.508817047079</v>
      </c>
      <c r="AX100">
        <v>3.7089240467313247</v>
      </c>
      <c r="AY100">
        <v>6017.3583734169006</v>
      </c>
      <c r="AZ100">
        <v>1.3309476921822674</v>
      </c>
      <c r="BA100">
        <v>2159.3295357965103</v>
      </c>
      <c r="BB100">
        <v>5.5417431750173689</v>
      </c>
      <c r="BC100">
        <v>8990.9241271481787</v>
      </c>
      <c r="BD100">
        <v>3.1779181701323256</v>
      </c>
      <c r="BE100">
        <v>5155.854439222685</v>
      </c>
      <c r="BF100">
        <v>9.4339570717586891</v>
      </c>
      <c r="BG100">
        <v>15305.651953221295</v>
      </c>
      <c r="BH100">
        <v>4.3765172979000413</v>
      </c>
      <c r="BI100">
        <v>7100.461664113026</v>
      </c>
      <c r="BJ100">
        <v>2.808472691037736</v>
      </c>
      <c r="BK100">
        <v>4556.4660939396226</v>
      </c>
      <c r="BL100">
        <v>4.8281312348469188</v>
      </c>
      <c r="BM100">
        <v>7833.1601154156406</v>
      </c>
      <c r="BN100">
        <v>3.3283143895141056</v>
      </c>
      <c r="BO100">
        <v>5399.8572655476846</v>
      </c>
      <c r="BP100">
        <v>4.9692534201428558</v>
      </c>
      <c r="BQ100">
        <v>8062.1167488397687</v>
      </c>
      <c r="BR100">
        <v>4.4702998114264707</v>
      </c>
      <c r="BS100">
        <v>7252.6144140583056</v>
      </c>
      <c r="BT100">
        <v>0.28834506097146351</v>
      </c>
      <c r="BU100">
        <v>467.81102692010234</v>
      </c>
      <c r="BV100">
        <v>6.3850224248568184</v>
      </c>
      <c r="BW100">
        <v>10359.0603820877</v>
      </c>
      <c r="BX100">
        <v>1.5182973992287896</v>
      </c>
      <c r="BY100">
        <v>2463.2857005087881</v>
      </c>
      <c r="BZ100">
        <v>6.0569304078776813</v>
      </c>
      <c r="CA100">
        <v>9826.7638937407501</v>
      </c>
      <c r="CB100">
        <v>2.0254442313253018</v>
      </c>
      <c r="CC100">
        <v>3286.0807209021696</v>
      </c>
      <c r="CD100">
        <v>4.6993827864902595</v>
      </c>
      <c r="CE100">
        <v>7624.2786328017964</v>
      </c>
      <c r="CF100">
        <v>4.5453937805907501</v>
      </c>
      <c r="CG100">
        <v>7374.446869630432</v>
      </c>
      <c r="CH100">
        <v>4.1978738526887591</v>
      </c>
      <c r="CI100">
        <v>6810.6305386022423</v>
      </c>
      <c r="CJ100">
        <v>1.8103498389662029</v>
      </c>
      <c r="CK100">
        <v>2937.1115787387675</v>
      </c>
      <c r="CL100">
        <v>4.2529930856093712</v>
      </c>
      <c r="CM100">
        <v>6900.0559820926428</v>
      </c>
      <c r="CN100">
        <v>3.4007566833114873</v>
      </c>
      <c r="CO100">
        <v>5517.3876430045566</v>
      </c>
      <c r="CP100">
        <v>2.3384559733686348</v>
      </c>
      <c r="CQ100">
        <v>3793.9109711932729</v>
      </c>
      <c r="CR100">
        <v>1.3592023093225993</v>
      </c>
      <c r="CS100">
        <v>2205.1698266449848</v>
      </c>
      <c r="CT100">
        <v>5.5368181857086078</v>
      </c>
      <c r="CU100">
        <v>8982.9338244936444</v>
      </c>
    </row>
    <row r="101" spans="2:99" x14ac:dyDescent="0.2">
      <c r="C101" s="118" t="s">
        <v>267</v>
      </c>
      <c r="D101">
        <v>20</v>
      </c>
      <c r="E101">
        <v>23807.999999999996</v>
      </c>
      <c r="F101">
        <v>14</v>
      </c>
      <c r="G101">
        <v>16665.599999999999</v>
      </c>
      <c r="H101">
        <v>25</v>
      </c>
      <c r="I101">
        <v>29759.999999999996</v>
      </c>
      <c r="J101">
        <v>16</v>
      </c>
      <c r="K101">
        <v>19046.399999999998</v>
      </c>
      <c r="L101">
        <v>11.689448644099249</v>
      </c>
      <c r="M101">
        <v>13915.119665935745</v>
      </c>
      <c r="N101">
        <v>3.9010091129391578</v>
      </c>
      <c r="O101">
        <v>4643.7612480427724</v>
      </c>
      <c r="P101">
        <v>1.1797852240414501</v>
      </c>
      <c r="Q101">
        <v>1404.4163306989421</v>
      </c>
      <c r="R101">
        <v>5.0438605220522064</v>
      </c>
      <c r="S101">
        <v>6004.2115654509462</v>
      </c>
      <c r="T101">
        <v>1.3782051204969559</v>
      </c>
      <c r="U101">
        <v>1640.6153754395762</v>
      </c>
      <c r="V101">
        <v>7.0766091972393506</v>
      </c>
      <c r="W101">
        <v>8423.9955883937218</v>
      </c>
      <c r="X101">
        <v>5.1661483669787058</v>
      </c>
      <c r="Y101">
        <v>6149.7830160514504</v>
      </c>
      <c r="Z101">
        <v>3.6321185967840077</v>
      </c>
      <c r="AA101">
        <v>4323.6739776116819</v>
      </c>
      <c r="AB101">
        <v>3.906861309629555</v>
      </c>
      <c r="AC101">
        <v>4650.727702983022</v>
      </c>
      <c r="AD101">
        <v>2.9965947786606129</v>
      </c>
      <c r="AE101">
        <v>3567.146424517593</v>
      </c>
      <c r="AF101">
        <v>7.268636574445785</v>
      </c>
      <c r="AG101">
        <v>8652.5849782202622</v>
      </c>
      <c r="AH101">
        <v>4.4307396361041134</v>
      </c>
      <c r="AI101">
        <v>5274.3524628183359</v>
      </c>
      <c r="AJ101">
        <v>0</v>
      </c>
      <c r="AK101">
        <v>0</v>
      </c>
      <c r="AL101">
        <v>4.6114671738925699</v>
      </c>
      <c r="AM101">
        <v>5489.4905238017145</v>
      </c>
      <c r="AN101">
        <v>5.36598808392589</v>
      </c>
      <c r="AO101">
        <v>6387.6722151053791</v>
      </c>
      <c r="AP101">
        <v>2.1185538357781875</v>
      </c>
      <c r="AQ101">
        <v>2521.9264861103538</v>
      </c>
      <c r="AR101">
        <v>1.4140560852518875</v>
      </c>
      <c r="AS101">
        <v>1683.2923638838467</v>
      </c>
      <c r="AT101">
        <v>4.5952686199593131</v>
      </c>
      <c r="AU101">
        <v>5470.207765199566</v>
      </c>
      <c r="AV101">
        <v>5.1742840336983562</v>
      </c>
      <c r="AW101">
        <v>6159.4677137145227</v>
      </c>
      <c r="AX101">
        <v>3.9270960494802267</v>
      </c>
      <c r="AY101">
        <v>4674.8151373012615</v>
      </c>
      <c r="AZ101">
        <v>1.5527723075459787</v>
      </c>
      <c r="BA101">
        <v>1848.420154902733</v>
      </c>
      <c r="BB101">
        <v>5.5417431750173689</v>
      </c>
      <c r="BC101">
        <v>6596.891075540675</v>
      </c>
      <c r="BD101">
        <v>3.3103314272211724</v>
      </c>
      <c r="BE101">
        <v>3940.6185309640832</v>
      </c>
      <c r="BF101">
        <v>9.4339570717586891</v>
      </c>
      <c r="BG101">
        <v>11230.182498221542</v>
      </c>
      <c r="BH101">
        <v>4.5953431627950438</v>
      </c>
      <c r="BI101">
        <v>5470.2965009912195</v>
      </c>
      <c r="BJ101">
        <v>2.4780641391509435</v>
      </c>
      <c r="BK101">
        <v>2949.8875512452828</v>
      </c>
      <c r="BL101">
        <v>4.8281312348469188</v>
      </c>
      <c r="BM101">
        <v>5747.4074219617714</v>
      </c>
      <c r="BN101">
        <v>3.3283143895141056</v>
      </c>
      <c r="BO101">
        <v>3962.0254492775907</v>
      </c>
      <c r="BP101">
        <v>5.1680235569485697</v>
      </c>
      <c r="BQ101">
        <v>6152.0152421915764</v>
      </c>
      <c r="BR101">
        <v>3.9735998323790853</v>
      </c>
      <c r="BS101">
        <v>4730.1732404640625</v>
      </c>
      <c r="BT101">
        <v>0.30207577816058084</v>
      </c>
      <c r="BU101">
        <v>359.59100632235538</v>
      </c>
      <c r="BV101">
        <v>7.0235246673425014</v>
      </c>
      <c r="BW101">
        <v>8360.8037640045131</v>
      </c>
      <c r="BX101">
        <v>1.6869971102542105</v>
      </c>
      <c r="BY101">
        <v>2008.2013600466119</v>
      </c>
      <c r="BZ101">
        <v>6.7299226754196466</v>
      </c>
      <c r="CA101">
        <v>8011.299952819546</v>
      </c>
      <c r="CB101">
        <v>2.363018269879519</v>
      </c>
      <c r="CC101">
        <v>2812.936948464579</v>
      </c>
      <c r="CD101">
        <v>5.8051199127232618</v>
      </c>
      <c r="CE101">
        <v>6910.4147441057703</v>
      </c>
      <c r="CF101">
        <v>5.1947357492465702</v>
      </c>
      <c r="CG101">
        <v>6183.8134359031164</v>
      </c>
      <c r="CH101">
        <v>4.1978738526887591</v>
      </c>
      <c r="CI101">
        <v>4997.1490342406987</v>
      </c>
      <c r="CJ101">
        <v>1.8103498389662029</v>
      </c>
      <c r="CK101">
        <v>2155.0404483053676</v>
      </c>
      <c r="CL101">
        <v>4.4892704792543361</v>
      </c>
      <c r="CM101">
        <v>5344.0275785043614</v>
      </c>
      <c r="CN101">
        <v>3.8865790666416995</v>
      </c>
      <c r="CO101">
        <v>4626.5837209302781</v>
      </c>
      <c r="CP101">
        <v>2.505488542894966</v>
      </c>
      <c r="CQ101">
        <v>2982.5335614621672</v>
      </c>
      <c r="CR101">
        <v>1.5022762366197153</v>
      </c>
      <c r="CS101">
        <v>1788.309632072109</v>
      </c>
      <c r="CT101">
        <v>5.5368181857086078</v>
      </c>
      <c r="CU101">
        <v>6591.0283682675263</v>
      </c>
    </row>
    <row r="102" spans="2:99" x14ac:dyDescent="0.2">
      <c r="C102" s="118" t="s">
        <v>268</v>
      </c>
      <c r="D102">
        <v>17</v>
      </c>
      <c r="E102">
        <v>32966.399999999994</v>
      </c>
      <c r="F102">
        <v>15</v>
      </c>
      <c r="G102">
        <v>29087.999999999996</v>
      </c>
      <c r="H102">
        <v>22</v>
      </c>
      <c r="I102">
        <v>42662.399999999994</v>
      </c>
      <c r="J102">
        <v>14</v>
      </c>
      <c r="K102">
        <v>27148.799999999996</v>
      </c>
      <c r="L102">
        <v>12.663569364440853</v>
      </c>
      <c r="M102">
        <v>24557.193711523701</v>
      </c>
      <c r="N102">
        <v>4.1063253820412191</v>
      </c>
      <c r="O102">
        <v>7962.986180854331</v>
      </c>
      <c r="P102">
        <v>0.92697410460399654</v>
      </c>
      <c r="Q102">
        <v>1797.5881836480698</v>
      </c>
      <c r="R102">
        <v>5.8004396003600363</v>
      </c>
      <c r="S102">
        <v>11248.21247301818</v>
      </c>
      <c r="T102">
        <v>1.3782051204969559</v>
      </c>
      <c r="U102">
        <v>2672.6153696676965</v>
      </c>
      <c r="V102">
        <v>6.3689482775154165</v>
      </c>
      <c r="W102">
        <v>12350.664499757895</v>
      </c>
      <c r="X102">
        <v>4.9078409486297696</v>
      </c>
      <c r="Y102">
        <v>9517.2851675828479</v>
      </c>
      <c r="Z102">
        <v>3.9115123349981618</v>
      </c>
      <c r="AA102">
        <v>7585.2047200284342</v>
      </c>
      <c r="AB102">
        <v>3.6464038889875852</v>
      </c>
      <c r="AC102">
        <v>7071.1064215247243</v>
      </c>
      <c r="AD102">
        <v>2.7241770715096481</v>
      </c>
      <c r="AE102">
        <v>5282.7241770715091</v>
      </c>
      <c r="AF102">
        <v>6.9225110232817002</v>
      </c>
      <c r="AG102">
        <v>13424.133376347872</v>
      </c>
      <c r="AH102">
        <v>4.4307396361041134</v>
      </c>
      <c r="AI102">
        <v>8592.0903023330957</v>
      </c>
      <c r="AJ102">
        <v>0</v>
      </c>
      <c r="AK102">
        <v>0</v>
      </c>
      <c r="AL102">
        <v>4.1922428853568814</v>
      </c>
      <c r="AM102">
        <v>8129.5974032840641</v>
      </c>
      <c r="AN102">
        <v>5.36598808392589</v>
      </c>
      <c r="AO102">
        <v>10405.724092349084</v>
      </c>
      <c r="AP102">
        <v>2.1185538357781875</v>
      </c>
      <c r="AQ102">
        <v>4108.299598341061</v>
      </c>
      <c r="AR102">
        <v>1.3354974138490048</v>
      </c>
      <c r="AS102">
        <v>2589.7965849359898</v>
      </c>
      <c r="AT102">
        <v>4.9487508214946452</v>
      </c>
      <c r="AU102">
        <v>9596.6175930424142</v>
      </c>
      <c r="AV102">
        <v>5.4206785114935156</v>
      </c>
      <c r="AW102">
        <v>10511.779769488225</v>
      </c>
      <c r="AX102">
        <v>3.9270960494802267</v>
      </c>
      <c r="AY102">
        <v>7615.424659152055</v>
      </c>
      <c r="AZ102">
        <v>1.5527723075459787</v>
      </c>
      <c r="BA102">
        <v>3011.1360587931617</v>
      </c>
      <c r="BB102">
        <v>5.2500724815954021</v>
      </c>
      <c r="BC102">
        <v>10180.940556309803</v>
      </c>
      <c r="BD102">
        <v>2.9130916559546316</v>
      </c>
      <c r="BE102">
        <v>5649.0673392272211</v>
      </c>
      <c r="BF102">
        <v>8.8443347547737705</v>
      </c>
      <c r="BG102">
        <v>17150.933956457295</v>
      </c>
      <c r="BH102">
        <v>4.1576914330050387</v>
      </c>
      <c r="BI102">
        <v>8062.5952268833707</v>
      </c>
      <c r="BJ102">
        <v>2.4780641391509435</v>
      </c>
      <c r="BK102">
        <v>4805.4619786415087</v>
      </c>
      <c r="BL102">
        <v>4.3199068943367172</v>
      </c>
      <c r="BM102">
        <v>8377.1634494977607</v>
      </c>
      <c r="BN102">
        <v>2.7042554414802105</v>
      </c>
      <c r="BO102">
        <v>5244.0921521184237</v>
      </c>
      <c r="BP102">
        <v>4.1741728729199981</v>
      </c>
      <c r="BQ102">
        <v>8094.5560351664599</v>
      </c>
      <c r="BR102">
        <v>4.2219498219027773</v>
      </c>
      <c r="BS102">
        <v>8187.205094633865</v>
      </c>
      <c r="BT102">
        <v>0.32953721253881546</v>
      </c>
      <c r="BU102">
        <v>639.03856255527091</v>
      </c>
      <c r="BV102">
        <v>6.3850224248568184</v>
      </c>
      <c r="BW102">
        <v>12381.835486282342</v>
      </c>
      <c r="BX102">
        <v>1.6869971102542105</v>
      </c>
      <c r="BY102">
        <v>3271.4247962049649</v>
      </c>
      <c r="BZ102">
        <v>5.3839381403357169</v>
      </c>
      <c r="CA102">
        <v>10440.532841739021</v>
      </c>
      <c r="CB102">
        <v>2.0254442313253018</v>
      </c>
      <c r="CC102">
        <v>3927.7414533860251</v>
      </c>
      <c r="CD102">
        <v>5.5286856311650112</v>
      </c>
      <c r="CE102">
        <v>10721.22717595519</v>
      </c>
      <c r="CF102">
        <v>4.7618411034760229</v>
      </c>
      <c r="CG102">
        <v>9234.1622678607018</v>
      </c>
      <c r="CH102">
        <v>3.9646586386504947</v>
      </c>
      <c r="CI102">
        <v>7688.2660320710384</v>
      </c>
      <c r="CJ102">
        <v>1.6710921590457257</v>
      </c>
      <c r="CK102">
        <v>3240.5819148214709</v>
      </c>
      <c r="CL102">
        <v>4.725547872899301</v>
      </c>
      <c r="CM102">
        <v>9163.7824351263243</v>
      </c>
      <c r="CN102">
        <v>3.6436678749765932</v>
      </c>
      <c r="CO102">
        <v>7065.8007431546084</v>
      </c>
      <c r="CP102">
        <v>2.1714234038423039</v>
      </c>
      <c r="CQ102">
        <v>4210.8242647309953</v>
      </c>
      <c r="CR102">
        <v>1.4307392729711574</v>
      </c>
      <c r="CS102">
        <v>2774.4895981456684</v>
      </c>
      <c r="CT102">
        <v>5.7884917396044537</v>
      </c>
      <c r="CU102">
        <v>11225.043181440955</v>
      </c>
    </row>
    <row r="103" spans="2:99" x14ac:dyDescent="0.2">
      <c r="C103" s="118" t="s">
        <v>269</v>
      </c>
      <c r="D103">
        <v>19</v>
      </c>
      <c r="E103">
        <v>38532</v>
      </c>
      <c r="F103">
        <v>14</v>
      </c>
      <c r="G103">
        <v>28392</v>
      </c>
      <c r="H103">
        <v>23</v>
      </c>
      <c r="I103">
        <v>46644</v>
      </c>
      <c r="J103">
        <v>16</v>
      </c>
      <c r="K103">
        <v>32448</v>
      </c>
      <c r="L103">
        <v>11.689448644099249</v>
      </c>
      <c r="M103">
        <v>23706.201850233276</v>
      </c>
      <c r="N103">
        <v>3.6956928438370968</v>
      </c>
      <c r="O103">
        <v>7494.8650873016322</v>
      </c>
      <c r="P103">
        <v>0.92697410460399654</v>
      </c>
      <c r="Q103">
        <v>1879.903484136905</v>
      </c>
      <c r="R103">
        <v>5.0438605220522064</v>
      </c>
      <c r="S103">
        <v>10228.949138721875</v>
      </c>
      <c r="T103">
        <v>1.3782051204969559</v>
      </c>
      <c r="U103">
        <v>2794.9999843678265</v>
      </c>
      <c r="V103">
        <v>6.3689482775154165</v>
      </c>
      <c r="W103">
        <v>12916.227106801265</v>
      </c>
      <c r="X103">
        <v>5.1661483669787058</v>
      </c>
      <c r="Y103">
        <v>10476.948888232815</v>
      </c>
      <c r="Z103">
        <v>3.6321185967840077</v>
      </c>
      <c r="AA103">
        <v>7365.9365142779679</v>
      </c>
      <c r="AB103">
        <v>3.6464038889875852</v>
      </c>
      <c r="AC103">
        <v>7394.9070868668223</v>
      </c>
      <c r="AD103">
        <v>2.7241770715096481</v>
      </c>
      <c r="AE103">
        <v>5524.6311010215659</v>
      </c>
      <c r="AF103">
        <v>6.9225110232817002</v>
      </c>
      <c r="AG103">
        <v>14038.852355215287</v>
      </c>
      <c r="AH103">
        <v>4.4307396361041134</v>
      </c>
      <c r="AI103">
        <v>8985.5399820191415</v>
      </c>
      <c r="AJ103">
        <v>0</v>
      </c>
      <c r="AK103">
        <v>0</v>
      </c>
      <c r="AL103">
        <v>3.9826307410890371</v>
      </c>
      <c r="AM103">
        <v>8076.7751429285672</v>
      </c>
      <c r="AN103">
        <v>4.9827032207883262</v>
      </c>
      <c r="AO103">
        <v>10104.922131758725</v>
      </c>
      <c r="AP103">
        <v>2.3111496390307504</v>
      </c>
      <c r="AQ103">
        <v>4687.0114679543622</v>
      </c>
      <c r="AR103">
        <v>1.256938742446122</v>
      </c>
      <c r="AS103">
        <v>2549.0717696807355</v>
      </c>
      <c r="AT103">
        <v>4.5952686199593131</v>
      </c>
      <c r="AU103">
        <v>9319.2047612774877</v>
      </c>
      <c r="AV103">
        <v>5.1742840336983562</v>
      </c>
      <c r="AW103">
        <v>10493.448020340267</v>
      </c>
      <c r="AX103">
        <v>3.4907520439824231</v>
      </c>
      <c r="AY103">
        <v>7079.2451451963543</v>
      </c>
      <c r="AZ103">
        <v>1.4418599998641231</v>
      </c>
      <c r="BA103">
        <v>2924.0920797244416</v>
      </c>
      <c r="BB103">
        <v>5.2500724815954021</v>
      </c>
      <c r="BC103">
        <v>10647.146992675476</v>
      </c>
      <c r="BD103">
        <v>2.7806783988657848</v>
      </c>
      <c r="BE103">
        <v>5639.2157928998113</v>
      </c>
      <c r="BF103">
        <v>9.4339570717586891</v>
      </c>
      <c r="BG103">
        <v>19132.06494152662</v>
      </c>
      <c r="BH103">
        <v>4.1576914330050387</v>
      </c>
      <c r="BI103">
        <v>8431.7982261342186</v>
      </c>
      <c r="BJ103">
        <v>2.6432684150943397</v>
      </c>
      <c r="BK103">
        <v>5360.5483458113213</v>
      </c>
      <c r="BL103">
        <v>4.0657947240816155</v>
      </c>
      <c r="BM103">
        <v>8245.4317004375171</v>
      </c>
      <c r="BN103">
        <v>2.912275090824842</v>
      </c>
      <c r="BO103">
        <v>5906.09388419278</v>
      </c>
      <c r="BP103">
        <v>4.1741728729199981</v>
      </c>
      <c r="BQ103">
        <v>8465.2225862817559</v>
      </c>
      <c r="BR103">
        <v>3.7252498428553924</v>
      </c>
      <c r="BS103">
        <v>7554.8066813107362</v>
      </c>
      <c r="BT103">
        <v>0.27461434378234617</v>
      </c>
      <c r="BU103">
        <v>556.91788919059809</v>
      </c>
      <c r="BV103">
        <v>6.3850224248568184</v>
      </c>
      <c r="BW103">
        <v>12948.825477609627</v>
      </c>
      <c r="BX103">
        <v>1.5182973992287896</v>
      </c>
      <c r="BY103">
        <v>3079.1071256359851</v>
      </c>
      <c r="BZ103">
        <v>6.0569304078776813</v>
      </c>
      <c r="CA103">
        <v>12283.454867175938</v>
      </c>
      <c r="CB103">
        <v>1.8566572120481932</v>
      </c>
      <c r="CC103">
        <v>3765.300826033736</v>
      </c>
      <c r="CD103">
        <v>5.2522513496067607</v>
      </c>
      <c r="CE103">
        <v>10651.565737002511</v>
      </c>
      <c r="CF103">
        <v>4.7618411034760229</v>
      </c>
      <c r="CG103">
        <v>9657.0137578493741</v>
      </c>
      <c r="CH103">
        <v>3.4982282105739659</v>
      </c>
      <c r="CI103">
        <v>7094.406811044003</v>
      </c>
      <c r="CJ103">
        <v>1.5318344791252487</v>
      </c>
      <c r="CK103">
        <v>3106.5603236660045</v>
      </c>
      <c r="CL103">
        <v>3.7804382983194413</v>
      </c>
      <c r="CM103">
        <v>7666.7288689918269</v>
      </c>
      <c r="CN103">
        <v>3.4007566833114873</v>
      </c>
      <c r="CO103">
        <v>6896.7345537556967</v>
      </c>
      <c r="CP103">
        <v>2.0043908343159726</v>
      </c>
      <c r="CQ103">
        <v>4064.9046119927925</v>
      </c>
      <c r="CR103">
        <v>1.573813200268273</v>
      </c>
      <c r="CS103">
        <v>3191.6931701440576</v>
      </c>
      <c r="CT103">
        <v>5.5368181857086078</v>
      </c>
      <c r="CU103">
        <v>11228.667280617057</v>
      </c>
    </row>
    <row r="104" spans="2:99" x14ac:dyDescent="0.2">
      <c r="C104" s="118" t="s">
        <v>270</v>
      </c>
      <c r="D104">
        <v>20</v>
      </c>
      <c r="E104">
        <v>41448</v>
      </c>
      <c r="F104">
        <v>12</v>
      </c>
      <c r="G104">
        <v>24868.800000000003</v>
      </c>
      <c r="H104">
        <v>23</v>
      </c>
      <c r="I104">
        <v>47665.200000000004</v>
      </c>
      <c r="J104">
        <v>14</v>
      </c>
      <c r="K104">
        <v>29013.600000000002</v>
      </c>
      <c r="L104">
        <v>11.689448644099249</v>
      </c>
      <c r="M104">
        <v>24225.213370031284</v>
      </c>
      <c r="N104">
        <v>4.1063253820412191</v>
      </c>
      <c r="O104">
        <v>8509.9487217422229</v>
      </c>
      <c r="P104">
        <v>1.0955148508956323</v>
      </c>
      <c r="Q104">
        <v>2270.3449769961085</v>
      </c>
      <c r="R104">
        <v>5.0438605220522064</v>
      </c>
      <c r="S104">
        <v>10452.896545900992</v>
      </c>
      <c r="T104">
        <v>1.1813186747116766</v>
      </c>
      <c r="U104">
        <v>2448.1648214724787</v>
      </c>
      <c r="V104">
        <v>6.7227787373773831</v>
      </c>
      <c r="W104">
        <v>13932.286655340889</v>
      </c>
      <c r="X104">
        <v>5.4244557853276403</v>
      </c>
      <c r="Y104">
        <v>11241.642169513003</v>
      </c>
      <c r="Z104">
        <v>3.6321185967840077</v>
      </c>
      <c r="AA104">
        <v>7527.2025799751782</v>
      </c>
      <c r="AB104">
        <v>3.906861309629555</v>
      </c>
      <c r="AC104">
        <v>8096.5793780762906</v>
      </c>
      <c r="AD104">
        <v>3.1328036322360955</v>
      </c>
      <c r="AE104">
        <v>6492.4222474460848</v>
      </c>
      <c r="AF104">
        <v>6.9225110232817002</v>
      </c>
      <c r="AG104">
        <v>14346.211844648997</v>
      </c>
      <c r="AH104">
        <v>3.8768971815910986</v>
      </c>
      <c r="AI104">
        <v>8034.4817191293932</v>
      </c>
      <c r="AJ104">
        <v>0</v>
      </c>
      <c r="AK104">
        <v>0</v>
      </c>
      <c r="AL104">
        <v>3.9826307410890371</v>
      </c>
      <c r="AM104">
        <v>8253.6039478329203</v>
      </c>
      <c r="AN104">
        <v>4.9827032207883262</v>
      </c>
      <c r="AO104">
        <v>10326.154154761727</v>
      </c>
      <c r="AP104">
        <v>2.3111496390307504</v>
      </c>
      <c r="AQ104">
        <v>4789.6265119273276</v>
      </c>
      <c r="AR104">
        <v>1.099821399640357</v>
      </c>
      <c r="AS104">
        <v>2279.2698686146759</v>
      </c>
      <c r="AT104">
        <v>4.241786418423982</v>
      </c>
      <c r="AU104">
        <v>8790.6781735418608</v>
      </c>
      <c r="AV104">
        <v>5.4206785114935156</v>
      </c>
      <c r="AW104">
        <v>11233.814147219162</v>
      </c>
      <c r="AX104">
        <v>3.4907520439824231</v>
      </c>
      <c r="AY104">
        <v>7234.2345359491737</v>
      </c>
      <c r="AZ104">
        <v>1.5527723075459787</v>
      </c>
      <c r="BA104">
        <v>3217.9653301582866</v>
      </c>
      <c r="BB104">
        <v>4.3750604013295016</v>
      </c>
      <c r="BC104">
        <v>9066.8751757152586</v>
      </c>
      <c r="BD104">
        <v>2.7806783988657848</v>
      </c>
      <c r="BE104">
        <v>5762.6779138094525</v>
      </c>
      <c r="BF104">
        <v>8.8443347547737705</v>
      </c>
      <c r="BG104">
        <v>18328.999345793163</v>
      </c>
      <c r="BH104">
        <v>4.3765172979000413</v>
      </c>
      <c r="BI104">
        <v>9069.8944481680464</v>
      </c>
      <c r="BJ104">
        <v>2.4780641391509435</v>
      </c>
      <c r="BK104">
        <v>5135.5401219764153</v>
      </c>
      <c r="BL104">
        <v>4.3199068943367172</v>
      </c>
      <c r="BM104">
        <v>8952.5750478234131</v>
      </c>
      <c r="BN104">
        <v>3.1202947401694741</v>
      </c>
      <c r="BO104">
        <v>6466.4988195272181</v>
      </c>
      <c r="BP104">
        <v>4.5717131465314269</v>
      </c>
      <c r="BQ104">
        <v>9474.4183248717291</v>
      </c>
      <c r="BR104">
        <v>3.7252498428553924</v>
      </c>
      <c r="BS104">
        <v>7720.2077743335158</v>
      </c>
      <c r="BT104">
        <v>0.27461434378234617</v>
      </c>
      <c r="BU104">
        <v>569.11076605453422</v>
      </c>
      <c r="BV104">
        <v>7.3427757885853424</v>
      </c>
      <c r="BW104">
        <v>15217.168544264265</v>
      </c>
      <c r="BX104">
        <v>1.6869971102542105</v>
      </c>
      <c r="BY104">
        <v>3496.1328112908259</v>
      </c>
      <c r="BZ104">
        <v>6.3934265416486635</v>
      </c>
      <c r="CA104">
        <v>13249.737164912691</v>
      </c>
      <c r="CB104">
        <v>2.0254442313253018</v>
      </c>
      <c r="CC104">
        <v>4197.530624998556</v>
      </c>
      <c r="CD104">
        <v>4.9758170680485101</v>
      </c>
      <c r="CE104">
        <v>10311.883291823733</v>
      </c>
      <c r="CF104">
        <v>4.7618411034760229</v>
      </c>
      <c r="CG104">
        <v>9868.4395028437102</v>
      </c>
      <c r="CH104">
        <v>3.4982282105739659</v>
      </c>
      <c r="CI104">
        <v>7249.7281435934874</v>
      </c>
      <c r="CJ104">
        <v>1.5318344791252487</v>
      </c>
      <c r="CK104">
        <v>3174.5737745391657</v>
      </c>
      <c r="CL104">
        <v>4.4892704792543361</v>
      </c>
      <c r="CM104">
        <v>9303.5641412066871</v>
      </c>
      <c r="CN104">
        <v>3.8865790666416995</v>
      </c>
      <c r="CO104">
        <v>8054.5464577082585</v>
      </c>
      <c r="CP104">
        <v>2.3384559733686348</v>
      </c>
      <c r="CQ104">
        <v>4846.2161592091588</v>
      </c>
      <c r="CR104">
        <v>1.2876653456740417</v>
      </c>
      <c r="CS104">
        <v>2668.5576623748839</v>
      </c>
      <c r="CT104">
        <v>5.5368181857086078</v>
      </c>
      <c r="CU104">
        <v>11474.50200806252</v>
      </c>
    </row>
    <row r="105" spans="2:99" x14ac:dyDescent="0.2">
      <c r="C105" s="118" t="s">
        <v>271</v>
      </c>
      <c r="D105">
        <v>20</v>
      </c>
      <c r="E105">
        <v>39960</v>
      </c>
      <c r="F105">
        <v>14</v>
      </c>
      <c r="G105">
        <v>27972</v>
      </c>
      <c r="H105">
        <v>22</v>
      </c>
      <c r="I105">
        <v>43956</v>
      </c>
      <c r="J105">
        <v>16</v>
      </c>
      <c r="K105">
        <v>31968</v>
      </c>
      <c r="L105">
        <v>11.689448644099249</v>
      </c>
      <c r="M105">
        <v>23355.5183909103</v>
      </c>
      <c r="N105">
        <v>3.4903765747350359</v>
      </c>
      <c r="O105">
        <v>6973.7723963206017</v>
      </c>
      <c r="P105">
        <v>1.0112444777498144</v>
      </c>
      <c r="Q105">
        <v>2020.4664665441292</v>
      </c>
      <c r="R105">
        <v>5.0438605220522064</v>
      </c>
      <c r="S105">
        <v>10077.633323060309</v>
      </c>
      <c r="T105">
        <v>1.1813186747116766</v>
      </c>
      <c r="U105">
        <v>2360.27471207393</v>
      </c>
      <c r="V105">
        <v>6.0151178176534472</v>
      </c>
      <c r="W105">
        <v>12018.205399671588</v>
      </c>
      <c r="X105">
        <v>4.9078409486297696</v>
      </c>
      <c r="Y105">
        <v>9805.866215362279</v>
      </c>
      <c r="Z105">
        <v>3.6321185967840077</v>
      </c>
      <c r="AA105">
        <v>7256.9729563744477</v>
      </c>
      <c r="AB105">
        <v>4.1673187302715249</v>
      </c>
      <c r="AC105">
        <v>8326.3028230825075</v>
      </c>
      <c r="AD105">
        <v>2.7241770715096481</v>
      </c>
      <c r="AE105">
        <v>5442.9057888762773</v>
      </c>
      <c r="AF105">
        <v>7.9608876767739556</v>
      </c>
      <c r="AG105">
        <v>15905.853578194363</v>
      </c>
      <c r="AH105">
        <v>4.4307396361041134</v>
      </c>
      <c r="AI105">
        <v>8852.6177929360183</v>
      </c>
      <c r="AJ105">
        <v>0</v>
      </c>
      <c r="AK105">
        <v>0</v>
      </c>
      <c r="AL105">
        <v>4.1922428853568814</v>
      </c>
      <c r="AM105">
        <v>8376.1012849430499</v>
      </c>
      <c r="AN105">
        <v>5.36598808392589</v>
      </c>
      <c r="AO105">
        <v>10721.244191683929</v>
      </c>
      <c r="AP105">
        <v>2.3111496390307504</v>
      </c>
      <c r="AQ105">
        <v>4617.6769787834392</v>
      </c>
      <c r="AR105">
        <v>1.3354974138490048</v>
      </c>
      <c r="AS105">
        <v>2668.3238328703114</v>
      </c>
      <c r="AT105">
        <v>4.241786418423982</v>
      </c>
      <c r="AU105">
        <v>8475.089264011116</v>
      </c>
      <c r="AV105">
        <v>5.4206785114935156</v>
      </c>
      <c r="AW105">
        <v>10830.515665964043</v>
      </c>
      <c r="AX105">
        <v>3.7089240467313247</v>
      </c>
      <c r="AY105">
        <v>7410.4302453691871</v>
      </c>
      <c r="AZ105">
        <v>1.5527723075459787</v>
      </c>
      <c r="BA105">
        <v>3102.4390704768657</v>
      </c>
      <c r="BB105">
        <v>4.9584017881734352</v>
      </c>
      <c r="BC105">
        <v>9906.8867727705237</v>
      </c>
      <c r="BD105">
        <v>2.9130916559546316</v>
      </c>
      <c r="BE105">
        <v>5820.3571285973539</v>
      </c>
      <c r="BF105">
        <v>8.8443347547737705</v>
      </c>
      <c r="BG105">
        <v>17670.980840037995</v>
      </c>
      <c r="BH105">
        <v>4.5953431627950438</v>
      </c>
      <c r="BI105">
        <v>9181.4956392644981</v>
      </c>
      <c r="BJ105">
        <v>2.6432684150943397</v>
      </c>
      <c r="BK105">
        <v>5281.250293358491</v>
      </c>
      <c r="BL105">
        <v>4.3199068943367172</v>
      </c>
      <c r="BM105">
        <v>8631.1739748847613</v>
      </c>
      <c r="BN105">
        <v>2.7042554414802105</v>
      </c>
      <c r="BO105">
        <v>5403.1023720774601</v>
      </c>
      <c r="BP105">
        <v>4.1741728729199981</v>
      </c>
      <c r="BQ105">
        <v>8339.9974000941565</v>
      </c>
      <c r="BR105">
        <v>3.7252498428553924</v>
      </c>
      <c r="BS105">
        <v>7443.0491860250741</v>
      </c>
      <c r="BT105">
        <v>0.32953721253881546</v>
      </c>
      <c r="BU105">
        <v>658.41535065255334</v>
      </c>
      <c r="BV105">
        <v>7.3427757885853424</v>
      </c>
      <c r="BW105">
        <v>14670.866025593514</v>
      </c>
      <c r="BX105">
        <v>1.4339475437160789</v>
      </c>
      <c r="BY105">
        <v>2865.0271923447258</v>
      </c>
      <c r="BZ105">
        <v>5.7204342741066991</v>
      </c>
      <c r="CA105">
        <v>11429.427679665185</v>
      </c>
      <c r="CB105">
        <v>1.8566572120481932</v>
      </c>
      <c r="CC105">
        <v>3709.60110967229</v>
      </c>
      <c r="CD105">
        <v>4.9758170680485101</v>
      </c>
      <c r="CE105">
        <v>9941.6825019609223</v>
      </c>
      <c r="CF105">
        <v>5.1947357492465702</v>
      </c>
      <c r="CG105">
        <v>10379.082026994647</v>
      </c>
      <c r="CH105">
        <v>3.4982282105739659</v>
      </c>
      <c r="CI105">
        <v>6989.4599647267842</v>
      </c>
      <c r="CJ105">
        <v>1.8103498389662029</v>
      </c>
      <c r="CK105">
        <v>3617.0789782544734</v>
      </c>
      <c r="CL105">
        <v>4.4892704792543361</v>
      </c>
      <c r="CM105">
        <v>8969.5624175501634</v>
      </c>
      <c r="CN105">
        <v>3.6436678749765932</v>
      </c>
      <c r="CO105">
        <v>7280.0484142032328</v>
      </c>
      <c r="CP105">
        <v>2.0043908343159726</v>
      </c>
      <c r="CQ105">
        <v>4004.7728869633133</v>
      </c>
      <c r="CR105">
        <v>1.2876653456740417</v>
      </c>
      <c r="CS105">
        <v>2572.7553606567353</v>
      </c>
      <c r="CT105">
        <v>5.7884917396044537</v>
      </c>
      <c r="CU105">
        <v>11565.406495729698</v>
      </c>
    </row>
    <row r="107" spans="2:99" x14ac:dyDescent="0.2">
      <c r="B107" s="121" t="s">
        <v>276</v>
      </c>
    </row>
    <row r="108" spans="2:99" x14ac:dyDescent="0.2">
      <c r="C108" s="118" t="s">
        <v>277</v>
      </c>
      <c r="D108" s="118" t="s">
        <v>92</v>
      </c>
      <c r="E108" s="118" t="s">
        <v>93</v>
      </c>
      <c r="F108" s="118" t="s">
        <v>94</v>
      </c>
      <c r="G108" s="118" t="s">
        <v>95</v>
      </c>
      <c r="H108" s="118" t="s">
        <v>96</v>
      </c>
      <c r="I108" s="118" t="s">
        <v>97</v>
      </c>
      <c r="J108" s="118" t="s">
        <v>98</v>
      </c>
      <c r="K108" s="118" t="s">
        <v>99</v>
      </c>
      <c r="L108" s="118" t="s">
        <v>100</v>
      </c>
      <c r="M108" s="118" t="s">
        <v>101</v>
      </c>
      <c r="N108" s="118" t="s">
        <v>102</v>
      </c>
      <c r="O108" s="118" t="s">
        <v>103</v>
      </c>
    </row>
    <row r="109" spans="2:99" x14ac:dyDescent="0.2">
      <c r="C109" s="118" t="s">
        <v>126</v>
      </c>
      <c r="D109">
        <f>SUM(D$6:D$19)+SUM(F$6:F$19)+SUM(H$6:H$19)+SUM(J$6:J$19)</f>
        <v>306.82935979713398</v>
      </c>
      <c r="E109">
        <f>SUM(L$6:L$19)+SUM(N$6:N$19)+SUM(P$6:P$19)+SUM(R$6:R$19)</f>
        <v>749</v>
      </c>
      <c r="F109">
        <f>SUM(T$6:T$19)+SUM(V$6:V$19)+SUM(X$6:X$19)+SUM(Z$6:Z$19)</f>
        <v>617</v>
      </c>
      <c r="G109">
        <f>SUM(AB$6:AB$19)+SUM(AD$6:AD$19)+SUM(AF$6:AF$19)+SUM(AH$6:AH$19)</f>
        <v>693.03884133766451</v>
      </c>
      <c r="H109">
        <f>SUM(AJ$6:AJ$19)+SUM(AL$6:AL$19)+SUM(AN$6:AN$19)+SUM(AP$6:AP$19)</f>
        <v>721</v>
      </c>
      <c r="I109">
        <f>SUM(AR$6:AR$19)+SUM(AT$6:AT$19)+SUM(AV$6:AV$19)+SUM(AX$6:AX$19)</f>
        <v>677</v>
      </c>
      <c r="J109">
        <f>SUM(AZ$6:AZ$19)+SUM(BB$6:BB$19)+SUM(BD$6:BD$19)+SUM(BF$6:BF$19)</f>
        <v>679</v>
      </c>
      <c r="K109">
        <f>SUM(BH$6:BH$19)+SUM(BJ$6:BJ$19)+SUM(BL$6:BL$19)+SUM(BN$6:BN$19)</f>
        <v>653.05729293562263</v>
      </c>
      <c r="L109">
        <f>SUM(BP$6:BP$19)+SUM(BR$6:BR$19)+SUM(BT$6:BT$19)+SUM(BV$6:BV$19)</f>
        <v>799.85083240183337</v>
      </c>
      <c r="M109">
        <f>SUM(BX$6:BX$19)+SUM(BZ$6:BZ$19)+SUM(CB$6:CB$19)+SUM(CD$6:CD$19)</f>
        <v>602.59067061963219</v>
      </c>
      <c r="N109">
        <f>SUM(CF$6:CF$19)+SUM(CH$6:CH$19)+SUM(CJ$6:CJ$19)+SUM(CL$6:CL$19)</f>
        <v>373.12274182247643</v>
      </c>
      <c r="O109">
        <f>SUM(CN$6:CN$19)+SUM(CP$6:CP$19)+SUM(CR$6:CR$19)+SUM(CT$6:CT$19)</f>
        <v>734</v>
      </c>
    </row>
    <row r="110" spans="2:99" x14ac:dyDescent="0.2">
      <c r="C110" s="118" t="s">
        <v>127</v>
      </c>
      <c r="D110">
        <f>SUM(D$20:D$36)+SUM(F$20:F$36)+SUM(H$20:H$36)+SUM(J$20:J$36)</f>
        <v>988.68014043041399</v>
      </c>
      <c r="E110">
        <f>SUM(L$20:L$36)+SUM(N$20:N$36)+SUM(P$20:P$36)+SUM(R$20:R$36)</f>
        <v>2224</v>
      </c>
      <c r="F110">
        <f>SUM(T$20:T$36)+SUM(V$20:V$36)+SUM(X$20:X$36)+SUM(Z$20:Z$36)</f>
        <v>2626</v>
      </c>
      <c r="G110">
        <f>SUM(AB$20:AB$36)+SUM(AD$20:AD$36)+SUM(AF$20:AF$36)+SUM(AH$20:AH$36)</f>
        <v>2672.2764116824092</v>
      </c>
      <c r="H110">
        <f>SUM(AJ$20:AJ$36)+SUM(AL$20:AL$36)+SUM(AN$20:AN$36)+SUM(AP$20:AP$36)</f>
        <v>2335</v>
      </c>
      <c r="I110">
        <f>SUM(AR$20:AR$36)+SUM(AT$20:AT$36)+SUM(AV$20:AV$36)+SUM(AX$20:AX$36)</f>
        <v>2502</v>
      </c>
      <c r="J110">
        <f>SUM(AZ$20:AZ$36)+SUM(BB$20:BB$36)+SUM(BD$20:BD$36)+SUM(BF$20:BF$36)</f>
        <v>2859</v>
      </c>
      <c r="K110">
        <f>SUM(BH$20:BH$36)+SUM(BJ$20:BJ$36)+SUM(BL$20:BL$36)+SUM(BN$20:BN$36)</f>
        <v>1939.5053118940807</v>
      </c>
      <c r="L110">
        <f>SUM(BP$20:BP$36)+SUM(BR$20:BR$36)+SUM(BT$20:BT$36)+SUM(BV$20:BV$36)</f>
        <v>2374.8516006475315</v>
      </c>
      <c r="M110">
        <f>SUM(BX$20:BX$36)+SUM(BZ$20:BZ$36)+SUM(CB$20:CB$36)+SUM(CD$20:CD$36)</f>
        <v>2212.5435042661265</v>
      </c>
      <c r="N110">
        <f>SUM(CF$20:CF$36)+SUM(CH$20:CH$36)+SUM(CJ$20:CJ$36)+SUM(CL$20:CL$36)</f>
        <v>1442.7367086822462</v>
      </c>
      <c r="O110">
        <f>SUM(CN$20:CN$36)+SUM(CP$20:CP$36)+SUM(CR$20:CR$36)+SUM(CT$20:CT$36)</f>
        <v>2061</v>
      </c>
    </row>
    <row r="111" spans="2:99" x14ac:dyDescent="0.2">
      <c r="C111" s="118" t="s">
        <v>128</v>
      </c>
      <c r="D111">
        <f>SUM(D$37:D$48)+SUM(F$37:F$48)+SUM(H$37:H$48)+SUM(J$37:J$48)</f>
        <v>669.78701859341834</v>
      </c>
      <c r="E111">
        <f>SUM(L$37:L$48)+SUM(N$37:N$48)+SUM(P$37:P$48)+SUM(R$37:R$48)</f>
        <v>1356</v>
      </c>
      <c r="F111">
        <f>SUM(T$37:T$48)+SUM(V$37:V$48)+SUM(X$37:X$48)+SUM(Z$37:Z$48)</f>
        <v>1513</v>
      </c>
      <c r="G111">
        <f>SUM(AB$37:AB$48)+SUM(AD$37:AD$48)+SUM(AF$37:AF$48)+SUM(AH$37:AH$48)</f>
        <v>1182.5249779021899</v>
      </c>
      <c r="H111">
        <f>SUM(AJ$37:AJ$48)+SUM(AL$37:AL$48)+SUM(AN$37:AN$48)+SUM(AP$37:AP$48)</f>
        <v>1189</v>
      </c>
      <c r="I111">
        <f>SUM(AR$37:AR$48)+SUM(AT$37:AT$48)+SUM(AV$37:AV$48)+SUM(AX$37:AX$48)</f>
        <v>1332</v>
      </c>
      <c r="J111">
        <f>SUM(AZ$37:AZ$48)+SUM(BB$37:BB$48)+SUM(BD$37:BD$48)+SUM(BF$37:BF$48)</f>
        <v>1443</v>
      </c>
      <c r="K111">
        <f>SUM(BH$37:BH$48)+SUM(BJ$37:BJ$48)+SUM(BL$37:BL$48)+SUM(BN$37:BN$48)</f>
        <v>1246.6131643784631</v>
      </c>
      <c r="L111">
        <f>SUM(BP$37:BP$48)+SUM(BR$37:BR$48)+SUM(BT$37:BT$48)+SUM(BV$37:BV$48)</f>
        <v>1419.2086602284758</v>
      </c>
      <c r="M111">
        <f>SUM(BX$37:BX$48)+SUM(BZ$37:BZ$48)+SUM(CB$37:CB$48)+SUM(CD$37:CD$48)</f>
        <v>1035.3518404740944</v>
      </c>
      <c r="N111">
        <f>SUM(CF$37:CF$48)+SUM(CH$37:CH$48)+SUM(CJ$37:CJ$48)+SUM(CL$37:CL$48)</f>
        <v>642.47060733365083</v>
      </c>
      <c r="O111">
        <f>SUM(CN$37:CN$48)+SUM(CP$37:CP$48)+SUM(CR$37:CR$48)+SUM(CT$37:CT$48)</f>
        <v>1357</v>
      </c>
    </row>
    <row r="112" spans="2:99" x14ac:dyDescent="0.2">
      <c r="C112" s="118" t="s">
        <v>129</v>
      </c>
      <c r="D112">
        <f>SUM(D$49:D$70)+SUM(F$49:F$70)+SUM(H$49:H$70)+SUM(J$49:J$70)</f>
        <v>921.79490791713783</v>
      </c>
      <c r="E112">
        <f>SUM(L$49:L$70)+SUM(N$49:N$70)+SUM(P$49:P$70)+SUM(R$49:R$70)</f>
        <v>1913.7901409745114</v>
      </c>
      <c r="F112">
        <f>SUM(T$49:T$70)+SUM(V$49:V$70)+SUM(X$49:X$70)+SUM(Z$49:Z$70)</f>
        <v>1635.3030310599477</v>
      </c>
      <c r="G112">
        <f>SUM(AB$49:AB$70)+SUM(AD$49:AD$70)+SUM(AF$49:AF$70)+SUM(AH$49:AH$70)</f>
        <v>1533.1243154276176</v>
      </c>
      <c r="H112">
        <f>SUM(AJ$49:AJ$70)+SUM(AL$49:AL$70)+SUM(AN$49:AN$70)+SUM(AP$49:AP$70)</f>
        <v>1708.4426645661952</v>
      </c>
      <c r="I112">
        <f>SUM(AR$49:AR$70)+SUM(AT$49:AT$70)+SUM(AV$49:AV$70)+SUM(AX$49:AX$70)</f>
        <v>1409.9421136511901</v>
      </c>
      <c r="J112">
        <f>SUM(AZ$49:AZ$70)+SUM(BB$49:BB$70)+SUM(BD$49:BD$70)+SUM(BF$49:BF$70)</f>
        <v>1773.0236179762046</v>
      </c>
      <c r="K112">
        <f>SUM(BH$49:BH$70)+SUM(BJ$49:BJ$70)+SUM(BL$49:BL$70)+SUM(BN$49:BN$70)</f>
        <v>1451.2145964129782</v>
      </c>
      <c r="L112">
        <f>SUM(BP$49:BP$70)+SUM(BR$49:BR$70)+SUM(BT$49:BT$70)+SUM(BV$49:BV$70)</f>
        <v>1577.7653192758571</v>
      </c>
      <c r="M112">
        <f>SUM(BX$49:BX$70)+SUM(BZ$49:BZ$70)+SUM(CB$49:CB$70)+SUM(CD$49:CD$70)</f>
        <v>994.8582075703506</v>
      </c>
      <c r="N112">
        <f>SUM(CF$49:CF$70)+SUM(CH$49:CH$70)+SUM(CJ$49:CJ$70)+SUM(CL$49:CL$70)</f>
        <v>901.23968220324923</v>
      </c>
      <c r="O112">
        <f>SUM(CN$49:CN$70)+SUM(CP$49:CP$70)+SUM(CR$49:CR$70)+SUM(CT$49:CT$70)</f>
        <v>1717.7651102965567</v>
      </c>
    </row>
    <row r="113" spans="2:15" x14ac:dyDescent="0.2">
      <c r="C113" s="118" t="s">
        <v>130</v>
      </c>
      <c r="D113">
        <f>SUM(D$71:D$86)+SUM(F$71:F$86)+SUM(H$71:H$86)+SUM(J$71:J$86)</f>
        <v>2059</v>
      </c>
      <c r="E113">
        <f>SUM(L$71:L$86)+SUM(N$71:N$86)+SUM(P$71:P$86)+SUM(R$71:R$86)</f>
        <v>728.15278888491116</v>
      </c>
      <c r="F113">
        <f>SUM(T$71:T$86)+SUM(V$71:V$86)+SUM(X$71:X$86)+SUM(Z$71:Z$86)</f>
        <v>486.60306856408482</v>
      </c>
      <c r="G113">
        <f>SUM(AB$71:AB$86)+SUM(AD$71:AD$86)+SUM(AF$71:AF$86)+SUM(AH$71:AH$86)</f>
        <v>454.87773842967079</v>
      </c>
      <c r="H113">
        <f>SUM(AJ$71:AJ$86)+SUM(AL$71:AL$86)+SUM(AN$71:AN$86)+SUM(AP$71:AP$86)</f>
        <v>492.69761401028188</v>
      </c>
      <c r="I113">
        <f>SUM(AR$71:AR$86)+SUM(AT$71:AT$86)+SUM(AV$71:AV$86)+SUM(AX$71:AX$86)</f>
        <v>529.063409283022</v>
      </c>
      <c r="J113">
        <f>SUM(AZ$71:AZ$86)+SUM(BB$71:BB$86)+SUM(BD$71:BD$86)+SUM(BF$71:BF$86)</f>
        <v>461.34311029010121</v>
      </c>
      <c r="K113">
        <f>SUM(BH$71:BH$86)+SUM(BJ$71:BJ$86)+SUM(BL$71:BL$86)+SUM(BN$71:BN$86)</f>
        <v>431.1426524857626</v>
      </c>
      <c r="L113">
        <f>SUM(BP$71:BP$86)+SUM(BR$71:BR$86)+SUM(BT$71:BT$86)+SUM(BV$71:BV$86)</f>
        <v>420.59371866545132</v>
      </c>
      <c r="M113">
        <f>SUM(BX$71:BX$86)+SUM(BZ$71:BZ$86)+SUM(CB$71:CB$86)+SUM(CD$71:CD$86)</f>
        <v>529.81862365021561</v>
      </c>
      <c r="N113">
        <f>SUM(CF$71:CF$86)+SUM(CH$71:CH$86)+SUM(CJ$71:CJ$86)+SUM(CL$71:CL$86)</f>
        <v>398.48779958117626</v>
      </c>
      <c r="O113">
        <f>SUM(CN$71:CN$86)+SUM(CP$71:CP$86)+SUM(CR$71:CR$86)+SUM(CT$71:CT$86)</f>
        <v>494.82194564720044</v>
      </c>
    </row>
    <row r="114" spans="2:15" x14ac:dyDescent="0.2">
      <c r="C114" s="118" t="s">
        <v>131</v>
      </c>
      <c r="D114">
        <f>SUM(D$87:D$94)+SUM(F$87:F$94)+SUM(H$87:H$94)+SUM(J$87:J$94)</f>
        <v>584</v>
      </c>
      <c r="E114">
        <f>SUM(L$87:L$94)+SUM(N$87:N$94)+SUM(P$87:P$94)+SUM(R$87:R$94)</f>
        <v>293.14107012932749</v>
      </c>
      <c r="F114">
        <f>SUM(T$87:T$94)+SUM(V$87:V$94)+SUM(X$87:X$94)+SUM(Z$87:Z$94)</f>
        <v>152.94016049195719</v>
      </c>
      <c r="G114">
        <f>SUM(AB$87:AB$94)+SUM(AD$87:AD$94)+SUM(AF$87:AF$94)+SUM(AH$87:AH$94)</f>
        <v>157.72832719743752</v>
      </c>
      <c r="H114">
        <f>SUM(AJ$87:AJ$94)+SUM(AL$87:AL$94)+SUM(AN$87:AN$94)+SUM(AP$87:AP$94)</f>
        <v>112.52494199548332</v>
      </c>
      <c r="I114">
        <f>SUM(AR$87:AR$94)+SUM(AT$87:AT$94)+SUM(AV$87:AV$94)+SUM(AX$87:AX$94)</f>
        <v>138.22517647034744</v>
      </c>
      <c r="J114">
        <f>SUM(AZ$87:AZ$94)+SUM(BB$87:BB$94)+SUM(BD$87:BD$94)+SUM(BF$87:BF$94)</f>
        <v>148.17295072345962</v>
      </c>
      <c r="K114">
        <f>SUM(BH$87:BH$94)+SUM(BJ$87:BJ$94)+SUM(BL$87:BL$94)+SUM(BN$87:BN$94)</f>
        <v>151.8398423454494</v>
      </c>
      <c r="L114">
        <f>SUM(BP$87:BP$94)+SUM(BR$87:BR$94)+SUM(BT$87:BT$94)+SUM(BV$87:BV$94)</f>
        <v>153.66674231391775</v>
      </c>
      <c r="M114">
        <f>SUM(BX$87:BX$94)+SUM(BZ$87:BZ$94)+SUM(CB$87:CB$94)+SUM(CD$87:CD$94)</f>
        <v>157.52523284829323</v>
      </c>
      <c r="N114">
        <f>SUM(CF$87:CF$94)+SUM(CH$87:CH$94)+SUM(CJ$87:CJ$94)+SUM(CL$87:CL$94)</f>
        <v>123.62767046530848</v>
      </c>
      <c r="O114">
        <f>SUM(CN$87:CN$94)+SUM(CP$87:CP$94)+SUM(CR$87:CR$94)+SUM(CT$87:CT$94)</f>
        <v>143.10477439650441</v>
      </c>
    </row>
    <row r="115" spans="2:15" x14ac:dyDescent="0.2">
      <c r="C115" s="118" t="s">
        <v>132</v>
      </c>
      <c r="D115">
        <f>SUM(D$95:D$105)+SUM(F$95:F$105)+SUM(H$95:H$105)+SUM(J$95:J$105)</f>
        <v>768</v>
      </c>
      <c r="E115">
        <f>SUM(L$95:L$105)+SUM(N$95:N$105)+SUM(P$95:P$105)+SUM(R$95:R$105)</f>
        <v>241.21841851638538</v>
      </c>
      <c r="F115">
        <f>SUM(T$95:T$105)+SUM(V$95:V$105)+SUM(X$95:X$105)+SUM(Z$95:Z$105)</f>
        <v>181.33250292359878</v>
      </c>
      <c r="G115">
        <f>SUM(AB$95:AB$105)+SUM(AD$95:AD$105)+SUM(AF$95:AF$105)+SUM(AH$95:AH$105)</f>
        <v>202.17208889413291</v>
      </c>
      <c r="H115">
        <f>SUM(AJ$95:AJ$105)+SUM(AL$95:AL$105)+SUM(AN$95:AN$105)+SUM(AP$95:AP$105)</f>
        <v>125.46885170773092</v>
      </c>
      <c r="I115">
        <f>SUM(AR$95:AR$105)+SUM(AT$95:AT$105)+SUM(AV$95:AV$105)+SUM(AX$95:AX$105)</f>
        <v>163.94806363502863</v>
      </c>
      <c r="J115">
        <f>SUM(AZ$95:AZ$105)+SUM(BB$95:BB$105)+SUM(BD$95:BD$105)+SUM(BF$95:BF$105)</f>
        <v>207.73231004982284</v>
      </c>
      <c r="K115">
        <f>SUM(BH$95:BH$105)+SUM(BJ$95:BJ$105)+SUM(BL$95:BL$105)+SUM(BN$95:BN$105)</f>
        <v>157.20103842663491</v>
      </c>
      <c r="L115">
        <f>SUM(BP$95:BP$105)+SUM(BR$95:BR$105)+SUM(BT$95:BT$105)+SUM(BV$95:BV$105)</f>
        <v>170.47936294511058</v>
      </c>
      <c r="M115">
        <f>SUM(BX$95:BX$105)+SUM(BZ$95:BZ$105)+SUM(CB$95:CB$105)+SUM(CD$95:CD$105)</f>
        <v>161.49452809108112</v>
      </c>
      <c r="N115">
        <f>SUM(CF$95:CF$105)+SUM(CH$95:CH$105)+SUM(CJ$95:CJ$105)+SUM(CL$95:CL$105)</f>
        <v>159.56452003738201</v>
      </c>
      <c r="O115">
        <f>SUM(CN$95:CN$105)+SUM(CP$95:CP$105)+SUM(CR$95:CR$105)+SUM(CT$95:CT$105)</f>
        <v>142.51384587180303</v>
      </c>
    </row>
    <row r="116" spans="2:15" x14ac:dyDescent="0.2">
      <c r="C116" s="118" t="s">
        <v>278</v>
      </c>
      <c r="D116">
        <f t="shared" ref="D116:O116" si="0">SUM(D$109:D$115)</f>
        <v>6298.091426738104</v>
      </c>
      <c r="E116">
        <f t="shared" si="0"/>
        <v>7505.3024185051354</v>
      </c>
      <c r="F116">
        <f t="shared" si="0"/>
        <v>7212.1787630395884</v>
      </c>
      <c r="G116">
        <f t="shared" si="0"/>
        <v>6895.7427008711229</v>
      </c>
      <c r="H116">
        <f t="shared" si="0"/>
        <v>6684.1340722796913</v>
      </c>
      <c r="I116">
        <f t="shared" si="0"/>
        <v>6752.1787630395893</v>
      </c>
      <c r="J116">
        <f t="shared" si="0"/>
        <v>7571.2719890395883</v>
      </c>
      <c r="K116">
        <f t="shared" si="0"/>
        <v>6030.5738988789908</v>
      </c>
      <c r="L116">
        <f t="shared" si="0"/>
        <v>6916.4162364781769</v>
      </c>
      <c r="M116">
        <f t="shared" si="0"/>
        <v>5694.1826075197932</v>
      </c>
      <c r="N116">
        <f t="shared" si="0"/>
        <v>4041.2497301254889</v>
      </c>
      <c r="O116">
        <f t="shared" si="0"/>
        <v>6650.2056762120646</v>
      </c>
    </row>
    <row r="118" spans="2:15" x14ac:dyDescent="0.2">
      <c r="B118" s="120" t="s">
        <v>279</v>
      </c>
    </row>
    <row r="119" spans="2:15" x14ac:dyDescent="0.2">
      <c r="C119" s="118" t="s">
        <v>277</v>
      </c>
      <c r="D119" s="118" t="s">
        <v>92</v>
      </c>
      <c r="E119" s="118" t="s">
        <v>93</v>
      </c>
      <c r="F119" s="118" t="s">
        <v>94</v>
      </c>
      <c r="G119" s="118" t="s">
        <v>95</v>
      </c>
      <c r="H119" s="118" t="s">
        <v>96</v>
      </c>
      <c r="I119" s="118" t="s">
        <v>97</v>
      </c>
      <c r="J119" s="118" t="s">
        <v>98</v>
      </c>
      <c r="K119" s="118" t="s">
        <v>99</v>
      </c>
      <c r="L119" s="118" t="s">
        <v>100</v>
      </c>
      <c r="M119" s="118" t="s">
        <v>101</v>
      </c>
      <c r="N119" s="118" t="s">
        <v>102</v>
      </c>
      <c r="O119" s="118" t="s">
        <v>103</v>
      </c>
    </row>
    <row r="120" spans="2:15" x14ac:dyDescent="0.2">
      <c r="C120" s="118" t="s">
        <v>126</v>
      </c>
      <c r="D120">
        <f>D109*pricing!D15*2000</f>
        <v>1548620.9992350142</v>
      </c>
      <c r="E120">
        <f>E109*pricing!E15*2000</f>
        <v>3780332.9159697318</v>
      </c>
      <c r="F120">
        <f>F109*pricing!F15*2000</f>
        <v>3114106.0202314081</v>
      </c>
      <c r="G120">
        <f>G109*pricing!G15*2000</f>
        <v>3497887.2415945227</v>
      </c>
      <c r="H120">
        <f>H109*pricing!H15*2000</f>
        <v>3639012.0592979658</v>
      </c>
      <c r="I120">
        <f>I109*pricing!I15*2000</f>
        <v>3416936.4273851914</v>
      </c>
      <c r="J120">
        <f>J109*pricing!J15*2000</f>
        <v>3427030.7742903177</v>
      </c>
      <c r="K120">
        <f>K109*pricing!K15*2000</f>
        <v>3296093.4319073721</v>
      </c>
      <c r="L120">
        <f>L109*pricing!L15*2000</f>
        <v>4036985.887308999</v>
      </c>
      <c r="M120">
        <f>M109*pricing!M15*2000</f>
        <v>3041379.6355135785</v>
      </c>
      <c r="N120">
        <f>N109*pricing!N15*2000</f>
        <v>1883215.1970739434</v>
      </c>
      <c r="O120">
        <f>O109*pricing!O15*2000</f>
        <v>3704625.3141812859</v>
      </c>
    </row>
    <row r="121" spans="2:15" x14ac:dyDescent="0.2">
      <c r="C121" s="118" t="s">
        <v>127</v>
      </c>
      <c r="D121">
        <f>D110*pricing!D16*2000</f>
        <v>4219932.1856362419</v>
      </c>
      <c r="E121">
        <f>E110*pricing!E16*2000</f>
        <v>9492583.8975275289</v>
      </c>
      <c r="F121">
        <f>F110*pricing!F16*2000</f>
        <v>11208419.655983493</v>
      </c>
      <c r="G121">
        <f>G110*pricing!G16*2000</f>
        <v>11405938.86478376</v>
      </c>
      <c r="H121">
        <f>H110*pricing!H16*2000</f>
        <v>9966359.4427728336</v>
      </c>
      <c r="I121">
        <f>I110*pricing!I16*2000</f>
        <v>10679156.88471847</v>
      </c>
      <c r="J121">
        <f>J110*pricing!J16*2000</f>
        <v>12202921.476183096</v>
      </c>
      <c r="K121">
        <f>K110*pricing!K16*2000</f>
        <v>8278289.9698088383</v>
      </c>
      <c r="L121">
        <f>L110*pricing!L16*2000</f>
        <v>10136455.963724926</v>
      </c>
      <c r="M121">
        <f>M110*pricing!M16*2000</f>
        <v>9443684.7307444979</v>
      </c>
      <c r="N121">
        <f>N110*pricing!N16*2000</f>
        <v>6157958.2955076238</v>
      </c>
      <c r="O121">
        <f>O110*pricing!O16*2000</f>
        <v>8796859.4482033439</v>
      </c>
    </row>
    <row r="122" spans="2:15" x14ac:dyDescent="0.2">
      <c r="C122" s="118" t="s">
        <v>128</v>
      </c>
      <c r="D122">
        <f>D111*pricing!D17*2000</f>
        <v>2644106.448675693</v>
      </c>
      <c r="E122">
        <f>E111*pricing!E17*2000</f>
        <v>5353057.3822313733</v>
      </c>
      <c r="F122">
        <f>F111*pricing!F17*2000</f>
        <v>5972843.5245693717</v>
      </c>
      <c r="G122">
        <f>G111*pricing!G17*2000</f>
        <v>4668233.0845371019</v>
      </c>
      <c r="H122">
        <f>H111*pricing!H17*2000</f>
        <v>4693794.4155406365</v>
      </c>
      <c r="I122">
        <f>I111*pricing!I17*2000</f>
        <v>5258313.0037848009</v>
      </c>
      <c r="J122">
        <f>J111*pricing!J17*2000</f>
        <v>5696505.7541002007</v>
      </c>
      <c r="K122">
        <f>K111*pricing!K17*2000</f>
        <v>4921232.8925980423</v>
      </c>
      <c r="L122">
        <f>L111*pricing!L17*2000</f>
        <v>5602585.0999725219</v>
      </c>
      <c r="M122">
        <f>M111*pricing!M17*2000</f>
        <v>4087240.2749680607</v>
      </c>
      <c r="N122">
        <f>N111*pricing!N17*2000</f>
        <v>2536269.9317507916</v>
      </c>
      <c r="O122">
        <f>O111*pricing!O17*2000</f>
        <v>5357005.0646666465</v>
      </c>
    </row>
    <row r="123" spans="2:15" x14ac:dyDescent="0.2">
      <c r="C123" s="118" t="s">
        <v>129</v>
      </c>
      <c r="D123">
        <f>D112*pricing!D18*2000</f>
        <v>3593410.8899018159</v>
      </c>
      <c r="E123">
        <f>E112*pricing!E18*2000</f>
        <v>7460482.0166599713</v>
      </c>
      <c r="F123">
        <f>F112*pricing!F18*2000</f>
        <v>6374862.4228986278</v>
      </c>
      <c r="G123">
        <f>G112*pricing!G18*2000</f>
        <v>5976541.5965240896</v>
      </c>
      <c r="H123">
        <f>H112*pricing!H18*2000</f>
        <v>6659980.8947706856</v>
      </c>
      <c r="I123">
        <f>I112*pricing!I18*2000</f>
        <v>5496343.3859419944</v>
      </c>
      <c r="J123">
        <f>J112*pricing!J18*2000</f>
        <v>6911735.2701426866</v>
      </c>
      <c r="K123">
        <f>K112*pricing!K18*2000</f>
        <v>5657234.9115250641</v>
      </c>
      <c r="L123">
        <f>L112*pricing!L18*2000</f>
        <v>6150564.5467342176</v>
      </c>
      <c r="M123">
        <f>M112*pricing!M18*2000</f>
        <v>3878231.7913529393</v>
      </c>
      <c r="N123">
        <f>N112*pricing!N18*2000</f>
        <v>3513280.9485338638</v>
      </c>
      <c r="O123">
        <f>O112*pricing!O18*2000</f>
        <v>6696322.3604484405</v>
      </c>
    </row>
    <row r="124" spans="2:15" x14ac:dyDescent="0.2">
      <c r="C124" s="118" t="s">
        <v>130</v>
      </c>
      <c r="D124">
        <f>D113*pricing!D19*2000</f>
        <v>7439944.968180526</v>
      </c>
      <c r="E124">
        <f>E113*pricing!E19*2000</f>
        <v>2631091.1499421624</v>
      </c>
      <c r="F124">
        <f>F113*pricing!F19*2000</f>
        <v>1758280.7437904647</v>
      </c>
      <c r="G124">
        <f>G113*pricing!G19*2000</f>
        <v>1643645.1389835682</v>
      </c>
      <c r="H124">
        <f>H113*pricing!H19*2000</f>
        <v>1780302.639237663</v>
      </c>
      <c r="I124">
        <f>I113*pricing!I19*2000</f>
        <v>1911705.9979328092</v>
      </c>
      <c r="J124">
        <f>J113*pricing!J19*2000</f>
        <v>1667006.9703776552</v>
      </c>
      <c r="K124">
        <f>K113*pricing!K19*2000</f>
        <v>1557881.305453839</v>
      </c>
      <c r="L124">
        <f>L113*pricing!L19*2000</f>
        <v>1519764.0217743374</v>
      </c>
      <c r="M124">
        <f>M113*pricing!M19*2000</f>
        <v>1914434.87279007</v>
      </c>
      <c r="N124">
        <f>N113*pricing!N19*2000</f>
        <v>1439886.9836694039</v>
      </c>
      <c r="O124">
        <f>O113*pricing!O19*2000</f>
        <v>1787978.6520947968</v>
      </c>
    </row>
    <row r="125" spans="2:15" x14ac:dyDescent="0.2">
      <c r="C125" s="118" t="s">
        <v>131</v>
      </c>
      <c r="D125">
        <f>D114*pricing!D20*2000</f>
        <v>2145219.862926391</v>
      </c>
      <c r="E125">
        <f>E114*pricing!E20*2000</f>
        <v>1076801.4491111836</v>
      </c>
      <c r="F125">
        <f>F114*pricing!F20*2000</f>
        <v>561798.40775085031</v>
      </c>
      <c r="G125">
        <f>G114*pricing!G20*2000</f>
        <v>579386.88433235581</v>
      </c>
      <c r="H125">
        <f>H114*pricing!H20*2000</f>
        <v>413340.30932080612</v>
      </c>
      <c r="I125">
        <f>I114*pricing!I20*2000</f>
        <v>507745.53787790216</v>
      </c>
      <c r="J125">
        <f>J114*pricing!J20*2000</f>
        <v>544286.9127403748</v>
      </c>
      <c r="K125">
        <f>K114*pricing!K20*2000</f>
        <v>557756.58524498239</v>
      </c>
      <c r="L125">
        <f>L114*pricing!L20*2000</f>
        <v>564467.37651199929</v>
      </c>
      <c r="M125">
        <f>M114*pricing!M20*2000</f>
        <v>578640.85345593037</v>
      </c>
      <c r="N125">
        <f>N114*pricing!N20*2000</f>
        <v>454124.20255051035</v>
      </c>
      <c r="O125">
        <f>O114*pricing!O20*2000</f>
        <v>525669.87074483081</v>
      </c>
    </row>
    <row r="126" spans="2:15" x14ac:dyDescent="0.2">
      <c r="C126" s="118" t="s">
        <v>132</v>
      </c>
      <c r="D126">
        <f>D115*pricing!D21*2000</f>
        <v>3443205.7867380269</v>
      </c>
      <c r="E126">
        <f>E115*pricing!E21*2000</f>
        <v>1081464.3938846528</v>
      </c>
      <c r="F126">
        <f>F115*pricing!F21*2000</f>
        <v>812975.42108102283</v>
      </c>
      <c r="G126">
        <f>G115*pricing!G21*2000</f>
        <v>906406.38853801193</v>
      </c>
      <c r="H126">
        <f>H115*pricing!H21*2000</f>
        <v>562519.63054093032</v>
      </c>
      <c r="I126">
        <f>I115*pricing!I21*2000</f>
        <v>735035.05394873023</v>
      </c>
      <c r="J126">
        <f>J115*pricing!J21*2000</f>
        <v>931334.75528126047</v>
      </c>
      <c r="K126">
        <f>K115*pricing!K21*2000</f>
        <v>704785.84009351069</v>
      </c>
      <c r="L126">
        <f>L115*pricing!L21*2000</f>
        <v>764317.09506773052</v>
      </c>
      <c r="M126">
        <f>M115*pricing!M21*2000</f>
        <v>724035.0177730954</v>
      </c>
      <c r="N126">
        <f>N115*pricing!N21*2000</f>
        <v>715382.13379009056</v>
      </c>
      <c r="O126">
        <f>O115*pricing!O21*2000</f>
        <v>638938.14947406703</v>
      </c>
    </row>
    <row r="127" spans="2:15" x14ac:dyDescent="0.2">
      <c r="C127" s="118" t="s">
        <v>278</v>
      </c>
      <c r="D127">
        <f t="shared" ref="D127:O127" si="1">SUM(D$120:D$126)</f>
        <v>25034441.141293708</v>
      </c>
      <c r="E127">
        <f t="shared" si="1"/>
        <v>30875813.205326602</v>
      </c>
      <c r="F127">
        <f t="shared" si="1"/>
        <v>29803286.196305238</v>
      </c>
      <c r="G127">
        <f t="shared" si="1"/>
        <v>28678039.199293409</v>
      </c>
      <c r="H127">
        <f t="shared" si="1"/>
        <v>27715309.391481522</v>
      </c>
      <c r="I127">
        <f t="shared" si="1"/>
        <v>28005236.291589901</v>
      </c>
      <c r="J127">
        <f t="shared" si="1"/>
        <v>31380821.913115591</v>
      </c>
      <c r="K127">
        <f t="shared" si="1"/>
        <v>24973274.936631653</v>
      </c>
      <c r="L127">
        <f t="shared" si="1"/>
        <v>28775139.991094735</v>
      </c>
      <c r="M127">
        <f t="shared" si="1"/>
        <v>23667647.176598173</v>
      </c>
      <c r="N127">
        <f t="shared" si="1"/>
        <v>16700117.692876225</v>
      </c>
      <c r="O127">
        <f t="shared" si="1"/>
        <v>27507398.859813411</v>
      </c>
    </row>
    <row r="129" spans="2:15" x14ac:dyDescent="0.2">
      <c r="B129" s="120" t="s">
        <v>280</v>
      </c>
    </row>
    <row r="130" spans="2:15" x14ac:dyDescent="0.2">
      <c r="C130" s="122" t="s">
        <v>277</v>
      </c>
      <c r="D130" s="122" t="s">
        <v>92</v>
      </c>
      <c r="E130" s="122" t="s">
        <v>93</v>
      </c>
      <c r="F130" s="122" t="s">
        <v>94</v>
      </c>
      <c r="G130" s="122" t="s">
        <v>95</v>
      </c>
      <c r="H130" s="122" t="s">
        <v>96</v>
      </c>
      <c r="I130" s="122" t="s">
        <v>97</v>
      </c>
      <c r="J130" s="122" t="s">
        <v>98</v>
      </c>
      <c r="K130" s="122" t="s">
        <v>99</v>
      </c>
      <c r="L130" s="122" t="s">
        <v>100</v>
      </c>
      <c r="M130" s="122" t="s">
        <v>101</v>
      </c>
      <c r="N130" s="122" t="s">
        <v>102</v>
      </c>
      <c r="O130" s="122" t="s">
        <v>103</v>
      </c>
    </row>
    <row r="131" spans="2:15" x14ac:dyDescent="0.2">
      <c r="C131" s="122" t="s">
        <v>126</v>
      </c>
      <c r="D131" s="123">
        <f>SUM(E$6:E$19)+SUM(G$6:G$19)+SUM(I$6:I$19)+SUM(K$6:K$19)</f>
        <v>154198.9205223583</v>
      </c>
      <c r="E131" s="123">
        <f>SUM(M$6:M$19)+SUM(O$6:O$19)+SUM(Q$6:Q$19)+SUM(S$6:S$19)</f>
        <v>376360.8</v>
      </c>
      <c r="F131" s="123">
        <f>SUM(U$6:U$19)+SUM(W$6:W$19)+SUM(Y$6:Y$19)+SUM(AA$6:AA$19)</f>
        <v>311137.2</v>
      </c>
      <c r="G131" s="123">
        <f>SUM(AC$6:AC$19)+SUM(AE$6:AE$19)+SUM(AG$6:AG$19)+SUM(AI$6:AI$19)</f>
        <v>348955.72363126598</v>
      </c>
      <c r="H131" s="123">
        <f>SUM(AK$6:AK$19)+SUM(AM$6:AM$19)+SUM(AO$6:AO$19)+SUM(AQ$6:AQ$19)</f>
        <v>363801.59999999998</v>
      </c>
      <c r="I131" s="123">
        <f>SUM(AS$6:AS$19)+SUM(AU$6:AU$19)+SUM(AW$6:AW$19)+SUM(AY$6:AY$19)</f>
        <v>341041.2</v>
      </c>
      <c r="J131" s="123">
        <f>SUM(BA$6:BA$19)+SUM(BC$6:BC$19)+SUM(BE$6:BE$19)+SUM(BG$6:BG$19)</f>
        <v>343276.79999999993</v>
      </c>
      <c r="K131" s="123">
        <f>SUM(BI$6:BI$19)+SUM(BK$6:BK$19)+SUM(BM$6:BM$19)+SUM(BO$6:BO$19)</f>
        <v>331095.67923069349</v>
      </c>
      <c r="L131" s="123">
        <f>SUM(BQ$6:BQ$19)+SUM(BS$6:BS$19)+SUM(BU$6:BU$19)+SUM(BW$6:BW$19)</f>
        <v>403083.53405394789</v>
      </c>
      <c r="M131" s="123">
        <f>SUM(BY$6:BY$19)+SUM(CA$6:CA$19)+SUM(CC$6:CC$19)+SUM(CE$6:CE$19)</f>
        <v>303904.65043379948</v>
      </c>
      <c r="N131" s="123">
        <f>SUM(CG$6:CG$19)+SUM(CI$6:CI$19)+SUM(CK$6:CK$19)+SUM(CM$6:CM$19)</f>
        <v>187473.6388149804</v>
      </c>
      <c r="O131" s="123">
        <f>SUM(CO$6:CO$19)+SUM(CQ$6:CQ$19)+SUM(CS$6:CS$19)+SUM(CU$6:CU$19)</f>
        <v>370375.19999999995</v>
      </c>
    </row>
    <row r="132" spans="2:15" x14ac:dyDescent="0.2">
      <c r="C132" s="122" t="s">
        <v>127</v>
      </c>
      <c r="D132" s="123">
        <f>SUM(E$20:E$36)+SUM(G$20:G$36)+SUM(I$20:I$36)+SUM(K$20:K$36)</f>
        <v>419401.50274367293</v>
      </c>
      <c r="E132" s="123">
        <f>SUM(M$20:M$36)+SUM(O$20:O$36)+SUM(Q$20:Q$36)+SUM(S$20:S$36)</f>
        <v>948558</v>
      </c>
      <c r="F132" s="123">
        <f>SUM(U$20:U$36)+SUM(W$20:W$36)+SUM(Y$20:Y$36)+SUM(AA$20:AA$36)</f>
        <v>1115106</v>
      </c>
      <c r="G132" s="123">
        <f>SUM(AC$20:AC$36)+SUM(AE$20:AE$36)+SUM(AG$20:AG$36)+SUM(AI$20:AI$36)</f>
        <v>1147986.4943512203</v>
      </c>
      <c r="H132" s="123">
        <f>SUM(AK$20:AK$36)+SUM(AM$20:AM$36)+SUM(AO$20:AO$36)+SUM(AQ$20:AQ$36)</f>
        <v>993354</v>
      </c>
      <c r="I132" s="123">
        <f>SUM(AS$20:AS$36)+SUM(AU$20:AU$36)+SUM(AW$20:AW$36)+SUM(AY$20:AY$36)</f>
        <v>1072694.3999999999</v>
      </c>
      <c r="J132" s="123">
        <f>SUM(BA$20:BA$36)+SUM(BC$20:BC$36)+SUM(BE$20:BE$36)+SUM(BG$20:BG$36)</f>
        <v>1220894.3999999999</v>
      </c>
      <c r="K132" s="123">
        <f>SUM(BI$20:BI$36)+SUM(BK$20:BK$36)+SUM(BM$20:BM$36)+SUM(BO$20:BO$36)</f>
        <v>827331.55020254897</v>
      </c>
      <c r="L132" s="123">
        <f>SUM(BQ$20:BQ$36)+SUM(BS$20:BS$36)+SUM(BU$20:BU$36)+SUM(BW$20:BW$36)</f>
        <v>1009118.8401466862</v>
      </c>
      <c r="M132" s="123">
        <f>SUM(BY$20:BY$36)+SUM(CA$20:CA$36)+SUM(CC$20:CC$36)+SUM(CE$20:CE$36)</f>
        <v>939910.41272301343</v>
      </c>
      <c r="N132" s="123">
        <f>SUM(CG$20:CG$36)+SUM(CI$20:CI$36)+SUM(CK$20:CK$36)+SUM(CM$20:CM$36)</f>
        <v>614463.52511382638</v>
      </c>
      <c r="O132" s="123">
        <f>SUM(CO$20:CO$36)+SUM(CQ$20:CQ$36)+SUM(CS$20:CS$36)+SUM(CU$20:CU$36)</f>
        <v>879129.59999999998</v>
      </c>
    </row>
    <row r="133" spans="2:15" x14ac:dyDescent="0.2">
      <c r="C133" s="122" t="s">
        <v>128</v>
      </c>
      <c r="D133" s="123">
        <f>SUM(E$37:E$48)+SUM(G$37:G$48)+SUM(I$37:I$48)+SUM(K$37:K$48)</f>
        <v>698728.6622341898</v>
      </c>
      <c r="E133" s="123">
        <f>SUM(M$37:M$48)+SUM(O$37:O$48)+SUM(Q$37:Q$48)+SUM(S$37:S$48)</f>
        <v>1418510.4</v>
      </c>
      <c r="F133" s="123">
        <f>SUM(U$37:U$48)+SUM(W$37:W$48)+SUM(Y$37:Y$48)+SUM(AA$37:AA$48)</f>
        <v>1589809.2</v>
      </c>
      <c r="G133" s="123">
        <f>SUM(AC$37:AC$48)+SUM(AE$37:AE$48)+SUM(AG$37:AG$48)+SUM(AI$37:AI$48)</f>
        <v>1242930.8747307113</v>
      </c>
      <c r="H133" s="123">
        <f>SUM(AK$37:AK$48)+SUM(AM$37:AM$48)+SUM(AO$37:AO$48)+SUM(AQ$37:AQ$48)</f>
        <v>1248109.2</v>
      </c>
      <c r="I133" s="123">
        <f>SUM(AS$37:AS$48)+SUM(AU$37:AU$48)+SUM(AW$37:AW$48)+SUM(AY$37:AY$48)</f>
        <v>1398363.6</v>
      </c>
      <c r="J133" s="123">
        <f>SUM(BA$37:BA$48)+SUM(BC$37:BC$48)+SUM(BE$37:BE$48)+SUM(BG$37:BG$48)</f>
        <v>1515134.4000000001</v>
      </c>
      <c r="K133" s="123">
        <f>SUM(BI$37:BI$48)+SUM(BK$37:BK$48)+SUM(BM$37:BM$48)+SUM(BO$37:BO$48)</f>
        <v>1309207.9417856196</v>
      </c>
      <c r="L133" s="123">
        <f>SUM(BQ$37:BQ$48)+SUM(BS$37:BS$48)+SUM(BU$37:BU$48)+SUM(BW$37:BW$48)</f>
        <v>1482340.812020022</v>
      </c>
      <c r="M133" s="123">
        <f>SUM(BY$37:BY$48)+SUM(CA$37:CA$48)+SUM(CC$37:CC$48)+SUM(CE$37:CE$48)</f>
        <v>1089010.7193467268</v>
      </c>
      <c r="N133" s="123">
        <f>SUM(CG$37:CG$48)+SUM(CI$37:CI$48)+SUM(CK$37:CK$48)+SUM(CM$37:CM$48)</f>
        <v>672175.91953274189</v>
      </c>
      <c r="O133" s="123">
        <f>SUM(CO$37:CO$48)+SUM(CQ$37:CQ$48)+SUM(CS$37:CS$48)+SUM(CU$37:CU$48)</f>
        <v>1419570</v>
      </c>
    </row>
    <row r="134" spans="2:15" x14ac:dyDescent="0.2">
      <c r="C134" s="122" t="s">
        <v>129</v>
      </c>
      <c r="D134" s="123">
        <f>SUM(E$49:E$70)+SUM(G$49:G$70)+SUM(I$49:I$70)+SUM(K$49:K$70)</f>
        <v>818075.50942280295</v>
      </c>
      <c r="E134" s="123">
        <f>SUM(M$49:M$70)+SUM(O$49:O$70)+SUM(Q$49:Q$70)+SUM(S$49:S$70)</f>
        <v>1565287.1697145684</v>
      </c>
      <c r="F134" s="123">
        <f>SUM(U$49:U$70)+SUM(W$49:W$70)+SUM(Y$49:Y$70)+SUM(AA$49:AA$70)</f>
        <v>1335616.3116832543</v>
      </c>
      <c r="G134" s="123">
        <f>SUM(AC$49:AC$70)+SUM(AE$49:AE$70)+SUM(AG$49:AG$70)+SUM(AI$49:AI$70)</f>
        <v>1249849.4056161675</v>
      </c>
      <c r="H134" s="123">
        <f>SUM(AK$49:AK$70)+SUM(AM$49:AM$70)+SUM(AO$49:AO$70)+SUM(AQ$49:AQ$70)</f>
        <v>1388550.968758503</v>
      </c>
      <c r="I134" s="123">
        <f>SUM(AS$49:AS$70)+SUM(AU$49:AU$70)+SUM(AW$49:AW$70)+SUM(AY$49:AY$70)</f>
        <v>1146862.9347457658</v>
      </c>
      <c r="J134" s="123">
        <f>SUM(BA$49:BA$70)+SUM(BC$49:BC$70)+SUM(BE$49:BE$70)+SUM(BG$49:BG$70)</f>
        <v>1453018.6000238764</v>
      </c>
      <c r="K134" s="123">
        <f>SUM(BI$49:BI$70)+SUM(BK$49:BK$70)+SUM(BM$49:BM$70)+SUM(BO$49:BO$70)</f>
        <v>1184805.3118302764</v>
      </c>
      <c r="L134" s="123">
        <f>SUM(BQ$49:BQ$70)+SUM(BS$49:BS$70)+SUM(BU$49:BU$70)+SUM(BW$49:BW$70)</f>
        <v>1279460.336205221</v>
      </c>
      <c r="M134" s="123">
        <f>SUM(BY$49:BY$70)+SUM(CA$49:CA$70)+SUM(CC$49:CC$70)+SUM(CE$49:CE$70)</f>
        <v>812427.435643089</v>
      </c>
      <c r="N134" s="123">
        <f>SUM(CG$49:CG$70)+SUM(CI$49:CI$70)+SUM(CK$49:CK$70)+SUM(CM$49:CM$70)</f>
        <v>741776.29383286182</v>
      </c>
      <c r="O134" s="123">
        <f>SUM(CO$49:CO$70)+SUM(CQ$49:CQ$70)+SUM(CS$49:CS$70)+SUM(CU$49:CU$70)</f>
        <v>1400586.4333982691</v>
      </c>
    </row>
    <row r="135" spans="2:15" x14ac:dyDescent="0.2">
      <c r="C135" s="122" t="s">
        <v>130</v>
      </c>
      <c r="D135" s="123">
        <f>SUM(E$71:E$86)+SUM(G$71:G$86)+SUM(I$71:I$86)+SUM(K$71:K$86)</f>
        <v>1140818.3999999999</v>
      </c>
      <c r="E135" s="123">
        <f>SUM(M$71:M$86)+SUM(O$71:O$86)+SUM(Q$71:Q$86)+SUM(S$71:S$86)</f>
        <v>405530.42463050521</v>
      </c>
      <c r="F135" s="123">
        <f>SUM(U$71:U$86)+SUM(W$71:W$86)+SUM(Y$71:Y$86)+SUM(AA$71:AA$86)</f>
        <v>271821.57408279961</v>
      </c>
      <c r="G135" s="123">
        <f>SUM(AC$71:AC$86)+SUM(AE$71:AE$86)+SUM(AG$71:AG$86)+SUM(AI$71:AI$86)</f>
        <v>253834.9645252694</v>
      </c>
      <c r="H135" s="123">
        <f>SUM(AK$71:AK$86)+SUM(AM$71:AM$86)+SUM(AO$71:AO$86)+SUM(AQ$71:AQ$86)</f>
        <v>275541.24562403333</v>
      </c>
      <c r="I135" s="123">
        <f>SUM(AS$71:AS$86)+SUM(AU$71:AU$86)+SUM(AW$71:AW$86)+SUM(AY$71:AY$86)</f>
        <v>294953.12020910479</v>
      </c>
      <c r="J135" s="123">
        <f>SUM(BA$71:BA$86)+SUM(BC$71:BC$86)+SUM(BE$71:BE$86)+SUM(BG$71:BG$86)</f>
        <v>258442.84732725989</v>
      </c>
      <c r="K135" s="123">
        <f>SUM(BI$71:BI$86)+SUM(BK$71:BK$86)+SUM(BM$71:BM$86)+SUM(BO$71:BO$86)</f>
        <v>239360.54630194092</v>
      </c>
      <c r="L135" s="123">
        <f>SUM(BQ$71:BQ$86)+SUM(BS$71:BS$86)+SUM(BU$71:BU$86)+SUM(BW$71:BW$86)</f>
        <v>232025.12559096189</v>
      </c>
      <c r="M135" s="123">
        <f>SUM(BY$71:BY$86)+SUM(CA$71:CA$86)+SUM(CC$71:CC$86)+SUM(CE$71:CE$86)</f>
        <v>295167.8503732261</v>
      </c>
      <c r="N135" s="123">
        <f>SUM(CG$71:CG$86)+SUM(CI$71:CI$86)+SUM(CK$71:CK$86)+SUM(CM$71:CM$86)</f>
        <v>221747.75644035486</v>
      </c>
      <c r="O135" s="123">
        <f>SUM(CO$71:CO$86)+SUM(CQ$71:CQ$86)+SUM(CS$71:CS$86)+SUM(CU$71:CU$86)</f>
        <v>273628.25338459766</v>
      </c>
    </row>
    <row r="136" spans="2:15" x14ac:dyDescent="0.2">
      <c r="C136" s="122" t="s">
        <v>131</v>
      </c>
      <c r="D136" s="123">
        <f>SUM(E$87:E$94)+SUM(G$87:G$94)+SUM(I$87:I$94)+SUM(K$87:K$94)</f>
        <v>1186054.7999999998</v>
      </c>
      <c r="E136" s="123">
        <f>SUM(M$87:M$94)+SUM(O$87:O$94)+SUM(Q$87:Q$94)+SUM(S$87:S$94)</f>
        <v>596909.25587400829</v>
      </c>
      <c r="F136" s="123">
        <f>SUM(U$87:U$94)+SUM(W$87:W$94)+SUM(Y$87:Y$94)+SUM(AA$87:AA$94)</f>
        <v>310192.98711131711</v>
      </c>
      <c r="G136" s="123">
        <f>SUM(AC$87:AC$94)+SUM(AE$87:AE$94)+SUM(AG$87:AG$94)+SUM(AI$87:AI$94)</f>
        <v>319973.6368530062</v>
      </c>
      <c r="H136" s="123">
        <f>SUM(AK$87:AK$94)+SUM(AM$87:AM$94)+SUM(AO$87:AO$94)+SUM(AQ$87:AQ$94)</f>
        <v>227517.48312793637</v>
      </c>
      <c r="I136" s="123">
        <f>SUM(AS$87:AS$94)+SUM(AU$87:AU$94)+SUM(AW$87:AW$94)+SUM(AY$87:AY$94)</f>
        <v>280966.44175424112</v>
      </c>
      <c r="J136" s="123">
        <f>SUM(BA$87:BA$94)+SUM(BC$87:BC$94)+SUM(BE$87:BE$94)+SUM(BG$87:BG$94)</f>
        <v>300410.95338002534</v>
      </c>
      <c r="K136" s="123">
        <f>SUM(BI$87:BI$94)+SUM(BK$87:BK$94)+SUM(BM$87:BM$94)+SUM(BO$87:BO$94)</f>
        <v>308376.01839494274</v>
      </c>
      <c r="L136" s="123">
        <f>SUM(BQ$87:BQ$94)+SUM(BS$87:BS$94)+SUM(BU$87:BU$94)+SUM(BW$87:BW$94)</f>
        <v>312345.11187632778</v>
      </c>
      <c r="M136" s="123">
        <f>SUM(BY$87:BY$94)+SUM(CA$87:CA$94)+SUM(CC$87:CC$94)+SUM(CE$87:CE$94)</f>
        <v>320456.67413876252</v>
      </c>
      <c r="N136" s="123">
        <f>SUM(CG$87:CG$94)+SUM(CI$87:CI$94)+SUM(CK$87:CK$94)+SUM(CM$87:CM$94)</f>
        <v>251067.82777925348</v>
      </c>
      <c r="O136" s="123">
        <f>SUM(CO$87:CO$94)+SUM(CQ$87:CQ$94)+SUM(CS$87:CS$94)+SUM(CU$87:CU$94)</f>
        <v>290329.38863253209</v>
      </c>
    </row>
    <row r="137" spans="2:15" x14ac:dyDescent="0.2">
      <c r="C137" s="122" t="s">
        <v>132</v>
      </c>
      <c r="D137" s="123">
        <f>SUM(E$95:E$105)+SUM(G$95:G$105)+SUM(I$95:I$105)+SUM(K$95:K$105)</f>
        <v>1463726.4</v>
      </c>
      <c r="E137" s="123">
        <f>SUM(M$95:M$105)+SUM(O$95:O$105)+SUM(Q$95:Q$105)+SUM(S$95:S$105)</f>
        <v>457234.04574260081</v>
      </c>
      <c r="F137" s="123">
        <f>SUM(U$95:U$105)+SUM(W$95:W$105)+SUM(Y$95:Y$105)+SUM(AA$95:AA$105)</f>
        <v>344740.3692442053</v>
      </c>
      <c r="G137" s="123">
        <f>SUM(AC$95:AC$105)+SUM(AE$95:AE$105)+SUM(AG$95:AG$105)+SUM(AI$95:AI$105)</f>
        <v>384402.96713867749</v>
      </c>
      <c r="H137" s="123">
        <f>SUM(AK$95:AK$105)+SUM(AM$95:AM$105)+SUM(AO$95:AO$105)+SUM(AQ$95:AQ$105)</f>
        <v>237772.85940336002</v>
      </c>
      <c r="I137" s="123">
        <f>SUM(AS$95:AS$105)+SUM(AU$95:AU$105)+SUM(AW$95:AW$105)+SUM(AY$95:AY$105)</f>
        <v>310332.59937487199</v>
      </c>
      <c r="J137" s="123">
        <f>SUM(BA$95:BA$105)+SUM(BC$95:BC$105)+SUM(BE$95:BE$105)+SUM(BG$95:BG$105)</f>
        <v>392626.37020597118</v>
      </c>
      <c r="K137" s="123">
        <f>SUM(BI$95:BI$105)+SUM(BK$95:BK$105)+SUM(BM$95:BM$105)+SUM(BO$95:BO$105)</f>
        <v>297203.45389503968</v>
      </c>
      <c r="L137" s="123">
        <f>SUM(BQ$95:BQ$105)+SUM(BS$95:BS$105)+SUM(BU$95:BU$105)+SUM(BW$95:BW$105)</f>
        <v>319496.19408038916</v>
      </c>
      <c r="M137" s="123">
        <f>SUM(BY$95:BY$105)+SUM(CA$95:CA$105)+SUM(CC$95:CC$105)+SUM(CE$95:CE$105)</f>
        <v>303906.25280159706</v>
      </c>
      <c r="N137" s="123">
        <f>SUM(CG$95:CG$105)+SUM(CI$95:CI$105)+SUM(CK$95:CK$105)+SUM(CM$95:CM$105)</f>
        <v>303551.28382718551</v>
      </c>
      <c r="O137" s="123">
        <f>SUM(CO$95:CO$105)+SUM(CQ$95:CQ$105)+SUM(CS$95:CS$105)+SUM(CU$95:CU$105)</f>
        <v>269153.76989806764</v>
      </c>
    </row>
    <row r="138" spans="2:15" x14ac:dyDescent="0.2">
      <c r="C138" s="122" t="s">
        <v>278</v>
      </c>
      <c r="D138">
        <f t="shared" ref="D138:O138" si="2">SUM(D$131:D$137)</f>
        <v>5881004.1949230246</v>
      </c>
      <c r="E138">
        <f t="shared" si="2"/>
        <v>5768390.0959616825</v>
      </c>
      <c r="F138">
        <f t="shared" si="2"/>
        <v>5278423.6421215758</v>
      </c>
      <c r="G138">
        <f t="shared" si="2"/>
        <v>4947934.0668463185</v>
      </c>
      <c r="H138">
        <f t="shared" si="2"/>
        <v>4734647.3569138329</v>
      </c>
      <c r="I138">
        <f t="shared" si="2"/>
        <v>4845214.296083984</v>
      </c>
      <c r="J138">
        <f t="shared" si="2"/>
        <v>5483804.3709371332</v>
      </c>
      <c r="K138">
        <f t="shared" si="2"/>
        <v>4497380.5016410621</v>
      </c>
      <c r="L138">
        <f t="shared" si="2"/>
        <v>5037869.953973555</v>
      </c>
      <c r="M138">
        <f t="shared" si="2"/>
        <v>4064783.9954602146</v>
      </c>
      <c r="N138">
        <f t="shared" si="2"/>
        <v>2992256.2453412046</v>
      </c>
      <c r="O138">
        <f t="shared" si="2"/>
        <v>4902772.645313466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sheetData>
    <row r="2" spans="1:99" x14ac:dyDescent="0.2">
      <c r="B2" s="1" t="s">
        <v>272</v>
      </c>
    </row>
    <row r="3" spans="1:99" x14ac:dyDescent="0.2">
      <c r="B3" s="120" t="s">
        <v>281</v>
      </c>
    </row>
    <row r="4" spans="1:99" x14ac:dyDescent="0.2">
      <c r="A4" s="119"/>
      <c r="B4" s="119"/>
      <c r="C4" s="118" t="s">
        <v>274</v>
      </c>
      <c r="D4" s="118" t="s">
        <v>92</v>
      </c>
      <c r="E4" s="119"/>
      <c r="F4" s="119"/>
      <c r="G4" s="119"/>
      <c r="H4" s="119"/>
      <c r="I4" s="119"/>
      <c r="J4" s="119"/>
      <c r="K4" s="119"/>
      <c r="L4" s="118" t="s">
        <v>93</v>
      </c>
      <c r="M4" s="119"/>
      <c r="N4" s="119"/>
      <c r="O4" s="119"/>
      <c r="P4" s="119"/>
      <c r="Q4" s="119"/>
      <c r="R4" s="119"/>
      <c r="S4" s="119"/>
      <c r="T4" s="118" t="s">
        <v>94</v>
      </c>
      <c r="U4" s="119"/>
      <c r="V4" s="119"/>
      <c r="W4" s="119"/>
      <c r="X4" s="119"/>
      <c r="Y4" s="119"/>
      <c r="Z4" s="119"/>
      <c r="AA4" s="119"/>
      <c r="AB4" s="118" t="s">
        <v>95</v>
      </c>
      <c r="AC4" s="119"/>
      <c r="AD4" s="119"/>
      <c r="AE4" s="119"/>
      <c r="AF4" s="119"/>
      <c r="AG4" s="119"/>
      <c r="AH4" s="119"/>
      <c r="AI4" s="119"/>
      <c r="AJ4" s="118" t="s">
        <v>96</v>
      </c>
      <c r="AK4" s="119"/>
      <c r="AL4" s="119"/>
      <c r="AM4" s="119"/>
      <c r="AN4" s="119"/>
      <c r="AO4" s="119"/>
      <c r="AP4" s="119"/>
      <c r="AQ4" s="119"/>
      <c r="AR4" s="118" t="s">
        <v>97</v>
      </c>
      <c r="AS4" s="119"/>
      <c r="AT4" s="119"/>
      <c r="AU4" s="119"/>
      <c r="AV4" s="119"/>
      <c r="AW4" s="119"/>
      <c r="AX4" s="119"/>
      <c r="AY4" s="119"/>
      <c r="AZ4" s="118" t="s">
        <v>98</v>
      </c>
      <c r="BA4" s="119"/>
      <c r="BB4" s="119"/>
      <c r="BC4" s="119"/>
      <c r="BD4" s="119"/>
      <c r="BE4" s="119"/>
      <c r="BF4" s="119"/>
      <c r="BG4" s="119"/>
      <c r="BH4" s="118" t="s">
        <v>99</v>
      </c>
      <c r="BI4" s="119"/>
      <c r="BJ4" s="119"/>
      <c r="BK4" s="119"/>
      <c r="BL4" s="119"/>
      <c r="BM4" s="119"/>
      <c r="BN4" s="119"/>
      <c r="BO4" s="119"/>
      <c r="BP4" s="118" t="s">
        <v>100</v>
      </c>
      <c r="BQ4" s="119"/>
      <c r="BR4" s="119"/>
      <c r="BS4" s="119"/>
      <c r="BT4" s="119"/>
      <c r="BU4" s="119"/>
      <c r="BV4" s="119"/>
      <c r="BW4" s="119"/>
      <c r="BX4" s="118" t="s">
        <v>101</v>
      </c>
      <c r="BY4" s="119"/>
      <c r="BZ4" s="119"/>
      <c r="CA4" s="119"/>
      <c r="CB4" s="119"/>
      <c r="CC4" s="119"/>
      <c r="CD4" s="119"/>
      <c r="CE4" s="119"/>
      <c r="CF4" s="118" t="s">
        <v>102</v>
      </c>
      <c r="CG4" s="119"/>
      <c r="CH4" s="119"/>
      <c r="CI4" s="119"/>
      <c r="CJ4" s="119"/>
      <c r="CK4" s="119"/>
      <c r="CL4" s="119"/>
      <c r="CM4" s="119"/>
      <c r="CN4" s="118" t="s">
        <v>103</v>
      </c>
      <c r="CO4" s="119"/>
      <c r="CP4" s="119"/>
      <c r="CQ4" s="119"/>
      <c r="CR4" s="119"/>
      <c r="CS4" s="119"/>
      <c r="CT4" s="119"/>
      <c r="CU4" s="119"/>
    </row>
    <row r="5" spans="1:99" x14ac:dyDescent="0.2">
      <c r="B5" s="118" t="s">
        <v>167</v>
      </c>
      <c r="C5" s="118" t="s">
        <v>275</v>
      </c>
      <c r="D5" s="118">
        <v>1</v>
      </c>
      <c r="E5" s="118"/>
      <c r="F5" s="118">
        <v>2</v>
      </c>
      <c r="G5" s="118"/>
      <c r="H5" s="118">
        <v>3</v>
      </c>
      <c r="I5" s="118"/>
      <c r="J5" s="118">
        <v>4</v>
      </c>
      <c r="K5" s="118"/>
      <c r="L5" s="118">
        <v>1</v>
      </c>
      <c r="M5" s="118"/>
      <c r="N5" s="118">
        <v>2</v>
      </c>
      <c r="O5" s="118"/>
      <c r="P5" s="118">
        <v>3</v>
      </c>
      <c r="Q5" s="118"/>
      <c r="R5" s="118">
        <v>4</v>
      </c>
      <c r="S5" s="118"/>
      <c r="T5" s="118">
        <v>1</v>
      </c>
      <c r="U5" s="118"/>
      <c r="V5" s="118">
        <v>2</v>
      </c>
      <c r="W5" s="118"/>
      <c r="X5" s="118">
        <v>3</v>
      </c>
      <c r="Y5" s="118"/>
      <c r="Z5" s="118">
        <v>4</v>
      </c>
      <c r="AA5" s="118"/>
      <c r="AB5" s="118">
        <v>1</v>
      </c>
      <c r="AC5" s="118"/>
      <c r="AD5" s="118">
        <v>2</v>
      </c>
      <c r="AE5" s="118"/>
      <c r="AF5" s="118">
        <v>3</v>
      </c>
      <c r="AG5" s="118"/>
      <c r="AH5" s="118">
        <v>4</v>
      </c>
      <c r="AI5" s="118"/>
      <c r="AJ5" s="118">
        <v>1</v>
      </c>
      <c r="AK5" s="118"/>
      <c r="AL5" s="118">
        <v>2</v>
      </c>
      <c r="AM5" s="118"/>
      <c r="AN5" s="118">
        <v>3</v>
      </c>
      <c r="AO5" s="118"/>
      <c r="AP5" s="118">
        <v>4</v>
      </c>
      <c r="AQ5" s="118"/>
      <c r="AR5" s="118">
        <v>1</v>
      </c>
      <c r="AS5" s="118"/>
      <c r="AT5" s="118">
        <v>2</v>
      </c>
      <c r="AU5" s="118"/>
      <c r="AV5" s="118">
        <v>3</v>
      </c>
      <c r="AW5" s="118"/>
      <c r="AX5" s="118">
        <v>4</v>
      </c>
      <c r="AY5" s="118"/>
      <c r="AZ5" s="118">
        <v>1</v>
      </c>
      <c r="BA5" s="118"/>
      <c r="BB5" s="118">
        <v>2</v>
      </c>
      <c r="BC5" s="118"/>
      <c r="BD5" s="118">
        <v>3</v>
      </c>
      <c r="BE5" s="118"/>
      <c r="BF5" s="118">
        <v>4</v>
      </c>
      <c r="BG5" s="118"/>
      <c r="BH5" s="118">
        <v>1</v>
      </c>
      <c r="BI5" s="118"/>
      <c r="BJ5" s="118">
        <v>2</v>
      </c>
      <c r="BK5" s="118"/>
      <c r="BL5" s="118">
        <v>3</v>
      </c>
      <c r="BM5" s="118"/>
      <c r="BN5" s="118">
        <v>4</v>
      </c>
      <c r="BO5" s="118"/>
      <c r="BP5" s="118">
        <v>1</v>
      </c>
      <c r="BQ5" s="118"/>
      <c r="BR5" s="118">
        <v>2</v>
      </c>
      <c r="BS5" s="118"/>
      <c r="BT5" s="118">
        <v>3</v>
      </c>
      <c r="BU5" s="118"/>
      <c r="BV5" s="118">
        <v>4</v>
      </c>
      <c r="BW5" s="118"/>
      <c r="BX5" s="118">
        <v>1</v>
      </c>
      <c r="BY5" s="118"/>
      <c r="BZ5" s="118">
        <v>2</v>
      </c>
      <c r="CA5" s="118"/>
      <c r="CB5" s="118">
        <v>3</v>
      </c>
      <c r="CC5" s="118"/>
      <c r="CD5" s="118">
        <v>4</v>
      </c>
      <c r="CE5" s="118"/>
      <c r="CF5" s="118">
        <v>1</v>
      </c>
      <c r="CG5" s="118"/>
      <c r="CH5" s="118">
        <v>2</v>
      </c>
      <c r="CI5" s="118"/>
      <c r="CJ5" s="118">
        <v>3</v>
      </c>
      <c r="CK5" s="118"/>
      <c r="CL5" s="118">
        <v>4</v>
      </c>
      <c r="CM5" s="118"/>
      <c r="CN5" s="118">
        <v>1</v>
      </c>
      <c r="CO5" s="118"/>
      <c r="CP5" s="118">
        <v>2</v>
      </c>
      <c r="CQ5" s="118"/>
      <c r="CR5" s="118">
        <v>3</v>
      </c>
      <c r="CS5" s="118"/>
      <c r="CT5" s="118">
        <v>4</v>
      </c>
      <c r="CU5" s="118"/>
    </row>
    <row r="6" spans="1:99" x14ac:dyDescent="0.2">
      <c r="B6" s="118" t="s">
        <v>126</v>
      </c>
      <c r="C6" s="118" t="s">
        <v>172</v>
      </c>
      <c r="D6">
        <v>3.5577483365878999</v>
      </c>
      <c r="E6">
        <v>2057.8016378824414</v>
      </c>
      <c r="F6">
        <v>9.4313691529921595</v>
      </c>
      <c r="G6">
        <v>5455.1039180906646</v>
      </c>
      <c r="H6">
        <v>9</v>
      </c>
      <c r="I6">
        <v>5205.5999999999995</v>
      </c>
      <c r="J6">
        <v>7.3460674267824668</v>
      </c>
      <c r="K6">
        <v>4248.9653996509787</v>
      </c>
      <c r="L6">
        <v>6</v>
      </c>
      <c r="M6">
        <v>3470.3999999999996</v>
      </c>
      <c r="N6">
        <v>10</v>
      </c>
      <c r="O6">
        <v>5784</v>
      </c>
      <c r="P6">
        <v>10</v>
      </c>
      <c r="Q6">
        <v>5784</v>
      </c>
      <c r="R6">
        <v>9</v>
      </c>
      <c r="S6">
        <v>5205.5999999999995</v>
      </c>
      <c r="T6">
        <v>6</v>
      </c>
      <c r="U6">
        <v>3470.3999999999996</v>
      </c>
      <c r="V6">
        <v>6</v>
      </c>
      <c r="W6">
        <v>3470.3999999999996</v>
      </c>
      <c r="X6">
        <v>6</v>
      </c>
      <c r="Y6">
        <v>3470.3999999999996</v>
      </c>
      <c r="Z6">
        <v>9</v>
      </c>
      <c r="AA6">
        <v>5205.5999999999995</v>
      </c>
      <c r="AB6">
        <v>7</v>
      </c>
      <c r="AC6">
        <v>4048.7999999999997</v>
      </c>
      <c r="AD6">
        <v>7</v>
      </c>
      <c r="AE6">
        <v>4048.7999999999997</v>
      </c>
      <c r="AF6">
        <v>8</v>
      </c>
      <c r="AG6">
        <v>4627.2</v>
      </c>
      <c r="AH6">
        <v>7</v>
      </c>
      <c r="AI6">
        <v>4048.7999999999997</v>
      </c>
      <c r="AJ6">
        <v>10</v>
      </c>
      <c r="AK6">
        <v>5784</v>
      </c>
      <c r="AL6">
        <v>8</v>
      </c>
      <c r="AM6">
        <v>4627.2</v>
      </c>
      <c r="AN6">
        <v>6</v>
      </c>
      <c r="AO6">
        <v>3470.3999999999996</v>
      </c>
      <c r="AP6">
        <v>10</v>
      </c>
      <c r="AQ6">
        <v>5784</v>
      </c>
      <c r="AR6">
        <v>9</v>
      </c>
      <c r="AS6">
        <v>5205.5999999999995</v>
      </c>
      <c r="AT6">
        <v>8</v>
      </c>
      <c r="AU6">
        <v>4627.2</v>
      </c>
      <c r="AV6">
        <v>6</v>
      </c>
      <c r="AW6">
        <v>3470.3999999999996</v>
      </c>
      <c r="AX6">
        <v>7</v>
      </c>
      <c r="AY6">
        <v>4048.7999999999997</v>
      </c>
      <c r="AZ6">
        <v>8</v>
      </c>
      <c r="BA6">
        <v>4627.2</v>
      </c>
      <c r="BB6">
        <v>8</v>
      </c>
      <c r="BC6">
        <v>4627.2</v>
      </c>
      <c r="BD6">
        <v>9</v>
      </c>
      <c r="BE6">
        <v>5205.5999999999995</v>
      </c>
      <c r="BF6">
        <v>10</v>
      </c>
      <c r="BG6">
        <v>5784</v>
      </c>
      <c r="BH6">
        <v>10</v>
      </c>
      <c r="BI6">
        <v>5784</v>
      </c>
      <c r="BJ6">
        <v>10</v>
      </c>
      <c r="BK6">
        <v>5784</v>
      </c>
      <c r="BL6">
        <v>9</v>
      </c>
      <c r="BM6">
        <v>5205.5999999999995</v>
      </c>
      <c r="BN6">
        <v>11</v>
      </c>
      <c r="BO6">
        <v>6362.4</v>
      </c>
      <c r="BP6">
        <v>10</v>
      </c>
      <c r="BQ6">
        <v>5784</v>
      </c>
      <c r="BR6">
        <v>12</v>
      </c>
      <c r="BS6">
        <v>6940.7999999999993</v>
      </c>
      <c r="BT6">
        <v>11</v>
      </c>
      <c r="BU6">
        <v>6362.4</v>
      </c>
      <c r="BV6">
        <v>11</v>
      </c>
      <c r="BW6">
        <v>6362.4</v>
      </c>
      <c r="BX6">
        <v>8</v>
      </c>
      <c r="BY6">
        <v>4627.2</v>
      </c>
      <c r="BZ6">
        <v>7</v>
      </c>
      <c r="CA6">
        <v>4048.7999999999997</v>
      </c>
      <c r="CB6">
        <v>11</v>
      </c>
      <c r="CC6">
        <v>6362.4</v>
      </c>
      <c r="CD6">
        <v>6</v>
      </c>
      <c r="CE6">
        <v>3470.3999999999996</v>
      </c>
      <c r="CF6">
        <v>10</v>
      </c>
      <c r="CG6">
        <v>5784</v>
      </c>
      <c r="CH6">
        <v>10</v>
      </c>
      <c r="CI6">
        <v>5784</v>
      </c>
      <c r="CJ6">
        <v>9</v>
      </c>
      <c r="CK6">
        <v>5205.5999999999995</v>
      </c>
      <c r="CL6">
        <v>12</v>
      </c>
      <c r="CM6">
        <v>6940.7999999999993</v>
      </c>
      <c r="CN6">
        <v>10</v>
      </c>
      <c r="CO6">
        <v>5784</v>
      </c>
      <c r="CP6">
        <v>10</v>
      </c>
      <c r="CQ6">
        <v>5784</v>
      </c>
      <c r="CR6">
        <v>11</v>
      </c>
      <c r="CS6">
        <v>6362.4</v>
      </c>
      <c r="CT6">
        <v>8</v>
      </c>
      <c r="CU6">
        <v>4627.2</v>
      </c>
    </row>
    <row r="7" spans="1:99" x14ac:dyDescent="0.2">
      <c r="C7" s="118" t="s">
        <v>173</v>
      </c>
      <c r="D7">
        <v>3.0494985742181995</v>
      </c>
      <c r="E7">
        <v>2404.2246759136283</v>
      </c>
      <c r="F7">
        <v>9.3834392471041408</v>
      </c>
      <c r="G7">
        <v>7397.9035024169043</v>
      </c>
      <c r="H7">
        <v>9</v>
      </c>
      <c r="I7">
        <v>7095.5999999999995</v>
      </c>
      <c r="J7">
        <v>7.3460674267824668</v>
      </c>
      <c r="K7">
        <v>5791.639559275297</v>
      </c>
      <c r="L7">
        <v>6</v>
      </c>
      <c r="M7">
        <v>4730.3999999999996</v>
      </c>
      <c r="N7">
        <v>10</v>
      </c>
      <c r="O7">
        <v>7884</v>
      </c>
      <c r="P7">
        <v>9</v>
      </c>
      <c r="Q7">
        <v>7095.5999999999995</v>
      </c>
      <c r="R7">
        <v>9</v>
      </c>
      <c r="S7">
        <v>7095.5999999999995</v>
      </c>
      <c r="T7">
        <v>6</v>
      </c>
      <c r="U7">
        <v>4730.3999999999996</v>
      </c>
      <c r="V7">
        <v>6</v>
      </c>
      <c r="W7">
        <v>4730.3999999999996</v>
      </c>
      <c r="X7">
        <v>7</v>
      </c>
      <c r="Y7">
        <v>5518.8</v>
      </c>
      <c r="Z7">
        <v>9</v>
      </c>
      <c r="AA7">
        <v>7095.5999999999995</v>
      </c>
      <c r="AB7">
        <v>8</v>
      </c>
      <c r="AC7">
        <v>6307.2</v>
      </c>
      <c r="AD7">
        <v>6</v>
      </c>
      <c r="AE7">
        <v>4730.3999999999996</v>
      </c>
      <c r="AF7">
        <v>8</v>
      </c>
      <c r="AG7">
        <v>6307.2</v>
      </c>
      <c r="AH7">
        <v>7</v>
      </c>
      <c r="AI7">
        <v>5518.8</v>
      </c>
      <c r="AJ7">
        <v>10</v>
      </c>
      <c r="AK7">
        <v>7884</v>
      </c>
      <c r="AL7">
        <v>9</v>
      </c>
      <c r="AM7">
        <v>7095.5999999999995</v>
      </c>
      <c r="AN7">
        <v>7</v>
      </c>
      <c r="AO7">
        <v>5518.8</v>
      </c>
      <c r="AP7">
        <v>11</v>
      </c>
      <c r="AQ7">
        <v>8672.4</v>
      </c>
      <c r="AR7">
        <v>10</v>
      </c>
      <c r="AS7">
        <v>7884</v>
      </c>
      <c r="AT7">
        <v>9</v>
      </c>
      <c r="AU7">
        <v>7095.5999999999995</v>
      </c>
      <c r="AV7">
        <v>6</v>
      </c>
      <c r="AW7">
        <v>4730.3999999999996</v>
      </c>
      <c r="AX7">
        <v>7</v>
      </c>
      <c r="AY7">
        <v>5518.8</v>
      </c>
      <c r="AZ7">
        <v>9</v>
      </c>
      <c r="BA7">
        <v>7095.5999999999995</v>
      </c>
      <c r="BB7">
        <v>8</v>
      </c>
      <c r="BC7">
        <v>6307.2</v>
      </c>
      <c r="BD7">
        <v>8</v>
      </c>
      <c r="BE7">
        <v>6307.2</v>
      </c>
      <c r="BF7">
        <v>12</v>
      </c>
      <c r="BG7">
        <v>9460.7999999999993</v>
      </c>
      <c r="BH7">
        <v>9</v>
      </c>
      <c r="BI7">
        <v>7095.5999999999995</v>
      </c>
      <c r="BJ7">
        <v>9</v>
      </c>
      <c r="BK7">
        <v>7095.5999999999995</v>
      </c>
      <c r="BL7">
        <v>9</v>
      </c>
      <c r="BM7">
        <v>7095.5999999999995</v>
      </c>
      <c r="BN7">
        <v>12</v>
      </c>
      <c r="BO7">
        <v>9460.7999999999993</v>
      </c>
      <c r="BP7">
        <v>9</v>
      </c>
      <c r="BQ7">
        <v>7095.5999999999995</v>
      </c>
      <c r="BR7">
        <v>11</v>
      </c>
      <c r="BS7">
        <v>8672.4</v>
      </c>
      <c r="BT7">
        <v>10</v>
      </c>
      <c r="BU7">
        <v>7884</v>
      </c>
      <c r="BV7">
        <v>12</v>
      </c>
      <c r="BW7">
        <v>9460.7999999999993</v>
      </c>
      <c r="BX7">
        <v>7</v>
      </c>
      <c r="BY7">
        <v>5518.8</v>
      </c>
      <c r="BZ7">
        <v>7</v>
      </c>
      <c r="CA7">
        <v>5518.8</v>
      </c>
      <c r="CB7">
        <v>10</v>
      </c>
      <c r="CC7">
        <v>7884</v>
      </c>
      <c r="CD7">
        <v>6</v>
      </c>
      <c r="CE7">
        <v>4730.3999999999996</v>
      </c>
      <c r="CF7">
        <v>10</v>
      </c>
      <c r="CG7">
        <v>7884</v>
      </c>
      <c r="CH7">
        <v>10</v>
      </c>
      <c r="CI7">
        <v>7884</v>
      </c>
      <c r="CJ7">
        <v>9</v>
      </c>
      <c r="CK7">
        <v>7095.5999999999995</v>
      </c>
      <c r="CL7">
        <v>12</v>
      </c>
      <c r="CM7">
        <v>9460.7999999999993</v>
      </c>
      <c r="CN7">
        <v>11</v>
      </c>
      <c r="CO7">
        <v>8672.4</v>
      </c>
      <c r="CP7">
        <v>12</v>
      </c>
      <c r="CQ7">
        <v>9460.7999999999993</v>
      </c>
      <c r="CR7">
        <v>9</v>
      </c>
      <c r="CS7">
        <v>7095.5999999999995</v>
      </c>
      <c r="CT7">
        <v>8</v>
      </c>
      <c r="CU7">
        <v>6307.2</v>
      </c>
    </row>
    <row r="8" spans="1:99" x14ac:dyDescent="0.2">
      <c r="C8" s="118" t="s">
        <v>174</v>
      </c>
      <c r="D8">
        <v>3.0494985742181995</v>
      </c>
      <c r="E8">
        <v>944.12475857795448</v>
      </c>
      <c r="F8">
        <v>9.3834392471041408</v>
      </c>
      <c r="G8">
        <v>2905.1127909034417</v>
      </c>
      <c r="H8">
        <v>9</v>
      </c>
      <c r="I8">
        <v>2786.3999999999996</v>
      </c>
      <c r="J8">
        <v>7.3460674267824668</v>
      </c>
      <c r="K8">
        <v>2274.3424753318513</v>
      </c>
      <c r="L8">
        <v>7</v>
      </c>
      <c r="M8">
        <v>2167.1999999999998</v>
      </c>
      <c r="N8">
        <v>10</v>
      </c>
      <c r="O8">
        <v>3095.9999999999995</v>
      </c>
      <c r="P8">
        <v>9</v>
      </c>
      <c r="Q8">
        <v>2786.3999999999996</v>
      </c>
      <c r="R8">
        <v>10</v>
      </c>
      <c r="S8">
        <v>3095.9999999999995</v>
      </c>
      <c r="T8">
        <v>7</v>
      </c>
      <c r="U8">
        <v>2167.1999999999998</v>
      </c>
      <c r="V8">
        <v>6</v>
      </c>
      <c r="W8">
        <v>1857.6</v>
      </c>
      <c r="X8">
        <v>7</v>
      </c>
      <c r="Y8">
        <v>2167.1999999999998</v>
      </c>
      <c r="Z8">
        <v>10</v>
      </c>
      <c r="AA8">
        <v>3095.9999999999995</v>
      </c>
      <c r="AB8">
        <v>8</v>
      </c>
      <c r="AC8">
        <v>2476.7999999999997</v>
      </c>
      <c r="AD8">
        <v>7</v>
      </c>
      <c r="AE8">
        <v>2167.1999999999998</v>
      </c>
      <c r="AF8">
        <v>9</v>
      </c>
      <c r="AG8">
        <v>2786.3999999999996</v>
      </c>
      <c r="AH8">
        <v>8</v>
      </c>
      <c r="AI8">
        <v>2476.7999999999997</v>
      </c>
      <c r="AJ8">
        <v>10</v>
      </c>
      <c r="AK8">
        <v>3095.9999999999995</v>
      </c>
      <c r="AL8">
        <v>8</v>
      </c>
      <c r="AM8">
        <v>2476.7999999999997</v>
      </c>
      <c r="AN8">
        <v>6</v>
      </c>
      <c r="AO8">
        <v>1857.6</v>
      </c>
      <c r="AP8">
        <v>10</v>
      </c>
      <c r="AQ8">
        <v>3095.9999999999995</v>
      </c>
      <c r="AR8">
        <v>9</v>
      </c>
      <c r="AS8">
        <v>2786.3999999999996</v>
      </c>
      <c r="AT8">
        <v>9</v>
      </c>
      <c r="AU8">
        <v>2786.3999999999996</v>
      </c>
      <c r="AV8">
        <v>7</v>
      </c>
      <c r="AW8">
        <v>2167.1999999999998</v>
      </c>
      <c r="AX8">
        <v>8</v>
      </c>
      <c r="AY8">
        <v>2476.7999999999997</v>
      </c>
      <c r="AZ8">
        <v>10</v>
      </c>
      <c r="BA8">
        <v>3095.9999999999995</v>
      </c>
      <c r="BB8">
        <v>8</v>
      </c>
      <c r="BC8">
        <v>2476.7999999999997</v>
      </c>
      <c r="BD8">
        <v>9</v>
      </c>
      <c r="BE8">
        <v>2786.3999999999996</v>
      </c>
      <c r="BF8">
        <v>11</v>
      </c>
      <c r="BG8">
        <v>3405.5999999999995</v>
      </c>
      <c r="BH8">
        <v>10</v>
      </c>
      <c r="BI8">
        <v>3095.9999999999995</v>
      </c>
      <c r="BJ8">
        <v>9</v>
      </c>
      <c r="BK8">
        <v>2786.3999999999996</v>
      </c>
      <c r="BL8">
        <v>10</v>
      </c>
      <c r="BM8">
        <v>3095.9999999999995</v>
      </c>
      <c r="BN8">
        <v>12</v>
      </c>
      <c r="BO8">
        <v>3715.2</v>
      </c>
      <c r="BP8">
        <v>10</v>
      </c>
      <c r="BQ8">
        <v>3095.9999999999995</v>
      </c>
      <c r="BR8">
        <v>12</v>
      </c>
      <c r="BS8">
        <v>3715.2</v>
      </c>
      <c r="BT8">
        <v>11</v>
      </c>
      <c r="BU8">
        <v>3405.5999999999995</v>
      </c>
      <c r="BV8">
        <v>11</v>
      </c>
      <c r="BW8">
        <v>3405.5999999999995</v>
      </c>
      <c r="BX8">
        <v>7</v>
      </c>
      <c r="BY8">
        <v>2167.1999999999998</v>
      </c>
      <c r="BZ8">
        <v>7</v>
      </c>
      <c r="CA8">
        <v>2167.1999999999998</v>
      </c>
      <c r="CB8">
        <v>11</v>
      </c>
      <c r="CC8">
        <v>3405.5999999999995</v>
      </c>
      <c r="CD8">
        <v>7</v>
      </c>
      <c r="CE8">
        <v>2167.1999999999998</v>
      </c>
      <c r="CF8">
        <v>11</v>
      </c>
      <c r="CG8">
        <v>3405.5999999999995</v>
      </c>
      <c r="CH8">
        <v>9</v>
      </c>
      <c r="CI8">
        <v>2786.3999999999996</v>
      </c>
      <c r="CJ8">
        <v>9</v>
      </c>
      <c r="CK8">
        <v>2786.3999999999996</v>
      </c>
      <c r="CL8">
        <v>11</v>
      </c>
      <c r="CM8">
        <v>3405.5999999999995</v>
      </c>
      <c r="CN8">
        <v>12</v>
      </c>
      <c r="CO8">
        <v>3715.2</v>
      </c>
      <c r="CP8">
        <v>12</v>
      </c>
      <c r="CQ8">
        <v>3715.2</v>
      </c>
      <c r="CR8">
        <v>10</v>
      </c>
      <c r="CS8">
        <v>3095.9999999999995</v>
      </c>
      <c r="CT8">
        <v>7</v>
      </c>
      <c r="CU8">
        <v>2167.1999999999998</v>
      </c>
    </row>
    <row r="9" spans="1:99" x14ac:dyDescent="0.2">
      <c r="C9" s="118" t="s">
        <v>175</v>
      </c>
      <c r="D9">
        <v>3.0494985742181995</v>
      </c>
      <c r="E9">
        <v>2140.747999101176</v>
      </c>
      <c r="F9">
        <v>9.3834392471041408</v>
      </c>
      <c r="G9">
        <v>6587.174351467107</v>
      </c>
      <c r="H9">
        <v>10</v>
      </c>
      <c r="I9">
        <v>7020</v>
      </c>
      <c r="J9">
        <v>7.3460674267824668</v>
      </c>
      <c r="K9">
        <v>5156.9393336012918</v>
      </c>
      <c r="L9">
        <v>7</v>
      </c>
      <c r="M9">
        <v>4914</v>
      </c>
      <c r="N9">
        <v>10</v>
      </c>
      <c r="O9">
        <v>7020</v>
      </c>
      <c r="P9">
        <v>10</v>
      </c>
      <c r="Q9">
        <v>7020</v>
      </c>
      <c r="R9">
        <v>10</v>
      </c>
      <c r="S9">
        <v>7020</v>
      </c>
      <c r="T9">
        <v>6</v>
      </c>
      <c r="U9">
        <v>4212</v>
      </c>
      <c r="V9">
        <v>6</v>
      </c>
      <c r="W9">
        <v>4212</v>
      </c>
      <c r="X9">
        <v>6</v>
      </c>
      <c r="Y9">
        <v>4212</v>
      </c>
      <c r="Z9">
        <v>10</v>
      </c>
      <c r="AA9">
        <v>7020</v>
      </c>
      <c r="AB9">
        <v>8</v>
      </c>
      <c r="AC9">
        <v>5616</v>
      </c>
      <c r="AD9">
        <v>7</v>
      </c>
      <c r="AE9">
        <v>4914</v>
      </c>
      <c r="AF9">
        <v>9</v>
      </c>
      <c r="AG9">
        <v>6318</v>
      </c>
      <c r="AH9">
        <v>7</v>
      </c>
      <c r="AI9">
        <v>4914</v>
      </c>
      <c r="AJ9">
        <v>10</v>
      </c>
      <c r="AK9">
        <v>7020</v>
      </c>
      <c r="AL9">
        <v>8</v>
      </c>
      <c r="AM9">
        <v>5616</v>
      </c>
      <c r="AN9">
        <v>7</v>
      </c>
      <c r="AO9">
        <v>4914</v>
      </c>
      <c r="AP9">
        <v>10</v>
      </c>
      <c r="AQ9">
        <v>7020</v>
      </c>
      <c r="AR9">
        <v>8</v>
      </c>
      <c r="AS9">
        <v>5616</v>
      </c>
      <c r="AT9">
        <v>8</v>
      </c>
      <c r="AU9">
        <v>5616</v>
      </c>
      <c r="AV9">
        <v>6</v>
      </c>
      <c r="AW9">
        <v>4212</v>
      </c>
      <c r="AX9">
        <v>7</v>
      </c>
      <c r="AY9">
        <v>4914</v>
      </c>
      <c r="AZ9">
        <v>9</v>
      </c>
      <c r="BA9">
        <v>6318</v>
      </c>
      <c r="BB9">
        <v>7</v>
      </c>
      <c r="BC9">
        <v>4914</v>
      </c>
      <c r="BD9">
        <v>9</v>
      </c>
      <c r="BE9">
        <v>6318</v>
      </c>
      <c r="BF9">
        <v>10</v>
      </c>
      <c r="BG9">
        <v>7020</v>
      </c>
      <c r="BH9">
        <v>10</v>
      </c>
      <c r="BI9">
        <v>7020</v>
      </c>
      <c r="BJ9">
        <v>9</v>
      </c>
      <c r="BK9">
        <v>6318</v>
      </c>
      <c r="BL9">
        <v>10</v>
      </c>
      <c r="BM9">
        <v>7020</v>
      </c>
      <c r="BN9">
        <v>11</v>
      </c>
      <c r="BO9">
        <v>7722</v>
      </c>
      <c r="BP9">
        <v>9</v>
      </c>
      <c r="BQ9">
        <v>6318</v>
      </c>
      <c r="BR9">
        <v>12</v>
      </c>
      <c r="BS9">
        <v>8424</v>
      </c>
      <c r="BT9">
        <v>12</v>
      </c>
      <c r="BU9">
        <v>8424</v>
      </c>
      <c r="BV9">
        <v>11</v>
      </c>
      <c r="BW9">
        <v>7722</v>
      </c>
      <c r="BX9">
        <v>7</v>
      </c>
      <c r="BY9">
        <v>4914</v>
      </c>
      <c r="BZ9">
        <v>8</v>
      </c>
      <c r="CA9">
        <v>5616</v>
      </c>
      <c r="CB9">
        <v>10</v>
      </c>
      <c r="CC9">
        <v>7020</v>
      </c>
      <c r="CD9">
        <v>7</v>
      </c>
      <c r="CE9">
        <v>4914</v>
      </c>
      <c r="CF9">
        <v>10</v>
      </c>
      <c r="CG9">
        <v>7020</v>
      </c>
      <c r="CH9">
        <v>10</v>
      </c>
      <c r="CI9">
        <v>7020</v>
      </c>
      <c r="CJ9">
        <v>10</v>
      </c>
      <c r="CK9">
        <v>7020</v>
      </c>
      <c r="CL9">
        <v>13</v>
      </c>
      <c r="CM9">
        <v>9126</v>
      </c>
      <c r="CN9">
        <v>11</v>
      </c>
      <c r="CO9">
        <v>7722</v>
      </c>
      <c r="CP9">
        <v>11</v>
      </c>
      <c r="CQ9">
        <v>7722</v>
      </c>
      <c r="CR9">
        <v>9</v>
      </c>
      <c r="CS9">
        <v>6318</v>
      </c>
      <c r="CT9">
        <v>8</v>
      </c>
      <c r="CU9">
        <v>5616</v>
      </c>
    </row>
    <row r="10" spans="1:99" x14ac:dyDescent="0.2">
      <c r="C10" s="118" t="s">
        <v>176</v>
      </c>
      <c r="D10">
        <v>3.0494985742181995</v>
      </c>
      <c r="E10">
        <v>1661.3668232340749</v>
      </c>
      <c r="F10">
        <v>10.383439247104141</v>
      </c>
      <c r="G10">
        <v>5656.8977018223359</v>
      </c>
      <c r="H10">
        <v>8</v>
      </c>
      <c r="I10">
        <v>4358.3999999999996</v>
      </c>
      <c r="J10">
        <v>7.3460674267824668</v>
      </c>
      <c r="K10">
        <v>4002.1375341110875</v>
      </c>
      <c r="L10">
        <v>6</v>
      </c>
      <c r="M10">
        <v>3268.7999999999997</v>
      </c>
      <c r="N10">
        <v>9</v>
      </c>
      <c r="O10">
        <v>4903.2</v>
      </c>
      <c r="P10">
        <v>9</v>
      </c>
      <c r="Q10">
        <v>4903.2</v>
      </c>
      <c r="R10">
        <v>10</v>
      </c>
      <c r="S10">
        <v>5448</v>
      </c>
      <c r="T10">
        <v>7</v>
      </c>
      <c r="U10">
        <v>3813.5999999999995</v>
      </c>
      <c r="V10">
        <v>6</v>
      </c>
      <c r="W10">
        <v>3268.7999999999997</v>
      </c>
      <c r="X10">
        <v>7</v>
      </c>
      <c r="Y10">
        <v>3813.5999999999995</v>
      </c>
      <c r="Z10">
        <v>10</v>
      </c>
      <c r="AA10">
        <v>5448</v>
      </c>
      <c r="AB10">
        <v>8</v>
      </c>
      <c r="AC10">
        <v>4358.3999999999996</v>
      </c>
      <c r="AD10">
        <v>7</v>
      </c>
      <c r="AE10">
        <v>3813.5999999999995</v>
      </c>
      <c r="AF10">
        <v>9</v>
      </c>
      <c r="AG10">
        <v>4903.2</v>
      </c>
      <c r="AH10">
        <v>7</v>
      </c>
      <c r="AI10">
        <v>3813.5999999999995</v>
      </c>
      <c r="AJ10">
        <v>10</v>
      </c>
      <c r="AK10">
        <v>5448</v>
      </c>
      <c r="AL10">
        <v>8</v>
      </c>
      <c r="AM10">
        <v>4358.3999999999996</v>
      </c>
      <c r="AN10">
        <v>7</v>
      </c>
      <c r="AO10">
        <v>3813.5999999999995</v>
      </c>
      <c r="AP10">
        <v>9</v>
      </c>
      <c r="AQ10">
        <v>4903.2</v>
      </c>
      <c r="AR10">
        <v>10</v>
      </c>
      <c r="AS10">
        <v>5448</v>
      </c>
      <c r="AT10">
        <v>9</v>
      </c>
      <c r="AU10">
        <v>4903.2</v>
      </c>
      <c r="AV10">
        <v>6</v>
      </c>
      <c r="AW10">
        <v>3268.7999999999997</v>
      </c>
      <c r="AX10">
        <v>7</v>
      </c>
      <c r="AY10">
        <v>3813.5999999999995</v>
      </c>
      <c r="AZ10">
        <v>9</v>
      </c>
      <c r="BA10">
        <v>4903.2</v>
      </c>
      <c r="BB10">
        <v>7</v>
      </c>
      <c r="BC10">
        <v>3813.5999999999995</v>
      </c>
      <c r="BD10">
        <v>10</v>
      </c>
      <c r="BE10">
        <v>5448</v>
      </c>
      <c r="BF10">
        <v>10</v>
      </c>
      <c r="BG10">
        <v>5448</v>
      </c>
      <c r="BH10">
        <v>9</v>
      </c>
      <c r="BI10">
        <v>4903.2</v>
      </c>
      <c r="BJ10">
        <v>9</v>
      </c>
      <c r="BK10">
        <v>4903.2</v>
      </c>
      <c r="BL10">
        <v>10</v>
      </c>
      <c r="BM10">
        <v>5448</v>
      </c>
      <c r="BN10">
        <v>11</v>
      </c>
      <c r="BO10">
        <v>5992.7999999999993</v>
      </c>
      <c r="BP10">
        <v>11</v>
      </c>
      <c r="BQ10">
        <v>5992.7999999999993</v>
      </c>
      <c r="BR10">
        <v>11</v>
      </c>
      <c r="BS10">
        <v>5992.7999999999993</v>
      </c>
      <c r="BT10">
        <v>11</v>
      </c>
      <c r="BU10">
        <v>5992.7999999999993</v>
      </c>
      <c r="BV10">
        <v>11</v>
      </c>
      <c r="BW10">
        <v>5992.7999999999993</v>
      </c>
      <c r="BX10">
        <v>7</v>
      </c>
      <c r="BY10">
        <v>3813.5999999999995</v>
      </c>
      <c r="BZ10">
        <v>8</v>
      </c>
      <c r="CA10">
        <v>4358.3999999999996</v>
      </c>
      <c r="CB10">
        <v>10</v>
      </c>
      <c r="CC10">
        <v>5448</v>
      </c>
      <c r="CD10">
        <v>7</v>
      </c>
      <c r="CE10">
        <v>3813.5999999999995</v>
      </c>
      <c r="CF10">
        <v>10</v>
      </c>
      <c r="CG10">
        <v>5448</v>
      </c>
      <c r="CH10">
        <v>9</v>
      </c>
      <c r="CI10">
        <v>4903.2</v>
      </c>
      <c r="CJ10">
        <v>9</v>
      </c>
      <c r="CK10">
        <v>4903.2</v>
      </c>
      <c r="CL10">
        <v>12</v>
      </c>
      <c r="CM10">
        <v>6537.5999999999995</v>
      </c>
      <c r="CN10">
        <v>11</v>
      </c>
      <c r="CO10">
        <v>5992.7999999999993</v>
      </c>
      <c r="CP10">
        <v>11</v>
      </c>
      <c r="CQ10">
        <v>5992.7999999999993</v>
      </c>
      <c r="CR10">
        <v>10</v>
      </c>
      <c r="CS10">
        <v>5448</v>
      </c>
      <c r="CT10">
        <v>7</v>
      </c>
      <c r="CU10">
        <v>3813.5999999999995</v>
      </c>
    </row>
    <row r="11" spans="1:99" x14ac:dyDescent="0.2">
      <c r="C11" s="118" t="s">
        <v>177</v>
      </c>
      <c r="D11">
        <v>3.0494985742181995</v>
      </c>
      <c r="E11">
        <v>1624.7728403434564</v>
      </c>
      <c r="F11">
        <v>9.4313691529921595</v>
      </c>
      <c r="G11">
        <v>5025.0334847142221</v>
      </c>
      <c r="H11">
        <v>9</v>
      </c>
      <c r="I11">
        <v>4795.2</v>
      </c>
      <c r="J11">
        <v>8.3460674267824668</v>
      </c>
      <c r="K11">
        <v>4446.7847249896977</v>
      </c>
      <c r="L11">
        <v>7</v>
      </c>
      <c r="M11">
        <v>3729.5999999999995</v>
      </c>
      <c r="N11">
        <v>10</v>
      </c>
      <c r="O11">
        <v>5328</v>
      </c>
      <c r="P11">
        <v>10</v>
      </c>
      <c r="Q11">
        <v>5328</v>
      </c>
      <c r="R11">
        <v>9</v>
      </c>
      <c r="S11">
        <v>4795.2</v>
      </c>
      <c r="T11">
        <v>6</v>
      </c>
      <c r="U11">
        <v>3196.7999999999997</v>
      </c>
      <c r="V11">
        <v>6</v>
      </c>
      <c r="W11">
        <v>3196.7999999999997</v>
      </c>
      <c r="X11">
        <v>7</v>
      </c>
      <c r="Y11">
        <v>3729.5999999999995</v>
      </c>
      <c r="Z11">
        <v>10</v>
      </c>
      <c r="AA11">
        <v>5328</v>
      </c>
      <c r="AB11">
        <v>9</v>
      </c>
      <c r="AC11">
        <v>4795.2</v>
      </c>
      <c r="AD11">
        <v>7</v>
      </c>
      <c r="AE11">
        <v>3729.5999999999995</v>
      </c>
      <c r="AF11">
        <v>8</v>
      </c>
      <c r="AG11">
        <v>4262.3999999999996</v>
      </c>
      <c r="AH11">
        <v>7</v>
      </c>
      <c r="AI11">
        <v>3729.5999999999995</v>
      </c>
      <c r="AJ11">
        <v>10</v>
      </c>
      <c r="AK11">
        <v>5328</v>
      </c>
      <c r="AL11">
        <v>8</v>
      </c>
      <c r="AM11">
        <v>4262.3999999999996</v>
      </c>
      <c r="AN11">
        <v>6</v>
      </c>
      <c r="AO11">
        <v>3196.7999999999997</v>
      </c>
      <c r="AP11">
        <v>10</v>
      </c>
      <c r="AQ11">
        <v>5328</v>
      </c>
      <c r="AR11">
        <v>9</v>
      </c>
      <c r="AS11">
        <v>4795.2</v>
      </c>
      <c r="AT11">
        <v>8</v>
      </c>
      <c r="AU11">
        <v>4262.3999999999996</v>
      </c>
      <c r="AV11">
        <v>6</v>
      </c>
      <c r="AW11">
        <v>3196.7999999999997</v>
      </c>
      <c r="AX11">
        <v>7</v>
      </c>
      <c r="AY11">
        <v>3729.5999999999995</v>
      </c>
      <c r="AZ11">
        <v>9</v>
      </c>
      <c r="BA11">
        <v>4795.2</v>
      </c>
      <c r="BB11">
        <v>8</v>
      </c>
      <c r="BC11">
        <v>4262.3999999999996</v>
      </c>
      <c r="BD11">
        <v>8</v>
      </c>
      <c r="BE11">
        <v>4262.3999999999996</v>
      </c>
      <c r="BF11">
        <v>11</v>
      </c>
      <c r="BG11">
        <v>5860.7999999999993</v>
      </c>
      <c r="BH11">
        <v>10</v>
      </c>
      <c r="BI11">
        <v>5328</v>
      </c>
      <c r="BJ11">
        <v>8</v>
      </c>
      <c r="BK11">
        <v>4262.3999999999996</v>
      </c>
      <c r="BL11">
        <v>10</v>
      </c>
      <c r="BM11">
        <v>5328</v>
      </c>
      <c r="BN11">
        <v>11</v>
      </c>
      <c r="BO11">
        <v>5860.7999999999993</v>
      </c>
      <c r="BP11">
        <v>10</v>
      </c>
      <c r="BQ11">
        <v>5328</v>
      </c>
      <c r="BR11">
        <v>11</v>
      </c>
      <c r="BS11">
        <v>5860.7999999999993</v>
      </c>
      <c r="BT11">
        <v>11</v>
      </c>
      <c r="BU11">
        <v>5860.7999999999993</v>
      </c>
      <c r="BV11">
        <v>11</v>
      </c>
      <c r="BW11">
        <v>5860.7999999999993</v>
      </c>
      <c r="BX11">
        <v>7</v>
      </c>
      <c r="BY11">
        <v>3729.5999999999995</v>
      </c>
      <c r="BZ11">
        <v>7</v>
      </c>
      <c r="CA11">
        <v>3729.5999999999995</v>
      </c>
      <c r="CB11">
        <v>10</v>
      </c>
      <c r="CC11">
        <v>5328</v>
      </c>
      <c r="CD11">
        <v>6</v>
      </c>
      <c r="CE11">
        <v>3196.7999999999997</v>
      </c>
      <c r="CF11">
        <v>10</v>
      </c>
      <c r="CG11">
        <v>5328</v>
      </c>
      <c r="CH11">
        <v>10</v>
      </c>
      <c r="CI11">
        <v>5328</v>
      </c>
      <c r="CJ11">
        <v>10</v>
      </c>
      <c r="CK11">
        <v>5328</v>
      </c>
      <c r="CL11">
        <v>13</v>
      </c>
      <c r="CM11">
        <v>6926.4</v>
      </c>
      <c r="CN11">
        <v>12</v>
      </c>
      <c r="CO11">
        <v>6393.5999999999995</v>
      </c>
      <c r="CP11">
        <v>11</v>
      </c>
      <c r="CQ11">
        <v>5860.7999999999993</v>
      </c>
      <c r="CR11">
        <v>10</v>
      </c>
      <c r="CS11">
        <v>5328</v>
      </c>
      <c r="CT11">
        <v>8</v>
      </c>
      <c r="CU11">
        <v>4262.3999999999996</v>
      </c>
    </row>
    <row r="12" spans="1:99" x14ac:dyDescent="0.2">
      <c r="C12" s="118" t="s">
        <v>178</v>
      </c>
      <c r="D12">
        <v>3.0494985742181995</v>
      </c>
      <c r="E12">
        <v>1716.2577975700026</v>
      </c>
      <c r="F12">
        <v>9.4313691529921595</v>
      </c>
      <c r="G12">
        <v>5307.974559303987</v>
      </c>
      <c r="H12">
        <v>10</v>
      </c>
      <c r="I12">
        <v>5628</v>
      </c>
      <c r="J12">
        <v>7.3893258551302745</v>
      </c>
      <c r="K12">
        <v>4158.7125912673182</v>
      </c>
      <c r="L12">
        <v>7</v>
      </c>
      <c r="M12">
        <v>3939.5999999999995</v>
      </c>
      <c r="N12">
        <v>9</v>
      </c>
      <c r="O12">
        <v>5065.2</v>
      </c>
      <c r="P12">
        <v>9</v>
      </c>
      <c r="Q12">
        <v>5065.2</v>
      </c>
      <c r="R12">
        <v>10</v>
      </c>
      <c r="S12">
        <v>5628</v>
      </c>
      <c r="T12">
        <v>6</v>
      </c>
      <c r="U12">
        <v>3376.7999999999997</v>
      </c>
      <c r="V12">
        <v>6</v>
      </c>
      <c r="W12">
        <v>3376.7999999999997</v>
      </c>
      <c r="X12">
        <v>7</v>
      </c>
      <c r="Y12">
        <v>3939.5999999999995</v>
      </c>
      <c r="Z12">
        <v>10</v>
      </c>
      <c r="AA12">
        <v>5628</v>
      </c>
      <c r="AB12">
        <v>8</v>
      </c>
      <c r="AC12">
        <v>4502.3999999999996</v>
      </c>
      <c r="AD12">
        <v>7</v>
      </c>
      <c r="AE12">
        <v>3939.5999999999995</v>
      </c>
      <c r="AF12">
        <v>9</v>
      </c>
      <c r="AG12">
        <v>5065.2</v>
      </c>
      <c r="AH12">
        <v>7</v>
      </c>
      <c r="AI12">
        <v>3939.5999999999995</v>
      </c>
      <c r="AJ12">
        <v>10</v>
      </c>
      <c r="AK12">
        <v>5628</v>
      </c>
      <c r="AL12">
        <v>9</v>
      </c>
      <c r="AM12">
        <v>5065.2</v>
      </c>
      <c r="AN12">
        <v>6</v>
      </c>
      <c r="AO12">
        <v>3376.7999999999997</v>
      </c>
      <c r="AP12">
        <v>10</v>
      </c>
      <c r="AQ12">
        <v>5628</v>
      </c>
      <c r="AR12">
        <v>9</v>
      </c>
      <c r="AS12">
        <v>5065.2</v>
      </c>
      <c r="AT12">
        <v>9</v>
      </c>
      <c r="AU12">
        <v>5065.2</v>
      </c>
      <c r="AV12">
        <v>6</v>
      </c>
      <c r="AW12">
        <v>3376.7999999999997</v>
      </c>
      <c r="AX12">
        <v>8</v>
      </c>
      <c r="AY12">
        <v>4502.3999999999996</v>
      </c>
      <c r="AZ12">
        <v>9</v>
      </c>
      <c r="BA12">
        <v>5065.2</v>
      </c>
      <c r="BB12">
        <v>8</v>
      </c>
      <c r="BC12">
        <v>4502.3999999999996</v>
      </c>
      <c r="BD12">
        <v>9</v>
      </c>
      <c r="BE12">
        <v>5065.2</v>
      </c>
      <c r="BF12">
        <v>10</v>
      </c>
      <c r="BG12">
        <v>5628</v>
      </c>
      <c r="BH12">
        <v>10</v>
      </c>
      <c r="BI12">
        <v>5628</v>
      </c>
      <c r="BJ12">
        <v>9</v>
      </c>
      <c r="BK12">
        <v>5065.2</v>
      </c>
      <c r="BL12">
        <v>9</v>
      </c>
      <c r="BM12">
        <v>5065.2</v>
      </c>
      <c r="BN12">
        <v>11</v>
      </c>
      <c r="BO12">
        <v>6190.7999999999993</v>
      </c>
      <c r="BP12">
        <v>9</v>
      </c>
      <c r="BQ12">
        <v>5065.2</v>
      </c>
      <c r="BR12">
        <v>12</v>
      </c>
      <c r="BS12">
        <v>6753.5999999999995</v>
      </c>
      <c r="BT12">
        <v>11</v>
      </c>
      <c r="BU12">
        <v>6190.7999999999993</v>
      </c>
      <c r="BV12">
        <v>11</v>
      </c>
      <c r="BW12">
        <v>6190.7999999999993</v>
      </c>
      <c r="BX12">
        <v>7</v>
      </c>
      <c r="BY12">
        <v>3939.5999999999995</v>
      </c>
      <c r="BZ12">
        <v>7</v>
      </c>
      <c r="CA12">
        <v>3939.5999999999995</v>
      </c>
      <c r="CB12">
        <v>11</v>
      </c>
      <c r="CC12">
        <v>6190.7999999999993</v>
      </c>
      <c r="CD12">
        <v>6</v>
      </c>
      <c r="CE12">
        <v>3376.7999999999997</v>
      </c>
      <c r="CF12">
        <v>11</v>
      </c>
      <c r="CG12">
        <v>6190.7999999999993</v>
      </c>
      <c r="CH12">
        <v>10</v>
      </c>
      <c r="CI12">
        <v>5628</v>
      </c>
      <c r="CJ12">
        <v>9</v>
      </c>
      <c r="CK12">
        <v>5065.2</v>
      </c>
      <c r="CL12">
        <v>13</v>
      </c>
      <c r="CM12">
        <v>7316.4</v>
      </c>
      <c r="CN12">
        <v>11</v>
      </c>
      <c r="CO12">
        <v>6190.7999999999993</v>
      </c>
      <c r="CP12">
        <v>12</v>
      </c>
      <c r="CQ12">
        <v>6753.5999999999995</v>
      </c>
      <c r="CR12">
        <v>10</v>
      </c>
      <c r="CS12">
        <v>5628</v>
      </c>
      <c r="CT12">
        <v>8</v>
      </c>
      <c r="CU12">
        <v>4502.3999999999996</v>
      </c>
    </row>
    <row r="13" spans="1:99" x14ac:dyDescent="0.2">
      <c r="C13" s="118" t="s">
        <v>179</v>
      </c>
      <c r="D13">
        <v>3.5577483365878999</v>
      </c>
      <c r="E13">
        <v>303.12015827728908</v>
      </c>
      <c r="F13">
        <v>10.383439247104141</v>
      </c>
      <c r="G13">
        <v>884.66902385327285</v>
      </c>
      <c r="H13">
        <v>10</v>
      </c>
      <c r="I13">
        <v>852</v>
      </c>
      <c r="J13">
        <v>7.3893258551302745</v>
      </c>
      <c r="K13">
        <v>629.57056285709939</v>
      </c>
      <c r="L13">
        <v>7</v>
      </c>
      <c r="M13">
        <v>596.4</v>
      </c>
      <c r="N13">
        <v>11</v>
      </c>
      <c r="O13">
        <v>937.2</v>
      </c>
      <c r="P13">
        <v>10</v>
      </c>
      <c r="Q13">
        <v>852</v>
      </c>
      <c r="R13">
        <v>9</v>
      </c>
      <c r="S13">
        <v>766.80000000000007</v>
      </c>
      <c r="T13">
        <v>6</v>
      </c>
      <c r="U13">
        <v>511.20000000000005</v>
      </c>
      <c r="V13">
        <v>7</v>
      </c>
      <c r="W13">
        <v>596.4</v>
      </c>
      <c r="X13">
        <v>7</v>
      </c>
      <c r="Y13">
        <v>596.4</v>
      </c>
      <c r="Z13">
        <v>10</v>
      </c>
      <c r="AA13">
        <v>852</v>
      </c>
      <c r="AB13">
        <v>8</v>
      </c>
      <c r="AC13">
        <v>681.6</v>
      </c>
      <c r="AD13">
        <v>8</v>
      </c>
      <c r="AE13">
        <v>681.6</v>
      </c>
      <c r="AF13">
        <v>8</v>
      </c>
      <c r="AG13">
        <v>681.6</v>
      </c>
      <c r="AH13">
        <v>7</v>
      </c>
      <c r="AI13">
        <v>596.4</v>
      </c>
      <c r="AJ13">
        <v>11</v>
      </c>
      <c r="AK13">
        <v>937.2</v>
      </c>
      <c r="AL13">
        <v>8</v>
      </c>
      <c r="AM13">
        <v>681.6</v>
      </c>
      <c r="AN13">
        <v>7</v>
      </c>
      <c r="AO13">
        <v>596.4</v>
      </c>
      <c r="AP13">
        <v>11</v>
      </c>
      <c r="AQ13">
        <v>937.2</v>
      </c>
      <c r="AR13">
        <v>9</v>
      </c>
      <c r="AS13">
        <v>766.80000000000007</v>
      </c>
      <c r="AT13">
        <v>9</v>
      </c>
      <c r="AU13">
        <v>766.80000000000007</v>
      </c>
      <c r="AV13">
        <v>6</v>
      </c>
      <c r="AW13">
        <v>511.20000000000005</v>
      </c>
      <c r="AX13">
        <v>8</v>
      </c>
      <c r="AY13">
        <v>681.6</v>
      </c>
      <c r="AZ13">
        <v>9</v>
      </c>
      <c r="BA13">
        <v>766.80000000000007</v>
      </c>
      <c r="BB13">
        <v>9</v>
      </c>
      <c r="BC13">
        <v>766.80000000000007</v>
      </c>
      <c r="BD13">
        <v>10</v>
      </c>
      <c r="BE13">
        <v>852</v>
      </c>
      <c r="BF13">
        <v>12</v>
      </c>
      <c r="BG13">
        <v>1022.4000000000001</v>
      </c>
      <c r="BH13">
        <v>10</v>
      </c>
      <c r="BI13">
        <v>852</v>
      </c>
      <c r="BJ13">
        <v>9</v>
      </c>
      <c r="BK13">
        <v>766.80000000000007</v>
      </c>
      <c r="BL13">
        <v>9</v>
      </c>
      <c r="BM13">
        <v>766.80000000000007</v>
      </c>
      <c r="BN13">
        <v>11</v>
      </c>
      <c r="BO13">
        <v>937.2</v>
      </c>
      <c r="BP13">
        <v>10</v>
      </c>
      <c r="BQ13">
        <v>852</v>
      </c>
      <c r="BR13">
        <v>13</v>
      </c>
      <c r="BS13">
        <v>1107.6000000000001</v>
      </c>
      <c r="BT13">
        <v>11</v>
      </c>
      <c r="BU13">
        <v>937.2</v>
      </c>
      <c r="BV13">
        <v>13</v>
      </c>
      <c r="BW13">
        <v>1107.6000000000001</v>
      </c>
      <c r="BX13">
        <v>7</v>
      </c>
      <c r="BY13">
        <v>596.4</v>
      </c>
      <c r="BZ13">
        <v>7</v>
      </c>
      <c r="CA13">
        <v>596.4</v>
      </c>
      <c r="CB13">
        <v>10</v>
      </c>
      <c r="CC13">
        <v>852</v>
      </c>
      <c r="CD13">
        <v>6</v>
      </c>
      <c r="CE13">
        <v>511.20000000000005</v>
      </c>
      <c r="CF13">
        <v>12</v>
      </c>
      <c r="CG13">
        <v>1022.4000000000001</v>
      </c>
      <c r="CH13">
        <v>10</v>
      </c>
      <c r="CI13">
        <v>852</v>
      </c>
      <c r="CJ13">
        <v>11</v>
      </c>
      <c r="CK13">
        <v>937.2</v>
      </c>
      <c r="CL13">
        <v>13</v>
      </c>
      <c r="CM13">
        <v>1107.6000000000001</v>
      </c>
      <c r="CN13">
        <v>12</v>
      </c>
      <c r="CO13">
        <v>1022.4000000000001</v>
      </c>
      <c r="CP13">
        <v>11</v>
      </c>
      <c r="CQ13">
        <v>937.2</v>
      </c>
      <c r="CR13">
        <v>10</v>
      </c>
      <c r="CS13">
        <v>852</v>
      </c>
      <c r="CT13">
        <v>7</v>
      </c>
      <c r="CU13">
        <v>596.4</v>
      </c>
    </row>
    <row r="14" spans="1:99" x14ac:dyDescent="0.2">
      <c r="C14" s="118" t="s">
        <v>180</v>
      </c>
      <c r="D14">
        <v>3.0494985742181995</v>
      </c>
      <c r="E14">
        <v>1489.3751036481685</v>
      </c>
      <c r="F14">
        <v>9.4313691529921595</v>
      </c>
      <c r="G14">
        <v>4606.2806943213709</v>
      </c>
      <c r="H14">
        <v>9</v>
      </c>
      <c r="I14">
        <v>4395.5999999999995</v>
      </c>
      <c r="J14">
        <v>7.3893258551302745</v>
      </c>
      <c r="K14">
        <v>3608.9467476456257</v>
      </c>
      <c r="L14">
        <v>6</v>
      </c>
      <c r="M14">
        <v>2930.3999999999996</v>
      </c>
      <c r="N14">
        <v>9</v>
      </c>
      <c r="O14">
        <v>4395.5999999999995</v>
      </c>
      <c r="P14">
        <v>9</v>
      </c>
      <c r="Q14">
        <v>4395.5999999999995</v>
      </c>
      <c r="R14">
        <v>10</v>
      </c>
      <c r="S14">
        <v>4884</v>
      </c>
      <c r="T14">
        <v>6</v>
      </c>
      <c r="U14">
        <v>2930.3999999999996</v>
      </c>
      <c r="V14">
        <v>6</v>
      </c>
      <c r="W14">
        <v>2930.3999999999996</v>
      </c>
      <c r="X14">
        <v>7</v>
      </c>
      <c r="Y14">
        <v>3418.7999999999997</v>
      </c>
      <c r="Z14">
        <v>11</v>
      </c>
      <c r="AA14">
        <v>5372.4</v>
      </c>
      <c r="AB14">
        <v>7</v>
      </c>
      <c r="AC14">
        <v>3418.7999999999997</v>
      </c>
      <c r="AD14">
        <v>6</v>
      </c>
      <c r="AE14">
        <v>2930.3999999999996</v>
      </c>
      <c r="AF14">
        <v>8</v>
      </c>
      <c r="AG14">
        <v>3907.2</v>
      </c>
      <c r="AH14">
        <v>8</v>
      </c>
      <c r="AI14">
        <v>3907.2</v>
      </c>
      <c r="AJ14">
        <v>9</v>
      </c>
      <c r="AK14">
        <v>4395.5999999999995</v>
      </c>
      <c r="AL14">
        <v>8</v>
      </c>
      <c r="AM14">
        <v>3907.2</v>
      </c>
      <c r="AN14">
        <v>6</v>
      </c>
      <c r="AO14">
        <v>2930.3999999999996</v>
      </c>
      <c r="AP14">
        <v>10</v>
      </c>
      <c r="AQ14">
        <v>4884</v>
      </c>
      <c r="AR14">
        <v>10</v>
      </c>
      <c r="AS14">
        <v>4884</v>
      </c>
      <c r="AT14">
        <v>8</v>
      </c>
      <c r="AU14">
        <v>3907.2</v>
      </c>
      <c r="AV14">
        <v>7</v>
      </c>
      <c r="AW14">
        <v>3418.7999999999997</v>
      </c>
      <c r="AX14">
        <v>7</v>
      </c>
      <c r="AY14">
        <v>3418.7999999999997</v>
      </c>
      <c r="AZ14">
        <v>9</v>
      </c>
      <c r="BA14">
        <v>4395.5999999999995</v>
      </c>
      <c r="BB14">
        <v>9</v>
      </c>
      <c r="BC14">
        <v>4395.5999999999995</v>
      </c>
      <c r="BD14">
        <v>10</v>
      </c>
      <c r="BE14">
        <v>4884</v>
      </c>
      <c r="BF14">
        <v>12</v>
      </c>
      <c r="BG14">
        <v>5860.7999999999993</v>
      </c>
      <c r="BH14">
        <v>9</v>
      </c>
      <c r="BI14">
        <v>4395.5999999999995</v>
      </c>
      <c r="BJ14">
        <v>9</v>
      </c>
      <c r="BK14">
        <v>4395.5999999999995</v>
      </c>
      <c r="BL14">
        <v>10</v>
      </c>
      <c r="BM14">
        <v>4884</v>
      </c>
      <c r="BN14">
        <v>11</v>
      </c>
      <c r="BO14">
        <v>5372.4</v>
      </c>
      <c r="BP14">
        <v>11</v>
      </c>
      <c r="BQ14">
        <v>5372.4</v>
      </c>
      <c r="BR14">
        <v>13</v>
      </c>
      <c r="BS14">
        <v>6349.2</v>
      </c>
      <c r="BT14">
        <v>12</v>
      </c>
      <c r="BU14">
        <v>5860.7999999999993</v>
      </c>
      <c r="BV14">
        <v>11</v>
      </c>
      <c r="BW14">
        <v>5372.4</v>
      </c>
      <c r="BX14">
        <v>7</v>
      </c>
      <c r="BY14">
        <v>3418.7999999999997</v>
      </c>
      <c r="BZ14">
        <v>7</v>
      </c>
      <c r="CA14">
        <v>3418.7999999999997</v>
      </c>
      <c r="CB14">
        <v>11</v>
      </c>
      <c r="CC14">
        <v>5372.4</v>
      </c>
      <c r="CD14">
        <v>7</v>
      </c>
      <c r="CE14">
        <v>3418.7999999999997</v>
      </c>
      <c r="CF14">
        <v>10</v>
      </c>
      <c r="CG14">
        <v>4884</v>
      </c>
      <c r="CH14">
        <v>10</v>
      </c>
      <c r="CI14">
        <v>4884</v>
      </c>
      <c r="CJ14">
        <v>10</v>
      </c>
      <c r="CK14">
        <v>4884</v>
      </c>
      <c r="CL14">
        <v>12</v>
      </c>
      <c r="CM14">
        <v>5860.7999999999993</v>
      </c>
      <c r="CN14">
        <v>11</v>
      </c>
      <c r="CO14">
        <v>5372.4</v>
      </c>
      <c r="CP14">
        <v>11</v>
      </c>
      <c r="CQ14">
        <v>5372.4</v>
      </c>
      <c r="CR14">
        <v>9</v>
      </c>
      <c r="CS14">
        <v>4395.5999999999995</v>
      </c>
      <c r="CT14">
        <v>8</v>
      </c>
      <c r="CU14">
        <v>3907.2</v>
      </c>
    </row>
    <row r="15" spans="1:99" x14ac:dyDescent="0.2">
      <c r="C15" s="118" t="s">
        <v>181</v>
      </c>
      <c r="D15">
        <v>3.5577483365878999</v>
      </c>
      <c r="E15">
        <v>2715.2735304838848</v>
      </c>
      <c r="F15">
        <v>9.3834392471041408</v>
      </c>
      <c r="G15">
        <v>7161.44083338988</v>
      </c>
      <c r="H15">
        <v>9</v>
      </c>
      <c r="I15">
        <v>6868.7999999999993</v>
      </c>
      <c r="J15">
        <v>8.3460674267824668</v>
      </c>
      <c r="K15">
        <v>6369.7186601203784</v>
      </c>
      <c r="L15">
        <v>6</v>
      </c>
      <c r="M15">
        <v>4579.2</v>
      </c>
      <c r="N15">
        <v>9</v>
      </c>
      <c r="O15">
        <v>6868.7999999999993</v>
      </c>
      <c r="P15">
        <v>8</v>
      </c>
      <c r="Q15">
        <v>6105.5999999999995</v>
      </c>
      <c r="R15">
        <v>9</v>
      </c>
      <c r="S15">
        <v>6868.7999999999993</v>
      </c>
      <c r="T15">
        <v>6</v>
      </c>
      <c r="U15">
        <v>4579.2</v>
      </c>
      <c r="V15">
        <v>6</v>
      </c>
      <c r="W15">
        <v>4579.2</v>
      </c>
      <c r="X15">
        <v>6</v>
      </c>
      <c r="Y15">
        <v>4579.2</v>
      </c>
      <c r="Z15">
        <v>10</v>
      </c>
      <c r="AA15">
        <v>7631.9999999999991</v>
      </c>
      <c r="AB15">
        <v>8</v>
      </c>
      <c r="AC15">
        <v>6105.5999999999995</v>
      </c>
      <c r="AD15">
        <v>7</v>
      </c>
      <c r="AE15">
        <v>5342.4</v>
      </c>
      <c r="AF15">
        <v>9</v>
      </c>
      <c r="AG15">
        <v>6868.7999999999993</v>
      </c>
      <c r="AH15">
        <v>7</v>
      </c>
      <c r="AI15">
        <v>5342.4</v>
      </c>
      <c r="AJ15">
        <v>9</v>
      </c>
      <c r="AK15">
        <v>6868.7999999999993</v>
      </c>
      <c r="AL15">
        <v>9</v>
      </c>
      <c r="AM15">
        <v>6868.7999999999993</v>
      </c>
      <c r="AN15">
        <v>6</v>
      </c>
      <c r="AO15">
        <v>4579.2</v>
      </c>
      <c r="AP15">
        <v>9</v>
      </c>
      <c r="AQ15">
        <v>6868.7999999999993</v>
      </c>
      <c r="AR15">
        <v>9</v>
      </c>
      <c r="AS15">
        <v>6868.7999999999993</v>
      </c>
      <c r="AT15">
        <v>8</v>
      </c>
      <c r="AU15">
        <v>6105.5999999999995</v>
      </c>
      <c r="AV15">
        <v>5</v>
      </c>
      <c r="AW15">
        <v>3815.9999999999995</v>
      </c>
      <c r="AX15">
        <v>8</v>
      </c>
      <c r="AY15">
        <v>6105.5999999999995</v>
      </c>
      <c r="AZ15">
        <v>8</v>
      </c>
      <c r="BA15">
        <v>6105.5999999999995</v>
      </c>
      <c r="BB15">
        <v>9</v>
      </c>
      <c r="BC15">
        <v>6868.7999999999993</v>
      </c>
      <c r="BD15">
        <v>8</v>
      </c>
      <c r="BE15">
        <v>6105.5999999999995</v>
      </c>
      <c r="BF15">
        <v>10</v>
      </c>
      <c r="BG15">
        <v>7631.9999999999991</v>
      </c>
      <c r="BH15">
        <v>10</v>
      </c>
      <c r="BI15">
        <v>7631.9999999999991</v>
      </c>
      <c r="BJ15">
        <v>8</v>
      </c>
      <c r="BK15">
        <v>6105.5999999999995</v>
      </c>
      <c r="BL15">
        <v>10</v>
      </c>
      <c r="BM15">
        <v>7631.9999999999991</v>
      </c>
      <c r="BN15">
        <v>11</v>
      </c>
      <c r="BO15">
        <v>8395.1999999999989</v>
      </c>
      <c r="BP15">
        <v>11</v>
      </c>
      <c r="BQ15">
        <v>8395.1999999999989</v>
      </c>
      <c r="BR15">
        <v>13</v>
      </c>
      <c r="BS15">
        <v>9921.5999999999985</v>
      </c>
      <c r="BT15">
        <v>11</v>
      </c>
      <c r="BU15">
        <v>8395.1999999999989</v>
      </c>
      <c r="BV15">
        <v>11</v>
      </c>
      <c r="BW15">
        <v>8395.1999999999989</v>
      </c>
      <c r="BX15">
        <v>7</v>
      </c>
      <c r="BY15">
        <v>5342.4</v>
      </c>
      <c r="BZ15">
        <v>8</v>
      </c>
      <c r="CA15">
        <v>6105.5999999999995</v>
      </c>
      <c r="CB15">
        <v>11</v>
      </c>
      <c r="CC15">
        <v>8395.1999999999989</v>
      </c>
      <c r="CD15">
        <v>7</v>
      </c>
      <c r="CE15">
        <v>5342.4</v>
      </c>
      <c r="CF15">
        <v>10</v>
      </c>
      <c r="CG15">
        <v>7631.9999999999991</v>
      </c>
      <c r="CH15">
        <v>10</v>
      </c>
      <c r="CI15">
        <v>7631.9999999999991</v>
      </c>
      <c r="CJ15">
        <v>8</v>
      </c>
      <c r="CK15">
        <v>6105.5999999999995</v>
      </c>
      <c r="CL15">
        <v>12</v>
      </c>
      <c r="CM15">
        <v>9158.4</v>
      </c>
      <c r="CN15">
        <v>11</v>
      </c>
      <c r="CO15">
        <v>8395.1999999999989</v>
      </c>
      <c r="CP15">
        <v>11</v>
      </c>
      <c r="CQ15">
        <v>8395.1999999999989</v>
      </c>
      <c r="CR15">
        <v>9</v>
      </c>
      <c r="CS15">
        <v>6868.7999999999993</v>
      </c>
      <c r="CT15">
        <v>7</v>
      </c>
      <c r="CU15">
        <v>5342.4</v>
      </c>
    </row>
    <row r="16" spans="1:99" x14ac:dyDescent="0.2">
      <c r="C16" s="118" t="s">
        <v>182</v>
      </c>
      <c r="D16">
        <v>3.0494985742181995</v>
      </c>
      <c r="E16">
        <v>1039.2691140935624</v>
      </c>
      <c r="F16">
        <v>10.431369152992159</v>
      </c>
      <c r="G16">
        <v>3555.0106073397283</v>
      </c>
      <c r="H16">
        <v>9</v>
      </c>
      <c r="I16">
        <v>3067.2000000000003</v>
      </c>
      <c r="J16">
        <v>8.3460674267824668</v>
      </c>
      <c r="K16">
        <v>2844.3397790474646</v>
      </c>
      <c r="L16">
        <v>7</v>
      </c>
      <c r="M16">
        <v>2385.6</v>
      </c>
      <c r="N16">
        <v>11</v>
      </c>
      <c r="O16">
        <v>3748.8</v>
      </c>
      <c r="P16">
        <v>10</v>
      </c>
      <c r="Q16">
        <v>3408</v>
      </c>
      <c r="R16">
        <v>10</v>
      </c>
      <c r="S16">
        <v>3408</v>
      </c>
      <c r="T16">
        <v>7</v>
      </c>
      <c r="U16">
        <v>2385.6</v>
      </c>
      <c r="V16">
        <v>6</v>
      </c>
      <c r="W16">
        <v>2044.8000000000002</v>
      </c>
      <c r="X16">
        <v>7</v>
      </c>
      <c r="Y16">
        <v>2385.6</v>
      </c>
      <c r="Z16">
        <v>9</v>
      </c>
      <c r="AA16">
        <v>3067.2000000000003</v>
      </c>
      <c r="AB16">
        <v>9</v>
      </c>
      <c r="AC16">
        <v>3067.2000000000003</v>
      </c>
      <c r="AD16">
        <v>8</v>
      </c>
      <c r="AE16">
        <v>2726.4</v>
      </c>
      <c r="AF16">
        <v>9</v>
      </c>
      <c r="AG16">
        <v>3067.2000000000003</v>
      </c>
      <c r="AH16">
        <v>7</v>
      </c>
      <c r="AI16">
        <v>2385.6</v>
      </c>
      <c r="AJ16">
        <v>9</v>
      </c>
      <c r="AK16">
        <v>3067.2000000000003</v>
      </c>
      <c r="AL16">
        <v>8</v>
      </c>
      <c r="AM16">
        <v>2726.4</v>
      </c>
      <c r="AN16">
        <v>7</v>
      </c>
      <c r="AO16">
        <v>2385.6</v>
      </c>
      <c r="AP16">
        <v>11</v>
      </c>
      <c r="AQ16">
        <v>3748.8</v>
      </c>
      <c r="AR16">
        <v>9</v>
      </c>
      <c r="AS16">
        <v>3067.2000000000003</v>
      </c>
      <c r="AT16">
        <v>8</v>
      </c>
      <c r="AU16">
        <v>2726.4</v>
      </c>
      <c r="AV16">
        <v>6</v>
      </c>
      <c r="AW16">
        <v>2044.8000000000002</v>
      </c>
      <c r="AX16">
        <v>8</v>
      </c>
      <c r="AY16">
        <v>2726.4</v>
      </c>
      <c r="AZ16">
        <v>9</v>
      </c>
      <c r="BA16">
        <v>3067.2000000000003</v>
      </c>
      <c r="BB16">
        <v>9</v>
      </c>
      <c r="BC16">
        <v>3067.2000000000003</v>
      </c>
      <c r="BD16">
        <v>10</v>
      </c>
      <c r="BE16">
        <v>3408</v>
      </c>
      <c r="BF16">
        <v>11</v>
      </c>
      <c r="BG16">
        <v>3748.8</v>
      </c>
      <c r="BH16">
        <v>9</v>
      </c>
      <c r="BI16">
        <v>3067.2000000000003</v>
      </c>
      <c r="BJ16">
        <v>9</v>
      </c>
      <c r="BK16">
        <v>3067.2000000000003</v>
      </c>
      <c r="BL16">
        <v>9</v>
      </c>
      <c r="BM16">
        <v>3067.2000000000003</v>
      </c>
      <c r="BN16">
        <v>10</v>
      </c>
      <c r="BO16">
        <v>3408</v>
      </c>
      <c r="BP16">
        <v>10</v>
      </c>
      <c r="BQ16">
        <v>3408</v>
      </c>
      <c r="BR16">
        <v>13</v>
      </c>
      <c r="BS16">
        <v>4430.4000000000005</v>
      </c>
      <c r="BT16">
        <v>12</v>
      </c>
      <c r="BU16">
        <v>4089.6000000000004</v>
      </c>
      <c r="BV16">
        <v>11</v>
      </c>
      <c r="BW16">
        <v>3748.8</v>
      </c>
      <c r="BX16">
        <v>7</v>
      </c>
      <c r="BY16">
        <v>2385.6</v>
      </c>
      <c r="BZ16">
        <v>8</v>
      </c>
      <c r="CA16">
        <v>2726.4</v>
      </c>
      <c r="CB16">
        <v>11</v>
      </c>
      <c r="CC16">
        <v>3748.8</v>
      </c>
      <c r="CD16">
        <v>7</v>
      </c>
      <c r="CE16">
        <v>2385.6</v>
      </c>
      <c r="CF16">
        <v>10</v>
      </c>
      <c r="CG16">
        <v>3408</v>
      </c>
      <c r="CH16">
        <v>10</v>
      </c>
      <c r="CI16">
        <v>3408</v>
      </c>
      <c r="CJ16">
        <v>10</v>
      </c>
      <c r="CK16">
        <v>3408</v>
      </c>
      <c r="CL16">
        <v>13</v>
      </c>
      <c r="CM16">
        <v>4430.4000000000005</v>
      </c>
      <c r="CN16">
        <v>12</v>
      </c>
      <c r="CO16">
        <v>4089.6000000000004</v>
      </c>
      <c r="CP16">
        <v>13</v>
      </c>
      <c r="CQ16">
        <v>4430.4000000000005</v>
      </c>
      <c r="CR16">
        <v>11</v>
      </c>
      <c r="CS16">
        <v>3748.8</v>
      </c>
      <c r="CT16">
        <v>9</v>
      </c>
      <c r="CU16">
        <v>3067.2000000000003</v>
      </c>
    </row>
    <row r="17" spans="2:99" x14ac:dyDescent="0.2">
      <c r="C17" s="118" t="s">
        <v>183</v>
      </c>
      <c r="D17">
        <v>3.5577483365878999</v>
      </c>
      <c r="E17">
        <v>1502.7928973747289</v>
      </c>
      <c r="F17">
        <v>10.479299058880176</v>
      </c>
      <c r="G17">
        <v>4426.4559224709865</v>
      </c>
      <c r="H17">
        <v>9</v>
      </c>
      <c r="I17">
        <v>3801.6</v>
      </c>
      <c r="J17">
        <v>7.3893258551302745</v>
      </c>
      <c r="K17">
        <v>3121.2512412070278</v>
      </c>
      <c r="L17">
        <v>6</v>
      </c>
      <c r="M17">
        <v>2534.3999999999996</v>
      </c>
      <c r="N17">
        <v>10</v>
      </c>
      <c r="O17">
        <v>4224</v>
      </c>
      <c r="P17">
        <v>9</v>
      </c>
      <c r="Q17">
        <v>3801.6</v>
      </c>
      <c r="R17">
        <v>9</v>
      </c>
      <c r="S17">
        <v>3801.6</v>
      </c>
      <c r="T17">
        <v>6</v>
      </c>
      <c r="U17">
        <v>2534.3999999999996</v>
      </c>
      <c r="V17">
        <v>6</v>
      </c>
      <c r="W17">
        <v>2534.3999999999996</v>
      </c>
      <c r="X17">
        <v>6</v>
      </c>
      <c r="Y17">
        <v>2534.3999999999996</v>
      </c>
      <c r="Z17">
        <v>10</v>
      </c>
      <c r="AA17">
        <v>4224</v>
      </c>
      <c r="AB17">
        <v>7</v>
      </c>
      <c r="AC17">
        <v>2956.7999999999997</v>
      </c>
      <c r="AD17">
        <v>7</v>
      </c>
      <c r="AE17">
        <v>2956.7999999999997</v>
      </c>
      <c r="AF17">
        <v>9</v>
      </c>
      <c r="AG17">
        <v>3801.6</v>
      </c>
      <c r="AH17">
        <v>7</v>
      </c>
      <c r="AI17">
        <v>2956.7999999999997</v>
      </c>
      <c r="AJ17">
        <v>10</v>
      </c>
      <c r="AK17">
        <v>4224</v>
      </c>
      <c r="AL17">
        <v>9</v>
      </c>
      <c r="AM17">
        <v>3801.6</v>
      </c>
      <c r="AN17">
        <v>7</v>
      </c>
      <c r="AO17">
        <v>2956.7999999999997</v>
      </c>
      <c r="AP17">
        <v>10</v>
      </c>
      <c r="AQ17">
        <v>4224</v>
      </c>
      <c r="AR17">
        <v>9</v>
      </c>
      <c r="AS17">
        <v>3801.6</v>
      </c>
      <c r="AT17">
        <v>7</v>
      </c>
      <c r="AU17">
        <v>2956.7999999999997</v>
      </c>
      <c r="AV17">
        <v>6</v>
      </c>
      <c r="AW17">
        <v>2534.3999999999996</v>
      </c>
      <c r="AX17">
        <v>7</v>
      </c>
      <c r="AY17">
        <v>2956.7999999999997</v>
      </c>
      <c r="AZ17">
        <v>9</v>
      </c>
      <c r="BA17">
        <v>3801.6</v>
      </c>
      <c r="BB17">
        <v>9</v>
      </c>
      <c r="BC17">
        <v>3801.6</v>
      </c>
      <c r="BD17">
        <v>10</v>
      </c>
      <c r="BE17">
        <v>4224</v>
      </c>
      <c r="BF17">
        <v>12</v>
      </c>
      <c r="BG17">
        <v>5068.7999999999993</v>
      </c>
      <c r="BH17">
        <v>10</v>
      </c>
      <c r="BI17">
        <v>4224</v>
      </c>
      <c r="BJ17">
        <v>10</v>
      </c>
      <c r="BK17">
        <v>4224</v>
      </c>
      <c r="BL17">
        <v>9</v>
      </c>
      <c r="BM17">
        <v>3801.6</v>
      </c>
      <c r="BN17">
        <v>11</v>
      </c>
      <c r="BO17">
        <v>4646.3999999999996</v>
      </c>
      <c r="BP17">
        <v>10</v>
      </c>
      <c r="BQ17">
        <v>4224</v>
      </c>
      <c r="BR17">
        <v>13</v>
      </c>
      <c r="BS17">
        <v>5491.2</v>
      </c>
      <c r="BT17">
        <v>12</v>
      </c>
      <c r="BU17">
        <v>5068.7999999999993</v>
      </c>
      <c r="BV17">
        <v>11</v>
      </c>
      <c r="BW17">
        <v>4646.3999999999996</v>
      </c>
      <c r="BX17">
        <v>7</v>
      </c>
      <c r="BY17">
        <v>2956.7999999999997</v>
      </c>
      <c r="BZ17">
        <v>8</v>
      </c>
      <c r="CA17">
        <v>3379.2</v>
      </c>
      <c r="CB17">
        <v>11</v>
      </c>
      <c r="CC17">
        <v>4646.3999999999996</v>
      </c>
      <c r="CD17">
        <v>7</v>
      </c>
      <c r="CE17">
        <v>2956.7999999999997</v>
      </c>
      <c r="CF17">
        <v>11</v>
      </c>
      <c r="CG17">
        <v>4646.3999999999996</v>
      </c>
      <c r="CH17">
        <v>10</v>
      </c>
      <c r="CI17">
        <v>4224</v>
      </c>
      <c r="CJ17">
        <v>9</v>
      </c>
      <c r="CK17">
        <v>3801.6</v>
      </c>
      <c r="CL17">
        <v>13</v>
      </c>
      <c r="CM17">
        <v>5491.2</v>
      </c>
      <c r="CN17">
        <v>12</v>
      </c>
      <c r="CO17">
        <v>5068.7999999999993</v>
      </c>
      <c r="CP17">
        <v>12</v>
      </c>
      <c r="CQ17">
        <v>5068.7999999999993</v>
      </c>
      <c r="CR17">
        <v>11</v>
      </c>
      <c r="CS17">
        <v>4646.3999999999996</v>
      </c>
      <c r="CT17">
        <v>8</v>
      </c>
      <c r="CU17">
        <v>3379.2</v>
      </c>
    </row>
    <row r="18" spans="2:99" x14ac:dyDescent="0.2">
      <c r="C18" s="118" t="s">
        <v>184</v>
      </c>
      <c r="D18">
        <v>3.0494985742181995</v>
      </c>
      <c r="E18">
        <v>1990.7126692496404</v>
      </c>
      <c r="F18">
        <v>9.4792990588801764</v>
      </c>
      <c r="G18">
        <v>6188.0864256369787</v>
      </c>
      <c r="H18">
        <v>10</v>
      </c>
      <c r="I18">
        <v>6528</v>
      </c>
      <c r="J18">
        <v>8.3893258551302754</v>
      </c>
      <c r="K18">
        <v>5476.5519182290436</v>
      </c>
      <c r="L18">
        <v>6</v>
      </c>
      <c r="M18">
        <v>3916.7999999999997</v>
      </c>
      <c r="N18">
        <v>9</v>
      </c>
      <c r="O18">
        <v>5875.2</v>
      </c>
      <c r="P18">
        <v>10</v>
      </c>
      <c r="Q18">
        <v>6528</v>
      </c>
      <c r="R18">
        <v>8</v>
      </c>
      <c r="S18">
        <v>5222.3999999999996</v>
      </c>
      <c r="T18">
        <v>6</v>
      </c>
      <c r="U18">
        <v>3916.7999999999997</v>
      </c>
      <c r="V18">
        <v>6</v>
      </c>
      <c r="W18">
        <v>3916.7999999999997</v>
      </c>
      <c r="X18">
        <v>7</v>
      </c>
      <c r="Y18">
        <v>4569.5999999999995</v>
      </c>
      <c r="Z18">
        <v>10</v>
      </c>
      <c r="AA18">
        <v>6528</v>
      </c>
      <c r="AB18">
        <v>8</v>
      </c>
      <c r="AC18">
        <v>5222.3999999999996</v>
      </c>
      <c r="AD18">
        <v>6</v>
      </c>
      <c r="AE18">
        <v>3916.7999999999997</v>
      </c>
      <c r="AF18">
        <v>8</v>
      </c>
      <c r="AG18">
        <v>5222.3999999999996</v>
      </c>
      <c r="AH18">
        <v>7</v>
      </c>
      <c r="AI18">
        <v>4569.5999999999995</v>
      </c>
      <c r="AJ18">
        <v>10</v>
      </c>
      <c r="AK18">
        <v>6528</v>
      </c>
      <c r="AL18">
        <v>9</v>
      </c>
      <c r="AM18">
        <v>5875.2</v>
      </c>
      <c r="AN18">
        <v>6</v>
      </c>
      <c r="AO18">
        <v>3916.7999999999997</v>
      </c>
      <c r="AP18">
        <v>10</v>
      </c>
      <c r="AQ18">
        <v>6528</v>
      </c>
      <c r="AR18">
        <v>10</v>
      </c>
      <c r="AS18">
        <v>6528</v>
      </c>
      <c r="AT18">
        <v>7</v>
      </c>
      <c r="AU18">
        <v>4569.5999999999995</v>
      </c>
      <c r="AV18">
        <v>6</v>
      </c>
      <c r="AW18">
        <v>3916.7999999999997</v>
      </c>
      <c r="AX18">
        <v>8</v>
      </c>
      <c r="AY18">
        <v>5222.3999999999996</v>
      </c>
      <c r="AZ18">
        <v>9</v>
      </c>
      <c r="BA18">
        <v>5875.2</v>
      </c>
      <c r="BB18">
        <v>8</v>
      </c>
      <c r="BC18">
        <v>5222.3999999999996</v>
      </c>
      <c r="BD18">
        <v>9</v>
      </c>
      <c r="BE18">
        <v>5875.2</v>
      </c>
      <c r="BF18">
        <v>12</v>
      </c>
      <c r="BG18">
        <v>7833.5999999999995</v>
      </c>
      <c r="BH18">
        <v>10</v>
      </c>
      <c r="BI18">
        <v>6528</v>
      </c>
      <c r="BJ18">
        <v>9</v>
      </c>
      <c r="BK18">
        <v>5875.2</v>
      </c>
      <c r="BL18">
        <v>10</v>
      </c>
      <c r="BM18">
        <v>6528</v>
      </c>
      <c r="BN18">
        <v>10</v>
      </c>
      <c r="BO18">
        <v>6528</v>
      </c>
      <c r="BP18">
        <v>10</v>
      </c>
      <c r="BQ18">
        <v>6528</v>
      </c>
      <c r="BR18">
        <v>11</v>
      </c>
      <c r="BS18">
        <v>7180.7999999999993</v>
      </c>
      <c r="BT18">
        <v>10</v>
      </c>
      <c r="BU18">
        <v>6528</v>
      </c>
      <c r="BV18">
        <v>11</v>
      </c>
      <c r="BW18">
        <v>7180.7999999999993</v>
      </c>
      <c r="BX18">
        <v>8</v>
      </c>
      <c r="BY18">
        <v>5222.3999999999996</v>
      </c>
      <c r="BZ18">
        <v>7</v>
      </c>
      <c r="CA18">
        <v>4569.5999999999995</v>
      </c>
      <c r="CB18">
        <v>9</v>
      </c>
      <c r="CC18">
        <v>5875.2</v>
      </c>
      <c r="CD18">
        <v>7</v>
      </c>
      <c r="CE18">
        <v>4569.5999999999995</v>
      </c>
      <c r="CF18">
        <v>10</v>
      </c>
      <c r="CG18">
        <v>6528</v>
      </c>
      <c r="CH18">
        <v>10</v>
      </c>
      <c r="CI18">
        <v>6528</v>
      </c>
      <c r="CJ18">
        <v>10</v>
      </c>
      <c r="CK18">
        <v>6528</v>
      </c>
      <c r="CL18">
        <v>12</v>
      </c>
      <c r="CM18">
        <v>7833.5999999999995</v>
      </c>
      <c r="CN18">
        <v>10</v>
      </c>
      <c r="CO18">
        <v>6528</v>
      </c>
      <c r="CP18">
        <v>10</v>
      </c>
      <c r="CQ18">
        <v>6528</v>
      </c>
      <c r="CR18">
        <v>11</v>
      </c>
      <c r="CS18">
        <v>7180.7999999999993</v>
      </c>
      <c r="CT18">
        <v>7</v>
      </c>
      <c r="CU18">
        <v>4569.5999999999995</v>
      </c>
    </row>
    <row r="19" spans="2:99" x14ac:dyDescent="0.2">
      <c r="C19" s="118" t="s">
        <v>185</v>
      </c>
      <c r="D19">
        <v>3.0494985742181995</v>
      </c>
      <c r="E19">
        <v>1006.3345294920058</v>
      </c>
      <c r="F19">
        <v>10.383439247104141</v>
      </c>
      <c r="G19">
        <v>3426.5349515443663</v>
      </c>
      <c r="H19">
        <v>9</v>
      </c>
      <c r="I19">
        <v>2970</v>
      </c>
      <c r="J19">
        <v>7.3460674267824668</v>
      </c>
      <c r="K19">
        <v>2424.2022508382142</v>
      </c>
      <c r="L19">
        <v>6</v>
      </c>
      <c r="M19">
        <v>1980</v>
      </c>
      <c r="N19">
        <v>9</v>
      </c>
      <c r="O19">
        <v>2970</v>
      </c>
      <c r="P19">
        <v>9</v>
      </c>
      <c r="Q19">
        <v>2970</v>
      </c>
      <c r="R19">
        <v>10</v>
      </c>
      <c r="S19">
        <v>3300</v>
      </c>
      <c r="T19">
        <v>7</v>
      </c>
      <c r="U19">
        <v>2310</v>
      </c>
      <c r="V19">
        <v>6</v>
      </c>
      <c r="W19">
        <v>1980</v>
      </c>
      <c r="X19">
        <v>7</v>
      </c>
      <c r="Y19">
        <v>2310</v>
      </c>
      <c r="Z19">
        <v>10</v>
      </c>
      <c r="AA19">
        <v>3300</v>
      </c>
      <c r="AB19">
        <v>9</v>
      </c>
      <c r="AC19">
        <v>2970</v>
      </c>
      <c r="AD19">
        <v>8</v>
      </c>
      <c r="AE19">
        <v>2640</v>
      </c>
      <c r="AF19">
        <v>8</v>
      </c>
      <c r="AG19">
        <v>2640</v>
      </c>
      <c r="AH19">
        <v>7</v>
      </c>
      <c r="AI19">
        <v>2310</v>
      </c>
      <c r="AJ19">
        <v>9</v>
      </c>
      <c r="AK19">
        <v>2970</v>
      </c>
      <c r="AL19">
        <v>8</v>
      </c>
      <c r="AM19">
        <v>2640</v>
      </c>
      <c r="AN19">
        <v>7</v>
      </c>
      <c r="AO19">
        <v>2310</v>
      </c>
      <c r="AP19">
        <v>10</v>
      </c>
      <c r="AQ19">
        <v>3300</v>
      </c>
      <c r="AR19">
        <v>9</v>
      </c>
      <c r="AS19">
        <v>2970</v>
      </c>
      <c r="AT19">
        <v>9</v>
      </c>
      <c r="AU19">
        <v>2970</v>
      </c>
      <c r="AV19">
        <v>7</v>
      </c>
      <c r="AW19">
        <v>2310</v>
      </c>
      <c r="AX19">
        <v>8</v>
      </c>
      <c r="AY19">
        <v>2640</v>
      </c>
      <c r="AZ19">
        <v>10</v>
      </c>
      <c r="BA19">
        <v>3300</v>
      </c>
      <c r="BB19">
        <v>8</v>
      </c>
      <c r="BC19">
        <v>2640</v>
      </c>
      <c r="BD19">
        <v>9</v>
      </c>
      <c r="BE19">
        <v>2970</v>
      </c>
      <c r="BF19">
        <v>12</v>
      </c>
      <c r="BG19">
        <v>3960</v>
      </c>
      <c r="BH19">
        <v>9</v>
      </c>
      <c r="BI19">
        <v>2970</v>
      </c>
      <c r="BJ19">
        <v>10</v>
      </c>
      <c r="BK19">
        <v>3300</v>
      </c>
      <c r="BL19">
        <v>9</v>
      </c>
      <c r="BM19">
        <v>2970</v>
      </c>
      <c r="BN19">
        <v>11</v>
      </c>
      <c r="BO19">
        <v>3630</v>
      </c>
      <c r="BP19">
        <v>10</v>
      </c>
      <c r="BQ19">
        <v>3300</v>
      </c>
      <c r="BR19">
        <v>12</v>
      </c>
      <c r="BS19">
        <v>3960</v>
      </c>
      <c r="BT19">
        <v>11</v>
      </c>
      <c r="BU19">
        <v>3630</v>
      </c>
      <c r="BV19">
        <v>11</v>
      </c>
      <c r="BW19">
        <v>3630</v>
      </c>
      <c r="BX19">
        <v>7</v>
      </c>
      <c r="BY19">
        <v>2310</v>
      </c>
      <c r="BZ19">
        <v>7</v>
      </c>
      <c r="CA19">
        <v>2310</v>
      </c>
      <c r="CB19">
        <v>10</v>
      </c>
      <c r="CC19">
        <v>3300</v>
      </c>
      <c r="CD19">
        <v>7</v>
      </c>
      <c r="CE19">
        <v>2310</v>
      </c>
      <c r="CF19">
        <v>11</v>
      </c>
      <c r="CG19">
        <v>3630</v>
      </c>
      <c r="CH19">
        <v>9</v>
      </c>
      <c r="CI19">
        <v>2970</v>
      </c>
      <c r="CJ19">
        <v>10</v>
      </c>
      <c r="CK19">
        <v>3300</v>
      </c>
      <c r="CL19">
        <v>13</v>
      </c>
      <c r="CM19">
        <v>4290</v>
      </c>
      <c r="CN19">
        <v>11</v>
      </c>
      <c r="CO19">
        <v>3630</v>
      </c>
      <c r="CP19">
        <v>12</v>
      </c>
      <c r="CQ19">
        <v>3960</v>
      </c>
      <c r="CR19">
        <v>9</v>
      </c>
      <c r="CS19">
        <v>2970</v>
      </c>
      <c r="CT19">
        <v>8</v>
      </c>
      <c r="CU19">
        <v>2640</v>
      </c>
    </row>
    <row r="20" spans="2:99" x14ac:dyDescent="0.2">
      <c r="B20" s="118" t="s">
        <v>127</v>
      </c>
      <c r="C20" s="118" t="s">
        <v>186</v>
      </c>
      <c r="D20">
        <v>8.6402459602848989</v>
      </c>
      <c r="E20">
        <v>2478.022541409709</v>
      </c>
      <c r="F20">
        <v>22</v>
      </c>
      <c r="G20">
        <v>6309.6</v>
      </c>
      <c r="H20">
        <v>22</v>
      </c>
      <c r="I20">
        <v>6309.6</v>
      </c>
      <c r="J20">
        <v>18.341011278782059</v>
      </c>
      <c r="K20">
        <v>5260.202034754695</v>
      </c>
      <c r="L20">
        <v>16</v>
      </c>
      <c r="M20">
        <v>4588.8</v>
      </c>
      <c r="N20">
        <v>20</v>
      </c>
      <c r="O20">
        <v>5736</v>
      </c>
      <c r="P20">
        <v>20</v>
      </c>
      <c r="Q20">
        <v>5736</v>
      </c>
      <c r="R20">
        <v>16</v>
      </c>
      <c r="S20">
        <v>4588.8</v>
      </c>
      <c r="T20">
        <v>16</v>
      </c>
      <c r="U20">
        <v>4588.8</v>
      </c>
      <c r="V20">
        <v>14</v>
      </c>
      <c r="W20">
        <v>4015.2000000000003</v>
      </c>
      <c r="X20">
        <v>21</v>
      </c>
      <c r="Y20">
        <v>6022.8</v>
      </c>
      <c r="Z20">
        <v>21</v>
      </c>
      <c r="AA20">
        <v>6022.8</v>
      </c>
      <c r="AB20">
        <v>23</v>
      </c>
      <c r="AC20">
        <v>6596.4000000000005</v>
      </c>
      <c r="AD20">
        <v>15</v>
      </c>
      <c r="AE20">
        <v>4302</v>
      </c>
      <c r="AF20">
        <v>16</v>
      </c>
      <c r="AG20">
        <v>4588.8</v>
      </c>
      <c r="AH20">
        <v>19</v>
      </c>
      <c r="AI20">
        <v>5449.2</v>
      </c>
      <c r="AJ20">
        <v>17</v>
      </c>
      <c r="AK20">
        <v>4875.6000000000004</v>
      </c>
      <c r="AL20">
        <v>19</v>
      </c>
      <c r="AM20">
        <v>5449.2</v>
      </c>
      <c r="AN20">
        <v>15</v>
      </c>
      <c r="AO20">
        <v>4302</v>
      </c>
      <c r="AP20">
        <v>14</v>
      </c>
      <c r="AQ20">
        <v>4015.2000000000003</v>
      </c>
      <c r="AR20">
        <v>19</v>
      </c>
      <c r="AS20">
        <v>5449.2</v>
      </c>
      <c r="AT20">
        <v>19</v>
      </c>
      <c r="AU20">
        <v>5449.2</v>
      </c>
      <c r="AV20">
        <v>12</v>
      </c>
      <c r="AW20">
        <v>3441.6000000000004</v>
      </c>
      <c r="AX20">
        <v>12</v>
      </c>
      <c r="AY20">
        <v>3441.6000000000004</v>
      </c>
      <c r="AZ20">
        <v>18</v>
      </c>
      <c r="BA20">
        <v>5162.4000000000005</v>
      </c>
      <c r="BB20">
        <v>13</v>
      </c>
      <c r="BC20">
        <v>3728.4</v>
      </c>
      <c r="BD20">
        <v>20</v>
      </c>
      <c r="BE20">
        <v>5736</v>
      </c>
      <c r="BF20">
        <v>16</v>
      </c>
      <c r="BG20">
        <v>4588.8</v>
      </c>
      <c r="BH20">
        <v>16</v>
      </c>
      <c r="BI20">
        <v>4588.8</v>
      </c>
      <c r="BJ20">
        <v>14</v>
      </c>
      <c r="BK20">
        <v>4015.2000000000003</v>
      </c>
      <c r="BL20">
        <v>24</v>
      </c>
      <c r="BM20">
        <v>6883.2000000000007</v>
      </c>
      <c r="BN20">
        <v>14</v>
      </c>
      <c r="BO20">
        <v>4015.2000000000003</v>
      </c>
      <c r="BP20">
        <v>19</v>
      </c>
      <c r="BQ20">
        <v>5449.2</v>
      </c>
      <c r="BR20">
        <v>16</v>
      </c>
      <c r="BS20">
        <v>4588.8</v>
      </c>
      <c r="BT20">
        <v>15</v>
      </c>
      <c r="BU20">
        <v>4302</v>
      </c>
      <c r="BV20">
        <v>21</v>
      </c>
      <c r="BW20">
        <v>6022.8</v>
      </c>
      <c r="BX20">
        <v>14</v>
      </c>
      <c r="BY20">
        <v>4015.2000000000003</v>
      </c>
      <c r="BZ20">
        <v>11</v>
      </c>
      <c r="CA20">
        <v>3154.8</v>
      </c>
      <c r="CB20">
        <v>17</v>
      </c>
      <c r="CC20">
        <v>4875.6000000000004</v>
      </c>
      <c r="CD20">
        <v>11</v>
      </c>
      <c r="CE20">
        <v>3154.8</v>
      </c>
      <c r="CF20">
        <v>16</v>
      </c>
      <c r="CG20">
        <v>4588.8</v>
      </c>
      <c r="CH20">
        <v>24</v>
      </c>
      <c r="CI20">
        <v>6883.2000000000007</v>
      </c>
      <c r="CJ20">
        <v>16</v>
      </c>
      <c r="CK20">
        <v>4588.8</v>
      </c>
      <c r="CL20">
        <v>24</v>
      </c>
      <c r="CM20">
        <v>6883.2000000000007</v>
      </c>
      <c r="CN20">
        <v>20</v>
      </c>
      <c r="CO20">
        <v>5736</v>
      </c>
      <c r="CP20">
        <v>21</v>
      </c>
      <c r="CQ20">
        <v>6022.8</v>
      </c>
      <c r="CR20">
        <v>17</v>
      </c>
      <c r="CS20">
        <v>4875.6000000000004</v>
      </c>
      <c r="CT20">
        <v>15</v>
      </c>
      <c r="CU20">
        <v>4302</v>
      </c>
    </row>
    <row r="21" spans="2:99" x14ac:dyDescent="0.2">
      <c r="C21" s="118" t="s">
        <v>187</v>
      </c>
      <c r="D21">
        <v>10.164995247393998</v>
      </c>
      <c r="E21">
        <v>634.29570343738544</v>
      </c>
      <c r="F21">
        <v>22</v>
      </c>
      <c r="G21">
        <v>1372.8</v>
      </c>
      <c r="H21">
        <v>20</v>
      </c>
      <c r="I21">
        <v>1248</v>
      </c>
      <c r="J21">
        <v>17.427528135477676</v>
      </c>
      <c r="K21">
        <v>1087.477755653807</v>
      </c>
      <c r="L21">
        <v>16</v>
      </c>
      <c r="M21">
        <v>998.4</v>
      </c>
      <c r="N21">
        <v>20</v>
      </c>
      <c r="O21">
        <v>1248</v>
      </c>
      <c r="P21">
        <v>20</v>
      </c>
      <c r="Q21">
        <v>1248</v>
      </c>
      <c r="R21">
        <v>18</v>
      </c>
      <c r="S21">
        <v>1123.2</v>
      </c>
      <c r="T21">
        <v>16</v>
      </c>
      <c r="U21">
        <v>998.4</v>
      </c>
      <c r="V21">
        <v>12</v>
      </c>
      <c r="W21">
        <v>748.8</v>
      </c>
      <c r="X21">
        <v>20</v>
      </c>
      <c r="Y21">
        <v>1248</v>
      </c>
      <c r="Z21">
        <v>23</v>
      </c>
      <c r="AA21">
        <v>1435.2</v>
      </c>
      <c r="AB21">
        <v>20</v>
      </c>
      <c r="AC21">
        <v>1248</v>
      </c>
      <c r="AD21">
        <v>14</v>
      </c>
      <c r="AE21">
        <v>873.6</v>
      </c>
      <c r="AF21">
        <v>19</v>
      </c>
      <c r="AG21">
        <v>1185.5999999999999</v>
      </c>
      <c r="AH21">
        <v>17</v>
      </c>
      <c r="AI21">
        <v>1060.8</v>
      </c>
      <c r="AJ21">
        <v>19</v>
      </c>
      <c r="AK21">
        <v>1185.5999999999999</v>
      </c>
      <c r="AL21">
        <v>18</v>
      </c>
      <c r="AM21">
        <v>1123.2</v>
      </c>
      <c r="AN21">
        <v>16</v>
      </c>
      <c r="AO21">
        <v>998.4</v>
      </c>
      <c r="AP21">
        <v>16</v>
      </c>
      <c r="AQ21">
        <v>998.4</v>
      </c>
      <c r="AR21">
        <v>18</v>
      </c>
      <c r="AS21">
        <v>1123.2</v>
      </c>
      <c r="AT21">
        <v>18</v>
      </c>
      <c r="AU21">
        <v>1123.2</v>
      </c>
      <c r="AV21">
        <v>13</v>
      </c>
      <c r="AW21">
        <v>811.19999999999993</v>
      </c>
      <c r="AX21">
        <v>12</v>
      </c>
      <c r="AY21">
        <v>748.8</v>
      </c>
      <c r="AZ21">
        <v>20</v>
      </c>
      <c r="BA21">
        <v>1248</v>
      </c>
      <c r="BB21">
        <v>13</v>
      </c>
      <c r="BC21">
        <v>811.19999999999993</v>
      </c>
      <c r="BD21">
        <v>17</v>
      </c>
      <c r="BE21">
        <v>1060.8</v>
      </c>
      <c r="BF21">
        <v>15</v>
      </c>
      <c r="BG21">
        <v>936</v>
      </c>
      <c r="BH21">
        <v>16</v>
      </c>
      <c r="BI21">
        <v>998.4</v>
      </c>
      <c r="BJ21">
        <v>15</v>
      </c>
      <c r="BK21">
        <v>936</v>
      </c>
      <c r="BL21">
        <v>21</v>
      </c>
      <c r="BM21">
        <v>1310.3999999999999</v>
      </c>
      <c r="BN21">
        <v>14</v>
      </c>
      <c r="BO21">
        <v>873.6</v>
      </c>
      <c r="BP21">
        <v>20</v>
      </c>
      <c r="BQ21">
        <v>1248</v>
      </c>
      <c r="BR21">
        <v>16</v>
      </c>
      <c r="BS21">
        <v>998.4</v>
      </c>
      <c r="BT21">
        <v>13</v>
      </c>
      <c r="BU21">
        <v>811.19999999999993</v>
      </c>
      <c r="BV21">
        <v>22</v>
      </c>
      <c r="BW21">
        <v>1372.8</v>
      </c>
      <c r="BX21">
        <v>15</v>
      </c>
      <c r="BY21">
        <v>936</v>
      </c>
      <c r="BZ21">
        <v>13</v>
      </c>
      <c r="CA21">
        <v>811.19999999999993</v>
      </c>
      <c r="CB21">
        <v>19</v>
      </c>
      <c r="CC21">
        <v>1185.5999999999999</v>
      </c>
      <c r="CD21">
        <v>12</v>
      </c>
      <c r="CE21">
        <v>748.8</v>
      </c>
      <c r="CF21">
        <v>14</v>
      </c>
      <c r="CG21">
        <v>873.6</v>
      </c>
      <c r="CH21">
        <v>22</v>
      </c>
      <c r="CI21">
        <v>1372.8</v>
      </c>
      <c r="CJ21">
        <v>19</v>
      </c>
      <c r="CK21">
        <v>1185.5999999999999</v>
      </c>
      <c r="CL21">
        <v>25</v>
      </c>
      <c r="CM21">
        <v>1560</v>
      </c>
      <c r="CN21">
        <v>18</v>
      </c>
      <c r="CO21">
        <v>1123.2</v>
      </c>
      <c r="CP21">
        <v>22</v>
      </c>
      <c r="CQ21">
        <v>1372.8</v>
      </c>
      <c r="CR21">
        <v>16</v>
      </c>
      <c r="CS21">
        <v>998.4</v>
      </c>
      <c r="CT21">
        <v>15</v>
      </c>
      <c r="CU21">
        <v>936</v>
      </c>
    </row>
    <row r="22" spans="2:99" x14ac:dyDescent="0.2">
      <c r="C22" s="118" t="s">
        <v>188</v>
      </c>
      <c r="D22">
        <v>9.1484957226545998</v>
      </c>
      <c r="E22">
        <v>1712.5983992809411</v>
      </c>
      <c r="F22">
        <v>21</v>
      </c>
      <c r="G22">
        <v>3931.2</v>
      </c>
      <c r="H22">
        <v>19</v>
      </c>
      <c r="I22">
        <v>3556.7999999999997</v>
      </c>
      <c r="J22">
        <v>19.341011278782059</v>
      </c>
      <c r="K22">
        <v>3620.6373113880013</v>
      </c>
      <c r="L22">
        <v>17</v>
      </c>
      <c r="M22">
        <v>3182.3999999999996</v>
      </c>
      <c r="N22">
        <v>19</v>
      </c>
      <c r="O22">
        <v>3556.7999999999997</v>
      </c>
      <c r="P22">
        <v>19</v>
      </c>
      <c r="Q22">
        <v>3556.7999999999997</v>
      </c>
      <c r="R22">
        <v>18</v>
      </c>
      <c r="S22">
        <v>3369.6</v>
      </c>
      <c r="T22">
        <v>19</v>
      </c>
      <c r="U22">
        <v>3556.7999999999997</v>
      </c>
      <c r="V22">
        <v>14</v>
      </c>
      <c r="W22">
        <v>2620.7999999999997</v>
      </c>
      <c r="X22">
        <v>19</v>
      </c>
      <c r="Y22">
        <v>3556.7999999999997</v>
      </c>
      <c r="Z22">
        <v>21</v>
      </c>
      <c r="AA22">
        <v>3931.2</v>
      </c>
      <c r="AB22">
        <v>21</v>
      </c>
      <c r="AC22">
        <v>3931.2</v>
      </c>
      <c r="AD22">
        <v>15</v>
      </c>
      <c r="AE22">
        <v>2808</v>
      </c>
      <c r="AF22">
        <v>16</v>
      </c>
      <c r="AG22">
        <v>2995.2</v>
      </c>
      <c r="AH22">
        <v>17</v>
      </c>
      <c r="AI22">
        <v>3182.3999999999996</v>
      </c>
      <c r="AJ22">
        <v>18</v>
      </c>
      <c r="AK22">
        <v>3369.6</v>
      </c>
      <c r="AL22">
        <v>19</v>
      </c>
      <c r="AM22">
        <v>3556.7999999999997</v>
      </c>
      <c r="AN22">
        <v>17</v>
      </c>
      <c r="AO22">
        <v>3182.3999999999996</v>
      </c>
      <c r="AP22">
        <v>14</v>
      </c>
      <c r="AQ22">
        <v>2620.7999999999997</v>
      </c>
      <c r="AR22">
        <v>20</v>
      </c>
      <c r="AS22">
        <v>3744</v>
      </c>
      <c r="AT22">
        <v>18</v>
      </c>
      <c r="AU22">
        <v>3369.6</v>
      </c>
      <c r="AV22">
        <v>12</v>
      </c>
      <c r="AW22">
        <v>2246.3999999999996</v>
      </c>
      <c r="AX22">
        <v>12</v>
      </c>
      <c r="AY22">
        <v>2246.3999999999996</v>
      </c>
      <c r="AZ22">
        <v>20</v>
      </c>
      <c r="BA22">
        <v>3744</v>
      </c>
      <c r="BB22">
        <v>12</v>
      </c>
      <c r="BC22">
        <v>2246.3999999999996</v>
      </c>
      <c r="BD22">
        <v>20</v>
      </c>
      <c r="BE22">
        <v>3744</v>
      </c>
      <c r="BF22">
        <v>16</v>
      </c>
      <c r="BG22">
        <v>2995.2</v>
      </c>
      <c r="BH22">
        <v>16</v>
      </c>
      <c r="BI22">
        <v>2995.2</v>
      </c>
      <c r="BJ22">
        <v>14</v>
      </c>
      <c r="BK22">
        <v>2620.7999999999997</v>
      </c>
      <c r="BL22">
        <v>21</v>
      </c>
      <c r="BM22">
        <v>3931.2</v>
      </c>
      <c r="BN22">
        <v>16</v>
      </c>
      <c r="BO22">
        <v>2995.2</v>
      </c>
      <c r="BP22">
        <v>19</v>
      </c>
      <c r="BQ22">
        <v>3556.7999999999997</v>
      </c>
      <c r="BR22">
        <v>14</v>
      </c>
      <c r="BS22">
        <v>2620.7999999999997</v>
      </c>
      <c r="BT22">
        <v>14</v>
      </c>
      <c r="BU22">
        <v>2620.7999999999997</v>
      </c>
      <c r="BV22">
        <v>18</v>
      </c>
      <c r="BW22">
        <v>3369.6</v>
      </c>
      <c r="BX22">
        <v>13</v>
      </c>
      <c r="BY22">
        <v>2433.6</v>
      </c>
      <c r="BZ22">
        <v>12</v>
      </c>
      <c r="CA22">
        <v>2246.3999999999996</v>
      </c>
      <c r="CB22">
        <v>17</v>
      </c>
      <c r="CC22">
        <v>3182.3999999999996</v>
      </c>
      <c r="CD22">
        <v>11</v>
      </c>
      <c r="CE22">
        <v>2059.1999999999998</v>
      </c>
      <c r="CF22">
        <v>16</v>
      </c>
      <c r="CG22">
        <v>2995.2</v>
      </c>
      <c r="CH22">
        <v>25</v>
      </c>
      <c r="CI22">
        <v>4680</v>
      </c>
      <c r="CJ22">
        <v>18</v>
      </c>
      <c r="CK22">
        <v>3369.6</v>
      </c>
      <c r="CL22">
        <v>26</v>
      </c>
      <c r="CM22">
        <v>4867.2</v>
      </c>
      <c r="CN22">
        <v>19</v>
      </c>
      <c r="CO22">
        <v>3556.7999999999997</v>
      </c>
      <c r="CP22">
        <v>24</v>
      </c>
      <c r="CQ22">
        <v>4492.7999999999993</v>
      </c>
      <c r="CR22">
        <v>16</v>
      </c>
      <c r="CS22">
        <v>2995.2</v>
      </c>
      <c r="CT22">
        <v>14</v>
      </c>
      <c r="CU22">
        <v>2620.7999999999997</v>
      </c>
    </row>
    <row r="23" spans="2:99" x14ac:dyDescent="0.2">
      <c r="C23" s="118" t="s">
        <v>189</v>
      </c>
      <c r="D23">
        <v>9.1484957226545998</v>
      </c>
      <c r="E23">
        <v>2689.6577424604525</v>
      </c>
      <c r="F23">
        <v>20</v>
      </c>
      <c r="G23">
        <v>5880</v>
      </c>
      <c r="H23">
        <v>22</v>
      </c>
      <c r="I23">
        <v>6468</v>
      </c>
      <c r="J23">
        <v>19.29775285043425</v>
      </c>
      <c r="K23">
        <v>5673.5393380276691</v>
      </c>
      <c r="L23">
        <v>15</v>
      </c>
      <c r="M23">
        <v>4410</v>
      </c>
      <c r="N23">
        <v>19</v>
      </c>
      <c r="O23">
        <v>5586</v>
      </c>
      <c r="P23">
        <v>18</v>
      </c>
      <c r="Q23">
        <v>5292</v>
      </c>
      <c r="R23">
        <v>18</v>
      </c>
      <c r="S23">
        <v>5292</v>
      </c>
      <c r="T23">
        <v>19</v>
      </c>
      <c r="U23">
        <v>5586</v>
      </c>
      <c r="V23">
        <v>13</v>
      </c>
      <c r="W23">
        <v>3822</v>
      </c>
      <c r="X23">
        <v>19</v>
      </c>
      <c r="Y23">
        <v>5586</v>
      </c>
      <c r="Z23">
        <v>20</v>
      </c>
      <c r="AA23">
        <v>5880</v>
      </c>
      <c r="AB23">
        <v>20</v>
      </c>
      <c r="AC23">
        <v>5880</v>
      </c>
      <c r="AD23">
        <v>13</v>
      </c>
      <c r="AE23">
        <v>3822</v>
      </c>
      <c r="AF23">
        <v>17</v>
      </c>
      <c r="AG23">
        <v>4998</v>
      </c>
      <c r="AH23">
        <v>17</v>
      </c>
      <c r="AI23">
        <v>4998</v>
      </c>
      <c r="AJ23">
        <v>16</v>
      </c>
      <c r="AK23">
        <v>4704</v>
      </c>
      <c r="AL23">
        <v>20</v>
      </c>
      <c r="AM23">
        <v>5880</v>
      </c>
      <c r="AN23">
        <v>17</v>
      </c>
      <c r="AO23">
        <v>4998</v>
      </c>
      <c r="AP23">
        <v>15</v>
      </c>
      <c r="AQ23">
        <v>4410</v>
      </c>
      <c r="AR23">
        <v>19</v>
      </c>
      <c r="AS23">
        <v>5586</v>
      </c>
      <c r="AT23">
        <v>20</v>
      </c>
      <c r="AU23">
        <v>5880</v>
      </c>
      <c r="AV23">
        <v>12</v>
      </c>
      <c r="AW23">
        <v>3528</v>
      </c>
      <c r="AX23">
        <v>11</v>
      </c>
      <c r="AY23">
        <v>3234</v>
      </c>
      <c r="AZ23">
        <v>19</v>
      </c>
      <c r="BA23">
        <v>5586</v>
      </c>
      <c r="BB23">
        <v>11</v>
      </c>
      <c r="BC23">
        <v>3234</v>
      </c>
      <c r="BD23">
        <v>17</v>
      </c>
      <c r="BE23">
        <v>4998</v>
      </c>
      <c r="BF23">
        <v>17</v>
      </c>
      <c r="BG23">
        <v>4998</v>
      </c>
      <c r="BH23">
        <v>15</v>
      </c>
      <c r="BI23">
        <v>4410</v>
      </c>
      <c r="BJ23">
        <v>14</v>
      </c>
      <c r="BK23">
        <v>4116</v>
      </c>
      <c r="BL23">
        <v>22</v>
      </c>
      <c r="BM23">
        <v>6468</v>
      </c>
      <c r="BN23">
        <v>14</v>
      </c>
      <c r="BO23">
        <v>4116</v>
      </c>
      <c r="BP23">
        <v>19</v>
      </c>
      <c r="BQ23">
        <v>5586</v>
      </c>
      <c r="BR23">
        <v>15</v>
      </c>
      <c r="BS23">
        <v>4410</v>
      </c>
      <c r="BT23">
        <v>14</v>
      </c>
      <c r="BU23">
        <v>4116</v>
      </c>
      <c r="BV23">
        <v>20</v>
      </c>
      <c r="BW23">
        <v>5880</v>
      </c>
      <c r="BX23">
        <v>14</v>
      </c>
      <c r="BY23">
        <v>4116</v>
      </c>
      <c r="BZ23">
        <v>13</v>
      </c>
      <c r="CA23">
        <v>3822</v>
      </c>
      <c r="CB23">
        <v>19</v>
      </c>
      <c r="CC23">
        <v>5586</v>
      </c>
      <c r="CD23">
        <v>13</v>
      </c>
      <c r="CE23">
        <v>3822</v>
      </c>
      <c r="CF23">
        <v>14</v>
      </c>
      <c r="CG23">
        <v>4116</v>
      </c>
      <c r="CH23">
        <v>24</v>
      </c>
      <c r="CI23">
        <v>7056</v>
      </c>
      <c r="CJ23">
        <v>16</v>
      </c>
      <c r="CK23">
        <v>4704</v>
      </c>
      <c r="CL23">
        <v>23</v>
      </c>
      <c r="CM23">
        <v>6762</v>
      </c>
      <c r="CN23">
        <v>18</v>
      </c>
      <c r="CO23">
        <v>5292</v>
      </c>
      <c r="CP23">
        <v>24</v>
      </c>
      <c r="CQ23">
        <v>7056</v>
      </c>
      <c r="CR23">
        <v>18</v>
      </c>
      <c r="CS23">
        <v>5292</v>
      </c>
      <c r="CT23">
        <v>13</v>
      </c>
      <c r="CU23">
        <v>3822</v>
      </c>
    </row>
    <row r="24" spans="2:99" x14ac:dyDescent="0.2">
      <c r="C24" s="118" t="s">
        <v>190</v>
      </c>
      <c r="D24">
        <v>9.1484957226545998</v>
      </c>
      <c r="E24">
        <v>3359.3276293587687</v>
      </c>
      <c r="F24">
        <v>19</v>
      </c>
      <c r="G24">
        <v>6976.8</v>
      </c>
      <c r="H24">
        <v>20</v>
      </c>
      <c r="I24">
        <v>7344</v>
      </c>
      <c r="J24">
        <v>19.427528135477676</v>
      </c>
      <c r="K24">
        <v>7133.7883313474022</v>
      </c>
      <c r="L24">
        <v>14</v>
      </c>
      <c r="M24">
        <v>5140.8</v>
      </c>
      <c r="N24">
        <v>19</v>
      </c>
      <c r="O24">
        <v>6976.8</v>
      </c>
      <c r="P24">
        <v>19</v>
      </c>
      <c r="Q24">
        <v>6976.8</v>
      </c>
      <c r="R24">
        <v>16</v>
      </c>
      <c r="S24">
        <v>5875.2</v>
      </c>
      <c r="T24">
        <v>16</v>
      </c>
      <c r="U24">
        <v>5875.2</v>
      </c>
      <c r="V24">
        <v>12</v>
      </c>
      <c r="W24">
        <v>4406.3999999999996</v>
      </c>
      <c r="X24">
        <v>20</v>
      </c>
      <c r="Y24">
        <v>7344</v>
      </c>
      <c r="Z24">
        <v>21</v>
      </c>
      <c r="AA24">
        <v>7711.2</v>
      </c>
      <c r="AB24">
        <v>20</v>
      </c>
      <c r="AC24">
        <v>7344</v>
      </c>
      <c r="AD24">
        <v>14</v>
      </c>
      <c r="AE24">
        <v>5140.8</v>
      </c>
      <c r="AF24">
        <v>17</v>
      </c>
      <c r="AG24">
        <v>6242.4</v>
      </c>
      <c r="AH24">
        <v>17</v>
      </c>
      <c r="AI24">
        <v>6242.4</v>
      </c>
      <c r="AJ24">
        <v>18</v>
      </c>
      <c r="AK24">
        <v>6609.5999999999995</v>
      </c>
      <c r="AL24">
        <v>18</v>
      </c>
      <c r="AM24">
        <v>6609.5999999999995</v>
      </c>
      <c r="AN24">
        <v>14</v>
      </c>
      <c r="AO24">
        <v>5140.8</v>
      </c>
      <c r="AP24">
        <v>14</v>
      </c>
      <c r="AQ24">
        <v>5140.8</v>
      </c>
      <c r="AR24">
        <v>19</v>
      </c>
      <c r="AS24">
        <v>6976.8</v>
      </c>
      <c r="AT24">
        <v>18</v>
      </c>
      <c r="AU24">
        <v>6609.5999999999995</v>
      </c>
      <c r="AV24">
        <v>10</v>
      </c>
      <c r="AW24">
        <v>3672</v>
      </c>
      <c r="AX24">
        <v>12</v>
      </c>
      <c r="AY24">
        <v>4406.3999999999996</v>
      </c>
      <c r="AZ24">
        <v>20</v>
      </c>
      <c r="BA24">
        <v>7344</v>
      </c>
      <c r="BB24">
        <v>11</v>
      </c>
      <c r="BC24">
        <v>4039.2</v>
      </c>
      <c r="BD24">
        <v>17</v>
      </c>
      <c r="BE24">
        <v>6242.4</v>
      </c>
      <c r="BF24">
        <v>18</v>
      </c>
      <c r="BG24">
        <v>6609.5999999999995</v>
      </c>
      <c r="BH24">
        <v>15</v>
      </c>
      <c r="BI24">
        <v>5508</v>
      </c>
      <c r="BJ24">
        <v>14</v>
      </c>
      <c r="BK24">
        <v>5140.8</v>
      </c>
      <c r="BL24">
        <v>23</v>
      </c>
      <c r="BM24">
        <v>8445.6</v>
      </c>
      <c r="BN24">
        <v>15</v>
      </c>
      <c r="BO24">
        <v>5508</v>
      </c>
      <c r="BP24">
        <v>16</v>
      </c>
      <c r="BQ24">
        <v>5875.2</v>
      </c>
      <c r="BR24">
        <v>14</v>
      </c>
      <c r="BS24">
        <v>5140.8</v>
      </c>
      <c r="BT24">
        <v>14</v>
      </c>
      <c r="BU24">
        <v>5140.8</v>
      </c>
      <c r="BV24">
        <v>19</v>
      </c>
      <c r="BW24">
        <v>6976.8</v>
      </c>
      <c r="BX24">
        <v>13</v>
      </c>
      <c r="BY24">
        <v>4773.5999999999995</v>
      </c>
      <c r="BZ24">
        <v>12</v>
      </c>
      <c r="CA24">
        <v>4406.3999999999996</v>
      </c>
      <c r="CB24">
        <v>18</v>
      </c>
      <c r="CC24">
        <v>6609.5999999999995</v>
      </c>
      <c r="CD24">
        <v>13</v>
      </c>
      <c r="CE24">
        <v>4773.5999999999995</v>
      </c>
      <c r="CF24">
        <v>14</v>
      </c>
      <c r="CG24">
        <v>5140.8</v>
      </c>
      <c r="CH24">
        <v>23</v>
      </c>
      <c r="CI24">
        <v>8445.6</v>
      </c>
      <c r="CJ24">
        <v>17</v>
      </c>
      <c r="CK24">
        <v>6242.4</v>
      </c>
      <c r="CL24">
        <v>24</v>
      </c>
      <c r="CM24">
        <v>8812.7999999999993</v>
      </c>
      <c r="CN24">
        <v>21</v>
      </c>
      <c r="CO24">
        <v>7711.2</v>
      </c>
      <c r="CP24">
        <v>22</v>
      </c>
      <c r="CQ24">
        <v>8078.4</v>
      </c>
      <c r="CR24">
        <v>15</v>
      </c>
      <c r="CS24">
        <v>5508</v>
      </c>
      <c r="CT24">
        <v>14</v>
      </c>
      <c r="CU24">
        <v>5140.8</v>
      </c>
    </row>
    <row r="25" spans="2:99" x14ac:dyDescent="0.2">
      <c r="C25" s="118" t="s">
        <v>191</v>
      </c>
      <c r="D25">
        <v>8.1319961979151998</v>
      </c>
      <c r="E25">
        <v>4313.210783374222</v>
      </c>
      <c r="F25">
        <v>20</v>
      </c>
      <c r="G25">
        <v>10608</v>
      </c>
      <c r="H25">
        <v>19</v>
      </c>
      <c r="I25">
        <v>10077.6</v>
      </c>
      <c r="J25">
        <v>18.384269707129867</v>
      </c>
      <c r="K25">
        <v>9751.0166526616813</v>
      </c>
      <c r="L25">
        <v>15</v>
      </c>
      <c r="M25">
        <v>7956</v>
      </c>
      <c r="N25">
        <v>18</v>
      </c>
      <c r="O25">
        <v>9547.1999999999989</v>
      </c>
      <c r="P25">
        <v>20</v>
      </c>
      <c r="Q25">
        <v>10608</v>
      </c>
      <c r="R25">
        <v>16</v>
      </c>
      <c r="S25">
        <v>8486.4</v>
      </c>
      <c r="T25">
        <v>18</v>
      </c>
      <c r="U25">
        <v>9547.1999999999989</v>
      </c>
      <c r="V25">
        <v>13</v>
      </c>
      <c r="W25">
        <v>6895.2</v>
      </c>
      <c r="X25">
        <v>20</v>
      </c>
      <c r="Y25">
        <v>10608</v>
      </c>
      <c r="Z25">
        <v>20</v>
      </c>
      <c r="AA25">
        <v>10608</v>
      </c>
      <c r="AB25">
        <v>21</v>
      </c>
      <c r="AC25">
        <v>11138.4</v>
      </c>
      <c r="AD25">
        <v>15</v>
      </c>
      <c r="AE25">
        <v>7956</v>
      </c>
      <c r="AF25">
        <v>17</v>
      </c>
      <c r="AG25">
        <v>9016.7999999999993</v>
      </c>
      <c r="AH25">
        <v>19</v>
      </c>
      <c r="AI25">
        <v>10077.6</v>
      </c>
      <c r="AJ25">
        <v>20</v>
      </c>
      <c r="AK25">
        <v>10608</v>
      </c>
      <c r="AL25">
        <v>19</v>
      </c>
      <c r="AM25">
        <v>10077.6</v>
      </c>
      <c r="AN25">
        <v>14</v>
      </c>
      <c r="AO25">
        <v>7425.5999999999995</v>
      </c>
      <c r="AP25">
        <v>14</v>
      </c>
      <c r="AQ25">
        <v>7425.5999999999995</v>
      </c>
      <c r="AR25">
        <v>19</v>
      </c>
      <c r="AS25">
        <v>10077.6</v>
      </c>
      <c r="AT25">
        <v>18</v>
      </c>
      <c r="AU25">
        <v>9547.1999999999989</v>
      </c>
      <c r="AV25">
        <v>10</v>
      </c>
      <c r="AW25">
        <v>5304</v>
      </c>
      <c r="AX25">
        <v>11</v>
      </c>
      <c r="AY25">
        <v>5834.4</v>
      </c>
      <c r="AZ25">
        <v>18</v>
      </c>
      <c r="BA25">
        <v>9547.1999999999989</v>
      </c>
      <c r="BB25">
        <v>11</v>
      </c>
      <c r="BC25">
        <v>5834.4</v>
      </c>
      <c r="BD25">
        <v>16</v>
      </c>
      <c r="BE25">
        <v>8486.4</v>
      </c>
      <c r="BF25">
        <v>17</v>
      </c>
      <c r="BG25">
        <v>9016.7999999999993</v>
      </c>
      <c r="BH25">
        <v>15</v>
      </c>
      <c r="BI25">
        <v>7956</v>
      </c>
      <c r="BJ25">
        <v>14</v>
      </c>
      <c r="BK25">
        <v>7425.5999999999995</v>
      </c>
      <c r="BL25">
        <v>21</v>
      </c>
      <c r="BM25">
        <v>11138.4</v>
      </c>
      <c r="BN25">
        <v>16</v>
      </c>
      <c r="BO25">
        <v>8486.4</v>
      </c>
      <c r="BP25">
        <v>18</v>
      </c>
      <c r="BQ25">
        <v>9547.1999999999989</v>
      </c>
      <c r="BR25">
        <v>13</v>
      </c>
      <c r="BS25">
        <v>6895.2</v>
      </c>
      <c r="BT25">
        <v>14</v>
      </c>
      <c r="BU25">
        <v>7425.5999999999995</v>
      </c>
      <c r="BV25">
        <v>20</v>
      </c>
      <c r="BW25">
        <v>10608</v>
      </c>
      <c r="BX25">
        <v>13</v>
      </c>
      <c r="BY25">
        <v>6895.2</v>
      </c>
      <c r="BZ25">
        <v>13</v>
      </c>
      <c r="CA25">
        <v>6895.2</v>
      </c>
      <c r="CB25">
        <v>19</v>
      </c>
      <c r="CC25">
        <v>10077.6</v>
      </c>
      <c r="CD25">
        <v>10</v>
      </c>
      <c r="CE25">
        <v>5304</v>
      </c>
      <c r="CF25">
        <v>16</v>
      </c>
      <c r="CG25">
        <v>8486.4</v>
      </c>
      <c r="CH25">
        <v>24</v>
      </c>
      <c r="CI25">
        <v>12729.599999999999</v>
      </c>
      <c r="CJ25">
        <v>16</v>
      </c>
      <c r="CK25">
        <v>8486.4</v>
      </c>
      <c r="CL25">
        <v>25</v>
      </c>
      <c r="CM25">
        <v>13260</v>
      </c>
      <c r="CN25">
        <v>20</v>
      </c>
      <c r="CO25">
        <v>10608</v>
      </c>
      <c r="CP25">
        <v>20</v>
      </c>
      <c r="CQ25">
        <v>10608</v>
      </c>
      <c r="CR25">
        <v>17</v>
      </c>
      <c r="CS25">
        <v>9016.7999999999993</v>
      </c>
      <c r="CT25">
        <v>14</v>
      </c>
      <c r="CU25">
        <v>7425.5999999999995</v>
      </c>
    </row>
    <row r="26" spans="2:99" x14ac:dyDescent="0.2">
      <c r="C26" s="118" t="s">
        <v>192</v>
      </c>
      <c r="D26">
        <v>8.6402459602848989</v>
      </c>
      <c r="E26">
        <v>4199.1595366984611</v>
      </c>
      <c r="F26">
        <v>19</v>
      </c>
      <c r="G26">
        <v>9234</v>
      </c>
      <c r="H26">
        <v>19</v>
      </c>
      <c r="I26">
        <v>9234</v>
      </c>
      <c r="J26">
        <v>17.254494422086442</v>
      </c>
      <c r="K26">
        <v>8385.6842891340111</v>
      </c>
      <c r="L26">
        <v>16</v>
      </c>
      <c r="M26">
        <v>7776</v>
      </c>
      <c r="N26">
        <v>18</v>
      </c>
      <c r="O26">
        <v>8748</v>
      </c>
      <c r="P26">
        <v>20</v>
      </c>
      <c r="Q26">
        <v>9720</v>
      </c>
      <c r="R26">
        <v>17</v>
      </c>
      <c r="S26">
        <v>8262</v>
      </c>
      <c r="T26">
        <v>18</v>
      </c>
      <c r="U26">
        <v>8748</v>
      </c>
      <c r="V26">
        <v>13</v>
      </c>
      <c r="W26">
        <v>6318</v>
      </c>
      <c r="X26">
        <v>22</v>
      </c>
      <c r="Y26">
        <v>10692</v>
      </c>
      <c r="Z26">
        <v>22</v>
      </c>
      <c r="AA26">
        <v>10692</v>
      </c>
      <c r="AB26">
        <v>21</v>
      </c>
      <c r="AC26">
        <v>10206</v>
      </c>
      <c r="AD26">
        <v>13</v>
      </c>
      <c r="AE26">
        <v>6318</v>
      </c>
      <c r="AF26">
        <v>18</v>
      </c>
      <c r="AG26">
        <v>8748</v>
      </c>
      <c r="AH26">
        <v>17</v>
      </c>
      <c r="AI26">
        <v>8262</v>
      </c>
      <c r="AJ26">
        <v>20</v>
      </c>
      <c r="AK26">
        <v>9720</v>
      </c>
      <c r="AL26">
        <v>19</v>
      </c>
      <c r="AM26">
        <v>9234</v>
      </c>
      <c r="AN26">
        <v>15</v>
      </c>
      <c r="AO26">
        <v>7290</v>
      </c>
      <c r="AP26">
        <v>15</v>
      </c>
      <c r="AQ26">
        <v>7290</v>
      </c>
      <c r="AR26">
        <v>19</v>
      </c>
      <c r="AS26">
        <v>9234</v>
      </c>
      <c r="AT26">
        <v>17</v>
      </c>
      <c r="AU26">
        <v>8262</v>
      </c>
      <c r="AV26">
        <v>12</v>
      </c>
      <c r="AW26">
        <v>5832</v>
      </c>
      <c r="AX26">
        <v>11</v>
      </c>
      <c r="AY26">
        <v>5346</v>
      </c>
      <c r="AZ26">
        <v>20</v>
      </c>
      <c r="BA26">
        <v>9720</v>
      </c>
      <c r="BB26">
        <v>12</v>
      </c>
      <c r="BC26">
        <v>5832</v>
      </c>
      <c r="BD26">
        <v>18</v>
      </c>
      <c r="BE26">
        <v>8748</v>
      </c>
      <c r="BF26">
        <v>15</v>
      </c>
      <c r="BG26">
        <v>7290</v>
      </c>
      <c r="BH26">
        <v>15</v>
      </c>
      <c r="BI26">
        <v>7290</v>
      </c>
      <c r="BJ26">
        <v>14</v>
      </c>
      <c r="BK26">
        <v>6804</v>
      </c>
      <c r="BL26">
        <v>21</v>
      </c>
      <c r="BM26">
        <v>10206</v>
      </c>
      <c r="BN26">
        <v>14</v>
      </c>
      <c r="BO26">
        <v>6804</v>
      </c>
      <c r="BP26">
        <v>19</v>
      </c>
      <c r="BQ26">
        <v>9234</v>
      </c>
      <c r="BR26">
        <v>15</v>
      </c>
      <c r="BS26">
        <v>7290</v>
      </c>
      <c r="BT26">
        <v>15</v>
      </c>
      <c r="BU26">
        <v>7290</v>
      </c>
      <c r="BV26">
        <v>20</v>
      </c>
      <c r="BW26">
        <v>9720</v>
      </c>
      <c r="BX26">
        <v>13</v>
      </c>
      <c r="BY26">
        <v>6318</v>
      </c>
      <c r="BZ26">
        <v>12</v>
      </c>
      <c r="CA26">
        <v>5832</v>
      </c>
      <c r="CB26">
        <v>20</v>
      </c>
      <c r="CC26">
        <v>9720</v>
      </c>
      <c r="CD26">
        <v>11</v>
      </c>
      <c r="CE26">
        <v>5346</v>
      </c>
      <c r="CF26">
        <v>13</v>
      </c>
      <c r="CG26">
        <v>6318</v>
      </c>
      <c r="CH26">
        <v>24</v>
      </c>
      <c r="CI26">
        <v>11664</v>
      </c>
      <c r="CJ26">
        <v>17</v>
      </c>
      <c r="CK26">
        <v>8262</v>
      </c>
      <c r="CL26">
        <v>25</v>
      </c>
      <c r="CM26">
        <v>12150</v>
      </c>
      <c r="CN26">
        <v>21</v>
      </c>
      <c r="CO26">
        <v>10206</v>
      </c>
      <c r="CP26">
        <v>24</v>
      </c>
      <c r="CQ26">
        <v>11664</v>
      </c>
      <c r="CR26">
        <v>14</v>
      </c>
      <c r="CS26">
        <v>6804</v>
      </c>
      <c r="CT26">
        <v>14</v>
      </c>
      <c r="CU26">
        <v>6804</v>
      </c>
    </row>
    <row r="27" spans="2:99" x14ac:dyDescent="0.2">
      <c r="C27" s="118" t="s">
        <v>193</v>
      </c>
      <c r="D27">
        <v>9.6567454850243006</v>
      </c>
      <c r="E27">
        <v>4125.3616712023813</v>
      </c>
      <c r="F27">
        <v>22.773406517856653</v>
      </c>
      <c r="G27">
        <v>9728.7992644283622</v>
      </c>
      <c r="H27">
        <v>22</v>
      </c>
      <c r="I27">
        <v>9398.4</v>
      </c>
      <c r="J27">
        <v>16.514044992173289</v>
      </c>
      <c r="K27">
        <v>7054.8000206564293</v>
      </c>
      <c r="L27">
        <v>15</v>
      </c>
      <c r="M27">
        <v>6408</v>
      </c>
      <c r="N27">
        <v>20</v>
      </c>
      <c r="O27">
        <v>8544</v>
      </c>
      <c r="P27">
        <v>19</v>
      </c>
      <c r="Q27">
        <v>8116.8</v>
      </c>
      <c r="R27">
        <v>15</v>
      </c>
      <c r="S27">
        <v>6408</v>
      </c>
      <c r="T27">
        <v>16</v>
      </c>
      <c r="U27">
        <v>6835.2</v>
      </c>
      <c r="V27">
        <v>13</v>
      </c>
      <c r="W27">
        <v>5553.5999999999995</v>
      </c>
      <c r="X27">
        <v>22</v>
      </c>
      <c r="Y27">
        <v>9398.4</v>
      </c>
      <c r="Z27">
        <v>21</v>
      </c>
      <c r="AA27">
        <v>8971.1999999999989</v>
      </c>
      <c r="AB27">
        <v>21</v>
      </c>
      <c r="AC27">
        <v>8971.1999999999989</v>
      </c>
      <c r="AD27">
        <v>14</v>
      </c>
      <c r="AE27">
        <v>5980.8</v>
      </c>
      <c r="AF27">
        <v>16</v>
      </c>
      <c r="AG27">
        <v>6835.2</v>
      </c>
      <c r="AH27">
        <v>20</v>
      </c>
      <c r="AI27">
        <v>8544</v>
      </c>
      <c r="AJ27">
        <v>17</v>
      </c>
      <c r="AK27">
        <v>7262.4</v>
      </c>
      <c r="AL27">
        <v>17</v>
      </c>
      <c r="AM27">
        <v>7262.4</v>
      </c>
      <c r="AN27">
        <v>15</v>
      </c>
      <c r="AO27">
        <v>6408</v>
      </c>
      <c r="AP27">
        <v>15</v>
      </c>
      <c r="AQ27">
        <v>6408</v>
      </c>
      <c r="AR27">
        <v>19</v>
      </c>
      <c r="AS27">
        <v>8116.8</v>
      </c>
      <c r="AT27">
        <v>19</v>
      </c>
      <c r="AU27">
        <v>8116.8</v>
      </c>
      <c r="AV27">
        <v>11</v>
      </c>
      <c r="AW27">
        <v>4699.2</v>
      </c>
      <c r="AX27">
        <v>12</v>
      </c>
      <c r="AY27">
        <v>5126.3999999999996</v>
      </c>
      <c r="AZ27">
        <v>21</v>
      </c>
      <c r="BA27">
        <v>8971.1999999999989</v>
      </c>
      <c r="BB27">
        <v>13</v>
      </c>
      <c r="BC27">
        <v>5553.5999999999995</v>
      </c>
      <c r="BD27">
        <v>17</v>
      </c>
      <c r="BE27">
        <v>7262.4</v>
      </c>
      <c r="BF27">
        <v>16</v>
      </c>
      <c r="BG27">
        <v>6835.2</v>
      </c>
      <c r="BH27">
        <v>15</v>
      </c>
      <c r="BI27">
        <v>6408</v>
      </c>
      <c r="BJ27">
        <v>15</v>
      </c>
      <c r="BK27">
        <v>6408</v>
      </c>
      <c r="BL27">
        <v>21</v>
      </c>
      <c r="BM27">
        <v>8971.1999999999989</v>
      </c>
      <c r="BN27">
        <v>15</v>
      </c>
      <c r="BO27">
        <v>6408</v>
      </c>
      <c r="BP27">
        <v>19</v>
      </c>
      <c r="BQ27">
        <v>8116.8</v>
      </c>
      <c r="BR27">
        <v>16</v>
      </c>
      <c r="BS27">
        <v>6835.2</v>
      </c>
      <c r="BT27">
        <v>15</v>
      </c>
      <c r="BU27">
        <v>6408</v>
      </c>
      <c r="BV27">
        <v>21</v>
      </c>
      <c r="BW27">
        <v>8971.1999999999989</v>
      </c>
      <c r="BX27">
        <v>14</v>
      </c>
      <c r="BY27">
        <v>5980.8</v>
      </c>
      <c r="BZ27">
        <v>12</v>
      </c>
      <c r="CA27">
        <v>5126.3999999999996</v>
      </c>
      <c r="CB27">
        <v>19</v>
      </c>
      <c r="CC27">
        <v>8116.8</v>
      </c>
      <c r="CD27">
        <v>13</v>
      </c>
      <c r="CE27">
        <v>5553.5999999999995</v>
      </c>
      <c r="CF27">
        <v>15</v>
      </c>
      <c r="CG27">
        <v>6408</v>
      </c>
      <c r="CH27">
        <v>22</v>
      </c>
      <c r="CI27">
        <v>9398.4</v>
      </c>
      <c r="CJ27">
        <v>16</v>
      </c>
      <c r="CK27">
        <v>6835.2</v>
      </c>
      <c r="CL27">
        <v>24</v>
      </c>
      <c r="CM27">
        <v>10252.799999999999</v>
      </c>
      <c r="CN27">
        <v>18</v>
      </c>
      <c r="CO27">
        <v>7689.5999999999995</v>
      </c>
      <c r="CP27">
        <v>23</v>
      </c>
      <c r="CQ27">
        <v>9825.6</v>
      </c>
      <c r="CR27">
        <v>15</v>
      </c>
      <c r="CS27">
        <v>6408</v>
      </c>
      <c r="CT27">
        <v>14</v>
      </c>
      <c r="CU27">
        <v>5980.8</v>
      </c>
    </row>
    <row r="28" spans="2:99" x14ac:dyDescent="0.2">
      <c r="C28" s="118" t="s">
        <v>194</v>
      </c>
      <c r="D28">
        <v>8.6402459602848989</v>
      </c>
      <c r="E28">
        <v>6376.5015186902556</v>
      </c>
      <c r="F28">
        <v>20</v>
      </c>
      <c r="G28">
        <v>14760</v>
      </c>
      <c r="H28">
        <v>20</v>
      </c>
      <c r="I28">
        <v>14760</v>
      </c>
      <c r="J28">
        <v>19.254494422086442</v>
      </c>
      <c r="K28">
        <v>14209.816883499794</v>
      </c>
      <c r="L28">
        <v>14</v>
      </c>
      <c r="M28">
        <v>10332</v>
      </c>
      <c r="N28">
        <v>19</v>
      </c>
      <c r="O28">
        <v>14022</v>
      </c>
      <c r="P28">
        <v>19</v>
      </c>
      <c r="Q28">
        <v>14022</v>
      </c>
      <c r="R28">
        <v>17</v>
      </c>
      <c r="S28">
        <v>12546</v>
      </c>
      <c r="T28">
        <v>18</v>
      </c>
      <c r="U28">
        <v>13284</v>
      </c>
      <c r="V28">
        <v>13</v>
      </c>
      <c r="W28">
        <v>9594</v>
      </c>
      <c r="X28">
        <v>19</v>
      </c>
      <c r="Y28">
        <v>14022</v>
      </c>
      <c r="Z28">
        <v>20</v>
      </c>
      <c r="AA28">
        <v>14760</v>
      </c>
      <c r="AB28">
        <v>21</v>
      </c>
      <c r="AC28">
        <v>15498</v>
      </c>
      <c r="AD28">
        <v>13</v>
      </c>
      <c r="AE28">
        <v>9594</v>
      </c>
      <c r="AF28">
        <v>15</v>
      </c>
      <c r="AG28">
        <v>11070</v>
      </c>
      <c r="AH28">
        <v>18</v>
      </c>
      <c r="AI28">
        <v>13284</v>
      </c>
      <c r="AJ28">
        <v>19</v>
      </c>
      <c r="AK28">
        <v>14022</v>
      </c>
      <c r="AL28">
        <v>17</v>
      </c>
      <c r="AM28">
        <v>12546</v>
      </c>
      <c r="AN28">
        <v>16</v>
      </c>
      <c r="AO28">
        <v>11808</v>
      </c>
      <c r="AP28">
        <v>13</v>
      </c>
      <c r="AQ28">
        <v>9594</v>
      </c>
      <c r="AR28">
        <v>17</v>
      </c>
      <c r="AS28">
        <v>12546</v>
      </c>
      <c r="AT28">
        <v>19</v>
      </c>
      <c r="AU28">
        <v>14022</v>
      </c>
      <c r="AV28">
        <v>12</v>
      </c>
      <c r="AW28">
        <v>8856</v>
      </c>
      <c r="AX28">
        <v>10</v>
      </c>
      <c r="AY28">
        <v>7380</v>
      </c>
      <c r="AZ28">
        <v>20</v>
      </c>
      <c r="BA28">
        <v>14760</v>
      </c>
      <c r="BB28">
        <v>12</v>
      </c>
      <c r="BC28">
        <v>8856</v>
      </c>
      <c r="BD28">
        <v>18</v>
      </c>
      <c r="BE28">
        <v>13284</v>
      </c>
      <c r="BF28">
        <v>15</v>
      </c>
      <c r="BG28">
        <v>11070</v>
      </c>
      <c r="BH28">
        <v>15</v>
      </c>
      <c r="BI28">
        <v>11070</v>
      </c>
      <c r="BJ28">
        <v>15</v>
      </c>
      <c r="BK28">
        <v>11070</v>
      </c>
      <c r="BL28">
        <v>23</v>
      </c>
      <c r="BM28">
        <v>16974</v>
      </c>
      <c r="BN28">
        <v>13</v>
      </c>
      <c r="BO28">
        <v>9594</v>
      </c>
      <c r="BP28">
        <v>16</v>
      </c>
      <c r="BQ28">
        <v>11808</v>
      </c>
      <c r="BR28">
        <v>14</v>
      </c>
      <c r="BS28">
        <v>10332</v>
      </c>
      <c r="BT28">
        <v>13</v>
      </c>
      <c r="BU28">
        <v>9594</v>
      </c>
      <c r="BV28">
        <v>18</v>
      </c>
      <c r="BW28">
        <v>13284</v>
      </c>
      <c r="BX28">
        <v>14</v>
      </c>
      <c r="BY28">
        <v>10332</v>
      </c>
      <c r="BZ28">
        <v>11</v>
      </c>
      <c r="CA28">
        <v>8118</v>
      </c>
      <c r="CB28">
        <v>16</v>
      </c>
      <c r="CC28">
        <v>11808</v>
      </c>
      <c r="CD28">
        <v>11</v>
      </c>
      <c r="CE28">
        <v>8118</v>
      </c>
      <c r="CF28">
        <v>13</v>
      </c>
      <c r="CG28">
        <v>9594</v>
      </c>
      <c r="CH28">
        <v>21</v>
      </c>
      <c r="CI28">
        <v>15498</v>
      </c>
      <c r="CJ28">
        <v>17</v>
      </c>
      <c r="CK28">
        <v>12546</v>
      </c>
      <c r="CL28">
        <v>22</v>
      </c>
      <c r="CM28">
        <v>16236</v>
      </c>
      <c r="CN28">
        <v>19</v>
      </c>
      <c r="CO28">
        <v>14022</v>
      </c>
      <c r="CP28">
        <v>24</v>
      </c>
      <c r="CQ28">
        <v>17712</v>
      </c>
      <c r="CR28">
        <v>16</v>
      </c>
      <c r="CS28">
        <v>11808</v>
      </c>
      <c r="CT28">
        <v>13</v>
      </c>
      <c r="CU28">
        <v>9594</v>
      </c>
    </row>
    <row r="29" spans="2:99" x14ac:dyDescent="0.2">
      <c r="C29" s="118" t="s">
        <v>195</v>
      </c>
      <c r="D29">
        <v>9.1484957226545998</v>
      </c>
      <c r="E29">
        <v>3095.8509525463164</v>
      </c>
      <c r="F29">
        <v>20</v>
      </c>
      <c r="G29">
        <v>6768</v>
      </c>
      <c r="H29">
        <v>19</v>
      </c>
      <c r="I29">
        <v>6429.5999999999995</v>
      </c>
      <c r="J29">
        <v>19.427528135477676</v>
      </c>
      <c r="K29">
        <v>6574.2755210456453</v>
      </c>
      <c r="L29">
        <v>16</v>
      </c>
      <c r="M29">
        <v>5414.4</v>
      </c>
      <c r="N29">
        <v>22</v>
      </c>
      <c r="O29">
        <v>7444.7999999999993</v>
      </c>
      <c r="P29">
        <v>18</v>
      </c>
      <c r="Q29">
        <v>6091.2</v>
      </c>
      <c r="R29">
        <v>17</v>
      </c>
      <c r="S29">
        <v>5752.7999999999993</v>
      </c>
      <c r="T29">
        <v>18</v>
      </c>
      <c r="U29">
        <v>6091.2</v>
      </c>
      <c r="V29">
        <v>14</v>
      </c>
      <c r="W29">
        <v>4737.5999999999995</v>
      </c>
      <c r="X29">
        <v>18</v>
      </c>
      <c r="Y29">
        <v>6091.2</v>
      </c>
      <c r="Z29">
        <v>22</v>
      </c>
      <c r="AA29">
        <v>7444.7999999999993</v>
      </c>
      <c r="AB29">
        <v>21</v>
      </c>
      <c r="AC29">
        <v>7106.4</v>
      </c>
      <c r="AD29">
        <v>16</v>
      </c>
      <c r="AE29">
        <v>5414.4</v>
      </c>
      <c r="AF29">
        <v>17</v>
      </c>
      <c r="AG29">
        <v>5752.7999999999993</v>
      </c>
      <c r="AH29">
        <v>19</v>
      </c>
      <c r="AI29">
        <v>6429.5999999999995</v>
      </c>
      <c r="AJ29">
        <v>17</v>
      </c>
      <c r="AK29">
        <v>5752.7999999999993</v>
      </c>
      <c r="AL29">
        <v>20</v>
      </c>
      <c r="AM29">
        <v>6768</v>
      </c>
      <c r="AN29">
        <v>15</v>
      </c>
      <c r="AO29">
        <v>5076</v>
      </c>
      <c r="AP29">
        <v>14</v>
      </c>
      <c r="AQ29">
        <v>4737.5999999999995</v>
      </c>
      <c r="AR29">
        <v>18</v>
      </c>
      <c r="AS29">
        <v>6091.2</v>
      </c>
      <c r="AT29">
        <v>18</v>
      </c>
      <c r="AU29">
        <v>6091.2</v>
      </c>
      <c r="AV29">
        <v>10</v>
      </c>
      <c r="AW29">
        <v>3384</v>
      </c>
      <c r="AX29">
        <v>11</v>
      </c>
      <c r="AY29">
        <v>3722.3999999999996</v>
      </c>
      <c r="AZ29">
        <v>18</v>
      </c>
      <c r="BA29">
        <v>6091.2</v>
      </c>
      <c r="BB29">
        <v>13</v>
      </c>
      <c r="BC29">
        <v>4399.2</v>
      </c>
      <c r="BD29">
        <v>17</v>
      </c>
      <c r="BE29">
        <v>5752.7999999999993</v>
      </c>
      <c r="BF29">
        <v>16</v>
      </c>
      <c r="BG29">
        <v>5414.4</v>
      </c>
      <c r="BH29">
        <v>16</v>
      </c>
      <c r="BI29">
        <v>5414.4</v>
      </c>
      <c r="BJ29">
        <v>13</v>
      </c>
      <c r="BK29">
        <v>4399.2</v>
      </c>
      <c r="BL29">
        <v>23</v>
      </c>
      <c r="BM29">
        <v>7783.2</v>
      </c>
      <c r="BN29">
        <v>14</v>
      </c>
      <c r="BO29">
        <v>4737.5999999999995</v>
      </c>
      <c r="BP29">
        <v>19</v>
      </c>
      <c r="BQ29">
        <v>6429.5999999999995</v>
      </c>
      <c r="BR29">
        <v>14</v>
      </c>
      <c r="BS29">
        <v>4737.5999999999995</v>
      </c>
      <c r="BT29">
        <v>13</v>
      </c>
      <c r="BU29">
        <v>4399.2</v>
      </c>
      <c r="BV29">
        <v>20</v>
      </c>
      <c r="BW29">
        <v>6768</v>
      </c>
      <c r="BX29">
        <v>15</v>
      </c>
      <c r="BY29">
        <v>5076</v>
      </c>
      <c r="BZ29">
        <v>11</v>
      </c>
      <c r="CA29">
        <v>3722.3999999999996</v>
      </c>
      <c r="CB29">
        <v>16</v>
      </c>
      <c r="CC29">
        <v>5414.4</v>
      </c>
      <c r="CD29">
        <v>11</v>
      </c>
      <c r="CE29">
        <v>3722.3999999999996</v>
      </c>
      <c r="CF29">
        <v>14</v>
      </c>
      <c r="CG29">
        <v>4737.5999999999995</v>
      </c>
      <c r="CH29">
        <v>23</v>
      </c>
      <c r="CI29">
        <v>7783.2</v>
      </c>
      <c r="CJ29">
        <v>16</v>
      </c>
      <c r="CK29">
        <v>5414.4</v>
      </c>
      <c r="CL29">
        <v>25</v>
      </c>
      <c r="CM29">
        <v>8460</v>
      </c>
      <c r="CN29">
        <v>20</v>
      </c>
      <c r="CO29">
        <v>6768</v>
      </c>
      <c r="CP29">
        <v>25</v>
      </c>
      <c r="CQ29">
        <v>8460</v>
      </c>
      <c r="CR29">
        <v>15</v>
      </c>
      <c r="CS29">
        <v>5076</v>
      </c>
      <c r="CT29">
        <v>13</v>
      </c>
      <c r="CU29">
        <v>4399.2</v>
      </c>
    </row>
    <row r="30" spans="2:99" x14ac:dyDescent="0.2">
      <c r="C30" s="118" t="s">
        <v>196</v>
      </c>
      <c r="D30">
        <v>9.1484957226545998</v>
      </c>
      <c r="E30">
        <v>1273.4706045935202</v>
      </c>
      <c r="F30">
        <v>19</v>
      </c>
      <c r="G30">
        <v>2644.7999999999997</v>
      </c>
      <c r="H30">
        <v>21</v>
      </c>
      <c r="I30">
        <v>2923.2</v>
      </c>
      <c r="J30">
        <v>18.427528135477676</v>
      </c>
      <c r="K30">
        <v>2565.1119164584925</v>
      </c>
      <c r="L30">
        <v>15</v>
      </c>
      <c r="M30">
        <v>2088</v>
      </c>
      <c r="N30">
        <v>18</v>
      </c>
      <c r="O30">
        <v>2505.6</v>
      </c>
      <c r="P30">
        <v>22</v>
      </c>
      <c r="Q30">
        <v>3062.3999999999996</v>
      </c>
      <c r="R30">
        <v>18</v>
      </c>
      <c r="S30">
        <v>2505.6</v>
      </c>
      <c r="T30">
        <v>17</v>
      </c>
      <c r="U30">
        <v>2366.3999999999996</v>
      </c>
      <c r="V30">
        <v>12</v>
      </c>
      <c r="W30">
        <v>1670.3999999999999</v>
      </c>
      <c r="X30">
        <v>21</v>
      </c>
      <c r="Y30">
        <v>2923.2</v>
      </c>
      <c r="Z30">
        <v>20</v>
      </c>
      <c r="AA30">
        <v>2784</v>
      </c>
      <c r="AB30">
        <v>20</v>
      </c>
      <c r="AC30">
        <v>2784</v>
      </c>
      <c r="AD30">
        <v>13</v>
      </c>
      <c r="AE30">
        <v>1809.6</v>
      </c>
      <c r="AF30">
        <v>18</v>
      </c>
      <c r="AG30">
        <v>2505.6</v>
      </c>
      <c r="AH30">
        <v>18</v>
      </c>
      <c r="AI30">
        <v>2505.6</v>
      </c>
      <c r="AJ30">
        <v>18</v>
      </c>
      <c r="AK30">
        <v>2505.6</v>
      </c>
      <c r="AL30">
        <v>19</v>
      </c>
      <c r="AM30">
        <v>2644.7999999999997</v>
      </c>
      <c r="AN30">
        <v>16</v>
      </c>
      <c r="AO30">
        <v>2227.1999999999998</v>
      </c>
      <c r="AP30">
        <v>15</v>
      </c>
      <c r="AQ30">
        <v>2088</v>
      </c>
      <c r="AR30">
        <v>19</v>
      </c>
      <c r="AS30">
        <v>2644.7999999999997</v>
      </c>
      <c r="AT30">
        <v>19</v>
      </c>
      <c r="AU30">
        <v>2644.7999999999997</v>
      </c>
      <c r="AV30">
        <v>12</v>
      </c>
      <c r="AW30">
        <v>1670.3999999999999</v>
      </c>
      <c r="AX30">
        <v>11</v>
      </c>
      <c r="AY30">
        <v>1531.1999999999998</v>
      </c>
      <c r="AZ30">
        <v>22</v>
      </c>
      <c r="BA30">
        <v>3062.3999999999996</v>
      </c>
      <c r="BB30">
        <v>13</v>
      </c>
      <c r="BC30">
        <v>1809.6</v>
      </c>
      <c r="BD30">
        <v>20</v>
      </c>
      <c r="BE30">
        <v>2784</v>
      </c>
      <c r="BF30">
        <v>15</v>
      </c>
      <c r="BG30">
        <v>2088</v>
      </c>
      <c r="BH30">
        <v>15</v>
      </c>
      <c r="BI30">
        <v>2088</v>
      </c>
      <c r="BJ30">
        <v>15</v>
      </c>
      <c r="BK30">
        <v>2088</v>
      </c>
      <c r="BL30">
        <v>21</v>
      </c>
      <c r="BM30">
        <v>2923.2</v>
      </c>
      <c r="BN30">
        <v>14</v>
      </c>
      <c r="BO30">
        <v>1948.7999999999997</v>
      </c>
      <c r="BP30">
        <v>20</v>
      </c>
      <c r="BQ30">
        <v>2784</v>
      </c>
      <c r="BR30">
        <v>15</v>
      </c>
      <c r="BS30">
        <v>2088</v>
      </c>
      <c r="BT30">
        <v>13</v>
      </c>
      <c r="BU30">
        <v>1809.6</v>
      </c>
      <c r="BV30">
        <v>21</v>
      </c>
      <c r="BW30">
        <v>2923.2</v>
      </c>
      <c r="BX30">
        <v>13</v>
      </c>
      <c r="BY30">
        <v>1809.6</v>
      </c>
      <c r="BZ30">
        <v>13</v>
      </c>
      <c r="CA30">
        <v>1809.6</v>
      </c>
      <c r="CB30">
        <v>18</v>
      </c>
      <c r="CC30">
        <v>2505.6</v>
      </c>
      <c r="CD30">
        <v>13</v>
      </c>
      <c r="CE30">
        <v>1809.6</v>
      </c>
      <c r="CF30">
        <v>14</v>
      </c>
      <c r="CG30">
        <v>1948.7999999999997</v>
      </c>
      <c r="CH30">
        <v>25</v>
      </c>
      <c r="CI30">
        <v>3479.9999999999995</v>
      </c>
      <c r="CJ30">
        <v>17</v>
      </c>
      <c r="CK30">
        <v>2366.3999999999996</v>
      </c>
      <c r="CL30">
        <v>26</v>
      </c>
      <c r="CM30">
        <v>3619.2</v>
      </c>
      <c r="CN30">
        <v>20</v>
      </c>
      <c r="CO30">
        <v>2784</v>
      </c>
      <c r="CP30">
        <v>22</v>
      </c>
      <c r="CQ30">
        <v>3062.3999999999996</v>
      </c>
      <c r="CR30">
        <v>16</v>
      </c>
      <c r="CS30">
        <v>2227.1999999999998</v>
      </c>
      <c r="CT30">
        <v>13</v>
      </c>
      <c r="CU30">
        <v>1809.6</v>
      </c>
    </row>
    <row r="31" spans="2:99" x14ac:dyDescent="0.2">
      <c r="C31" s="118" t="s">
        <v>197</v>
      </c>
      <c r="D31">
        <v>8.6402459602848989</v>
      </c>
      <c r="E31">
        <v>2944.5958232650937</v>
      </c>
      <c r="F31">
        <v>20</v>
      </c>
      <c r="G31">
        <v>6816</v>
      </c>
      <c r="H31">
        <v>19</v>
      </c>
      <c r="I31">
        <v>6475.2</v>
      </c>
      <c r="J31">
        <v>18.384269707129867</v>
      </c>
      <c r="K31">
        <v>6265.3591161898594</v>
      </c>
      <c r="L31">
        <v>15</v>
      </c>
      <c r="M31">
        <v>5112</v>
      </c>
      <c r="N31">
        <v>19</v>
      </c>
      <c r="O31">
        <v>6475.2</v>
      </c>
      <c r="P31">
        <v>18</v>
      </c>
      <c r="Q31">
        <v>6134.4000000000005</v>
      </c>
      <c r="R31">
        <v>16</v>
      </c>
      <c r="S31">
        <v>5452.8</v>
      </c>
      <c r="T31">
        <v>16</v>
      </c>
      <c r="U31">
        <v>5452.8</v>
      </c>
      <c r="V31">
        <v>12</v>
      </c>
      <c r="W31">
        <v>4089.6000000000004</v>
      </c>
      <c r="X31">
        <v>18</v>
      </c>
      <c r="Y31">
        <v>6134.4000000000005</v>
      </c>
      <c r="Z31">
        <v>19</v>
      </c>
      <c r="AA31">
        <v>6475.2</v>
      </c>
      <c r="AB31">
        <v>21</v>
      </c>
      <c r="AC31">
        <v>7156.8</v>
      </c>
      <c r="AD31">
        <v>13</v>
      </c>
      <c r="AE31">
        <v>4430.4000000000005</v>
      </c>
      <c r="AF31">
        <v>16</v>
      </c>
      <c r="AG31">
        <v>5452.8</v>
      </c>
      <c r="AH31">
        <v>18</v>
      </c>
      <c r="AI31">
        <v>6134.4000000000005</v>
      </c>
      <c r="AJ31">
        <v>17</v>
      </c>
      <c r="AK31">
        <v>5793.6</v>
      </c>
      <c r="AL31">
        <v>18</v>
      </c>
      <c r="AM31">
        <v>6134.4000000000005</v>
      </c>
      <c r="AN31">
        <v>16</v>
      </c>
      <c r="AO31">
        <v>5452.8</v>
      </c>
      <c r="AP31">
        <v>13</v>
      </c>
      <c r="AQ31">
        <v>4430.4000000000005</v>
      </c>
      <c r="AR31">
        <v>19</v>
      </c>
      <c r="AS31">
        <v>6475.2</v>
      </c>
      <c r="AT31">
        <v>18</v>
      </c>
      <c r="AU31">
        <v>6134.4000000000005</v>
      </c>
      <c r="AV31">
        <v>12</v>
      </c>
      <c r="AW31">
        <v>4089.6000000000004</v>
      </c>
      <c r="AX31">
        <v>11</v>
      </c>
      <c r="AY31">
        <v>3748.8</v>
      </c>
      <c r="AZ31">
        <v>21</v>
      </c>
      <c r="BA31">
        <v>7156.8</v>
      </c>
      <c r="BB31">
        <v>12</v>
      </c>
      <c r="BC31">
        <v>4089.6000000000004</v>
      </c>
      <c r="BD31">
        <v>17</v>
      </c>
      <c r="BE31">
        <v>5793.6</v>
      </c>
      <c r="BF31">
        <v>16</v>
      </c>
      <c r="BG31">
        <v>5452.8</v>
      </c>
      <c r="BH31">
        <v>14</v>
      </c>
      <c r="BI31">
        <v>4771.2</v>
      </c>
      <c r="BJ31">
        <v>14</v>
      </c>
      <c r="BK31">
        <v>4771.2</v>
      </c>
      <c r="BL31">
        <v>23</v>
      </c>
      <c r="BM31">
        <v>7838.4000000000005</v>
      </c>
      <c r="BN31">
        <v>15</v>
      </c>
      <c r="BO31">
        <v>5112</v>
      </c>
      <c r="BP31">
        <v>16</v>
      </c>
      <c r="BQ31">
        <v>5452.8</v>
      </c>
      <c r="BR31">
        <v>14</v>
      </c>
      <c r="BS31">
        <v>4771.2</v>
      </c>
      <c r="BT31">
        <v>13</v>
      </c>
      <c r="BU31">
        <v>4430.4000000000005</v>
      </c>
      <c r="BV31">
        <v>20</v>
      </c>
      <c r="BW31">
        <v>6816</v>
      </c>
      <c r="BX31">
        <v>14</v>
      </c>
      <c r="BY31">
        <v>4771.2</v>
      </c>
      <c r="BZ31">
        <v>12</v>
      </c>
      <c r="CA31">
        <v>4089.6000000000004</v>
      </c>
      <c r="CB31">
        <v>19</v>
      </c>
      <c r="CC31">
        <v>6475.2</v>
      </c>
      <c r="CD31">
        <v>12</v>
      </c>
      <c r="CE31">
        <v>4089.6000000000004</v>
      </c>
      <c r="CF31">
        <v>15</v>
      </c>
      <c r="CG31">
        <v>5112</v>
      </c>
      <c r="CH31">
        <v>21</v>
      </c>
      <c r="CI31">
        <v>7156.8</v>
      </c>
      <c r="CJ31">
        <v>17</v>
      </c>
      <c r="CK31">
        <v>5793.6</v>
      </c>
      <c r="CL31">
        <v>22</v>
      </c>
      <c r="CM31">
        <v>7497.6</v>
      </c>
      <c r="CN31">
        <v>20</v>
      </c>
      <c r="CO31">
        <v>6816</v>
      </c>
      <c r="CP31">
        <v>20</v>
      </c>
      <c r="CQ31">
        <v>6816</v>
      </c>
      <c r="CR31">
        <v>15</v>
      </c>
      <c r="CS31">
        <v>5112</v>
      </c>
      <c r="CT31">
        <v>15</v>
      </c>
      <c r="CU31">
        <v>5112</v>
      </c>
    </row>
    <row r="32" spans="2:99" x14ac:dyDescent="0.2">
      <c r="C32" s="118" t="s">
        <v>198</v>
      </c>
      <c r="D32">
        <v>9.1484957226545998</v>
      </c>
      <c r="E32">
        <v>7684.7364070298636</v>
      </c>
      <c r="F32">
        <v>17</v>
      </c>
      <c r="G32">
        <v>14280</v>
      </c>
      <c r="H32">
        <v>20</v>
      </c>
      <c r="I32">
        <v>16800</v>
      </c>
      <c r="J32">
        <v>15.211235993738633</v>
      </c>
      <c r="K32">
        <v>12777.438234740452</v>
      </c>
      <c r="L32">
        <v>15</v>
      </c>
      <c r="M32">
        <v>12600</v>
      </c>
      <c r="N32">
        <v>18</v>
      </c>
      <c r="O32">
        <v>15120</v>
      </c>
      <c r="P32">
        <v>18</v>
      </c>
      <c r="Q32">
        <v>15120</v>
      </c>
      <c r="R32">
        <v>17</v>
      </c>
      <c r="S32">
        <v>14280</v>
      </c>
      <c r="T32">
        <v>16</v>
      </c>
      <c r="U32">
        <v>13440</v>
      </c>
      <c r="V32">
        <v>13</v>
      </c>
      <c r="W32">
        <v>10920</v>
      </c>
      <c r="X32">
        <v>19</v>
      </c>
      <c r="Y32">
        <v>15960</v>
      </c>
      <c r="Z32">
        <v>19</v>
      </c>
      <c r="AA32">
        <v>15960</v>
      </c>
      <c r="AB32">
        <v>21</v>
      </c>
      <c r="AC32">
        <v>17640</v>
      </c>
      <c r="AD32">
        <v>14</v>
      </c>
      <c r="AE32">
        <v>11760</v>
      </c>
      <c r="AF32">
        <v>17</v>
      </c>
      <c r="AG32">
        <v>14280</v>
      </c>
      <c r="AH32">
        <v>18</v>
      </c>
      <c r="AI32">
        <v>15120</v>
      </c>
      <c r="AJ32">
        <v>16</v>
      </c>
      <c r="AK32">
        <v>13440</v>
      </c>
      <c r="AL32">
        <v>18</v>
      </c>
      <c r="AM32">
        <v>15120</v>
      </c>
      <c r="AN32">
        <v>16</v>
      </c>
      <c r="AO32">
        <v>13440</v>
      </c>
      <c r="AP32">
        <v>13</v>
      </c>
      <c r="AQ32">
        <v>10920</v>
      </c>
      <c r="AR32">
        <v>19</v>
      </c>
      <c r="AS32">
        <v>15960</v>
      </c>
      <c r="AT32">
        <v>19</v>
      </c>
      <c r="AU32">
        <v>15960</v>
      </c>
      <c r="AV32">
        <v>11</v>
      </c>
      <c r="AW32">
        <v>9240</v>
      </c>
      <c r="AX32">
        <v>11</v>
      </c>
      <c r="AY32">
        <v>9240</v>
      </c>
      <c r="AZ32">
        <v>20</v>
      </c>
      <c r="BA32">
        <v>16800</v>
      </c>
      <c r="BB32">
        <v>12</v>
      </c>
      <c r="BC32">
        <v>10080</v>
      </c>
      <c r="BD32">
        <v>17</v>
      </c>
      <c r="BE32">
        <v>14280</v>
      </c>
      <c r="BF32">
        <v>16</v>
      </c>
      <c r="BG32">
        <v>13440</v>
      </c>
      <c r="BH32">
        <v>15</v>
      </c>
      <c r="BI32">
        <v>12600</v>
      </c>
      <c r="BJ32">
        <v>14</v>
      </c>
      <c r="BK32">
        <v>11760</v>
      </c>
      <c r="BL32">
        <v>22</v>
      </c>
      <c r="BM32">
        <v>18480</v>
      </c>
      <c r="BN32">
        <v>14</v>
      </c>
      <c r="BO32">
        <v>11760</v>
      </c>
      <c r="BP32">
        <v>16</v>
      </c>
      <c r="BQ32">
        <v>13440</v>
      </c>
      <c r="BR32">
        <v>13</v>
      </c>
      <c r="BS32">
        <v>10920</v>
      </c>
      <c r="BT32">
        <v>13</v>
      </c>
      <c r="BU32">
        <v>10920</v>
      </c>
      <c r="BV32">
        <v>18</v>
      </c>
      <c r="BW32">
        <v>15120</v>
      </c>
      <c r="BX32">
        <v>13</v>
      </c>
      <c r="BY32">
        <v>10920</v>
      </c>
      <c r="BZ32">
        <v>11</v>
      </c>
      <c r="CA32">
        <v>9240</v>
      </c>
      <c r="CB32">
        <v>18</v>
      </c>
      <c r="CC32">
        <v>15120</v>
      </c>
      <c r="CD32">
        <v>10</v>
      </c>
      <c r="CE32">
        <v>8400</v>
      </c>
      <c r="CF32">
        <v>15</v>
      </c>
      <c r="CG32">
        <v>12600</v>
      </c>
      <c r="CH32">
        <v>22</v>
      </c>
      <c r="CI32">
        <v>18480</v>
      </c>
      <c r="CJ32">
        <v>15</v>
      </c>
      <c r="CK32">
        <v>12600</v>
      </c>
      <c r="CL32">
        <v>23</v>
      </c>
      <c r="CM32">
        <v>19320</v>
      </c>
      <c r="CN32">
        <v>19</v>
      </c>
      <c r="CO32">
        <v>15960</v>
      </c>
      <c r="CP32">
        <v>19</v>
      </c>
      <c r="CQ32">
        <v>15960</v>
      </c>
      <c r="CR32">
        <v>16</v>
      </c>
      <c r="CS32">
        <v>13440</v>
      </c>
      <c r="CT32">
        <v>13</v>
      </c>
      <c r="CU32">
        <v>10920</v>
      </c>
    </row>
    <row r="33" spans="2:99" x14ac:dyDescent="0.2">
      <c r="C33" s="118" t="s">
        <v>199</v>
      </c>
      <c r="D33">
        <v>9.6567454850243006</v>
      </c>
      <c r="E33">
        <v>4577.2973599015186</v>
      </c>
      <c r="F33">
        <v>20</v>
      </c>
      <c r="G33">
        <v>9480</v>
      </c>
      <c r="H33">
        <v>19</v>
      </c>
      <c r="I33">
        <v>9006</v>
      </c>
      <c r="J33">
        <v>17.29775285043425</v>
      </c>
      <c r="K33">
        <v>8199.134851105835</v>
      </c>
      <c r="L33">
        <v>15</v>
      </c>
      <c r="M33">
        <v>7110</v>
      </c>
      <c r="N33">
        <v>21</v>
      </c>
      <c r="O33">
        <v>9954</v>
      </c>
      <c r="P33">
        <v>21</v>
      </c>
      <c r="Q33">
        <v>9954</v>
      </c>
      <c r="R33">
        <v>16</v>
      </c>
      <c r="S33">
        <v>7584</v>
      </c>
      <c r="T33">
        <v>17</v>
      </c>
      <c r="U33">
        <v>8058</v>
      </c>
      <c r="V33">
        <v>12</v>
      </c>
      <c r="W33">
        <v>5688</v>
      </c>
      <c r="X33">
        <v>21</v>
      </c>
      <c r="Y33">
        <v>9954</v>
      </c>
      <c r="Z33">
        <v>21</v>
      </c>
      <c r="AA33">
        <v>9954</v>
      </c>
      <c r="AB33">
        <v>22</v>
      </c>
      <c r="AC33">
        <v>10428</v>
      </c>
      <c r="AD33">
        <v>13</v>
      </c>
      <c r="AE33">
        <v>6162</v>
      </c>
      <c r="AF33">
        <v>16</v>
      </c>
      <c r="AG33">
        <v>7584</v>
      </c>
      <c r="AH33">
        <v>18</v>
      </c>
      <c r="AI33">
        <v>8532</v>
      </c>
      <c r="AJ33">
        <v>18</v>
      </c>
      <c r="AK33">
        <v>8532</v>
      </c>
      <c r="AL33">
        <v>18</v>
      </c>
      <c r="AM33">
        <v>8532</v>
      </c>
      <c r="AN33">
        <v>17</v>
      </c>
      <c r="AO33">
        <v>8058</v>
      </c>
      <c r="AP33">
        <v>14</v>
      </c>
      <c r="AQ33">
        <v>6636</v>
      </c>
      <c r="AR33">
        <v>19</v>
      </c>
      <c r="AS33">
        <v>9006</v>
      </c>
      <c r="AT33">
        <v>20</v>
      </c>
      <c r="AU33">
        <v>9480</v>
      </c>
      <c r="AV33">
        <v>12</v>
      </c>
      <c r="AW33">
        <v>5688</v>
      </c>
      <c r="AX33">
        <v>12</v>
      </c>
      <c r="AY33">
        <v>5688</v>
      </c>
      <c r="AZ33">
        <v>17</v>
      </c>
      <c r="BA33">
        <v>8058</v>
      </c>
      <c r="BB33">
        <v>11</v>
      </c>
      <c r="BC33">
        <v>5214</v>
      </c>
      <c r="BD33">
        <v>18</v>
      </c>
      <c r="BE33">
        <v>8532</v>
      </c>
      <c r="BF33">
        <v>16</v>
      </c>
      <c r="BG33">
        <v>7584</v>
      </c>
      <c r="BH33">
        <v>15</v>
      </c>
      <c r="BI33">
        <v>7110</v>
      </c>
      <c r="BJ33">
        <v>15</v>
      </c>
      <c r="BK33">
        <v>7110</v>
      </c>
      <c r="BL33">
        <v>23</v>
      </c>
      <c r="BM33">
        <v>10902</v>
      </c>
      <c r="BN33">
        <v>15</v>
      </c>
      <c r="BO33">
        <v>7110</v>
      </c>
      <c r="BP33">
        <v>18</v>
      </c>
      <c r="BQ33">
        <v>8532</v>
      </c>
      <c r="BR33">
        <v>14</v>
      </c>
      <c r="BS33">
        <v>6636</v>
      </c>
      <c r="BT33">
        <v>14</v>
      </c>
      <c r="BU33">
        <v>6636</v>
      </c>
      <c r="BV33">
        <v>21</v>
      </c>
      <c r="BW33">
        <v>9954</v>
      </c>
      <c r="BX33">
        <v>14</v>
      </c>
      <c r="BY33">
        <v>6636</v>
      </c>
      <c r="BZ33">
        <v>11</v>
      </c>
      <c r="CA33">
        <v>5214</v>
      </c>
      <c r="CB33">
        <v>18</v>
      </c>
      <c r="CC33">
        <v>8532</v>
      </c>
      <c r="CD33">
        <v>12</v>
      </c>
      <c r="CE33">
        <v>5688</v>
      </c>
      <c r="CF33">
        <v>13</v>
      </c>
      <c r="CG33">
        <v>6162</v>
      </c>
      <c r="CH33">
        <v>23</v>
      </c>
      <c r="CI33">
        <v>10902</v>
      </c>
      <c r="CJ33">
        <v>17</v>
      </c>
      <c r="CK33">
        <v>8058</v>
      </c>
      <c r="CL33">
        <v>21</v>
      </c>
      <c r="CM33">
        <v>9954</v>
      </c>
      <c r="CN33">
        <v>17</v>
      </c>
      <c r="CO33">
        <v>8058</v>
      </c>
      <c r="CP33">
        <v>21</v>
      </c>
      <c r="CQ33">
        <v>9954</v>
      </c>
      <c r="CR33">
        <v>16</v>
      </c>
      <c r="CS33">
        <v>7584</v>
      </c>
      <c r="CT33">
        <v>13</v>
      </c>
      <c r="CU33">
        <v>6162</v>
      </c>
    </row>
    <row r="34" spans="2:99" x14ac:dyDescent="0.2">
      <c r="C34" s="118" t="s">
        <v>200</v>
      </c>
      <c r="D34">
        <v>9.1484957226545998</v>
      </c>
      <c r="E34">
        <v>5017.0350543037821</v>
      </c>
      <c r="F34">
        <v>18</v>
      </c>
      <c r="G34">
        <v>9871.1999999999989</v>
      </c>
      <c r="H34">
        <v>21</v>
      </c>
      <c r="I34">
        <v>11516.4</v>
      </c>
      <c r="J34">
        <v>16.341011278782059</v>
      </c>
      <c r="K34">
        <v>8961.4105852840803</v>
      </c>
      <c r="L34">
        <v>15</v>
      </c>
      <c r="M34">
        <v>8226</v>
      </c>
      <c r="N34">
        <v>20</v>
      </c>
      <c r="O34">
        <v>10968</v>
      </c>
      <c r="P34">
        <v>20</v>
      </c>
      <c r="Q34">
        <v>10968</v>
      </c>
      <c r="R34">
        <v>16</v>
      </c>
      <c r="S34">
        <v>8774.4</v>
      </c>
      <c r="T34">
        <v>15</v>
      </c>
      <c r="U34">
        <v>8226</v>
      </c>
      <c r="V34">
        <v>13</v>
      </c>
      <c r="W34">
        <v>7129.2</v>
      </c>
      <c r="X34">
        <v>21</v>
      </c>
      <c r="Y34">
        <v>11516.4</v>
      </c>
      <c r="Z34">
        <v>20</v>
      </c>
      <c r="AA34">
        <v>10968</v>
      </c>
      <c r="AB34">
        <v>19</v>
      </c>
      <c r="AC34">
        <v>10419.6</v>
      </c>
      <c r="AD34">
        <v>15</v>
      </c>
      <c r="AE34">
        <v>8226</v>
      </c>
      <c r="AF34">
        <v>18</v>
      </c>
      <c r="AG34">
        <v>9871.1999999999989</v>
      </c>
      <c r="AH34">
        <v>18</v>
      </c>
      <c r="AI34">
        <v>9871.1999999999989</v>
      </c>
      <c r="AJ34">
        <v>16</v>
      </c>
      <c r="AK34">
        <v>8774.4</v>
      </c>
      <c r="AL34">
        <v>18</v>
      </c>
      <c r="AM34">
        <v>9871.1999999999989</v>
      </c>
      <c r="AN34">
        <v>17</v>
      </c>
      <c r="AO34">
        <v>9322.7999999999993</v>
      </c>
      <c r="AP34">
        <v>13</v>
      </c>
      <c r="AQ34">
        <v>7129.2</v>
      </c>
      <c r="AR34">
        <v>18</v>
      </c>
      <c r="AS34">
        <v>9871.1999999999989</v>
      </c>
      <c r="AT34">
        <v>17</v>
      </c>
      <c r="AU34">
        <v>9322.7999999999993</v>
      </c>
      <c r="AV34">
        <v>10</v>
      </c>
      <c r="AW34">
        <v>5484</v>
      </c>
      <c r="AX34">
        <v>10</v>
      </c>
      <c r="AY34">
        <v>5484</v>
      </c>
      <c r="AZ34">
        <v>18</v>
      </c>
      <c r="BA34">
        <v>9871.1999999999989</v>
      </c>
      <c r="BB34">
        <v>13</v>
      </c>
      <c r="BC34">
        <v>7129.2</v>
      </c>
      <c r="BD34">
        <v>17</v>
      </c>
      <c r="BE34">
        <v>9322.7999999999993</v>
      </c>
      <c r="BF34">
        <v>14</v>
      </c>
      <c r="BG34">
        <v>7677.5999999999995</v>
      </c>
      <c r="BH34">
        <v>14</v>
      </c>
      <c r="BI34">
        <v>7677.5999999999995</v>
      </c>
      <c r="BJ34">
        <v>15</v>
      </c>
      <c r="BK34">
        <v>8226</v>
      </c>
      <c r="BL34">
        <v>21</v>
      </c>
      <c r="BM34">
        <v>11516.4</v>
      </c>
      <c r="BN34">
        <v>14</v>
      </c>
      <c r="BO34">
        <v>7677.5999999999995</v>
      </c>
      <c r="BP34">
        <v>18</v>
      </c>
      <c r="BQ34">
        <v>9871.1999999999989</v>
      </c>
      <c r="BR34">
        <v>16</v>
      </c>
      <c r="BS34">
        <v>8774.4</v>
      </c>
      <c r="BT34">
        <v>13</v>
      </c>
      <c r="BU34">
        <v>7129.2</v>
      </c>
      <c r="BV34">
        <v>19</v>
      </c>
      <c r="BW34">
        <v>10419.6</v>
      </c>
      <c r="BX34">
        <v>12</v>
      </c>
      <c r="BY34">
        <v>6580.7999999999993</v>
      </c>
      <c r="BZ34">
        <v>11</v>
      </c>
      <c r="CA34">
        <v>6032.4</v>
      </c>
      <c r="CB34">
        <v>17</v>
      </c>
      <c r="CC34">
        <v>9322.7999999999993</v>
      </c>
      <c r="CD34">
        <v>12</v>
      </c>
      <c r="CE34">
        <v>6580.7999999999993</v>
      </c>
      <c r="CF34">
        <v>14</v>
      </c>
      <c r="CG34">
        <v>7677.5999999999995</v>
      </c>
      <c r="CH34">
        <v>23</v>
      </c>
      <c r="CI34">
        <v>12613.199999999999</v>
      </c>
      <c r="CJ34">
        <v>17</v>
      </c>
      <c r="CK34">
        <v>9322.7999999999993</v>
      </c>
      <c r="CL34">
        <v>23</v>
      </c>
      <c r="CM34">
        <v>12613.199999999999</v>
      </c>
      <c r="CN34">
        <v>18</v>
      </c>
      <c r="CO34">
        <v>9871.1999999999989</v>
      </c>
      <c r="CP34">
        <v>22</v>
      </c>
      <c r="CQ34">
        <v>12064.8</v>
      </c>
      <c r="CR34">
        <v>16</v>
      </c>
      <c r="CS34">
        <v>8774.4</v>
      </c>
      <c r="CT34">
        <v>14</v>
      </c>
      <c r="CU34">
        <v>7677.5999999999995</v>
      </c>
    </row>
    <row r="35" spans="2:99" x14ac:dyDescent="0.2">
      <c r="C35" s="118" t="s">
        <v>201</v>
      </c>
      <c r="D35">
        <v>9.6567454850243006</v>
      </c>
      <c r="E35">
        <v>4855.4116298702174</v>
      </c>
      <c r="F35">
        <v>20</v>
      </c>
      <c r="G35">
        <v>10055.999999999998</v>
      </c>
      <c r="H35">
        <v>21</v>
      </c>
      <c r="I35">
        <v>10558.799999999997</v>
      </c>
      <c r="J35">
        <v>17.254494422086442</v>
      </c>
      <c r="K35">
        <v>8675.5597954250607</v>
      </c>
      <c r="L35">
        <v>17</v>
      </c>
      <c r="M35">
        <v>8547.5999999999985</v>
      </c>
      <c r="N35">
        <v>20</v>
      </c>
      <c r="O35">
        <v>10055.999999999998</v>
      </c>
      <c r="P35">
        <v>21</v>
      </c>
      <c r="Q35">
        <v>10558.799999999997</v>
      </c>
      <c r="R35">
        <v>16</v>
      </c>
      <c r="S35">
        <v>8044.7999999999984</v>
      </c>
      <c r="T35">
        <v>16</v>
      </c>
      <c r="U35">
        <v>8044.7999999999984</v>
      </c>
      <c r="V35">
        <v>11</v>
      </c>
      <c r="W35">
        <v>5530.7999999999993</v>
      </c>
      <c r="X35">
        <v>19</v>
      </c>
      <c r="Y35">
        <v>9553.1999999999989</v>
      </c>
      <c r="Z35">
        <v>21</v>
      </c>
      <c r="AA35">
        <v>10558.799999999997</v>
      </c>
      <c r="AB35">
        <v>22</v>
      </c>
      <c r="AC35">
        <v>11061.599999999999</v>
      </c>
      <c r="AD35">
        <v>15</v>
      </c>
      <c r="AE35">
        <v>7541.9999999999982</v>
      </c>
      <c r="AF35">
        <v>16</v>
      </c>
      <c r="AG35">
        <v>8044.7999999999984</v>
      </c>
      <c r="AH35">
        <v>19</v>
      </c>
      <c r="AI35">
        <v>9553.1999999999989</v>
      </c>
      <c r="AJ35">
        <v>16</v>
      </c>
      <c r="AK35">
        <v>8044.7999999999984</v>
      </c>
      <c r="AL35">
        <v>20</v>
      </c>
      <c r="AM35">
        <v>10055.999999999998</v>
      </c>
      <c r="AN35">
        <v>16</v>
      </c>
      <c r="AO35">
        <v>8044.7999999999984</v>
      </c>
      <c r="AP35">
        <v>13</v>
      </c>
      <c r="AQ35">
        <v>6536.3999999999987</v>
      </c>
      <c r="AR35">
        <v>17</v>
      </c>
      <c r="AS35">
        <v>8547.5999999999985</v>
      </c>
      <c r="AT35">
        <v>19</v>
      </c>
      <c r="AU35">
        <v>9553.1999999999989</v>
      </c>
      <c r="AV35">
        <v>11</v>
      </c>
      <c r="AW35">
        <v>5530.7999999999993</v>
      </c>
      <c r="AX35">
        <v>10</v>
      </c>
      <c r="AY35">
        <v>5027.9999999999991</v>
      </c>
      <c r="AZ35">
        <v>18</v>
      </c>
      <c r="BA35">
        <v>9050.3999999999978</v>
      </c>
      <c r="BB35">
        <v>12</v>
      </c>
      <c r="BC35">
        <v>6033.5999999999985</v>
      </c>
      <c r="BD35">
        <v>16</v>
      </c>
      <c r="BE35">
        <v>8044.7999999999984</v>
      </c>
      <c r="BF35">
        <v>17</v>
      </c>
      <c r="BG35">
        <v>8547.5999999999985</v>
      </c>
      <c r="BH35">
        <v>14</v>
      </c>
      <c r="BI35">
        <v>7039.1999999999989</v>
      </c>
      <c r="BJ35">
        <v>14</v>
      </c>
      <c r="BK35">
        <v>7039.1999999999989</v>
      </c>
      <c r="BL35">
        <v>21</v>
      </c>
      <c r="BM35">
        <v>10558.799999999997</v>
      </c>
      <c r="BN35">
        <v>14</v>
      </c>
      <c r="BO35">
        <v>7039.1999999999989</v>
      </c>
      <c r="BP35">
        <v>18</v>
      </c>
      <c r="BQ35">
        <v>9050.3999999999978</v>
      </c>
      <c r="BR35">
        <v>15</v>
      </c>
      <c r="BS35">
        <v>7541.9999999999982</v>
      </c>
      <c r="BT35">
        <v>12</v>
      </c>
      <c r="BU35">
        <v>6033.5999999999985</v>
      </c>
      <c r="BV35">
        <v>19</v>
      </c>
      <c r="BW35">
        <v>9553.1999999999989</v>
      </c>
      <c r="BX35">
        <v>12</v>
      </c>
      <c r="BY35">
        <v>6033.5999999999985</v>
      </c>
      <c r="BZ35">
        <v>12</v>
      </c>
      <c r="CA35">
        <v>6033.5999999999985</v>
      </c>
      <c r="CB35">
        <v>16</v>
      </c>
      <c r="CC35">
        <v>8044.7999999999984</v>
      </c>
      <c r="CD35">
        <v>11</v>
      </c>
      <c r="CE35">
        <v>5530.7999999999993</v>
      </c>
      <c r="CF35">
        <v>15</v>
      </c>
      <c r="CG35">
        <v>7541.9999999999982</v>
      </c>
      <c r="CH35">
        <v>21</v>
      </c>
      <c r="CI35">
        <v>10558.799999999997</v>
      </c>
      <c r="CJ35">
        <v>15</v>
      </c>
      <c r="CK35">
        <v>7541.9999999999982</v>
      </c>
      <c r="CL35">
        <v>24</v>
      </c>
      <c r="CM35">
        <v>12067.199999999997</v>
      </c>
      <c r="CN35">
        <v>20</v>
      </c>
      <c r="CO35">
        <v>10055.999999999998</v>
      </c>
      <c r="CP35">
        <v>23</v>
      </c>
      <c r="CQ35">
        <v>11564.399999999998</v>
      </c>
      <c r="CR35">
        <v>15</v>
      </c>
      <c r="CS35">
        <v>7541.9999999999982</v>
      </c>
      <c r="CT35">
        <v>13</v>
      </c>
      <c r="CU35">
        <v>6536.3999999999987</v>
      </c>
    </row>
    <row r="36" spans="2:99" x14ac:dyDescent="0.2">
      <c r="C36" s="118" t="s">
        <v>202</v>
      </c>
      <c r="D36">
        <v>9.1484957226545998</v>
      </c>
      <c r="E36">
        <v>6960.1755457956187</v>
      </c>
      <c r="F36">
        <v>19</v>
      </c>
      <c r="G36">
        <v>14455.199999999999</v>
      </c>
      <c r="H36">
        <v>21</v>
      </c>
      <c r="I36">
        <v>15976.8</v>
      </c>
      <c r="J36">
        <v>16.341011278782059</v>
      </c>
      <c r="K36">
        <v>12432.241380897389</v>
      </c>
      <c r="L36">
        <v>16</v>
      </c>
      <c r="M36">
        <v>12172.8</v>
      </c>
      <c r="N36">
        <v>20</v>
      </c>
      <c r="O36">
        <v>15216</v>
      </c>
      <c r="P36">
        <v>19</v>
      </c>
      <c r="Q36">
        <v>14455.199999999999</v>
      </c>
      <c r="R36">
        <v>15</v>
      </c>
      <c r="S36">
        <v>11412</v>
      </c>
      <c r="T36">
        <v>16</v>
      </c>
      <c r="U36">
        <v>12172.8</v>
      </c>
      <c r="V36">
        <v>12</v>
      </c>
      <c r="W36">
        <v>9129.5999999999985</v>
      </c>
      <c r="X36">
        <v>20</v>
      </c>
      <c r="Y36">
        <v>15216</v>
      </c>
      <c r="Z36">
        <v>19</v>
      </c>
      <c r="AA36">
        <v>14455.199999999999</v>
      </c>
      <c r="AB36">
        <v>18</v>
      </c>
      <c r="AC36">
        <v>13694.4</v>
      </c>
      <c r="AD36">
        <v>12</v>
      </c>
      <c r="AE36">
        <v>9129.5999999999985</v>
      </c>
      <c r="AF36">
        <v>18</v>
      </c>
      <c r="AG36">
        <v>13694.4</v>
      </c>
      <c r="AH36">
        <v>17</v>
      </c>
      <c r="AI36">
        <v>12933.599999999999</v>
      </c>
      <c r="AJ36">
        <v>19</v>
      </c>
      <c r="AK36">
        <v>14455.199999999999</v>
      </c>
      <c r="AL36">
        <v>19</v>
      </c>
      <c r="AM36">
        <v>14455.199999999999</v>
      </c>
      <c r="AN36">
        <v>16</v>
      </c>
      <c r="AO36">
        <v>12172.8</v>
      </c>
      <c r="AP36">
        <v>14</v>
      </c>
      <c r="AQ36">
        <v>10651.199999999999</v>
      </c>
      <c r="AR36">
        <v>17</v>
      </c>
      <c r="AS36">
        <v>12933.599999999999</v>
      </c>
      <c r="AT36">
        <v>16</v>
      </c>
      <c r="AU36">
        <v>12172.8</v>
      </c>
      <c r="AV36">
        <v>11</v>
      </c>
      <c r="AW36">
        <v>8368.7999999999993</v>
      </c>
      <c r="AX36">
        <v>11</v>
      </c>
      <c r="AY36">
        <v>8368.7999999999993</v>
      </c>
      <c r="AZ36">
        <v>19</v>
      </c>
      <c r="BA36">
        <v>14455.199999999999</v>
      </c>
      <c r="BB36">
        <v>11</v>
      </c>
      <c r="BC36">
        <v>8368.7999999999993</v>
      </c>
      <c r="BD36">
        <v>17</v>
      </c>
      <c r="BE36">
        <v>12933.599999999999</v>
      </c>
      <c r="BF36">
        <v>15</v>
      </c>
      <c r="BG36">
        <v>11412</v>
      </c>
      <c r="BH36">
        <v>14</v>
      </c>
      <c r="BI36">
        <v>10651.199999999999</v>
      </c>
      <c r="BJ36">
        <v>13</v>
      </c>
      <c r="BK36">
        <v>9890.4</v>
      </c>
      <c r="BL36">
        <v>20</v>
      </c>
      <c r="BM36">
        <v>15216</v>
      </c>
      <c r="BN36">
        <v>13</v>
      </c>
      <c r="BO36">
        <v>9890.4</v>
      </c>
      <c r="BP36">
        <v>18</v>
      </c>
      <c r="BQ36">
        <v>13694.4</v>
      </c>
      <c r="BR36">
        <v>13</v>
      </c>
      <c r="BS36">
        <v>9890.4</v>
      </c>
      <c r="BT36">
        <v>13</v>
      </c>
      <c r="BU36">
        <v>9890.4</v>
      </c>
      <c r="BV36">
        <v>17</v>
      </c>
      <c r="BW36">
        <v>12933.599999999999</v>
      </c>
      <c r="BX36">
        <v>13</v>
      </c>
      <c r="BY36">
        <v>9890.4</v>
      </c>
      <c r="BZ36">
        <v>12</v>
      </c>
      <c r="CA36">
        <v>9129.5999999999985</v>
      </c>
      <c r="CB36">
        <v>17</v>
      </c>
      <c r="CC36">
        <v>12933.599999999999</v>
      </c>
      <c r="CD36">
        <v>12</v>
      </c>
      <c r="CE36">
        <v>9129.5999999999985</v>
      </c>
      <c r="CF36">
        <v>14</v>
      </c>
      <c r="CG36">
        <v>10651.199999999999</v>
      </c>
      <c r="CH36">
        <v>23</v>
      </c>
      <c r="CI36">
        <v>17498.399999999998</v>
      </c>
      <c r="CJ36">
        <v>17</v>
      </c>
      <c r="CK36">
        <v>12933.599999999999</v>
      </c>
      <c r="CL36">
        <v>23</v>
      </c>
      <c r="CM36">
        <v>17498.399999999998</v>
      </c>
      <c r="CN36">
        <v>17</v>
      </c>
      <c r="CO36">
        <v>12933.599999999999</v>
      </c>
      <c r="CP36">
        <v>23</v>
      </c>
      <c r="CQ36">
        <v>17498.399999999998</v>
      </c>
      <c r="CR36">
        <v>14</v>
      </c>
      <c r="CS36">
        <v>10651.199999999999</v>
      </c>
      <c r="CT36">
        <v>13</v>
      </c>
      <c r="CU36">
        <v>9890.4</v>
      </c>
    </row>
    <row r="37" spans="2:99" x14ac:dyDescent="0.2">
      <c r="B37" s="118" t="s">
        <v>128</v>
      </c>
      <c r="C37" s="118" t="s">
        <v>203</v>
      </c>
      <c r="D37">
        <v>8.1319961979151998</v>
      </c>
      <c r="E37">
        <v>6996.7695286862381</v>
      </c>
      <c r="F37">
        <v>22</v>
      </c>
      <c r="G37">
        <v>18928.8</v>
      </c>
      <c r="H37">
        <v>14</v>
      </c>
      <c r="I37">
        <v>12045.6</v>
      </c>
      <c r="J37">
        <v>15.514044992173291</v>
      </c>
      <c r="K37">
        <v>13348.284311265899</v>
      </c>
      <c r="L37">
        <v>20</v>
      </c>
      <c r="M37">
        <v>17208</v>
      </c>
      <c r="N37">
        <v>18</v>
      </c>
      <c r="O37">
        <v>15487.199999999999</v>
      </c>
      <c r="P37">
        <v>17</v>
      </c>
      <c r="Q37">
        <v>14626.8</v>
      </c>
      <c r="R37">
        <v>12</v>
      </c>
      <c r="S37">
        <v>10324.799999999999</v>
      </c>
      <c r="T37">
        <v>11</v>
      </c>
      <c r="U37">
        <v>9464.4</v>
      </c>
      <c r="V37">
        <v>19</v>
      </c>
      <c r="W37">
        <v>16347.6</v>
      </c>
      <c r="X37">
        <v>21</v>
      </c>
      <c r="Y37">
        <v>18068.399999999998</v>
      </c>
      <c r="Z37">
        <v>15</v>
      </c>
      <c r="AA37">
        <v>12906</v>
      </c>
      <c r="AB37">
        <v>14</v>
      </c>
      <c r="AC37">
        <v>12045.6</v>
      </c>
      <c r="AD37">
        <v>11</v>
      </c>
      <c r="AE37">
        <v>9464.4</v>
      </c>
      <c r="AF37">
        <v>12</v>
      </c>
      <c r="AG37">
        <v>10324.799999999999</v>
      </c>
      <c r="AH37">
        <v>19</v>
      </c>
      <c r="AI37">
        <v>16347.6</v>
      </c>
      <c r="AJ37">
        <v>17</v>
      </c>
      <c r="AK37">
        <v>14626.8</v>
      </c>
      <c r="AL37">
        <v>18</v>
      </c>
      <c r="AM37">
        <v>15487.199999999999</v>
      </c>
      <c r="AN37">
        <v>15</v>
      </c>
      <c r="AO37">
        <v>12906</v>
      </c>
      <c r="AP37">
        <v>19</v>
      </c>
      <c r="AQ37">
        <v>16347.6</v>
      </c>
      <c r="AR37">
        <v>13</v>
      </c>
      <c r="AS37">
        <v>11185.199999999999</v>
      </c>
      <c r="AT37">
        <v>20</v>
      </c>
      <c r="AU37">
        <v>17208</v>
      </c>
      <c r="AV37">
        <v>18</v>
      </c>
      <c r="AW37">
        <v>15487.199999999999</v>
      </c>
      <c r="AX37">
        <v>12</v>
      </c>
      <c r="AY37">
        <v>10324.799999999999</v>
      </c>
      <c r="AZ37">
        <v>15</v>
      </c>
      <c r="BA37">
        <v>12906</v>
      </c>
      <c r="BB37">
        <v>14</v>
      </c>
      <c r="BC37">
        <v>12045.6</v>
      </c>
      <c r="BD37">
        <v>12</v>
      </c>
      <c r="BE37">
        <v>10324.799999999999</v>
      </c>
      <c r="BF37">
        <v>18</v>
      </c>
      <c r="BG37">
        <v>15487.199999999999</v>
      </c>
      <c r="BH37">
        <v>13</v>
      </c>
      <c r="BI37">
        <v>11185.199999999999</v>
      </c>
      <c r="BJ37">
        <v>14</v>
      </c>
      <c r="BK37">
        <v>12045.6</v>
      </c>
      <c r="BL37">
        <v>14</v>
      </c>
      <c r="BM37">
        <v>12045.6</v>
      </c>
      <c r="BN37">
        <v>13</v>
      </c>
      <c r="BO37">
        <v>11185.199999999999</v>
      </c>
      <c r="BP37">
        <v>15</v>
      </c>
      <c r="BQ37">
        <v>12906</v>
      </c>
      <c r="BR37">
        <v>14</v>
      </c>
      <c r="BS37">
        <v>12045.6</v>
      </c>
      <c r="BT37">
        <v>20</v>
      </c>
      <c r="BU37">
        <v>17208</v>
      </c>
      <c r="BV37">
        <v>11</v>
      </c>
      <c r="BW37">
        <v>9464.4</v>
      </c>
      <c r="BX37">
        <v>17</v>
      </c>
      <c r="BY37">
        <v>14626.8</v>
      </c>
      <c r="BZ37">
        <v>12</v>
      </c>
      <c r="CA37">
        <v>10324.799999999999</v>
      </c>
      <c r="CB37">
        <v>21</v>
      </c>
      <c r="CC37">
        <v>18068.399999999998</v>
      </c>
      <c r="CD37">
        <v>21</v>
      </c>
      <c r="CE37">
        <v>18068.399999999998</v>
      </c>
      <c r="CF37">
        <v>15</v>
      </c>
      <c r="CG37">
        <v>12906</v>
      </c>
      <c r="CH37">
        <v>12</v>
      </c>
      <c r="CI37">
        <v>10324.799999999999</v>
      </c>
      <c r="CJ37">
        <v>20</v>
      </c>
      <c r="CK37">
        <v>17208</v>
      </c>
      <c r="CL37">
        <v>18</v>
      </c>
      <c r="CM37">
        <v>15487.199999999999</v>
      </c>
      <c r="CN37">
        <v>20</v>
      </c>
      <c r="CO37">
        <v>17208</v>
      </c>
      <c r="CP37">
        <v>23</v>
      </c>
      <c r="CQ37">
        <v>19789.2</v>
      </c>
      <c r="CR37">
        <v>11</v>
      </c>
      <c r="CS37">
        <v>9464.4</v>
      </c>
      <c r="CT37">
        <v>18</v>
      </c>
      <c r="CU37">
        <v>15487.199999999999</v>
      </c>
    </row>
    <row r="38" spans="2:99" x14ac:dyDescent="0.2">
      <c r="C38" s="118" t="s">
        <v>204</v>
      </c>
      <c r="D38">
        <v>8.1319961979151998</v>
      </c>
      <c r="E38">
        <v>10099.939277810678</v>
      </c>
      <c r="F38">
        <v>20</v>
      </c>
      <c r="G38">
        <v>24840</v>
      </c>
      <c r="H38">
        <v>13</v>
      </c>
      <c r="I38">
        <v>16146</v>
      </c>
      <c r="J38">
        <v>15.29775285043425</v>
      </c>
      <c r="K38">
        <v>18999.809040239339</v>
      </c>
      <c r="L38">
        <v>20</v>
      </c>
      <c r="M38">
        <v>24840</v>
      </c>
      <c r="N38">
        <v>18</v>
      </c>
      <c r="O38">
        <v>22356</v>
      </c>
      <c r="P38">
        <v>17</v>
      </c>
      <c r="Q38">
        <v>21114</v>
      </c>
      <c r="R38">
        <v>11</v>
      </c>
      <c r="S38">
        <v>13662</v>
      </c>
      <c r="T38">
        <v>12</v>
      </c>
      <c r="U38">
        <v>14904</v>
      </c>
      <c r="V38">
        <v>17</v>
      </c>
      <c r="W38">
        <v>21114</v>
      </c>
      <c r="X38">
        <v>20</v>
      </c>
      <c r="Y38">
        <v>24840</v>
      </c>
      <c r="Z38">
        <v>13</v>
      </c>
      <c r="AA38">
        <v>16146</v>
      </c>
      <c r="AB38">
        <v>15</v>
      </c>
      <c r="AC38">
        <v>18630</v>
      </c>
      <c r="AD38">
        <v>11</v>
      </c>
      <c r="AE38">
        <v>13662</v>
      </c>
      <c r="AF38">
        <v>11</v>
      </c>
      <c r="AG38">
        <v>13662</v>
      </c>
      <c r="AH38">
        <v>20</v>
      </c>
      <c r="AI38">
        <v>24840</v>
      </c>
      <c r="AJ38">
        <v>19</v>
      </c>
      <c r="AK38">
        <v>23598</v>
      </c>
      <c r="AL38">
        <v>16</v>
      </c>
      <c r="AM38">
        <v>19872</v>
      </c>
      <c r="AN38">
        <v>16</v>
      </c>
      <c r="AO38">
        <v>19872</v>
      </c>
      <c r="AP38">
        <v>17</v>
      </c>
      <c r="AQ38">
        <v>21114</v>
      </c>
      <c r="AR38">
        <v>12</v>
      </c>
      <c r="AS38">
        <v>14904</v>
      </c>
      <c r="AT38">
        <v>16</v>
      </c>
      <c r="AU38">
        <v>19872</v>
      </c>
      <c r="AV38">
        <v>16</v>
      </c>
      <c r="AW38">
        <v>19872</v>
      </c>
      <c r="AX38">
        <v>12</v>
      </c>
      <c r="AY38">
        <v>14904</v>
      </c>
      <c r="AZ38">
        <v>14</v>
      </c>
      <c r="BA38">
        <v>17388</v>
      </c>
      <c r="BB38">
        <v>12</v>
      </c>
      <c r="BC38">
        <v>14904</v>
      </c>
      <c r="BD38">
        <v>13</v>
      </c>
      <c r="BE38">
        <v>16146</v>
      </c>
      <c r="BF38">
        <v>16</v>
      </c>
      <c r="BG38">
        <v>19872</v>
      </c>
      <c r="BH38">
        <v>11</v>
      </c>
      <c r="BI38">
        <v>13662</v>
      </c>
      <c r="BJ38">
        <v>12</v>
      </c>
      <c r="BK38">
        <v>14904</v>
      </c>
      <c r="BL38">
        <v>15</v>
      </c>
      <c r="BM38">
        <v>18630</v>
      </c>
      <c r="BN38">
        <v>10</v>
      </c>
      <c r="BO38">
        <v>12420</v>
      </c>
      <c r="BP38">
        <v>13</v>
      </c>
      <c r="BQ38">
        <v>16146</v>
      </c>
      <c r="BR38">
        <v>15</v>
      </c>
      <c r="BS38">
        <v>18630</v>
      </c>
      <c r="BT38">
        <v>18</v>
      </c>
      <c r="BU38">
        <v>22356</v>
      </c>
      <c r="BV38">
        <v>11</v>
      </c>
      <c r="BW38">
        <v>13662</v>
      </c>
      <c r="BX38">
        <v>18</v>
      </c>
      <c r="BY38">
        <v>22356</v>
      </c>
      <c r="BZ38">
        <v>11</v>
      </c>
      <c r="CA38">
        <v>13662</v>
      </c>
      <c r="CB38">
        <v>20</v>
      </c>
      <c r="CC38">
        <v>24840</v>
      </c>
      <c r="CD38">
        <v>18</v>
      </c>
      <c r="CE38">
        <v>22356</v>
      </c>
      <c r="CF38">
        <v>16</v>
      </c>
      <c r="CG38">
        <v>19872</v>
      </c>
      <c r="CH38">
        <v>13</v>
      </c>
      <c r="CI38">
        <v>16146</v>
      </c>
      <c r="CJ38">
        <v>19</v>
      </c>
      <c r="CK38">
        <v>23598</v>
      </c>
      <c r="CL38">
        <v>15</v>
      </c>
      <c r="CM38">
        <v>18630</v>
      </c>
      <c r="CN38">
        <v>21</v>
      </c>
      <c r="CO38">
        <v>26082</v>
      </c>
      <c r="CP38">
        <v>21</v>
      </c>
      <c r="CQ38">
        <v>26082</v>
      </c>
      <c r="CR38">
        <v>11</v>
      </c>
      <c r="CS38">
        <v>13662</v>
      </c>
      <c r="CT38">
        <v>16</v>
      </c>
      <c r="CU38">
        <v>19872</v>
      </c>
    </row>
    <row r="39" spans="2:99" x14ac:dyDescent="0.2">
      <c r="C39" s="118" t="s">
        <v>205</v>
      </c>
      <c r="D39">
        <v>7.1154966731757998</v>
      </c>
      <c r="E39">
        <v>10126.774865263798</v>
      </c>
      <c r="F39">
        <v>19</v>
      </c>
      <c r="G39">
        <v>27040.799999999999</v>
      </c>
      <c r="H39">
        <v>14</v>
      </c>
      <c r="I39">
        <v>19924.8</v>
      </c>
      <c r="J39">
        <v>13.29775285043425</v>
      </c>
      <c r="K39">
        <v>18925.361856738025</v>
      </c>
      <c r="L39">
        <v>21</v>
      </c>
      <c r="M39">
        <v>29887.200000000001</v>
      </c>
      <c r="N39">
        <v>18</v>
      </c>
      <c r="O39">
        <v>25617.600000000002</v>
      </c>
      <c r="P39">
        <v>17</v>
      </c>
      <c r="Q39">
        <v>24194.400000000001</v>
      </c>
      <c r="R39">
        <v>10</v>
      </c>
      <c r="S39">
        <v>14232</v>
      </c>
      <c r="T39">
        <v>12</v>
      </c>
      <c r="U39">
        <v>17078.400000000001</v>
      </c>
      <c r="V39">
        <v>16</v>
      </c>
      <c r="W39">
        <v>22771.200000000001</v>
      </c>
      <c r="X39">
        <v>18</v>
      </c>
      <c r="Y39">
        <v>25617.600000000002</v>
      </c>
      <c r="Z39">
        <v>16</v>
      </c>
      <c r="AA39">
        <v>22771.200000000001</v>
      </c>
      <c r="AB39">
        <v>14</v>
      </c>
      <c r="AC39">
        <v>19924.8</v>
      </c>
      <c r="AD39">
        <v>13</v>
      </c>
      <c r="AE39">
        <v>18501.600000000002</v>
      </c>
      <c r="AF39">
        <v>12</v>
      </c>
      <c r="AG39">
        <v>17078.400000000001</v>
      </c>
      <c r="AH39">
        <v>19</v>
      </c>
      <c r="AI39">
        <v>27040.799999999999</v>
      </c>
      <c r="AJ39">
        <v>19</v>
      </c>
      <c r="AK39">
        <v>27040.799999999999</v>
      </c>
      <c r="AL39">
        <v>16</v>
      </c>
      <c r="AM39">
        <v>22771.200000000001</v>
      </c>
      <c r="AN39">
        <v>16</v>
      </c>
      <c r="AO39">
        <v>22771.200000000001</v>
      </c>
      <c r="AP39">
        <v>18</v>
      </c>
      <c r="AQ39">
        <v>25617.600000000002</v>
      </c>
      <c r="AR39">
        <v>14</v>
      </c>
      <c r="AS39">
        <v>19924.8</v>
      </c>
      <c r="AT39">
        <v>17</v>
      </c>
      <c r="AU39">
        <v>24194.400000000001</v>
      </c>
      <c r="AV39">
        <v>15</v>
      </c>
      <c r="AW39">
        <v>21348</v>
      </c>
      <c r="AX39">
        <v>11</v>
      </c>
      <c r="AY39">
        <v>15655.2</v>
      </c>
      <c r="AZ39">
        <v>14</v>
      </c>
      <c r="BA39">
        <v>19924.8</v>
      </c>
      <c r="BB39">
        <v>13</v>
      </c>
      <c r="BC39">
        <v>18501.600000000002</v>
      </c>
      <c r="BD39">
        <v>11</v>
      </c>
      <c r="BE39">
        <v>15655.2</v>
      </c>
      <c r="BF39">
        <v>17</v>
      </c>
      <c r="BG39">
        <v>24194.400000000001</v>
      </c>
      <c r="BH39">
        <v>10</v>
      </c>
      <c r="BI39">
        <v>14232</v>
      </c>
      <c r="BJ39">
        <v>13</v>
      </c>
      <c r="BK39">
        <v>18501.600000000002</v>
      </c>
      <c r="BL39">
        <v>15</v>
      </c>
      <c r="BM39">
        <v>21348</v>
      </c>
      <c r="BN39">
        <v>11</v>
      </c>
      <c r="BO39">
        <v>15655.2</v>
      </c>
      <c r="BP39">
        <v>14</v>
      </c>
      <c r="BQ39">
        <v>19924.8</v>
      </c>
      <c r="BR39">
        <v>16</v>
      </c>
      <c r="BS39">
        <v>22771.200000000001</v>
      </c>
      <c r="BT39">
        <v>17</v>
      </c>
      <c r="BU39">
        <v>24194.400000000001</v>
      </c>
      <c r="BV39">
        <v>11</v>
      </c>
      <c r="BW39">
        <v>15655.2</v>
      </c>
      <c r="BX39">
        <v>18</v>
      </c>
      <c r="BY39">
        <v>25617.600000000002</v>
      </c>
      <c r="BZ39">
        <v>10</v>
      </c>
      <c r="CA39">
        <v>14232</v>
      </c>
      <c r="CB39">
        <v>20</v>
      </c>
      <c r="CC39">
        <v>28464</v>
      </c>
      <c r="CD39">
        <v>18</v>
      </c>
      <c r="CE39">
        <v>25617.600000000002</v>
      </c>
      <c r="CF39">
        <v>17</v>
      </c>
      <c r="CG39">
        <v>24194.400000000001</v>
      </c>
      <c r="CH39">
        <v>10</v>
      </c>
      <c r="CI39">
        <v>14232</v>
      </c>
      <c r="CJ39">
        <v>20</v>
      </c>
      <c r="CK39">
        <v>28464</v>
      </c>
      <c r="CL39">
        <v>15</v>
      </c>
      <c r="CM39">
        <v>21348</v>
      </c>
      <c r="CN39">
        <v>20</v>
      </c>
      <c r="CO39">
        <v>28464</v>
      </c>
      <c r="CP39">
        <v>21</v>
      </c>
      <c r="CQ39">
        <v>29887.200000000001</v>
      </c>
      <c r="CR39">
        <v>11</v>
      </c>
      <c r="CS39">
        <v>15655.2</v>
      </c>
      <c r="CT39">
        <v>16</v>
      </c>
      <c r="CU39">
        <v>22771.200000000001</v>
      </c>
    </row>
    <row r="40" spans="2:99" x14ac:dyDescent="0.2">
      <c r="C40" s="118" t="s">
        <v>206</v>
      </c>
      <c r="D40">
        <v>8.1319961979151998</v>
      </c>
      <c r="E40">
        <v>5894.0708442489367</v>
      </c>
      <c r="F40">
        <v>21</v>
      </c>
      <c r="G40">
        <v>15220.8</v>
      </c>
      <c r="H40">
        <v>16</v>
      </c>
      <c r="I40">
        <v>11596.8</v>
      </c>
      <c r="J40">
        <v>15.470786563825483</v>
      </c>
      <c r="K40">
        <v>11213.226101460708</v>
      </c>
      <c r="L40">
        <v>19</v>
      </c>
      <c r="M40">
        <v>13771.199999999999</v>
      </c>
      <c r="N40">
        <v>20</v>
      </c>
      <c r="O40">
        <v>14496</v>
      </c>
      <c r="P40">
        <v>19</v>
      </c>
      <c r="Q40">
        <v>13771.199999999999</v>
      </c>
      <c r="R40">
        <v>11</v>
      </c>
      <c r="S40">
        <v>7972.7999999999993</v>
      </c>
      <c r="T40">
        <v>13</v>
      </c>
      <c r="U40">
        <v>9422.4</v>
      </c>
      <c r="V40">
        <v>18</v>
      </c>
      <c r="W40">
        <v>13046.4</v>
      </c>
      <c r="X40">
        <v>20</v>
      </c>
      <c r="Y40">
        <v>14496</v>
      </c>
      <c r="Z40">
        <v>16</v>
      </c>
      <c r="AA40">
        <v>11596.8</v>
      </c>
      <c r="AB40">
        <v>16</v>
      </c>
      <c r="AC40">
        <v>11596.8</v>
      </c>
      <c r="AD40">
        <v>11</v>
      </c>
      <c r="AE40">
        <v>7972.7999999999993</v>
      </c>
      <c r="AF40">
        <v>12</v>
      </c>
      <c r="AG40">
        <v>8697.5999999999985</v>
      </c>
      <c r="AH40">
        <v>23</v>
      </c>
      <c r="AI40">
        <v>16670.399999999998</v>
      </c>
      <c r="AJ40">
        <v>19</v>
      </c>
      <c r="AK40">
        <v>13771.199999999999</v>
      </c>
      <c r="AL40">
        <v>17</v>
      </c>
      <c r="AM40">
        <v>12321.599999999999</v>
      </c>
      <c r="AN40">
        <v>15</v>
      </c>
      <c r="AO40">
        <v>10872</v>
      </c>
      <c r="AP40">
        <v>17</v>
      </c>
      <c r="AQ40">
        <v>12321.599999999999</v>
      </c>
      <c r="AR40">
        <v>15</v>
      </c>
      <c r="AS40">
        <v>10872</v>
      </c>
      <c r="AT40">
        <v>20</v>
      </c>
      <c r="AU40">
        <v>14496</v>
      </c>
      <c r="AV40">
        <v>19</v>
      </c>
      <c r="AW40">
        <v>13771.199999999999</v>
      </c>
      <c r="AX40">
        <v>12</v>
      </c>
      <c r="AY40">
        <v>8697.5999999999985</v>
      </c>
      <c r="AZ40">
        <v>13</v>
      </c>
      <c r="BA40">
        <v>9422.4</v>
      </c>
      <c r="BB40">
        <v>12</v>
      </c>
      <c r="BC40">
        <v>8697.5999999999985</v>
      </c>
      <c r="BD40">
        <v>12</v>
      </c>
      <c r="BE40">
        <v>8697.5999999999985</v>
      </c>
      <c r="BF40">
        <v>20</v>
      </c>
      <c r="BG40">
        <v>14496</v>
      </c>
      <c r="BH40">
        <v>12</v>
      </c>
      <c r="BI40">
        <v>8697.5999999999985</v>
      </c>
      <c r="BJ40">
        <v>14</v>
      </c>
      <c r="BK40">
        <v>10147.199999999999</v>
      </c>
      <c r="BL40">
        <v>15</v>
      </c>
      <c r="BM40">
        <v>10872</v>
      </c>
      <c r="BN40">
        <v>11</v>
      </c>
      <c r="BO40">
        <v>7972.7999999999993</v>
      </c>
      <c r="BP40">
        <v>15</v>
      </c>
      <c r="BQ40">
        <v>10872</v>
      </c>
      <c r="BR40">
        <v>15</v>
      </c>
      <c r="BS40">
        <v>10872</v>
      </c>
      <c r="BT40">
        <v>21</v>
      </c>
      <c r="BU40">
        <v>15220.8</v>
      </c>
      <c r="BV40">
        <v>11</v>
      </c>
      <c r="BW40">
        <v>7972.7999999999993</v>
      </c>
      <c r="BX40">
        <v>17</v>
      </c>
      <c r="BY40">
        <v>12321.599999999999</v>
      </c>
      <c r="BZ40">
        <v>12</v>
      </c>
      <c r="CA40">
        <v>8697.5999999999985</v>
      </c>
      <c r="CB40">
        <v>19</v>
      </c>
      <c r="CC40">
        <v>13771.199999999999</v>
      </c>
      <c r="CD40">
        <v>19</v>
      </c>
      <c r="CE40">
        <v>13771.199999999999</v>
      </c>
      <c r="CF40">
        <v>17</v>
      </c>
      <c r="CG40">
        <v>12321.599999999999</v>
      </c>
      <c r="CH40">
        <v>13</v>
      </c>
      <c r="CI40">
        <v>9422.4</v>
      </c>
      <c r="CJ40">
        <v>20</v>
      </c>
      <c r="CK40">
        <v>14496</v>
      </c>
      <c r="CL40">
        <v>16</v>
      </c>
      <c r="CM40">
        <v>11596.8</v>
      </c>
      <c r="CN40">
        <v>21</v>
      </c>
      <c r="CO40">
        <v>15220.8</v>
      </c>
      <c r="CP40">
        <v>23</v>
      </c>
      <c r="CQ40">
        <v>16670.399999999998</v>
      </c>
      <c r="CR40">
        <v>11</v>
      </c>
      <c r="CS40">
        <v>7972.7999999999993</v>
      </c>
      <c r="CT40">
        <v>18</v>
      </c>
      <c r="CU40">
        <v>13046.4</v>
      </c>
    </row>
    <row r="41" spans="2:99" x14ac:dyDescent="0.2">
      <c r="C41" s="118" t="s">
        <v>207</v>
      </c>
      <c r="D41">
        <v>8.1319961979151998</v>
      </c>
      <c r="E41">
        <v>5367.1174906240321</v>
      </c>
      <c r="F41">
        <v>21</v>
      </c>
      <c r="G41">
        <v>13860</v>
      </c>
      <c r="H41">
        <v>14</v>
      </c>
      <c r="I41">
        <v>9240</v>
      </c>
      <c r="J41">
        <v>14.5573034205211</v>
      </c>
      <c r="K41">
        <v>9607.8202575439263</v>
      </c>
      <c r="L41">
        <v>22</v>
      </c>
      <c r="M41">
        <v>14520</v>
      </c>
      <c r="N41">
        <v>20</v>
      </c>
      <c r="O41">
        <v>13200</v>
      </c>
      <c r="P41">
        <v>18</v>
      </c>
      <c r="Q41">
        <v>11880</v>
      </c>
      <c r="R41">
        <v>13</v>
      </c>
      <c r="S41">
        <v>8580</v>
      </c>
      <c r="T41">
        <v>12</v>
      </c>
      <c r="U41">
        <v>7920</v>
      </c>
      <c r="V41">
        <v>19</v>
      </c>
      <c r="W41">
        <v>12540</v>
      </c>
      <c r="X41">
        <v>23</v>
      </c>
      <c r="Y41">
        <v>15180</v>
      </c>
      <c r="Z41">
        <v>17</v>
      </c>
      <c r="AA41">
        <v>11220</v>
      </c>
      <c r="AB41">
        <v>14</v>
      </c>
      <c r="AC41">
        <v>9240</v>
      </c>
      <c r="AD41">
        <v>13</v>
      </c>
      <c r="AE41">
        <v>8580</v>
      </c>
      <c r="AF41">
        <v>13</v>
      </c>
      <c r="AG41">
        <v>8580</v>
      </c>
      <c r="AH41">
        <v>24</v>
      </c>
      <c r="AI41">
        <v>15840</v>
      </c>
      <c r="AJ41">
        <v>18</v>
      </c>
      <c r="AK41">
        <v>11880</v>
      </c>
      <c r="AL41">
        <v>19</v>
      </c>
      <c r="AM41">
        <v>12540</v>
      </c>
      <c r="AN41">
        <v>15</v>
      </c>
      <c r="AO41">
        <v>9900</v>
      </c>
      <c r="AP41">
        <v>18</v>
      </c>
      <c r="AQ41">
        <v>11880</v>
      </c>
      <c r="AR41">
        <v>15</v>
      </c>
      <c r="AS41">
        <v>9900</v>
      </c>
      <c r="AT41">
        <v>18</v>
      </c>
      <c r="AU41">
        <v>11880</v>
      </c>
      <c r="AV41">
        <v>16</v>
      </c>
      <c r="AW41">
        <v>10560</v>
      </c>
      <c r="AX41">
        <v>11</v>
      </c>
      <c r="AY41">
        <v>7260</v>
      </c>
      <c r="AZ41">
        <v>14</v>
      </c>
      <c r="BA41">
        <v>9240</v>
      </c>
      <c r="BB41">
        <v>13</v>
      </c>
      <c r="BC41">
        <v>8580</v>
      </c>
      <c r="BD41">
        <v>14</v>
      </c>
      <c r="BE41">
        <v>9240</v>
      </c>
      <c r="BF41">
        <v>17</v>
      </c>
      <c r="BG41">
        <v>11220</v>
      </c>
      <c r="BH41">
        <v>12</v>
      </c>
      <c r="BI41">
        <v>7920</v>
      </c>
      <c r="BJ41">
        <v>13</v>
      </c>
      <c r="BK41">
        <v>8580</v>
      </c>
      <c r="BL41">
        <v>14</v>
      </c>
      <c r="BM41">
        <v>9240</v>
      </c>
      <c r="BN41">
        <v>11</v>
      </c>
      <c r="BO41">
        <v>7260</v>
      </c>
      <c r="BP41">
        <v>16</v>
      </c>
      <c r="BQ41">
        <v>10560</v>
      </c>
      <c r="BR41">
        <v>16</v>
      </c>
      <c r="BS41">
        <v>10560</v>
      </c>
      <c r="BT41">
        <v>18</v>
      </c>
      <c r="BU41">
        <v>11880</v>
      </c>
      <c r="BV41">
        <v>13</v>
      </c>
      <c r="BW41">
        <v>8580</v>
      </c>
      <c r="BX41">
        <v>20</v>
      </c>
      <c r="BY41">
        <v>13200</v>
      </c>
      <c r="BZ41">
        <v>11</v>
      </c>
      <c r="CA41">
        <v>7260</v>
      </c>
      <c r="CB41">
        <v>18</v>
      </c>
      <c r="CC41">
        <v>11880</v>
      </c>
      <c r="CD41">
        <v>21</v>
      </c>
      <c r="CE41">
        <v>13860</v>
      </c>
      <c r="CF41">
        <v>17</v>
      </c>
      <c r="CG41">
        <v>11220</v>
      </c>
      <c r="CH41">
        <v>13</v>
      </c>
      <c r="CI41">
        <v>8580</v>
      </c>
      <c r="CJ41">
        <v>19</v>
      </c>
      <c r="CK41">
        <v>12540</v>
      </c>
      <c r="CL41">
        <v>16</v>
      </c>
      <c r="CM41">
        <v>10560</v>
      </c>
      <c r="CN41">
        <v>20</v>
      </c>
      <c r="CO41">
        <v>13200</v>
      </c>
      <c r="CP41">
        <v>21</v>
      </c>
      <c r="CQ41">
        <v>13860</v>
      </c>
      <c r="CR41">
        <v>12</v>
      </c>
      <c r="CS41">
        <v>7920</v>
      </c>
      <c r="CT41">
        <v>16</v>
      </c>
      <c r="CU41">
        <v>10560</v>
      </c>
    </row>
    <row r="42" spans="2:99" x14ac:dyDescent="0.2">
      <c r="C42" s="118" t="s">
        <v>208</v>
      </c>
      <c r="D42">
        <v>8.1319961979151998</v>
      </c>
      <c r="E42">
        <v>6879.6687834362592</v>
      </c>
      <c r="F42">
        <v>21</v>
      </c>
      <c r="G42">
        <v>17766</v>
      </c>
      <c r="H42">
        <v>14</v>
      </c>
      <c r="I42">
        <v>11844</v>
      </c>
      <c r="J42">
        <v>13.341011278782057</v>
      </c>
      <c r="K42">
        <v>11286.495541849621</v>
      </c>
      <c r="L42">
        <v>22</v>
      </c>
      <c r="M42">
        <v>18612</v>
      </c>
      <c r="N42">
        <v>20</v>
      </c>
      <c r="O42">
        <v>16920</v>
      </c>
      <c r="P42">
        <v>16</v>
      </c>
      <c r="Q42">
        <v>13536</v>
      </c>
      <c r="R42">
        <v>11</v>
      </c>
      <c r="S42">
        <v>9306</v>
      </c>
      <c r="T42">
        <v>13</v>
      </c>
      <c r="U42">
        <v>10998</v>
      </c>
      <c r="V42">
        <v>17</v>
      </c>
      <c r="W42">
        <v>14382</v>
      </c>
      <c r="X42">
        <v>21</v>
      </c>
      <c r="Y42">
        <v>17766</v>
      </c>
      <c r="Z42">
        <v>16</v>
      </c>
      <c r="AA42">
        <v>13536</v>
      </c>
      <c r="AB42">
        <v>16</v>
      </c>
      <c r="AC42">
        <v>13536</v>
      </c>
      <c r="AD42">
        <v>13</v>
      </c>
      <c r="AE42">
        <v>10998</v>
      </c>
      <c r="AF42">
        <v>13</v>
      </c>
      <c r="AG42">
        <v>10998</v>
      </c>
      <c r="AH42">
        <v>21</v>
      </c>
      <c r="AI42">
        <v>17766</v>
      </c>
      <c r="AJ42">
        <v>21</v>
      </c>
      <c r="AK42">
        <v>17766</v>
      </c>
      <c r="AL42">
        <v>15</v>
      </c>
      <c r="AM42">
        <v>12690</v>
      </c>
      <c r="AN42">
        <v>14</v>
      </c>
      <c r="AO42">
        <v>11844</v>
      </c>
      <c r="AP42">
        <v>19</v>
      </c>
      <c r="AQ42">
        <v>16074</v>
      </c>
      <c r="AR42">
        <v>14</v>
      </c>
      <c r="AS42">
        <v>11844</v>
      </c>
      <c r="AT42">
        <v>20</v>
      </c>
      <c r="AU42">
        <v>16920</v>
      </c>
      <c r="AV42">
        <v>19</v>
      </c>
      <c r="AW42">
        <v>16074</v>
      </c>
      <c r="AX42">
        <v>11</v>
      </c>
      <c r="AY42">
        <v>9306</v>
      </c>
      <c r="AZ42">
        <v>15</v>
      </c>
      <c r="BA42">
        <v>12690</v>
      </c>
      <c r="BB42">
        <v>12</v>
      </c>
      <c r="BC42">
        <v>10152</v>
      </c>
      <c r="BD42">
        <v>14</v>
      </c>
      <c r="BE42">
        <v>11844</v>
      </c>
      <c r="BF42">
        <v>19</v>
      </c>
      <c r="BG42">
        <v>16074</v>
      </c>
      <c r="BH42">
        <v>11</v>
      </c>
      <c r="BI42">
        <v>9306</v>
      </c>
      <c r="BJ42">
        <v>13</v>
      </c>
      <c r="BK42">
        <v>10998</v>
      </c>
      <c r="BL42">
        <v>16</v>
      </c>
      <c r="BM42">
        <v>13536</v>
      </c>
      <c r="BN42">
        <v>12</v>
      </c>
      <c r="BO42">
        <v>10152</v>
      </c>
      <c r="BP42">
        <v>16</v>
      </c>
      <c r="BQ42">
        <v>13536</v>
      </c>
      <c r="BR42">
        <v>16</v>
      </c>
      <c r="BS42">
        <v>13536</v>
      </c>
      <c r="BT42">
        <v>21</v>
      </c>
      <c r="BU42">
        <v>17766</v>
      </c>
      <c r="BV42">
        <v>11</v>
      </c>
      <c r="BW42">
        <v>9306</v>
      </c>
      <c r="BX42">
        <v>20</v>
      </c>
      <c r="BY42">
        <v>16920</v>
      </c>
      <c r="BZ42">
        <v>12</v>
      </c>
      <c r="CA42">
        <v>10152</v>
      </c>
      <c r="CB42">
        <v>21</v>
      </c>
      <c r="CC42">
        <v>17766</v>
      </c>
      <c r="CD42">
        <v>20</v>
      </c>
      <c r="CE42">
        <v>16920</v>
      </c>
      <c r="CF42">
        <v>16</v>
      </c>
      <c r="CG42">
        <v>13536</v>
      </c>
      <c r="CH42">
        <v>12</v>
      </c>
      <c r="CI42">
        <v>10152</v>
      </c>
      <c r="CJ42">
        <v>20</v>
      </c>
      <c r="CK42">
        <v>16920</v>
      </c>
      <c r="CL42">
        <v>17</v>
      </c>
      <c r="CM42">
        <v>14382</v>
      </c>
      <c r="CN42">
        <v>19</v>
      </c>
      <c r="CO42">
        <v>16074</v>
      </c>
      <c r="CP42">
        <v>20</v>
      </c>
      <c r="CQ42">
        <v>16920</v>
      </c>
      <c r="CR42">
        <v>11</v>
      </c>
      <c r="CS42">
        <v>9306</v>
      </c>
      <c r="CT42">
        <v>17</v>
      </c>
      <c r="CU42">
        <v>14382</v>
      </c>
    </row>
    <row r="43" spans="2:99" x14ac:dyDescent="0.2">
      <c r="C43" s="118" t="s">
        <v>209</v>
      </c>
      <c r="D43">
        <v>8.6402459602848989</v>
      </c>
      <c r="E43">
        <v>8833.7874697952811</v>
      </c>
      <c r="F43">
        <v>19</v>
      </c>
      <c r="G43">
        <v>19425.599999999999</v>
      </c>
      <c r="H43">
        <v>14</v>
      </c>
      <c r="I43">
        <v>14313.6</v>
      </c>
      <c r="J43">
        <v>15.384269707129866</v>
      </c>
      <c r="K43">
        <v>15728.877348569575</v>
      </c>
      <c r="L43">
        <v>19</v>
      </c>
      <c r="M43">
        <v>19425.599999999999</v>
      </c>
      <c r="N43">
        <v>18</v>
      </c>
      <c r="O43">
        <v>18403.2</v>
      </c>
      <c r="P43">
        <v>18</v>
      </c>
      <c r="Q43">
        <v>18403.2</v>
      </c>
      <c r="R43">
        <v>12</v>
      </c>
      <c r="S43">
        <v>12268.8</v>
      </c>
      <c r="T43">
        <v>11</v>
      </c>
      <c r="U43">
        <v>11246.4</v>
      </c>
      <c r="V43">
        <v>19</v>
      </c>
      <c r="W43">
        <v>19425.599999999999</v>
      </c>
      <c r="X43">
        <v>22</v>
      </c>
      <c r="Y43">
        <v>22492.799999999999</v>
      </c>
      <c r="Z43">
        <v>15</v>
      </c>
      <c r="AA43">
        <v>15336</v>
      </c>
      <c r="AB43">
        <v>15</v>
      </c>
      <c r="AC43">
        <v>15336</v>
      </c>
      <c r="AD43">
        <v>12</v>
      </c>
      <c r="AE43">
        <v>12268.8</v>
      </c>
      <c r="AF43">
        <v>13</v>
      </c>
      <c r="AG43">
        <v>13291.199999999999</v>
      </c>
      <c r="AH43">
        <v>22</v>
      </c>
      <c r="AI43">
        <v>22492.799999999999</v>
      </c>
      <c r="AJ43">
        <v>20</v>
      </c>
      <c r="AK43">
        <v>20448</v>
      </c>
      <c r="AL43">
        <v>15</v>
      </c>
      <c r="AM43">
        <v>15336</v>
      </c>
      <c r="AN43">
        <v>15</v>
      </c>
      <c r="AO43">
        <v>15336</v>
      </c>
      <c r="AP43">
        <v>17</v>
      </c>
      <c r="AQ43">
        <v>17380.8</v>
      </c>
      <c r="AR43">
        <v>14</v>
      </c>
      <c r="AS43">
        <v>14313.6</v>
      </c>
      <c r="AT43">
        <v>19</v>
      </c>
      <c r="AU43">
        <v>19425.599999999999</v>
      </c>
      <c r="AV43">
        <v>17</v>
      </c>
      <c r="AW43">
        <v>17380.8</v>
      </c>
      <c r="AX43">
        <v>10</v>
      </c>
      <c r="AY43">
        <v>10224</v>
      </c>
      <c r="AZ43">
        <v>14</v>
      </c>
      <c r="BA43">
        <v>14313.6</v>
      </c>
      <c r="BB43">
        <v>14</v>
      </c>
      <c r="BC43">
        <v>14313.6</v>
      </c>
      <c r="BD43">
        <v>12</v>
      </c>
      <c r="BE43">
        <v>12268.8</v>
      </c>
      <c r="BF43">
        <v>16</v>
      </c>
      <c r="BG43">
        <v>16358.4</v>
      </c>
      <c r="BH43">
        <v>12</v>
      </c>
      <c r="BI43">
        <v>12268.8</v>
      </c>
      <c r="BJ43">
        <v>14</v>
      </c>
      <c r="BK43">
        <v>14313.6</v>
      </c>
      <c r="BL43">
        <v>14</v>
      </c>
      <c r="BM43">
        <v>14313.6</v>
      </c>
      <c r="BN43">
        <v>11</v>
      </c>
      <c r="BO43">
        <v>11246.4</v>
      </c>
      <c r="BP43">
        <v>15</v>
      </c>
      <c r="BQ43">
        <v>15336</v>
      </c>
      <c r="BR43">
        <v>16</v>
      </c>
      <c r="BS43">
        <v>16358.4</v>
      </c>
      <c r="BT43">
        <v>17</v>
      </c>
      <c r="BU43">
        <v>17380.8</v>
      </c>
      <c r="BV43">
        <v>11</v>
      </c>
      <c r="BW43">
        <v>11246.4</v>
      </c>
      <c r="BX43">
        <v>19</v>
      </c>
      <c r="BY43">
        <v>19425.599999999999</v>
      </c>
      <c r="BZ43">
        <v>10</v>
      </c>
      <c r="CA43">
        <v>10224</v>
      </c>
      <c r="CB43">
        <v>18</v>
      </c>
      <c r="CC43">
        <v>18403.2</v>
      </c>
      <c r="CD43">
        <v>20</v>
      </c>
      <c r="CE43">
        <v>20448</v>
      </c>
      <c r="CF43">
        <v>15</v>
      </c>
      <c r="CG43">
        <v>15336</v>
      </c>
      <c r="CH43">
        <v>11</v>
      </c>
      <c r="CI43">
        <v>11246.4</v>
      </c>
      <c r="CJ43">
        <v>21</v>
      </c>
      <c r="CK43">
        <v>21470.399999999998</v>
      </c>
      <c r="CL43">
        <v>15</v>
      </c>
      <c r="CM43">
        <v>15336</v>
      </c>
      <c r="CN43">
        <v>21</v>
      </c>
      <c r="CO43">
        <v>21470.399999999998</v>
      </c>
      <c r="CP43">
        <v>21</v>
      </c>
      <c r="CQ43">
        <v>21470.399999999998</v>
      </c>
      <c r="CR43">
        <v>11</v>
      </c>
      <c r="CS43">
        <v>11246.4</v>
      </c>
      <c r="CT43">
        <v>16</v>
      </c>
      <c r="CU43">
        <v>16358.4</v>
      </c>
    </row>
    <row r="44" spans="2:99" x14ac:dyDescent="0.2">
      <c r="C44" s="118" t="s">
        <v>210</v>
      </c>
      <c r="D44">
        <v>8.1319961979151998</v>
      </c>
      <c r="E44">
        <v>8314.152912748501</v>
      </c>
      <c r="F44">
        <v>22</v>
      </c>
      <c r="G44">
        <v>22492.799999999999</v>
      </c>
      <c r="H44">
        <v>15</v>
      </c>
      <c r="I44">
        <v>15336</v>
      </c>
      <c r="J44">
        <v>14.384269707129866</v>
      </c>
      <c r="K44">
        <v>14706.477348569575</v>
      </c>
      <c r="L44">
        <v>23</v>
      </c>
      <c r="M44">
        <v>23515.200000000001</v>
      </c>
      <c r="N44">
        <v>17</v>
      </c>
      <c r="O44">
        <v>17380.8</v>
      </c>
      <c r="P44">
        <v>16</v>
      </c>
      <c r="Q44">
        <v>16358.4</v>
      </c>
      <c r="R44">
        <v>11</v>
      </c>
      <c r="S44">
        <v>11246.4</v>
      </c>
      <c r="T44">
        <v>11</v>
      </c>
      <c r="U44">
        <v>11246.4</v>
      </c>
      <c r="V44">
        <v>20</v>
      </c>
      <c r="W44">
        <v>20448</v>
      </c>
      <c r="X44">
        <v>22</v>
      </c>
      <c r="Y44">
        <v>22492.799999999999</v>
      </c>
      <c r="Z44">
        <v>16</v>
      </c>
      <c r="AA44">
        <v>16358.4</v>
      </c>
      <c r="AB44">
        <v>15</v>
      </c>
      <c r="AC44">
        <v>15336</v>
      </c>
      <c r="AD44">
        <v>11</v>
      </c>
      <c r="AE44">
        <v>11246.4</v>
      </c>
      <c r="AF44">
        <v>11</v>
      </c>
      <c r="AG44">
        <v>11246.4</v>
      </c>
      <c r="AH44">
        <v>22</v>
      </c>
      <c r="AI44">
        <v>22492.799999999999</v>
      </c>
      <c r="AJ44">
        <v>18</v>
      </c>
      <c r="AK44">
        <v>18403.2</v>
      </c>
      <c r="AL44">
        <v>15</v>
      </c>
      <c r="AM44">
        <v>15336</v>
      </c>
      <c r="AN44">
        <v>16</v>
      </c>
      <c r="AO44">
        <v>16358.4</v>
      </c>
      <c r="AP44">
        <v>17</v>
      </c>
      <c r="AQ44">
        <v>17380.8</v>
      </c>
      <c r="AR44">
        <v>13</v>
      </c>
      <c r="AS44">
        <v>13291.199999999999</v>
      </c>
      <c r="AT44">
        <v>17</v>
      </c>
      <c r="AU44">
        <v>17380.8</v>
      </c>
      <c r="AV44">
        <v>16</v>
      </c>
      <c r="AW44">
        <v>16358.4</v>
      </c>
      <c r="AX44">
        <v>11</v>
      </c>
      <c r="AY44">
        <v>11246.4</v>
      </c>
      <c r="AZ44">
        <v>14</v>
      </c>
      <c r="BA44">
        <v>14313.6</v>
      </c>
      <c r="BB44">
        <v>13</v>
      </c>
      <c r="BC44">
        <v>13291.199999999999</v>
      </c>
      <c r="BD44">
        <v>11</v>
      </c>
      <c r="BE44">
        <v>11246.4</v>
      </c>
      <c r="BF44">
        <v>17</v>
      </c>
      <c r="BG44">
        <v>17380.8</v>
      </c>
      <c r="BH44">
        <v>11</v>
      </c>
      <c r="BI44">
        <v>11246.4</v>
      </c>
      <c r="BJ44">
        <v>13</v>
      </c>
      <c r="BK44">
        <v>13291.199999999999</v>
      </c>
      <c r="BL44">
        <v>14</v>
      </c>
      <c r="BM44">
        <v>14313.6</v>
      </c>
      <c r="BN44">
        <v>11</v>
      </c>
      <c r="BO44">
        <v>11246.4</v>
      </c>
      <c r="BP44">
        <v>13</v>
      </c>
      <c r="BQ44">
        <v>13291.199999999999</v>
      </c>
      <c r="BR44">
        <v>15</v>
      </c>
      <c r="BS44">
        <v>15336</v>
      </c>
      <c r="BT44">
        <v>18</v>
      </c>
      <c r="BU44">
        <v>18403.2</v>
      </c>
      <c r="BV44">
        <v>10</v>
      </c>
      <c r="BW44">
        <v>10224</v>
      </c>
      <c r="BX44">
        <v>20</v>
      </c>
      <c r="BY44">
        <v>20448</v>
      </c>
      <c r="BZ44">
        <v>13</v>
      </c>
      <c r="CA44">
        <v>13291.199999999999</v>
      </c>
      <c r="CB44">
        <v>20</v>
      </c>
      <c r="CC44">
        <v>20448</v>
      </c>
      <c r="CD44">
        <v>19</v>
      </c>
      <c r="CE44">
        <v>19425.599999999999</v>
      </c>
      <c r="CF44">
        <v>16</v>
      </c>
      <c r="CG44">
        <v>16358.4</v>
      </c>
      <c r="CH44">
        <v>11</v>
      </c>
      <c r="CI44">
        <v>11246.4</v>
      </c>
      <c r="CJ44">
        <v>18</v>
      </c>
      <c r="CK44">
        <v>18403.2</v>
      </c>
      <c r="CL44">
        <v>15</v>
      </c>
      <c r="CM44">
        <v>15336</v>
      </c>
      <c r="CN44">
        <v>21</v>
      </c>
      <c r="CO44">
        <v>21470.399999999998</v>
      </c>
      <c r="CP44">
        <v>22</v>
      </c>
      <c r="CQ44">
        <v>22492.799999999999</v>
      </c>
      <c r="CR44">
        <v>12</v>
      </c>
      <c r="CS44">
        <v>12268.8</v>
      </c>
      <c r="CT44">
        <v>18</v>
      </c>
      <c r="CU44">
        <v>18403.2</v>
      </c>
    </row>
    <row r="45" spans="2:99" x14ac:dyDescent="0.2">
      <c r="C45" s="118" t="s">
        <v>211</v>
      </c>
      <c r="D45">
        <v>8.1319961979151998</v>
      </c>
      <c r="E45">
        <v>10158.489650435667</v>
      </c>
      <c r="F45">
        <v>21</v>
      </c>
      <c r="G45">
        <v>26233.200000000001</v>
      </c>
      <c r="H45">
        <v>13</v>
      </c>
      <c r="I45">
        <v>16239.6</v>
      </c>
      <c r="J45">
        <v>14.384269707129866</v>
      </c>
      <c r="K45">
        <v>17968.82971814663</v>
      </c>
      <c r="L45">
        <v>20</v>
      </c>
      <c r="M45">
        <v>24984</v>
      </c>
      <c r="N45">
        <v>17</v>
      </c>
      <c r="O45">
        <v>21236.400000000001</v>
      </c>
      <c r="P45">
        <v>17</v>
      </c>
      <c r="Q45">
        <v>21236.400000000001</v>
      </c>
      <c r="R45">
        <v>12</v>
      </c>
      <c r="S45">
        <v>14990.400000000001</v>
      </c>
      <c r="T45">
        <v>13</v>
      </c>
      <c r="U45">
        <v>16239.6</v>
      </c>
      <c r="V45">
        <v>18</v>
      </c>
      <c r="W45">
        <v>22485.600000000002</v>
      </c>
      <c r="X45">
        <v>19</v>
      </c>
      <c r="Y45">
        <v>23734.799999999999</v>
      </c>
      <c r="Z45">
        <v>14</v>
      </c>
      <c r="AA45">
        <v>17488.8</v>
      </c>
      <c r="AB45">
        <v>14</v>
      </c>
      <c r="AC45">
        <v>17488.8</v>
      </c>
      <c r="AD45">
        <v>11</v>
      </c>
      <c r="AE45">
        <v>13741.2</v>
      </c>
      <c r="AF45">
        <v>12</v>
      </c>
      <c r="AG45">
        <v>14990.400000000001</v>
      </c>
      <c r="AH45">
        <v>19</v>
      </c>
      <c r="AI45">
        <v>23734.799999999999</v>
      </c>
      <c r="AJ45">
        <v>19</v>
      </c>
      <c r="AK45">
        <v>23734.799999999999</v>
      </c>
      <c r="AL45">
        <v>17</v>
      </c>
      <c r="AM45">
        <v>21236.400000000001</v>
      </c>
      <c r="AN45">
        <v>14</v>
      </c>
      <c r="AO45">
        <v>17488.8</v>
      </c>
      <c r="AP45">
        <v>17</v>
      </c>
      <c r="AQ45">
        <v>21236.400000000001</v>
      </c>
      <c r="AR45">
        <v>13</v>
      </c>
      <c r="AS45">
        <v>16239.6</v>
      </c>
      <c r="AT45">
        <v>18</v>
      </c>
      <c r="AU45">
        <v>22485.600000000002</v>
      </c>
      <c r="AV45">
        <v>15</v>
      </c>
      <c r="AW45">
        <v>18738</v>
      </c>
      <c r="AX45">
        <v>11</v>
      </c>
      <c r="AY45">
        <v>13741.2</v>
      </c>
      <c r="AZ45">
        <v>13</v>
      </c>
      <c r="BA45">
        <v>16239.6</v>
      </c>
      <c r="BB45">
        <v>13</v>
      </c>
      <c r="BC45">
        <v>16239.6</v>
      </c>
      <c r="BD45">
        <v>11</v>
      </c>
      <c r="BE45">
        <v>13741.2</v>
      </c>
      <c r="BF45">
        <v>16</v>
      </c>
      <c r="BG45">
        <v>19987.2</v>
      </c>
      <c r="BH45">
        <v>12</v>
      </c>
      <c r="BI45">
        <v>14990.400000000001</v>
      </c>
      <c r="BJ45">
        <v>12</v>
      </c>
      <c r="BK45">
        <v>14990.400000000001</v>
      </c>
      <c r="BL45">
        <v>15</v>
      </c>
      <c r="BM45">
        <v>18738</v>
      </c>
      <c r="BN45">
        <v>12</v>
      </c>
      <c r="BO45">
        <v>14990.400000000001</v>
      </c>
      <c r="BP45">
        <v>15</v>
      </c>
      <c r="BQ45">
        <v>18738</v>
      </c>
      <c r="BR45">
        <v>14</v>
      </c>
      <c r="BS45">
        <v>17488.8</v>
      </c>
      <c r="BT45">
        <v>17</v>
      </c>
      <c r="BU45">
        <v>21236.400000000001</v>
      </c>
      <c r="BV45">
        <v>12</v>
      </c>
      <c r="BW45">
        <v>14990.400000000001</v>
      </c>
      <c r="BX45">
        <v>19</v>
      </c>
      <c r="BY45">
        <v>23734.799999999999</v>
      </c>
      <c r="BZ45">
        <v>11</v>
      </c>
      <c r="CA45">
        <v>13741.2</v>
      </c>
      <c r="CB45">
        <v>21</v>
      </c>
      <c r="CC45">
        <v>26233.200000000001</v>
      </c>
      <c r="CD45">
        <v>19</v>
      </c>
      <c r="CE45">
        <v>23734.799999999999</v>
      </c>
      <c r="CF45">
        <v>16</v>
      </c>
      <c r="CG45">
        <v>19987.2</v>
      </c>
      <c r="CH45">
        <v>10</v>
      </c>
      <c r="CI45">
        <v>12492</v>
      </c>
      <c r="CJ45">
        <v>20</v>
      </c>
      <c r="CK45">
        <v>24984</v>
      </c>
      <c r="CL45">
        <v>16</v>
      </c>
      <c r="CM45">
        <v>19987.2</v>
      </c>
      <c r="CN45">
        <v>20</v>
      </c>
      <c r="CO45">
        <v>24984</v>
      </c>
      <c r="CP45">
        <v>19</v>
      </c>
      <c r="CQ45">
        <v>23734.799999999999</v>
      </c>
      <c r="CR45">
        <v>11</v>
      </c>
      <c r="CS45">
        <v>13741.2</v>
      </c>
      <c r="CT45">
        <v>17</v>
      </c>
      <c r="CU45">
        <v>21236.400000000001</v>
      </c>
    </row>
    <row r="46" spans="2:99" x14ac:dyDescent="0.2">
      <c r="C46" s="118" t="s">
        <v>212</v>
      </c>
      <c r="D46">
        <v>8.6402459602848989</v>
      </c>
      <c r="E46">
        <v>10471.978103865298</v>
      </c>
      <c r="F46">
        <v>19</v>
      </c>
      <c r="G46">
        <v>23028</v>
      </c>
      <c r="H46">
        <v>15</v>
      </c>
      <c r="I46">
        <v>18180</v>
      </c>
      <c r="J46">
        <v>13.427528135477674</v>
      </c>
      <c r="K46">
        <v>16274.164100198941</v>
      </c>
      <c r="L46">
        <v>20</v>
      </c>
      <c r="M46">
        <v>24240</v>
      </c>
      <c r="N46">
        <v>19</v>
      </c>
      <c r="O46">
        <v>23028</v>
      </c>
      <c r="P46">
        <v>16</v>
      </c>
      <c r="Q46">
        <v>19392</v>
      </c>
      <c r="R46">
        <v>11</v>
      </c>
      <c r="S46">
        <v>13332</v>
      </c>
      <c r="T46">
        <v>11</v>
      </c>
      <c r="U46">
        <v>13332</v>
      </c>
      <c r="V46">
        <v>19</v>
      </c>
      <c r="W46">
        <v>23028</v>
      </c>
      <c r="X46">
        <v>21</v>
      </c>
      <c r="Y46">
        <v>25452</v>
      </c>
      <c r="Z46">
        <v>15</v>
      </c>
      <c r="AA46">
        <v>18180</v>
      </c>
      <c r="AB46">
        <v>14</v>
      </c>
      <c r="AC46">
        <v>16968</v>
      </c>
      <c r="AD46">
        <v>11</v>
      </c>
      <c r="AE46">
        <v>13332</v>
      </c>
      <c r="AF46">
        <v>12</v>
      </c>
      <c r="AG46">
        <v>14544</v>
      </c>
      <c r="AH46">
        <v>20</v>
      </c>
      <c r="AI46">
        <v>24240</v>
      </c>
      <c r="AJ46">
        <v>19</v>
      </c>
      <c r="AK46">
        <v>23028</v>
      </c>
      <c r="AL46">
        <v>15</v>
      </c>
      <c r="AM46">
        <v>18180</v>
      </c>
      <c r="AN46">
        <v>14</v>
      </c>
      <c r="AO46">
        <v>16968</v>
      </c>
      <c r="AP46">
        <v>19</v>
      </c>
      <c r="AQ46">
        <v>23028</v>
      </c>
      <c r="AR46">
        <v>14</v>
      </c>
      <c r="AS46">
        <v>16968</v>
      </c>
      <c r="AT46">
        <v>19</v>
      </c>
      <c r="AU46">
        <v>23028</v>
      </c>
      <c r="AV46">
        <v>16</v>
      </c>
      <c r="AW46">
        <v>19392</v>
      </c>
      <c r="AX46">
        <v>11</v>
      </c>
      <c r="AY46">
        <v>13332</v>
      </c>
      <c r="AZ46">
        <v>15</v>
      </c>
      <c r="BA46">
        <v>18180</v>
      </c>
      <c r="BB46">
        <v>12</v>
      </c>
      <c r="BC46">
        <v>14544</v>
      </c>
      <c r="BD46">
        <v>13</v>
      </c>
      <c r="BE46">
        <v>15756</v>
      </c>
      <c r="BF46">
        <v>16</v>
      </c>
      <c r="BG46">
        <v>19392</v>
      </c>
      <c r="BH46">
        <v>11</v>
      </c>
      <c r="BI46">
        <v>13332</v>
      </c>
      <c r="BJ46">
        <v>12</v>
      </c>
      <c r="BK46">
        <v>14544</v>
      </c>
      <c r="BL46">
        <v>15</v>
      </c>
      <c r="BM46">
        <v>18180</v>
      </c>
      <c r="BN46">
        <v>12</v>
      </c>
      <c r="BO46">
        <v>14544</v>
      </c>
      <c r="BP46">
        <v>15</v>
      </c>
      <c r="BQ46">
        <v>18180</v>
      </c>
      <c r="BR46">
        <v>15</v>
      </c>
      <c r="BS46">
        <v>18180</v>
      </c>
      <c r="BT46">
        <v>19</v>
      </c>
      <c r="BU46">
        <v>23028</v>
      </c>
      <c r="BV46">
        <v>11</v>
      </c>
      <c r="BW46">
        <v>13332</v>
      </c>
      <c r="BX46">
        <v>17</v>
      </c>
      <c r="BY46">
        <v>20604</v>
      </c>
      <c r="BZ46">
        <v>10</v>
      </c>
      <c r="CA46">
        <v>12120</v>
      </c>
      <c r="CB46">
        <v>18</v>
      </c>
      <c r="CC46">
        <v>21816</v>
      </c>
      <c r="CD46">
        <v>18</v>
      </c>
      <c r="CE46">
        <v>21816</v>
      </c>
      <c r="CF46">
        <v>14</v>
      </c>
      <c r="CG46">
        <v>16968</v>
      </c>
      <c r="CH46">
        <v>11</v>
      </c>
      <c r="CI46">
        <v>13332</v>
      </c>
      <c r="CJ46">
        <v>18</v>
      </c>
      <c r="CK46">
        <v>21816</v>
      </c>
      <c r="CL46">
        <v>18</v>
      </c>
      <c r="CM46">
        <v>21816</v>
      </c>
      <c r="CN46">
        <v>21</v>
      </c>
      <c r="CO46">
        <v>25452</v>
      </c>
      <c r="CP46">
        <v>21</v>
      </c>
      <c r="CQ46">
        <v>25452</v>
      </c>
      <c r="CR46">
        <v>10</v>
      </c>
      <c r="CS46">
        <v>12120</v>
      </c>
      <c r="CT46">
        <v>16</v>
      </c>
      <c r="CU46">
        <v>19392</v>
      </c>
    </row>
    <row r="47" spans="2:99" x14ac:dyDescent="0.2">
      <c r="C47" s="118" t="s">
        <v>213</v>
      </c>
      <c r="D47">
        <v>8.1319961979151998</v>
      </c>
      <c r="E47">
        <v>12422.437391935258</v>
      </c>
      <c r="F47">
        <v>19</v>
      </c>
      <c r="G47">
        <v>29024.399999999998</v>
      </c>
      <c r="H47">
        <v>13</v>
      </c>
      <c r="I47">
        <v>19858.8</v>
      </c>
      <c r="J47">
        <v>15.470786563825483</v>
      </c>
      <c r="K47">
        <v>23633.173554899808</v>
      </c>
      <c r="L47">
        <v>21</v>
      </c>
      <c r="M47">
        <v>32079.599999999999</v>
      </c>
      <c r="N47">
        <v>19</v>
      </c>
      <c r="O47">
        <v>29024.399999999998</v>
      </c>
      <c r="P47">
        <v>17</v>
      </c>
      <c r="Q47">
        <v>25969.199999999997</v>
      </c>
      <c r="R47">
        <v>11</v>
      </c>
      <c r="S47">
        <v>16803.599999999999</v>
      </c>
      <c r="T47">
        <v>12</v>
      </c>
      <c r="U47">
        <v>18331.199999999997</v>
      </c>
      <c r="V47">
        <v>18</v>
      </c>
      <c r="W47">
        <v>27496.799999999999</v>
      </c>
      <c r="X47">
        <v>18</v>
      </c>
      <c r="Y47">
        <v>27496.799999999999</v>
      </c>
      <c r="Z47">
        <v>13</v>
      </c>
      <c r="AA47">
        <v>19858.8</v>
      </c>
      <c r="AB47">
        <v>15</v>
      </c>
      <c r="AC47">
        <v>22914</v>
      </c>
      <c r="AD47">
        <v>12</v>
      </c>
      <c r="AE47">
        <v>18331.199999999997</v>
      </c>
      <c r="AF47">
        <v>10</v>
      </c>
      <c r="AG47">
        <v>15276</v>
      </c>
      <c r="AH47">
        <v>22</v>
      </c>
      <c r="AI47">
        <v>33607.199999999997</v>
      </c>
      <c r="AJ47">
        <v>19</v>
      </c>
      <c r="AK47">
        <v>29024.399999999998</v>
      </c>
      <c r="AL47">
        <v>17</v>
      </c>
      <c r="AM47">
        <v>25969.199999999997</v>
      </c>
      <c r="AN47">
        <v>16</v>
      </c>
      <c r="AO47">
        <v>24441.599999999999</v>
      </c>
      <c r="AP47">
        <v>17</v>
      </c>
      <c r="AQ47">
        <v>25969.199999999997</v>
      </c>
      <c r="AR47">
        <v>14</v>
      </c>
      <c r="AS47">
        <v>21386.399999999998</v>
      </c>
      <c r="AT47">
        <v>17</v>
      </c>
      <c r="AU47">
        <v>25969.199999999997</v>
      </c>
      <c r="AV47">
        <v>18</v>
      </c>
      <c r="AW47">
        <v>27496.799999999999</v>
      </c>
      <c r="AX47">
        <v>10</v>
      </c>
      <c r="AY47">
        <v>15276</v>
      </c>
      <c r="AZ47">
        <v>12</v>
      </c>
      <c r="BA47">
        <v>18331.199999999997</v>
      </c>
      <c r="BB47">
        <v>12</v>
      </c>
      <c r="BC47">
        <v>18331.199999999997</v>
      </c>
      <c r="BD47">
        <v>11</v>
      </c>
      <c r="BE47">
        <v>16803.599999999999</v>
      </c>
      <c r="BF47">
        <v>17</v>
      </c>
      <c r="BG47">
        <v>25969.199999999997</v>
      </c>
      <c r="BH47">
        <v>11</v>
      </c>
      <c r="BI47">
        <v>16803.599999999999</v>
      </c>
      <c r="BJ47">
        <v>13</v>
      </c>
      <c r="BK47">
        <v>19858.8</v>
      </c>
      <c r="BL47">
        <v>13</v>
      </c>
      <c r="BM47">
        <v>19858.8</v>
      </c>
      <c r="BN47">
        <v>11</v>
      </c>
      <c r="BO47">
        <v>16803.599999999999</v>
      </c>
      <c r="BP47">
        <v>14</v>
      </c>
      <c r="BQ47">
        <v>21386.399999999998</v>
      </c>
      <c r="BR47">
        <v>14</v>
      </c>
      <c r="BS47">
        <v>21386.399999999998</v>
      </c>
      <c r="BT47">
        <v>19</v>
      </c>
      <c r="BU47">
        <v>29024.399999999998</v>
      </c>
      <c r="BV47">
        <v>12</v>
      </c>
      <c r="BW47">
        <v>18331.199999999997</v>
      </c>
      <c r="BX47">
        <v>17</v>
      </c>
      <c r="BY47">
        <v>25969.199999999997</v>
      </c>
      <c r="BZ47">
        <v>12</v>
      </c>
      <c r="CA47">
        <v>18331.199999999997</v>
      </c>
      <c r="CB47">
        <v>20</v>
      </c>
      <c r="CC47">
        <v>30552</v>
      </c>
      <c r="CD47">
        <v>19</v>
      </c>
      <c r="CE47">
        <v>29024.399999999998</v>
      </c>
      <c r="CF47">
        <v>16</v>
      </c>
      <c r="CG47">
        <v>24441.599999999999</v>
      </c>
      <c r="CH47">
        <v>12</v>
      </c>
      <c r="CI47">
        <v>18331.199999999997</v>
      </c>
      <c r="CJ47">
        <v>17</v>
      </c>
      <c r="CK47">
        <v>25969.199999999997</v>
      </c>
      <c r="CL47">
        <v>17</v>
      </c>
      <c r="CM47">
        <v>25969.199999999997</v>
      </c>
      <c r="CN47">
        <v>19</v>
      </c>
      <c r="CO47">
        <v>29024.399999999998</v>
      </c>
      <c r="CP47">
        <v>19</v>
      </c>
      <c r="CQ47">
        <v>29024.399999999998</v>
      </c>
      <c r="CR47">
        <v>10</v>
      </c>
      <c r="CS47">
        <v>15276</v>
      </c>
      <c r="CT47">
        <v>16</v>
      </c>
      <c r="CU47">
        <v>24441.599999999999</v>
      </c>
    </row>
    <row r="48" spans="2:99" x14ac:dyDescent="0.2">
      <c r="C48" s="118" t="s">
        <v>214</v>
      </c>
      <c r="D48">
        <v>8.6402459602848989</v>
      </c>
      <c r="E48">
        <v>7496.2773951431782</v>
      </c>
      <c r="F48">
        <v>20</v>
      </c>
      <c r="G48">
        <v>17352</v>
      </c>
      <c r="H48">
        <v>16</v>
      </c>
      <c r="I48">
        <v>13881.6</v>
      </c>
      <c r="J48">
        <v>15.600561848868908</v>
      </c>
      <c r="K48">
        <v>13535.047460078666</v>
      </c>
      <c r="L48">
        <v>23</v>
      </c>
      <c r="M48">
        <v>19954.8</v>
      </c>
      <c r="N48">
        <v>18</v>
      </c>
      <c r="O48">
        <v>15616.800000000001</v>
      </c>
      <c r="P48">
        <v>18</v>
      </c>
      <c r="Q48">
        <v>15616.800000000001</v>
      </c>
      <c r="R48">
        <v>11</v>
      </c>
      <c r="S48">
        <v>9543.6</v>
      </c>
      <c r="T48">
        <v>12</v>
      </c>
      <c r="U48">
        <v>10411.200000000001</v>
      </c>
      <c r="V48">
        <v>20</v>
      </c>
      <c r="W48">
        <v>17352</v>
      </c>
      <c r="X48">
        <v>20</v>
      </c>
      <c r="Y48">
        <v>17352</v>
      </c>
      <c r="Z48">
        <v>14</v>
      </c>
      <c r="AA48">
        <v>12146.4</v>
      </c>
      <c r="AB48">
        <v>16</v>
      </c>
      <c r="AC48">
        <v>13881.6</v>
      </c>
      <c r="AD48">
        <v>13</v>
      </c>
      <c r="AE48">
        <v>11278.800000000001</v>
      </c>
      <c r="AF48">
        <v>13</v>
      </c>
      <c r="AG48">
        <v>11278.800000000001</v>
      </c>
      <c r="AH48">
        <v>20</v>
      </c>
      <c r="AI48">
        <v>17352</v>
      </c>
      <c r="AJ48">
        <v>17</v>
      </c>
      <c r="AK48">
        <v>14749.2</v>
      </c>
      <c r="AL48">
        <v>18</v>
      </c>
      <c r="AM48">
        <v>15616.800000000001</v>
      </c>
      <c r="AN48">
        <v>16</v>
      </c>
      <c r="AO48">
        <v>13881.6</v>
      </c>
      <c r="AP48">
        <v>20</v>
      </c>
      <c r="AQ48">
        <v>17352</v>
      </c>
      <c r="AR48">
        <v>13</v>
      </c>
      <c r="AS48">
        <v>11278.800000000001</v>
      </c>
      <c r="AT48">
        <v>16</v>
      </c>
      <c r="AU48">
        <v>13881.6</v>
      </c>
      <c r="AV48">
        <v>19</v>
      </c>
      <c r="AW48">
        <v>16484.400000000001</v>
      </c>
      <c r="AX48">
        <v>11</v>
      </c>
      <c r="AY48">
        <v>9543.6</v>
      </c>
      <c r="AZ48">
        <v>15</v>
      </c>
      <c r="BA48">
        <v>13014</v>
      </c>
      <c r="BB48">
        <v>12</v>
      </c>
      <c r="BC48">
        <v>10411.200000000001</v>
      </c>
      <c r="BD48">
        <v>12</v>
      </c>
      <c r="BE48">
        <v>10411.200000000001</v>
      </c>
      <c r="BF48">
        <v>17</v>
      </c>
      <c r="BG48">
        <v>14749.2</v>
      </c>
      <c r="BH48">
        <v>12</v>
      </c>
      <c r="BI48">
        <v>10411.200000000001</v>
      </c>
      <c r="BJ48">
        <v>14</v>
      </c>
      <c r="BK48">
        <v>12146.4</v>
      </c>
      <c r="BL48">
        <v>16</v>
      </c>
      <c r="BM48">
        <v>13881.6</v>
      </c>
      <c r="BN48">
        <v>12</v>
      </c>
      <c r="BO48">
        <v>10411.200000000001</v>
      </c>
      <c r="BP48">
        <v>15</v>
      </c>
      <c r="BQ48">
        <v>13014</v>
      </c>
      <c r="BR48">
        <v>14</v>
      </c>
      <c r="BS48">
        <v>12146.4</v>
      </c>
      <c r="BT48">
        <v>18</v>
      </c>
      <c r="BU48">
        <v>15616.800000000001</v>
      </c>
      <c r="BV48">
        <v>10</v>
      </c>
      <c r="BW48">
        <v>8676</v>
      </c>
      <c r="BX48">
        <v>17</v>
      </c>
      <c r="BY48">
        <v>14749.2</v>
      </c>
      <c r="BZ48">
        <v>12</v>
      </c>
      <c r="CA48">
        <v>10411.200000000001</v>
      </c>
      <c r="CB48">
        <v>20</v>
      </c>
      <c r="CC48">
        <v>17352</v>
      </c>
      <c r="CD48">
        <v>21</v>
      </c>
      <c r="CE48">
        <v>18219.600000000002</v>
      </c>
      <c r="CF48">
        <v>17</v>
      </c>
      <c r="CG48">
        <v>14749.2</v>
      </c>
      <c r="CH48">
        <v>12</v>
      </c>
      <c r="CI48">
        <v>10411.200000000001</v>
      </c>
      <c r="CJ48">
        <v>20</v>
      </c>
      <c r="CK48">
        <v>17352</v>
      </c>
      <c r="CL48">
        <v>17</v>
      </c>
      <c r="CM48">
        <v>14749.2</v>
      </c>
      <c r="CN48">
        <v>22</v>
      </c>
      <c r="CO48">
        <v>19087.2</v>
      </c>
      <c r="CP48">
        <v>23</v>
      </c>
      <c r="CQ48">
        <v>19954.8</v>
      </c>
      <c r="CR48">
        <v>11</v>
      </c>
      <c r="CS48">
        <v>9543.6</v>
      </c>
      <c r="CT48">
        <v>16</v>
      </c>
      <c r="CU48">
        <v>13881.6</v>
      </c>
    </row>
    <row r="49" spans="2:99" x14ac:dyDescent="0.2">
      <c r="B49" s="118" t="s">
        <v>129</v>
      </c>
      <c r="C49" s="118" t="s">
        <v>215</v>
      </c>
      <c r="D49">
        <v>11</v>
      </c>
      <c r="E49">
        <v>10837.199999999999</v>
      </c>
      <c r="F49">
        <v>12</v>
      </c>
      <c r="G49">
        <v>11822.4</v>
      </c>
      <c r="H49">
        <v>7</v>
      </c>
      <c r="I49">
        <v>6896.4</v>
      </c>
      <c r="J49">
        <v>10</v>
      </c>
      <c r="K49">
        <v>9852</v>
      </c>
      <c r="L49">
        <v>12</v>
      </c>
      <c r="M49">
        <v>11822.4</v>
      </c>
      <c r="N49">
        <v>9.8484397934691685</v>
      </c>
      <c r="O49">
        <v>9702.6828845258242</v>
      </c>
      <c r="P49">
        <v>8.3086755094227307</v>
      </c>
      <c r="Q49">
        <v>8185.7071118832737</v>
      </c>
      <c r="R49">
        <v>8.8675218369639648</v>
      </c>
      <c r="S49">
        <v>8736.2825137768978</v>
      </c>
      <c r="T49">
        <v>8.4082599118920882</v>
      </c>
      <c r="U49">
        <v>8283.8176651960839</v>
      </c>
      <c r="V49">
        <v>10.82308407592901</v>
      </c>
      <c r="W49">
        <v>10662.90243160526</v>
      </c>
      <c r="X49">
        <v>9.7663387838993732</v>
      </c>
      <c r="Y49">
        <v>9621.7969698976613</v>
      </c>
      <c r="Z49">
        <v>11.765064933591326</v>
      </c>
      <c r="AA49">
        <v>11590.941972574174</v>
      </c>
      <c r="AB49">
        <v>11.539334187488606</v>
      </c>
      <c r="AC49">
        <v>11368.552041513774</v>
      </c>
      <c r="AD49">
        <v>9.4941552074891682</v>
      </c>
      <c r="AE49">
        <v>9353.6417104183274</v>
      </c>
      <c r="AF49">
        <v>11.086348739178128</v>
      </c>
      <c r="AG49">
        <v>10922.27077783829</v>
      </c>
      <c r="AH49">
        <v>8.8009434446050285</v>
      </c>
      <c r="AI49">
        <v>8670.6894816248732</v>
      </c>
      <c r="AJ49">
        <v>9</v>
      </c>
      <c r="AK49">
        <v>8866.7999999999993</v>
      </c>
      <c r="AL49">
        <v>8.8283744662164025</v>
      </c>
      <c r="AM49">
        <v>8697.7145241163998</v>
      </c>
      <c r="AN49">
        <v>9.8982347919432936</v>
      </c>
      <c r="AO49">
        <v>9751.7409170225328</v>
      </c>
      <c r="AP49">
        <v>13.466507979466188</v>
      </c>
      <c r="AQ49">
        <v>13267.203661370088</v>
      </c>
      <c r="AR49">
        <v>12.318503708821305</v>
      </c>
      <c r="AS49">
        <v>12136.189853930749</v>
      </c>
      <c r="AT49">
        <v>11.822717125039041</v>
      </c>
      <c r="AU49">
        <v>11647.740911588462</v>
      </c>
      <c r="AV49">
        <v>9.6313264129645155</v>
      </c>
      <c r="AW49">
        <v>9488.78278205264</v>
      </c>
      <c r="AX49">
        <v>10.477604343903216</v>
      </c>
      <c r="AY49">
        <v>10322.535799613448</v>
      </c>
      <c r="AZ49">
        <v>12.374720917208856</v>
      </c>
      <c r="BA49">
        <v>12191.575047634164</v>
      </c>
      <c r="BB49">
        <v>11.826395600082863</v>
      </c>
      <c r="BC49">
        <v>11651.364945201636</v>
      </c>
      <c r="BD49">
        <v>9.5973759294670433</v>
      </c>
      <c r="BE49">
        <v>9455.3347657109298</v>
      </c>
      <c r="BF49">
        <v>14</v>
      </c>
      <c r="BG49">
        <v>13792.8</v>
      </c>
      <c r="BH49">
        <v>11.854705528739782</v>
      </c>
      <c r="BI49">
        <v>11679.255886914432</v>
      </c>
      <c r="BJ49">
        <v>12.606812021875024</v>
      </c>
      <c r="BK49">
        <v>12420.231203951273</v>
      </c>
      <c r="BL49">
        <v>16.644433195623368</v>
      </c>
      <c r="BM49">
        <v>16398.095584328141</v>
      </c>
      <c r="BN49">
        <v>8.82373737415584</v>
      </c>
      <c r="BO49">
        <v>8693.1460610183331</v>
      </c>
      <c r="BP49">
        <v>11.86000707540774</v>
      </c>
      <c r="BQ49">
        <v>11684.478970691705</v>
      </c>
      <c r="BR49">
        <v>9.858692452245462</v>
      </c>
      <c r="BS49">
        <v>9712.7838039522285</v>
      </c>
      <c r="BT49">
        <v>9.05416873837836</v>
      </c>
      <c r="BU49">
        <v>8920.1670410503593</v>
      </c>
      <c r="BV49">
        <v>11.738921465615302</v>
      </c>
      <c r="BW49">
        <v>11565.185427924194</v>
      </c>
      <c r="BX49">
        <v>10.216257880685546</v>
      </c>
      <c r="BY49">
        <v>10065.0572640514</v>
      </c>
      <c r="BZ49">
        <v>10.982372537203918</v>
      </c>
      <c r="CA49">
        <v>10819.833423653299</v>
      </c>
      <c r="CB49">
        <v>8.4770130687622363</v>
      </c>
      <c r="CC49">
        <v>8351.553275344555</v>
      </c>
      <c r="CD49">
        <v>11.680062456427923</v>
      </c>
      <c r="CE49">
        <v>11507.197532072789</v>
      </c>
      <c r="CF49">
        <v>13.881908972365574</v>
      </c>
      <c r="CG49">
        <v>13676.456719574562</v>
      </c>
      <c r="CH49">
        <v>10.679538336321533</v>
      </c>
      <c r="CI49">
        <v>10521.481168943974</v>
      </c>
      <c r="CJ49">
        <v>13.383567931211658</v>
      </c>
      <c r="CK49">
        <v>13185.491125829725</v>
      </c>
      <c r="CL49">
        <v>14.866161857107075</v>
      </c>
      <c r="CM49">
        <v>14646.142661621889</v>
      </c>
      <c r="CN49">
        <v>12.845964585293144</v>
      </c>
      <c r="CO49">
        <v>12655.844309430804</v>
      </c>
      <c r="CP49">
        <v>13.640010375121307</v>
      </c>
      <c r="CQ49">
        <v>13438.13822156951</v>
      </c>
      <c r="CR49">
        <v>13.185974394145408</v>
      </c>
      <c r="CS49">
        <v>12990.821973112055</v>
      </c>
      <c r="CT49">
        <v>11.979336676059459</v>
      </c>
      <c r="CU49">
        <v>11802.042493253779</v>
      </c>
    </row>
    <row r="50" spans="2:99" x14ac:dyDescent="0.2">
      <c r="C50" s="118" t="s">
        <v>216</v>
      </c>
      <c r="D50">
        <v>5.590747386066699</v>
      </c>
      <c r="E50">
        <v>1576.5907628708092</v>
      </c>
      <c r="F50">
        <v>12</v>
      </c>
      <c r="G50">
        <v>3384</v>
      </c>
      <c r="H50">
        <v>8</v>
      </c>
      <c r="I50">
        <v>2256</v>
      </c>
      <c r="J50">
        <v>14.038202280347399</v>
      </c>
      <c r="K50">
        <v>3958.7730430579663</v>
      </c>
      <c r="L50">
        <v>12</v>
      </c>
      <c r="M50">
        <v>3384</v>
      </c>
      <c r="N50">
        <v>10</v>
      </c>
      <c r="O50">
        <v>2820</v>
      </c>
      <c r="P50">
        <v>8</v>
      </c>
      <c r="Q50">
        <v>2256</v>
      </c>
      <c r="R50">
        <v>8</v>
      </c>
      <c r="S50">
        <v>2256</v>
      </c>
      <c r="T50">
        <v>8</v>
      </c>
      <c r="U50">
        <v>2256</v>
      </c>
      <c r="V50">
        <v>10</v>
      </c>
      <c r="W50">
        <v>2820</v>
      </c>
      <c r="X50">
        <v>10</v>
      </c>
      <c r="Y50">
        <v>2820</v>
      </c>
      <c r="Z50">
        <v>10</v>
      </c>
      <c r="AA50">
        <v>2820</v>
      </c>
      <c r="AB50">
        <v>12</v>
      </c>
      <c r="AC50">
        <v>3384</v>
      </c>
      <c r="AD50">
        <v>10</v>
      </c>
      <c r="AE50">
        <v>2820</v>
      </c>
      <c r="AF50">
        <v>10</v>
      </c>
      <c r="AG50">
        <v>2820</v>
      </c>
      <c r="AH50">
        <v>8</v>
      </c>
      <c r="AI50">
        <v>2256</v>
      </c>
      <c r="AJ50">
        <v>10</v>
      </c>
      <c r="AK50">
        <v>2820</v>
      </c>
      <c r="AL50">
        <v>8</v>
      </c>
      <c r="AM50">
        <v>2256</v>
      </c>
      <c r="AN50">
        <v>9</v>
      </c>
      <c r="AO50">
        <v>2538</v>
      </c>
      <c r="AP50">
        <v>13</v>
      </c>
      <c r="AQ50">
        <v>3666</v>
      </c>
      <c r="AR50">
        <v>13</v>
      </c>
      <c r="AS50">
        <v>3666</v>
      </c>
      <c r="AT50">
        <v>12</v>
      </c>
      <c r="AU50">
        <v>3384</v>
      </c>
      <c r="AV50">
        <v>9</v>
      </c>
      <c r="AW50">
        <v>2538</v>
      </c>
      <c r="AX50">
        <v>10</v>
      </c>
      <c r="AY50">
        <v>2820</v>
      </c>
      <c r="AZ50">
        <v>11</v>
      </c>
      <c r="BA50">
        <v>3102</v>
      </c>
      <c r="BB50">
        <v>13</v>
      </c>
      <c r="BC50">
        <v>3666</v>
      </c>
      <c r="BD50">
        <v>11</v>
      </c>
      <c r="BE50">
        <v>3102</v>
      </c>
      <c r="BF50">
        <v>16</v>
      </c>
      <c r="BG50">
        <v>4512</v>
      </c>
      <c r="BH50">
        <v>13</v>
      </c>
      <c r="BI50">
        <v>3666</v>
      </c>
      <c r="BJ50">
        <v>13</v>
      </c>
      <c r="BK50">
        <v>3666</v>
      </c>
      <c r="BL50">
        <v>15</v>
      </c>
      <c r="BM50">
        <v>4230</v>
      </c>
      <c r="BN50">
        <v>8</v>
      </c>
      <c r="BO50">
        <v>2256</v>
      </c>
      <c r="BP50">
        <v>11</v>
      </c>
      <c r="BQ50">
        <v>3102</v>
      </c>
      <c r="BR50">
        <v>10</v>
      </c>
      <c r="BS50">
        <v>2820</v>
      </c>
      <c r="BT50">
        <v>8</v>
      </c>
      <c r="BU50">
        <v>2256</v>
      </c>
      <c r="BV50">
        <v>13</v>
      </c>
      <c r="BW50">
        <v>3666</v>
      </c>
      <c r="BX50">
        <v>12</v>
      </c>
      <c r="BY50">
        <v>3384</v>
      </c>
      <c r="BZ50">
        <v>11</v>
      </c>
      <c r="CA50">
        <v>3102</v>
      </c>
      <c r="CB50">
        <v>7</v>
      </c>
      <c r="CC50">
        <v>1974</v>
      </c>
      <c r="CD50">
        <v>12</v>
      </c>
      <c r="CE50">
        <v>3384</v>
      </c>
      <c r="CF50">
        <v>12</v>
      </c>
      <c r="CG50">
        <v>3384</v>
      </c>
      <c r="CH50">
        <v>10</v>
      </c>
      <c r="CI50">
        <v>2820</v>
      </c>
      <c r="CJ50">
        <v>12</v>
      </c>
      <c r="CK50">
        <v>3384</v>
      </c>
      <c r="CL50">
        <v>14</v>
      </c>
      <c r="CM50">
        <v>3948</v>
      </c>
      <c r="CN50">
        <v>13</v>
      </c>
      <c r="CO50">
        <v>3666</v>
      </c>
      <c r="CP50">
        <v>12</v>
      </c>
      <c r="CQ50">
        <v>3384</v>
      </c>
      <c r="CR50">
        <v>13</v>
      </c>
      <c r="CS50">
        <v>3666</v>
      </c>
      <c r="CT50">
        <v>12</v>
      </c>
      <c r="CU50">
        <v>3384</v>
      </c>
    </row>
    <row r="51" spans="2:99" x14ac:dyDescent="0.2">
      <c r="C51" s="118" t="s">
        <v>217</v>
      </c>
      <c r="D51">
        <v>5.590747386066699</v>
      </c>
      <c r="E51">
        <v>4776.7345666553874</v>
      </c>
      <c r="F51">
        <v>12</v>
      </c>
      <c r="G51">
        <v>10252.799999999999</v>
      </c>
      <c r="H51">
        <v>8</v>
      </c>
      <c r="I51">
        <v>6835.2</v>
      </c>
      <c r="J51">
        <v>12.994943851999592</v>
      </c>
      <c r="K51">
        <v>11102.880027148451</v>
      </c>
      <c r="L51">
        <v>12</v>
      </c>
      <c r="M51">
        <v>10252.799999999999</v>
      </c>
      <c r="N51">
        <v>9</v>
      </c>
      <c r="O51">
        <v>7689.5999999999995</v>
      </c>
      <c r="P51">
        <v>9</v>
      </c>
      <c r="Q51">
        <v>7689.5999999999995</v>
      </c>
      <c r="R51">
        <v>7</v>
      </c>
      <c r="S51">
        <v>5980.8</v>
      </c>
      <c r="T51">
        <v>9</v>
      </c>
      <c r="U51">
        <v>7689.5999999999995</v>
      </c>
      <c r="V51">
        <v>10</v>
      </c>
      <c r="W51">
        <v>8544</v>
      </c>
      <c r="X51">
        <v>11</v>
      </c>
      <c r="Y51">
        <v>9398.4</v>
      </c>
      <c r="Z51">
        <v>10</v>
      </c>
      <c r="AA51">
        <v>8544</v>
      </c>
      <c r="AB51">
        <v>11</v>
      </c>
      <c r="AC51">
        <v>9398.4</v>
      </c>
      <c r="AD51">
        <v>8</v>
      </c>
      <c r="AE51">
        <v>6835.2</v>
      </c>
      <c r="AF51">
        <v>9</v>
      </c>
      <c r="AG51">
        <v>7689.5999999999995</v>
      </c>
      <c r="AH51">
        <v>9</v>
      </c>
      <c r="AI51">
        <v>7689.5999999999995</v>
      </c>
      <c r="AJ51">
        <v>9</v>
      </c>
      <c r="AK51">
        <v>7689.5999999999995</v>
      </c>
      <c r="AL51">
        <v>8</v>
      </c>
      <c r="AM51">
        <v>6835.2</v>
      </c>
      <c r="AN51">
        <v>9</v>
      </c>
      <c r="AO51">
        <v>7689.5999999999995</v>
      </c>
      <c r="AP51">
        <v>12</v>
      </c>
      <c r="AQ51">
        <v>10252.799999999999</v>
      </c>
      <c r="AR51">
        <v>12</v>
      </c>
      <c r="AS51">
        <v>10252.799999999999</v>
      </c>
      <c r="AT51">
        <v>12</v>
      </c>
      <c r="AU51">
        <v>10252.799999999999</v>
      </c>
      <c r="AV51">
        <v>9</v>
      </c>
      <c r="AW51">
        <v>7689.5999999999995</v>
      </c>
      <c r="AX51">
        <v>10</v>
      </c>
      <c r="AY51">
        <v>8544</v>
      </c>
      <c r="AZ51">
        <v>13</v>
      </c>
      <c r="BA51">
        <v>11107.199999999999</v>
      </c>
      <c r="BB51">
        <v>12</v>
      </c>
      <c r="BC51">
        <v>10252.799999999999</v>
      </c>
      <c r="BD51">
        <v>10</v>
      </c>
      <c r="BE51">
        <v>8544</v>
      </c>
      <c r="BF51">
        <v>15</v>
      </c>
      <c r="BG51">
        <v>12816</v>
      </c>
      <c r="BH51">
        <v>12</v>
      </c>
      <c r="BI51">
        <v>10252.799999999999</v>
      </c>
      <c r="BJ51">
        <v>12</v>
      </c>
      <c r="BK51">
        <v>10252.799999999999</v>
      </c>
      <c r="BL51">
        <v>16</v>
      </c>
      <c r="BM51">
        <v>13670.4</v>
      </c>
      <c r="BN51">
        <v>9</v>
      </c>
      <c r="BO51">
        <v>7689.5999999999995</v>
      </c>
      <c r="BP51">
        <v>11</v>
      </c>
      <c r="BQ51">
        <v>9398.4</v>
      </c>
      <c r="BR51">
        <v>9</v>
      </c>
      <c r="BS51">
        <v>7689.5999999999995</v>
      </c>
      <c r="BT51">
        <v>8</v>
      </c>
      <c r="BU51">
        <v>6835.2</v>
      </c>
      <c r="BV51">
        <v>12</v>
      </c>
      <c r="BW51">
        <v>10252.799999999999</v>
      </c>
      <c r="BX51">
        <v>11</v>
      </c>
      <c r="BY51">
        <v>9398.4</v>
      </c>
      <c r="BZ51">
        <v>10</v>
      </c>
      <c r="CA51">
        <v>8544</v>
      </c>
      <c r="CB51">
        <v>7</v>
      </c>
      <c r="CC51">
        <v>5980.8</v>
      </c>
      <c r="CD51">
        <v>11</v>
      </c>
      <c r="CE51">
        <v>9398.4</v>
      </c>
      <c r="CF51">
        <v>13</v>
      </c>
      <c r="CG51">
        <v>11107.199999999999</v>
      </c>
      <c r="CH51">
        <v>9</v>
      </c>
      <c r="CI51">
        <v>7689.5999999999995</v>
      </c>
      <c r="CJ51">
        <v>12</v>
      </c>
      <c r="CK51">
        <v>10252.799999999999</v>
      </c>
      <c r="CL51">
        <v>14</v>
      </c>
      <c r="CM51">
        <v>11961.6</v>
      </c>
      <c r="CN51">
        <v>13</v>
      </c>
      <c r="CO51">
        <v>11107.199999999999</v>
      </c>
      <c r="CP51">
        <v>12</v>
      </c>
      <c r="CQ51">
        <v>10252.799999999999</v>
      </c>
      <c r="CR51">
        <v>13</v>
      </c>
      <c r="CS51">
        <v>11107.199999999999</v>
      </c>
      <c r="CT51">
        <v>10</v>
      </c>
      <c r="CU51">
        <v>8544</v>
      </c>
    </row>
    <row r="52" spans="2:99" x14ac:dyDescent="0.2">
      <c r="C52" s="118" t="s">
        <v>218</v>
      </c>
      <c r="D52">
        <v>6.098997148436399</v>
      </c>
      <c r="E52">
        <v>3293.4584601556553</v>
      </c>
      <c r="F52">
        <v>12</v>
      </c>
      <c r="G52">
        <v>6480</v>
      </c>
      <c r="H52">
        <v>8</v>
      </c>
      <c r="I52">
        <v>4320</v>
      </c>
      <c r="J52">
        <v>11.081460708695207</v>
      </c>
      <c r="K52">
        <v>5983.9887826954118</v>
      </c>
      <c r="L52">
        <v>11</v>
      </c>
      <c r="M52">
        <v>5940</v>
      </c>
      <c r="N52">
        <v>10</v>
      </c>
      <c r="O52">
        <v>5400</v>
      </c>
      <c r="P52">
        <v>9</v>
      </c>
      <c r="Q52">
        <v>4860</v>
      </c>
      <c r="R52">
        <v>8</v>
      </c>
      <c r="S52">
        <v>4320</v>
      </c>
      <c r="T52">
        <v>9</v>
      </c>
      <c r="U52">
        <v>4860</v>
      </c>
      <c r="V52">
        <v>10</v>
      </c>
      <c r="W52">
        <v>5400</v>
      </c>
      <c r="X52">
        <v>9</v>
      </c>
      <c r="Y52">
        <v>4860</v>
      </c>
      <c r="Z52">
        <v>10</v>
      </c>
      <c r="AA52">
        <v>5400</v>
      </c>
      <c r="AB52">
        <v>11</v>
      </c>
      <c r="AC52">
        <v>5940</v>
      </c>
      <c r="AD52">
        <v>10</v>
      </c>
      <c r="AE52">
        <v>5400</v>
      </c>
      <c r="AF52">
        <v>9</v>
      </c>
      <c r="AG52">
        <v>4860</v>
      </c>
      <c r="AH52">
        <v>9</v>
      </c>
      <c r="AI52">
        <v>4860</v>
      </c>
      <c r="AJ52">
        <v>9</v>
      </c>
      <c r="AK52">
        <v>4860</v>
      </c>
      <c r="AL52">
        <v>9</v>
      </c>
      <c r="AM52">
        <v>4860</v>
      </c>
      <c r="AN52">
        <v>9</v>
      </c>
      <c r="AO52">
        <v>4860</v>
      </c>
      <c r="AP52">
        <v>13</v>
      </c>
      <c r="AQ52">
        <v>7020</v>
      </c>
      <c r="AR52">
        <v>13</v>
      </c>
      <c r="AS52">
        <v>7020</v>
      </c>
      <c r="AT52">
        <v>12</v>
      </c>
      <c r="AU52">
        <v>6480</v>
      </c>
      <c r="AV52">
        <v>11</v>
      </c>
      <c r="AW52">
        <v>5940</v>
      </c>
      <c r="AX52">
        <v>11</v>
      </c>
      <c r="AY52">
        <v>5940</v>
      </c>
      <c r="AZ52">
        <v>12</v>
      </c>
      <c r="BA52">
        <v>6480</v>
      </c>
      <c r="BB52">
        <v>12</v>
      </c>
      <c r="BC52">
        <v>6480</v>
      </c>
      <c r="BD52">
        <v>10</v>
      </c>
      <c r="BE52">
        <v>5400</v>
      </c>
      <c r="BF52">
        <v>15</v>
      </c>
      <c r="BG52">
        <v>8100</v>
      </c>
      <c r="BH52">
        <v>12</v>
      </c>
      <c r="BI52">
        <v>6480</v>
      </c>
      <c r="BJ52">
        <v>12</v>
      </c>
      <c r="BK52">
        <v>6480</v>
      </c>
      <c r="BL52">
        <v>17</v>
      </c>
      <c r="BM52">
        <v>9180</v>
      </c>
      <c r="BN52">
        <v>8</v>
      </c>
      <c r="BO52">
        <v>4320</v>
      </c>
      <c r="BP52">
        <v>11</v>
      </c>
      <c r="BQ52">
        <v>5940</v>
      </c>
      <c r="BR52">
        <v>9</v>
      </c>
      <c r="BS52">
        <v>4860</v>
      </c>
      <c r="BT52">
        <v>9</v>
      </c>
      <c r="BU52">
        <v>4860</v>
      </c>
      <c r="BV52">
        <v>13</v>
      </c>
      <c r="BW52">
        <v>7020</v>
      </c>
      <c r="BX52">
        <v>11</v>
      </c>
      <c r="BY52">
        <v>5940</v>
      </c>
      <c r="BZ52">
        <v>10</v>
      </c>
      <c r="CA52">
        <v>5400</v>
      </c>
      <c r="CB52">
        <v>8</v>
      </c>
      <c r="CC52">
        <v>4320</v>
      </c>
      <c r="CD52">
        <v>11</v>
      </c>
      <c r="CE52">
        <v>5940</v>
      </c>
      <c r="CF52">
        <v>14</v>
      </c>
      <c r="CG52">
        <v>7560</v>
      </c>
      <c r="CH52">
        <v>10</v>
      </c>
      <c r="CI52">
        <v>5400</v>
      </c>
      <c r="CJ52">
        <v>13</v>
      </c>
      <c r="CK52">
        <v>7020</v>
      </c>
      <c r="CL52">
        <v>13</v>
      </c>
      <c r="CM52">
        <v>7020</v>
      </c>
      <c r="CN52">
        <v>12</v>
      </c>
      <c r="CO52">
        <v>6480</v>
      </c>
      <c r="CP52">
        <v>12</v>
      </c>
      <c r="CQ52">
        <v>6480</v>
      </c>
      <c r="CR52">
        <v>13</v>
      </c>
      <c r="CS52">
        <v>7020</v>
      </c>
      <c r="CT52">
        <v>12</v>
      </c>
      <c r="CU52">
        <v>6480</v>
      </c>
    </row>
    <row r="53" spans="2:99" x14ac:dyDescent="0.2">
      <c r="C53" s="118" t="s">
        <v>219</v>
      </c>
      <c r="D53">
        <v>5.590747386066699</v>
      </c>
      <c r="E53">
        <v>2274.3160366519332</v>
      </c>
      <c r="F53">
        <v>13</v>
      </c>
      <c r="G53">
        <v>5288.4000000000005</v>
      </c>
      <c r="H53">
        <v>7</v>
      </c>
      <c r="I53">
        <v>2847.6</v>
      </c>
      <c r="J53">
        <v>13.167977565390824</v>
      </c>
      <c r="K53">
        <v>5356.7332736009876</v>
      </c>
      <c r="L53">
        <v>11</v>
      </c>
      <c r="M53">
        <v>4474.8</v>
      </c>
      <c r="N53">
        <v>10</v>
      </c>
      <c r="O53">
        <v>4068</v>
      </c>
      <c r="P53">
        <v>9</v>
      </c>
      <c r="Q53">
        <v>3661.2000000000003</v>
      </c>
      <c r="R53">
        <v>9</v>
      </c>
      <c r="S53">
        <v>3661.2000000000003</v>
      </c>
      <c r="T53">
        <v>8</v>
      </c>
      <c r="U53">
        <v>3254.4</v>
      </c>
      <c r="V53">
        <v>11</v>
      </c>
      <c r="W53">
        <v>4474.8</v>
      </c>
      <c r="X53">
        <v>10</v>
      </c>
      <c r="Y53">
        <v>4068</v>
      </c>
      <c r="Z53">
        <v>11</v>
      </c>
      <c r="AA53">
        <v>4474.8</v>
      </c>
      <c r="AB53">
        <v>12</v>
      </c>
      <c r="AC53">
        <v>4881.6000000000004</v>
      </c>
      <c r="AD53">
        <v>10</v>
      </c>
      <c r="AE53">
        <v>4068</v>
      </c>
      <c r="AF53">
        <v>10</v>
      </c>
      <c r="AG53">
        <v>4068</v>
      </c>
      <c r="AH53">
        <v>9</v>
      </c>
      <c r="AI53">
        <v>3661.2000000000003</v>
      </c>
      <c r="AJ53">
        <v>9</v>
      </c>
      <c r="AK53">
        <v>3661.2000000000003</v>
      </c>
      <c r="AL53">
        <v>8</v>
      </c>
      <c r="AM53">
        <v>3254.4</v>
      </c>
      <c r="AN53">
        <v>8</v>
      </c>
      <c r="AO53">
        <v>3254.4</v>
      </c>
      <c r="AP53">
        <v>14</v>
      </c>
      <c r="AQ53">
        <v>5695.2</v>
      </c>
      <c r="AR53">
        <v>12</v>
      </c>
      <c r="AS53">
        <v>4881.6000000000004</v>
      </c>
      <c r="AT53">
        <v>12</v>
      </c>
      <c r="AU53">
        <v>4881.6000000000004</v>
      </c>
      <c r="AV53">
        <v>10</v>
      </c>
      <c r="AW53">
        <v>4068</v>
      </c>
      <c r="AX53">
        <v>10</v>
      </c>
      <c r="AY53">
        <v>4068</v>
      </c>
      <c r="AZ53">
        <v>12</v>
      </c>
      <c r="BA53">
        <v>4881.6000000000004</v>
      </c>
      <c r="BB53">
        <v>13</v>
      </c>
      <c r="BC53">
        <v>5288.4000000000005</v>
      </c>
      <c r="BD53">
        <v>11</v>
      </c>
      <c r="BE53">
        <v>4474.8</v>
      </c>
      <c r="BF53">
        <v>15</v>
      </c>
      <c r="BG53">
        <v>6102</v>
      </c>
      <c r="BH53">
        <v>13</v>
      </c>
      <c r="BI53">
        <v>5288.4000000000005</v>
      </c>
      <c r="BJ53">
        <v>13</v>
      </c>
      <c r="BK53">
        <v>5288.4000000000005</v>
      </c>
      <c r="BL53">
        <v>16</v>
      </c>
      <c r="BM53">
        <v>6508.8</v>
      </c>
      <c r="BN53">
        <v>8</v>
      </c>
      <c r="BO53">
        <v>3254.4</v>
      </c>
      <c r="BP53">
        <v>11</v>
      </c>
      <c r="BQ53">
        <v>4474.8</v>
      </c>
      <c r="BR53">
        <v>9</v>
      </c>
      <c r="BS53">
        <v>3661.2000000000003</v>
      </c>
      <c r="BT53">
        <v>9</v>
      </c>
      <c r="BU53">
        <v>3661.2000000000003</v>
      </c>
      <c r="BV53">
        <v>12</v>
      </c>
      <c r="BW53">
        <v>4881.6000000000004</v>
      </c>
      <c r="BX53">
        <v>11</v>
      </c>
      <c r="BY53">
        <v>4474.8</v>
      </c>
      <c r="BZ53">
        <v>12</v>
      </c>
      <c r="CA53">
        <v>4881.6000000000004</v>
      </c>
      <c r="CB53">
        <v>8</v>
      </c>
      <c r="CC53">
        <v>3254.4</v>
      </c>
      <c r="CD53">
        <v>11</v>
      </c>
      <c r="CE53">
        <v>4474.8</v>
      </c>
      <c r="CF53">
        <v>13</v>
      </c>
      <c r="CG53">
        <v>5288.4000000000005</v>
      </c>
      <c r="CH53">
        <v>10</v>
      </c>
      <c r="CI53">
        <v>4068</v>
      </c>
      <c r="CJ53">
        <v>12</v>
      </c>
      <c r="CK53">
        <v>4881.6000000000004</v>
      </c>
      <c r="CL53">
        <v>15</v>
      </c>
      <c r="CM53">
        <v>6102</v>
      </c>
      <c r="CN53">
        <v>15</v>
      </c>
      <c r="CO53">
        <v>6102</v>
      </c>
      <c r="CP53">
        <v>11</v>
      </c>
      <c r="CQ53">
        <v>4474.8</v>
      </c>
      <c r="CR53">
        <v>13</v>
      </c>
      <c r="CS53">
        <v>5288.4000000000005</v>
      </c>
      <c r="CT53">
        <v>12</v>
      </c>
      <c r="CU53">
        <v>4881.6000000000004</v>
      </c>
    </row>
    <row r="54" spans="2:99" x14ac:dyDescent="0.2">
      <c r="C54" s="118" t="s">
        <v>220</v>
      </c>
      <c r="D54">
        <v>6.6072469108060998</v>
      </c>
      <c r="E54">
        <v>2212.1062657378825</v>
      </c>
      <c r="F54">
        <v>13.054457929536389</v>
      </c>
      <c r="G54">
        <v>4370.6325148087826</v>
      </c>
      <c r="H54">
        <v>8</v>
      </c>
      <c r="I54">
        <v>2678.4</v>
      </c>
      <c r="J54">
        <v>12.994943851999592</v>
      </c>
      <c r="K54">
        <v>4350.707201649464</v>
      </c>
      <c r="L54">
        <v>11</v>
      </c>
      <c r="M54">
        <v>3682.8</v>
      </c>
      <c r="N54">
        <v>10</v>
      </c>
      <c r="O54">
        <v>3348</v>
      </c>
      <c r="P54">
        <v>9</v>
      </c>
      <c r="Q54">
        <v>3013.2000000000003</v>
      </c>
      <c r="R54">
        <v>8</v>
      </c>
      <c r="S54">
        <v>2678.4</v>
      </c>
      <c r="T54">
        <v>8</v>
      </c>
      <c r="U54">
        <v>2678.4</v>
      </c>
      <c r="V54">
        <v>11</v>
      </c>
      <c r="W54">
        <v>3682.8</v>
      </c>
      <c r="X54">
        <v>11</v>
      </c>
      <c r="Y54">
        <v>3682.8</v>
      </c>
      <c r="Z54">
        <v>11</v>
      </c>
      <c r="AA54">
        <v>3682.8</v>
      </c>
      <c r="AB54">
        <v>13</v>
      </c>
      <c r="AC54">
        <v>4352.4000000000005</v>
      </c>
      <c r="AD54">
        <v>10</v>
      </c>
      <c r="AE54">
        <v>3348</v>
      </c>
      <c r="AF54">
        <v>9</v>
      </c>
      <c r="AG54">
        <v>3013.2000000000003</v>
      </c>
      <c r="AH54">
        <v>10</v>
      </c>
      <c r="AI54">
        <v>3348</v>
      </c>
      <c r="AJ54">
        <v>11</v>
      </c>
      <c r="AK54">
        <v>3682.8</v>
      </c>
      <c r="AL54">
        <v>8</v>
      </c>
      <c r="AM54">
        <v>2678.4</v>
      </c>
      <c r="AN54">
        <v>9</v>
      </c>
      <c r="AO54">
        <v>3013.2000000000003</v>
      </c>
      <c r="AP54">
        <v>14</v>
      </c>
      <c r="AQ54">
        <v>4687.2</v>
      </c>
      <c r="AR54">
        <v>13</v>
      </c>
      <c r="AS54">
        <v>4352.4000000000005</v>
      </c>
      <c r="AT54">
        <v>12</v>
      </c>
      <c r="AU54">
        <v>4017.6000000000004</v>
      </c>
      <c r="AV54">
        <v>11</v>
      </c>
      <c r="AW54">
        <v>3682.8</v>
      </c>
      <c r="AX54">
        <v>11</v>
      </c>
      <c r="AY54">
        <v>3682.8</v>
      </c>
      <c r="AZ54">
        <v>12</v>
      </c>
      <c r="BA54">
        <v>4017.6000000000004</v>
      </c>
      <c r="BB54">
        <v>14</v>
      </c>
      <c r="BC54">
        <v>4687.2</v>
      </c>
      <c r="BD54">
        <v>10</v>
      </c>
      <c r="BE54">
        <v>3348</v>
      </c>
      <c r="BF54">
        <v>14</v>
      </c>
      <c r="BG54">
        <v>4687.2</v>
      </c>
      <c r="BH54">
        <v>11</v>
      </c>
      <c r="BI54">
        <v>3682.8</v>
      </c>
      <c r="BJ54">
        <v>11</v>
      </c>
      <c r="BK54">
        <v>3682.8</v>
      </c>
      <c r="BL54">
        <v>14</v>
      </c>
      <c r="BM54">
        <v>4687.2</v>
      </c>
      <c r="BN54">
        <v>9</v>
      </c>
      <c r="BO54">
        <v>3013.2000000000003</v>
      </c>
      <c r="BP54">
        <v>10</v>
      </c>
      <c r="BQ54">
        <v>3348</v>
      </c>
      <c r="BR54">
        <v>9</v>
      </c>
      <c r="BS54">
        <v>3013.2000000000003</v>
      </c>
      <c r="BT54">
        <v>10</v>
      </c>
      <c r="BU54">
        <v>3348</v>
      </c>
      <c r="BV54">
        <v>13</v>
      </c>
      <c r="BW54">
        <v>4352.4000000000005</v>
      </c>
      <c r="BX54">
        <v>12</v>
      </c>
      <c r="BY54">
        <v>4017.6000000000004</v>
      </c>
      <c r="BZ54">
        <v>10</v>
      </c>
      <c r="CA54">
        <v>3348</v>
      </c>
      <c r="CB54">
        <v>7</v>
      </c>
      <c r="CC54">
        <v>2343.6</v>
      </c>
      <c r="CD54">
        <v>10</v>
      </c>
      <c r="CE54">
        <v>3348</v>
      </c>
      <c r="CF54">
        <v>13</v>
      </c>
      <c r="CG54">
        <v>4352.4000000000005</v>
      </c>
      <c r="CH54">
        <v>10</v>
      </c>
      <c r="CI54">
        <v>3348</v>
      </c>
      <c r="CJ54">
        <v>13</v>
      </c>
      <c r="CK54">
        <v>4352.4000000000005</v>
      </c>
      <c r="CL54">
        <v>14</v>
      </c>
      <c r="CM54">
        <v>4687.2</v>
      </c>
      <c r="CN54">
        <v>14</v>
      </c>
      <c r="CO54">
        <v>4687.2</v>
      </c>
      <c r="CP54">
        <v>12</v>
      </c>
      <c r="CQ54">
        <v>4017.6000000000004</v>
      </c>
      <c r="CR54">
        <v>13</v>
      </c>
      <c r="CS54">
        <v>4352.4000000000005</v>
      </c>
      <c r="CT54">
        <v>12</v>
      </c>
      <c r="CU54">
        <v>4017.6000000000004</v>
      </c>
    </row>
    <row r="55" spans="2:99" x14ac:dyDescent="0.2">
      <c r="C55" s="118" t="s">
        <v>221</v>
      </c>
      <c r="D55">
        <v>5.590747386066699</v>
      </c>
      <c r="E55">
        <v>3710.0199653938616</v>
      </c>
      <c r="F55">
        <v>12</v>
      </c>
      <c r="G55">
        <v>7963.2000000000007</v>
      </c>
      <c r="H55">
        <v>7</v>
      </c>
      <c r="I55">
        <v>4645.2</v>
      </c>
      <c r="J55">
        <v>12.081460708695207</v>
      </c>
      <c r="K55">
        <v>8017.2573262901396</v>
      </c>
      <c r="L55">
        <v>11</v>
      </c>
      <c r="M55">
        <v>7299.6</v>
      </c>
      <c r="N55">
        <v>9</v>
      </c>
      <c r="O55">
        <v>5972.4000000000005</v>
      </c>
      <c r="P55">
        <v>8</v>
      </c>
      <c r="Q55">
        <v>5308.8</v>
      </c>
      <c r="R55">
        <v>8</v>
      </c>
      <c r="S55">
        <v>5308.8</v>
      </c>
      <c r="T55">
        <v>8</v>
      </c>
      <c r="U55">
        <v>5308.8</v>
      </c>
      <c r="V55">
        <v>10</v>
      </c>
      <c r="W55">
        <v>6636</v>
      </c>
      <c r="X55">
        <v>9</v>
      </c>
      <c r="Y55">
        <v>5972.4000000000005</v>
      </c>
      <c r="Z55">
        <v>11</v>
      </c>
      <c r="AA55">
        <v>7299.6</v>
      </c>
      <c r="AB55">
        <v>11</v>
      </c>
      <c r="AC55">
        <v>7299.6</v>
      </c>
      <c r="AD55">
        <v>8</v>
      </c>
      <c r="AE55">
        <v>5308.8</v>
      </c>
      <c r="AF55">
        <v>9</v>
      </c>
      <c r="AG55">
        <v>5972.4000000000005</v>
      </c>
      <c r="AH55">
        <v>8</v>
      </c>
      <c r="AI55">
        <v>5308.8</v>
      </c>
      <c r="AJ55">
        <v>9</v>
      </c>
      <c r="AK55">
        <v>5972.4000000000005</v>
      </c>
      <c r="AL55">
        <v>7</v>
      </c>
      <c r="AM55">
        <v>4645.2</v>
      </c>
      <c r="AN55">
        <v>9</v>
      </c>
      <c r="AO55">
        <v>5972.4000000000005</v>
      </c>
      <c r="AP55">
        <v>12</v>
      </c>
      <c r="AQ55">
        <v>7963.2000000000007</v>
      </c>
      <c r="AR55">
        <v>12</v>
      </c>
      <c r="AS55">
        <v>7963.2000000000007</v>
      </c>
      <c r="AT55">
        <v>12</v>
      </c>
      <c r="AU55">
        <v>7963.2000000000007</v>
      </c>
      <c r="AV55">
        <v>9</v>
      </c>
      <c r="AW55">
        <v>5972.4000000000005</v>
      </c>
      <c r="AX55">
        <v>10</v>
      </c>
      <c r="AY55">
        <v>6636</v>
      </c>
      <c r="AZ55">
        <v>12</v>
      </c>
      <c r="BA55">
        <v>7963.2000000000007</v>
      </c>
      <c r="BB55">
        <v>13</v>
      </c>
      <c r="BC55">
        <v>8626.8000000000011</v>
      </c>
      <c r="BD55">
        <v>9</v>
      </c>
      <c r="BE55">
        <v>5972.4000000000005</v>
      </c>
      <c r="BF55">
        <v>14</v>
      </c>
      <c r="BG55">
        <v>9290.4</v>
      </c>
      <c r="BH55">
        <v>12</v>
      </c>
      <c r="BI55">
        <v>7963.2000000000007</v>
      </c>
      <c r="BJ55">
        <v>11</v>
      </c>
      <c r="BK55">
        <v>7299.6</v>
      </c>
      <c r="BL55">
        <v>14</v>
      </c>
      <c r="BM55">
        <v>9290.4</v>
      </c>
      <c r="BN55">
        <v>8</v>
      </c>
      <c r="BO55">
        <v>5308.8</v>
      </c>
      <c r="BP55">
        <v>10</v>
      </c>
      <c r="BQ55">
        <v>6636</v>
      </c>
      <c r="BR55">
        <v>9</v>
      </c>
      <c r="BS55">
        <v>5972.4000000000005</v>
      </c>
      <c r="BT55">
        <v>9</v>
      </c>
      <c r="BU55">
        <v>5972.4000000000005</v>
      </c>
      <c r="BV55">
        <v>13</v>
      </c>
      <c r="BW55">
        <v>8626.8000000000011</v>
      </c>
      <c r="BX55">
        <v>10</v>
      </c>
      <c r="BY55">
        <v>6636</v>
      </c>
      <c r="BZ55">
        <v>11</v>
      </c>
      <c r="CA55">
        <v>7299.6</v>
      </c>
      <c r="CB55">
        <v>8</v>
      </c>
      <c r="CC55">
        <v>5308.8</v>
      </c>
      <c r="CD55">
        <v>11</v>
      </c>
      <c r="CE55">
        <v>7299.6</v>
      </c>
      <c r="CF55">
        <v>14</v>
      </c>
      <c r="CG55">
        <v>9290.4</v>
      </c>
      <c r="CH55">
        <v>11</v>
      </c>
      <c r="CI55">
        <v>7299.6</v>
      </c>
      <c r="CJ55">
        <v>12</v>
      </c>
      <c r="CK55">
        <v>7963.2000000000007</v>
      </c>
      <c r="CL55">
        <v>13</v>
      </c>
      <c r="CM55">
        <v>8626.8000000000011</v>
      </c>
      <c r="CN55">
        <v>12</v>
      </c>
      <c r="CO55">
        <v>7963.2000000000007</v>
      </c>
      <c r="CP55">
        <v>12</v>
      </c>
      <c r="CQ55">
        <v>7963.2000000000007</v>
      </c>
      <c r="CR55">
        <v>13</v>
      </c>
      <c r="CS55">
        <v>8626.8000000000011</v>
      </c>
      <c r="CT55">
        <v>12</v>
      </c>
      <c r="CU55">
        <v>7963.2000000000007</v>
      </c>
    </row>
    <row r="56" spans="2:99" x14ac:dyDescent="0.2">
      <c r="C56" s="118" t="s">
        <v>222</v>
      </c>
      <c r="D56">
        <v>10</v>
      </c>
      <c r="E56">
        <v>11508</v>
      </c>
      <c r="F56">
        <v>11</v>
      </c>
      <c r="G56">
        <v>12658.8</v>
      </c>
      <c r="H56">
        <v>7</v>
      </c>
      <c r="I56">
        <v>8055.5999999999995</v>
      </c>
      <c r="J56">
        <v>12</v>
      </c>
      <c r="K56">
        <v>13809.599999999999</v>
      </c>
      <c r="L56">
        <v>11</v>
      </c>
      <c r="M56">
        <v>12658.8</v>
      </c>
      <c r="N56">
        <v>10.946336692715612</v>
      </c>
      <c r="O56">
        <v>12597.044265977125</v>
      </c>
      <c r="P56">
        <v>9.2932417339515929</v>
      </c>
      <c r="Q56">
        <v>10694.662587431492</v>
      </c>
      <c r="R56">
        <v>8.9429585184390916</v>
      </c>
      <c r="S56">
        <v>10291.556663019706</v>
      </c>
      <c r="T56">
        <v>7.4082599118920891</v>
      </c>
      <c r="U56">
        <v>8525.4255066054156</v>
      </c>
      <c r="V56">
        <v>11.731630289714676</v>
      </c>
      <c r="W56">
        <v>13500.760137403649</v>
      </c>
      <c r="X56">
        <v>9.6897049055094371</v>
      </c>
      <c r="Y56">
        <v>11150.91240526026</v>
      </c>
      <c r="Z56">
        <v>11.765064933591326</v>
      </c>
      <c r="AA56">
        <v>13539.236725576897</v>
      </c>
      <c r="AB56">
        <v>12.500810316953705</v>
      </c>
      <c r="AC56">
        <v>14385.932512750323</v>
      </c>
      <c r="AD56">
        <v>9.5176864078457957</v>
      </c>
      <c r="AE56">
        <v>10952.953518148941</v>
      </c>
      <c r="AF56">
        <v>10.086348739178128</v>
      </c>
      <c r="AG56">
        <v>11607.370129046189</v>
      </c>
      <c r="AH56">
        <v>9.8409906168352794</v>
      </c>
      <c r="AI56">
        <v>11325.012001854038</v>
      </c>
      <c r="AJ56">
        <v>9</v>
      </c>
      <c r="AK56">
        <v>10357.199999999999</v>
      </c>
      <c r="AL56">
        <v>8.8283744662164025</v>
      </c>
      <c r="AM56">
        <v>10159.693335721835</v>
      </c>
      <c r="AN56">
        <v>9.8982347919432936</v>
      </c>
      <c r="AO56">
        <v>11390.888598568341</v>
      </c>
      <c r="AP56">
        <v>12.404306915537363</v>
      </c>
      <c r="AQ56">
        <v>14274.876398400396</v>
      </c>
      <c r="AR56">
        <v>12.304026267511246</v>
      </c>
      <c r="AS56">
        <v>14159.473428651942</v>
      </c>
      <c r="AT56">
        <v>11.731304111145814</v>
      </c>
      <c r="AU56">
        <v>13500.384771106603</v>
      </c>
      <c r="AV56">
        <v>10.594189565143074</v>
      </c>
      <c r="AW56">
        <v>12191.793351566648</v>
      </c>
      <c r="AX56">
        <v>11.477604343903216</v>
      </c>
      <c r="AY56">
        <v>13208.427078963821</v>
      </c>
      <c r="AZ56">
        <v>11.374720917208856</v>
      </c>
      <c r="BA56">
        <v>13090.028831523952</v>
      </c>
      <c r="BB56">
        <v>13.743756040074578</v>
      </c>
      <c r="BC56">
        <v>15816.314450917824</v>
      </c>
      <c r="BD56">
        <v>9.6203519267542372</v>
      </c>
      <c r="BE56">
        <v>11071.100997308777</v>
      </c>
      <c r="BF56">
        <v>14</v>
      </c>
      <c r="BG56">
        <v>16111.199999999999</v>
      </c>
      <c r="BH56">
        <v>11.957270192188556</v>
      </c>
      <c r="BI56">
        <v>13760.42653717059</v>
      </c>
      <c r="BJ56">
        <v>12.579229657244341</v>
      </c>
      <c r="BK56">
        <v>14476.177489556787</v>
      </c>
      <c r="BL56">
        <v>13.6065253605867</v>
      </c>
      <c r="BM56">
        <v>15658.389384963173</v>
      </c>
      <c r="BN56">
        <v>9.922585859054541</v>
      </c>
      <c r="BO56">
        <v>11418.911806599965</v>
      </c>
      <c r="BP56">
        <v>11.732598619791778</v>
      </c>
      <c r="BQ56">
        <v>13501.874491656377</v>
      </c>
      <c r="BR56">
        <v>8.821357997800007</v>
      </c>
      <c r="BS56">
        <v>10151.618783868247</v>
      </c>
      <c r="BT56">
        <v>9.0487518645405238</v>
      </c>
      <c r="BU56">
        <v>10413.303645713235</v>
      </c>
      <c r="BV56">
        <v>12.738921465615302</v>
      </c>
      <c r="BW56">
        <v>14659.95082263009</v>
      </c>
      <c r="BX56">
        <v>9.2317048721630854</v>
      </c>
      <c r="BY56">
        <v>10623.845966885277</v>
      </c>
      <c r="BZ56">
        <v>9.8930659429126546</v>
      </c>
      <c r="CA56">
        <v>11384.940287103882</v>
      </c>
      <c r="CB56">
        <v>7.3928342919218411</v>
      </c>
      <c r="CC56">
        <v>8507.6737031436551</v>
      </c>
      <c r="CD56">
        <v>9.7200661303354483</v>
      </c>
      <c r="CE56">
        <v>11185.852102790033</v>
      </c>
      <c r="CF56">
        <v>12.881908972365574</v>
      </c>
      <c r="CG56">
        <v>14824.500845398303</v>
      </c>
      <c r="CH56">
        <v>10.751068687513275</v>
      </c>
      <c r="CI56">
        <v>12372.329845590277</v>
      </c>
      <c r="CJ56">
        <v>13.407540926912386</v>
      </c>
      <c r="CK56">
        <v>15429.398098690774</v>
      </c>
      <c r="CL56">
        <v>14.830071779727614</v>
      </c>
      <c r="CM56">
        <v>17066.446604110537</v>
      </c>
      <c r="CN56">
        <v>13.735621378515777</v>
      </c>
      <c r="CO56">
        <v>15806.953082395956</v>
      </c>
      <c r="CP56">
        <v>13.723489989267565</v>
      </c>
      <c r="CQ56">
        <v>15792.992279649112</v>
      </c>
      <c r="CR56">
        <v>12.185974394145408</v>
      </c>
      <c r="CS56">
        <v>14023.619332782535</v>
      </c>
      <c r="CT56">
        <v>11.979336676059459</v>
      </c>
      <c r="CU56">
        <v>13785.820646809225</v>
      </c>
    </row>
    <row r="57" spans="2:99" x14ac:dyDescent="0.2">
      <c r="C57" s="118" t="s">
        <v>223</v>
      </c>
      <c r="D57">
        <v>6.098997148436399</v>
      </c>
      <c r="E57">
        <v>8606.9047758734469</v>
      </c>
      <c r="F57">
        <v>11</v>
      </c>
      <c r="G57">
        <v>15523.2</v>
      </c>
      <c r="H57">
        <v>7</v>
      </c>
      <c r="I57">
        <v>9878.4</v>
      </c>
      <c r="J57">
        <v>11.908426995303975</v>
      </c>
      <c r="K57">
        <v>16805.172175772968</v>
      </c>
      <c r="L57">
        <v>11</v>
      </c>
      <c r="M57">
        <v>15523.2</v>
      </c>
      <c r="N57">
        <v>9</v>
      </c>
      <c r="O57">
        <v>12700.800000000001</v>
      </c>
      <c r="P57">
        <v>9</v>
      </c>
      <c r="Q57">
        <v>12700.800000000001</v>
      </c>
      <c r="R57">
        <v>8</v>
      </c>
      <c r="S57">
        <v>11289.6</v>
      </c>
      <c r="T57">
        <v>7</v>
      </c>
      <c r="U57">
        <v>9878.4</v>
      </c>
      <c r="V57">
        <v>9</v>
      </c>
      <c r="W57">
        <v>12700.800000000001</v>
      </c>
      <c r="X57">
        <v>9</v>
      </c>
      <c r="Y57">
        <v>12700.800000000001</v>
      </c>
      <c r="Z57">
        <v>9</v>
      </c>
      <c r="AA57">
        <v>12700.800000000001</v>
      </c>
      <c r="AB57">
        <v>11</v>
      </c>
      <c r="AC57">
        <v>15523.2</v>
      </c>
      <c r="AD57">
        <v>7</v>
      </c>
      <c r="AE57">
        <v>9878.4</v>
      </c>
      <c r="AF57">
        <v>8</v>
      </c>
      <c r="AG57">
        <v>11289.6</v>
      </c>
      <c r="AH57">
        <v>9</v>
      </c>
      <c r="AI57">
        <v>12700.800000000001</v>
      </c>
      <c r="AJ57">
        <v>9</v>
      </c>
      <c r="AK57">
        <v>12700.800000000001</v>
      </c>
      <c r="AL57">
        <v>7</v>
      </c>
      <c r="AM57">
        <v>9878.4</v>
      </c>
      <c r="AN57">
        <v>9</v>
      </c>
      <c r="AO57">
        <v>12700.800000000001</v>
      </c>
      <c r="AP57">
        <v>12</v>
      </c>
      <c r="AQ57">
        <v>16934.400000000001</v>
      </c>
      <c r="AR57">
        <v>11</v>
      </c>
      <c r="AS57">
        <v>15523.2</v>
      </c>
      <c r="AT57">
        <v>11</v>
      </c>
      <c r="AU57">
        <v>15523.2</v>
      </c>
      <c r="AV57">
        <v>10</v>
      </c>
      <c r="AW57">
        <v>14112</v>
      </c>
      <c r="AX57">
        <v>11</v>
      </c>
      <c r="AY57">
        <v>15523.2</v>
      </c>
      <c r="AZ57">
        <v>10</v>
      </c>
      <c r="BA57">
        <v>14112</v>
      </c>
      <c r="BB57">
        <v>12</v>
      </c>
      <c r="BC57">
        <v>16934.400000000001</v>
      </c>
      <c r="BD57">
        <v>9</v>
      </c>
      <c r="BE57">
        <v>12700.800000000001</v>
      </c>
      <c r="BF57">
        <v>14</v>
      </c>
      <c r="BG57">
        <v>19756.8</v>
      </c>
      <c r="BH57">
        <v>11</v>
      </c>
      <c r="BI57">
        <v>15523.2</v>
      </c>
      <c r="BJ57">
        <v>11</v>
      </c>
      <c r="BK57">
        <v>15523.2</v>
      </c>
      <c r="BL57">
        <v>15</v>
      </c>
      <c r="BM57">
        <v>21168</v>
      </c>
      <c r="BN57">
        <v>8</v>
      </c>
      <c r="BO57">
        <v>11289.6</v>
      </c>
      <c r="BP57">
        <v>10</v>
      </c>
      <c r="BQ57">
        <v>14112</v>
      </c>
      <c r="BR57">
        <v>9</v>
      </c>
      <c r="BS57">
        <v>12700.800000000001</v>
      </c>
      <c r="BT57">
        <v>8</v>
      </c>
      <c r="BU57">
        <v>11289.6</v>
      </c>
      <c r="BV57">
        <v>11</v>
      </c>
      <c r="BW57">
        <v>15523.2</v>
      </c>
      <c r="BX57">
        <v>10</v>
      </c>
      <c r="BY57">
        <v>14112</v>
      </c>
      <c r="BZ57">
        <v>10</v>
      </c>
      <c r="CA57">
        <v>14112</v>
      </c>
      <c r="CB57">
        <v>7</v>
      </c>
      <c r="CC57">
        <v>9878.4</v>
      </c>
      <c r="CD57">
        <v>11</v>
      </c>
      <c r="CE57">
        <v>15523.2</v>
      </c>
      <c r="CF57">
        <v>11</v>
      </c>
      <c r="CG57">
        <v>15523.2</v>
      </c>
      <c r="CH57">
        <v>9</v>
      </c>
      <c r="CI57">
        <v>12700.800000000001</v>
      </c>
      <c r="CJ57">
        <v>12</v>
      </c>
      <c r="CK57">
        <v>16934.400000000001</v>
      </c>
      <c r="CL57">
        <v>14</v>
      </c>
      <c r="CM57">
        <v>19756.8</v>
      </c>
      <c r="CN57">
        <v>13</v>
      </c>
      <c r="CO57">
        <v>18345.600000000002</v>
      </c>
      <c r="CP57">
        <v>11</v>
      </c>
      <c r="CQ57">
        <v>15523.2</v>
      </c>
      <c r="CR57">
        <v>12</v>
      </c>
      <c r="CS57">
        <v>16934.400000000001</v>
      </c>
      <c r="CT57">
        <v>11</v>
      </c>
      <c r="CU57">
        <v>15523.2</v>
      </c>
    </row>
    <row r="58" spans="2:99" x14ac:dyDescent="0.2">
      <c r="C58" s="118" t="s">
        <v>224</v>
      </c>
      <c r="D58">
        <v>10</v>
      </c>
      <c r="E58">
        <v>11772</v>
      </c>
      <c r="F58">
        <v>12</v>
      </c>
      <c r="G58">
        <v>14126.400000000001</v>
      </c>
      <c r="H58">
        <v>7</v>
      </c>
      <c r="I58">
        <v>8240.4</v>
      </c>
      <c r="J58">
        <v>10</v>
      </c>
      <c r="K58">
        <v>11772</v>
      </c>
      <c r="L58">
        <v>12</v>
      </c>
      <c r="M58">
        <v>14126.400000000001</v>
      </c>
      <c r="N58">
        <v>9.9137043929667978</v>
      </c>
      <c r="O58">
        <v>11670.412811400514</v>
      </c>
      <c r="P58">
        <v>9.2778079584804569</v>
      </c>
      <c r="Q58">
        <v>10921.835528723193</v>
      </c>
      <c r="R58">
        <v>8.8298034962264005</v>
      </c>
      <c r="S58">
        <v>10394.444675757719</v>
      </c>
      <c r="T58">
        <v>7.4082599118920891</v>
      </c>
      <c r="U58">
        <v>8721.0035682793678</v>
      </c>
      <c r="V58">
        <v>10.82308407592901</v>
      </c>
      <c r="W58">
        <v>12740.934574183631</v>
      </c>
      <c r="X58">
        <v>10.689704905509437</v>
      </c>
      <c r="Y58">
        <v>12583.92061476571</v>
      </c>
      <c r="Z58">
        <v>9.7247983581391502</v>
      </c>
      <c r="AA58">
        <v>11448.032627201408</v>
      </c>
      <c r="AB58">
        <v>10.577858058023507</v>
      </c>
      <c r="AC58">
        <v>12452.254505905274</v>
      </c>
      <c r="AD58">
        <v>8.4941552074891682</v>
      </c>
      <c r="AE58">
        <v>9999.3195102562495</v>
      </c>
      <c r="AF58">
        <v>10.04108420837904</v>
      </c>
      <c r="AG58">
        <v>11820.364330103806</v>
      </c>
      <c r="AH58">
        <v>8.8409906168352794</v>
      </c>
      <c r="AI58">
        <v>10407.614154138491</v>
      </c>
      <c r="AJ58">
        <v>9</v>
      </c>
      <c r="AK58">
        <v>10594.800000000001</v>
      </c>
      <c r="AL58">
        <v>7.8615094448650593</v>
      </c>
      <c r="AM58">
        <v>9254.568918495148</v>
      </c>
      <c r="AN58">
        <v>9.9455103073087301</v>
      </c>
      <c r="AO58">
        <v>11707.854733763837</v>
      </c>
      <c r="AP58">
        <v>12.466507979466188</v>
      </c>
      <c r="AQ58">
        <v>14675.573193427597</v>
      </c>
      <c r="AR58">
        <v>12.318503708821305</v>
      </c>
      <c r="AS58">
        <v>14501.342566024441</v>
      </c>
      <c r="AT58">
        <v>12.822717125039041</v>
      </c>
      <c r="AU58">
        <v>15094.90259959596</v>
      </c>
      <c r="AV58">
        <v>10.594189565143074</v>
      </c>
      <c r="AW58">
        <v>12471.479956086427</v>
      </c>
      <c r="AX58">
        <v>9.5117189398963049</v>
      </c>
      <c r="AY58">
        <v>11197.195536045931</v>
      </c>
      <c r="AZ58">
        <v>10.33527661013424</v>
      </c>
      <c r="BA58">
        <v>12166.687625450028</v>
      </c>
      <c r="BB58">
        <v>13.661116480066291</v>
      </c>
      <c r="BC58">
        <v>16081.866320334038</v>
      </c>
      <c r="BD58">
        <v>10.620351926754237</v>
      </c>
      <c r="BE58">
        <v>12502.278288175088</v>
      </c>
      <c r="BF58">
        <v>14</v>
      </c>
      <c r="BG58">
        <v>16480.8</v>
      </c>
      <c r="BH58">
        <v>12.923081971038965</v>
      </c>
      <c r="BI58">
        <v>15213.05209630707</v>
      </c>
      <c r="BJ58">
        <v>10.66197675113639</v>
      </c>
      <c r="BK58">
        <v>12551.279031437758</v>
      </c>
      <c r="BL58">
        <v>13.6065253605867</v>
      </c>
      <c r="BM58">
        <v>16017.601654482663</v>
      </c>
      <c r="BN58">
        <v>8.7907878791896064</v>
      </c>
      <c r="BO58">
        <v>10348.515491382004</v>
      </c>
      <c r="BP58">
        <v>9.7007465058877891</v>
      </c>
      <c r="BQ58">
        <v>11419.718786731106</v>
      </c>
      <c r="BR58">
        <v>8.7466890889090987</v>
      </c>
      <c r="BS58">
        <v>10296.602395463791</v>
      </c>
      <c r="BT58">
        <v>8.0487518645405238</v>
      </c>
      <c r="BU58">
        <v>9474.9906949371052</v>
      </c>
      <c r="BV58">
        <v>11.651989528484089</v>
      </c>
      <c r="BW58">
        <v>13716.72207293147</v>
      </c>
      <c r="BX58">
        <v>9.2008108892080074</v>
      </c>
      <c r="BY58">
        <v>10831.194578775667</v>
      </c>
      <c r="BZ58">
        <v>10.937719240058287</v>
      </c>
      <c r="CA58">
        <v>12875.883089396617</v>
      </c>
      <c r="CB58">
        <v>8.4208938842019734</v>
      </c>
      <c r="CC58">
        <v>9913.0762804825627</v>
      </c>
      <c r="CD58">
        <v>10.760069804242972</v>
      </c>
      <c r="CE58">
        <v>12666.754173554828</v>
      </c>
      <c r="CF58">
        <v>11.780150244784931</v>
      </c>
      <c r="CG58">
        <v>13867.592868160822</v>
      </c>
      <c r="CH58">
        <v>10.751068687513275</v>
      </c>
      <c r="CI58">
        <v>12656.158058940628</v>
      </c>
      <c r="CJ58">
        <v>13.431513922613115</v>
      </c>
      <c r="CK58">
        <v>15811.57818970016</v>
      </c>
      <c r="CL58">
        <v>14.974432089245459</v>
      </c>
      <c r="CM58">
        <v>17627.901455459756</v>
      </c>
      <c r="CN58">
        <v>12.845964585293144</v>
      </c>
      <c r="CO58">
        <v>15122.269509807089</v>
      </c>
      <c r="CP58">
        <v>11.640010375121307</v>
      </c>
      <c r="CQ58">
        <v>13702.620213592803</v>
      </c>
      <c r="CR58">
        <v>12.199258279441509</v>
      </c>
      <c r="CS58">
        <v>14360.966846558544</v>
      </c>
      <c r="CT58">
        <v>12.979336676059459</v>
      </c>
      <c r="CU58">
        <v>15279.275135057196</v>
      </c>
    </row>
    <row r="59" spans="2:99" x14ac:dyDescent="0.2">
      <c r="C59" s="118" t="s">
        <v>225</v>
      </c>
      <c r="D59">
        <v>6.098997148436399</v>
      </c>
      <c r="E59">
        <v>1851.6555342652905</v>
      </c>
      <c r="F59">
        <v>14</v>
      </c>
      <c r="G59">
        <v>4250.3999999999996</v>
      </c>
      <c r="H59">
        <v>8</v>
      </c>
      <c r="I59">
        <v>2428.7999999999997</v>
      </c>
      <c r="J59">
        <v>13.081460708695207</v>
      </c>
      <c r="K59">
        <v>3971.5314711598644</v>
      </c>
      <c r="L59">
        <v>11</v>
      </c>
      <c r="M59">
        <v>3339.5999999999995</v>
      </c>
      <c r="N59">
        <v>10</v>
      </c>
      <c r="O59">
        <v>3035.9999999999995</v>
      </c>
      <c r="P59">
        <v>8</v>
      </c>
      <c r="Q59">
        <v>2428.7999999999997</v>
      </c>
      <c r="R59">
        <v>9</v>
      </c>
      <c r="S59">
        <v>2732.3999999999996</v>
      </c>
      <c r="T59">
        <v>8</v>
      </c>
      <c r="U59">
        <v>2428.7999999999997</v>
      </c>
      <c r="V59">
        <v>10</v>
      </c>
      <c r="W59">
        <v>3035.9999999999995</v>
      </c>
      <c r="X59">
        <v>9</v>
      </c>
      <c r="Y59">
        <v>2732.3999999999996</v>
      </c>
      <c r="Z59">
        <v>10</v>
      </c>
      <c r="AA59">
        <v>3035.9999999999995</v>
      </c>
      <c r="AB59">
        <v>13</v>
      </c>
      <c r="AC59">
        <v>3946.7999999999997</v>
      </c>
      <c r="AD59">
        <v>9</v>
      </c>
      <c r="AE59">
        <v>2732.3999999999996</v>
      </c>
      <c r="AF59">
        <v>10</v>
      </c>
      <c r="AG59">
        <v>3035.9999999999995</v>
      </c>
      <c r="AH59">
        <v>8</v>
      </c>
      <c r="AI59">
        <v>2428.7999999999997</v>
      </c>
      <c r="AJ59">
        <v>10</v>
      </c>
      <c r="AK59">
        <v>3035.9999999999995</v>
      </c>
      <c r="AL59">
        <v>9</v>
      </c>
      <c r="AM59">
        <v>2732.3999999999996</v>
      </c>
      <c r="AN59">
        <v>9</v>
      </c>
      <c r="AO59">
        <v>2732.3999999999996</v>
      </c>
      <c r="AP59">
        <v>14</v>
      </c>
      <c r="AQ59">
        <v>4250.3999999999996</v>
      </c>
      <c r="AR59">
        <v>13</v>
      </c>
      <c r="AS59">
        <v>3946.7999999999997</v>
      </c>
      <c r="AT59">
        <v>11</v>
      </c>
      <c r="AU59">
        <v>3339.5999999999995</v>
      </c>
      <c r="AV59">
        <v>9</v>
      </c>
      <c r="AW59">
        <v>2732.3999999999996</v>
      </c>
      <c r="AX59">
        <v>11</v>
      </c>
      <c r="AY59">
        <v>3339.5999999999995</v>
      </c>
      <c r="AZ59">
        <v>12</v>
      </c>
      <c r="BA59">
        <v>3643.2</v>
      </c>
      <c r="BB59">
        <v>13</v>
      </c>
      <c r="BC59">
        <v>3946.7999999999997</v>
      </c>
      <c r="BD59">
        <v>10</v>
      </c>
      <c r="BE59">
        <v>3035.9999999999995</v>
      </c>
      <c r="BF59">
        <v>14</v>
      </c>
      <c r="BG59">
        <v>4250.3999999999996</v>
      </c>
      <c r="BH59">
        <v>11</v>
      </c>
      <c r="BI59">
        <v>3339.5999999999995</v>
      </c>
      <c r="BJ59">
        <v>13</v>
      </c>
      <c r="BK59">
        <v>3946.7999999999997</v>
      </c>
      <c r="BL59">
        <v>14</v>
      </c>
      <c r="BM59">
        <v>4250.3999999999996</v>
      </c>
      <c r="BN59">
        <v>8</v>
      </c>
      <c r="BO59">
        <v>2428.7999999999997</v>
      </c>
      <c r="BP59">
        <v>11</v>
      </c>
      <c r="BQ59">
        <v>3339.5999999999995</v>
      </c>
      <c r="BR59">
        <v>9</v>
      </c>
      <c r="BS59">
        <v>2732.3999999999996</v>
      </c>
      <c r="BT59">
        <v>8</v>
      </c>
      <c r="BU59">
        <v>2428.7999999999997</v>
      </c>
      <c r="BV59">
        <v>13</v>
      </c>
      <c r="BW59">
        <v>3946.7999999999997</v>
      </c>
      <c r="BX59">
        <v>10</v>
      </c>
      <c r="BY59">
        <v>3035.9999999999995</v>
      </c>
      <c r="BZ59">
        <v>11</v>
      </c>
      <c r="CA59">
        <v>3339.5999999999995</v>
      </c>
      <c r="CB59">
        <v>8</v>
      </c>
      <c r="CC59">
        <v>2428.7999999999997</v>
      </c>
      <c r="CD59">
        <v>11</v>
      </c>
      <c r="CE59">
        <v>3339.5999999999995</v>
      </c>
      <c r="CF59">
        <v>14</v>
      </c>
      <c r="CG59">
        <v>4250.3999999999996</v>
      </c>
      <c r="CH59">
        <v>10</v>
      </c>
      <c r="CI59">
        <v>3035.9999999999995</v>
      </c>
      <c r="CJ59">
        <v>12</v>
      </c>
      <c r="CK59">
        <v>3643.2</v>
      </c>
      <c r="CL59">
        <v>13</v>
      </c>
      <c r="CM59">
        <v>3946.7999999999997</v>
      </c>
      <c r="CN59">
        <v>14</v>
      </c>
      <c r="CO59">
        <v>4250.3999999999996</v>
      </c>
      <c r="CP59">
        <v>13</v>
      </c>
      <c r="CQ59">
        <v>3946.7999999999997</v>
      </c>
      <c r="CR59">
        <v>15</v>
      </c>
      <c r="CS59">
        <v>4553.9999999999991</v>
      </c>
      <c r="CT59">
        <v>11</v>
      </c>
      <c r="CU59">
        <v>3339.5999999999995</v>
      </c>
    </row>
    <row r="60" spans="2:99" x14ac:dyDescent="0.2">
      <c r="C60" s="118" t="s">
        <v>226</v>
      </c>
      <c r="D60">
        <v>6.098997148436399</v>
      </c>
      <c r="E60">
        <v>3974.1065419211577</v>
      </c>
      <c r="F60">
        <v>12.958598117760353</v>
      </c>
      <c r="G60">
        <v>8443.822533532646</v>
      </c>
      <c r="H60">
        <v>8</v>
      </c>
      <c r="I60">
        <v>5212.8</v>
      </c>
      <c r="J60">
        <v>12.124719137043016</v>
      </c>
      <c r="K60">
        <v>7900.4669896972291</v>
      </c>
      <c r="L60">
        <v>11</v>
      </c>
      <c r="M60">
        <v>7167.6</v>
      </c>
      <c r="N60">
        <v>10</v>
      </c>
      <c r="O60">
        <v>6516</v>
      </c>
      <c r="P60">
        <v>9</v>
      </c>
      <c r="Q60">
        <v>5864.4000000000005</v>
      </c>
      <c r="R60">
        <v>9</v>
      </c>
      <c r="S60">
        <v>5864.4000000000005</v>
      </c>
      <c r="T60">
        <v>8</v>
      </c>
      <c r="U60">
        <v>5212.8</v>
      </c>
      <c r="V60">
        <v>10</v>
      </c>
      <c r="W60">
        <v>6516</v>
      </c>
      <c r="X60">
        <v>11</v>
      </c>
      <c r="Y60">
        <v>7167.6</v>
      </c>
      <c r="Z60">
        <v>11</v>
      </c>
      <c r="AA60">
        <v>7167.6</v>
      </c>
      <c r="AB60">
        <v>12</v>
      </c>
      <c r="AC60">
        <v>7819.2000000000007</v>
      </c>
      <c r="AD60">
        <v>9</v>
      </c>
      <c r="AE60">
        <v>5864.4000000000005</v>
      </c>
      <c r="AF60">
        <v>9</v>
      </c>
      <c r="AG60">
        <v>5864.4000000000005</v>
      </c>
      <c r="AH60">
        <v>9</v>
      </c>
      <c r="AI60">
        <v>5864.4000000000005</v>
      </c>
      <c r="AJ60">
        <v>10</v>
      </c>
      <c r="AK60">
        <v>6516</v>
      </c>
      <c r="AL60">
        <v>8</v>
      </c>
      <c r="AM60">
        <v>5212.8</v>
      </c>
      <c r="AN60">
        <v>8</v>
      </c>
      <c r="AO60">
        <v>5212.8</v>
      </c>
      <c r="AP60">
        <v>14</v>
      </c>
      <c r="AQ60">
        <v>9122.4</v>
      </c>
      <c r="AR60">
        <v>14</v>
      </c>
      <c r="AS60">
        <v>9122.4</v>
      </c>
      <c r="AT60">
        <v>10</v>
      </c>
      <c r="AU60">
        <v>6516</v>
      </c>
      <c r="AV60">
        <v>11</v>
      </c>
      <c r="AW60">
        <v>7167.6</v>
      </c>
      <c r="AX60">
        <v>10</v>
      </c>
      <c r="AY60">
        <v>6516</v>
      </c>
      <c r="AZ60">
        <v>11</v>
      </c>
      <c r="BA60">
        <v>7167.6</v>
      </c>
      <c r="BB60">
        <v>12</v>
      </c>
      <c r="BC60">
        <v>7819.2000000000007</v>
      </c>
      <c r="BD60">
        <v>9</v>
      </c>
      <c r="BE60">
        <v>5864.4000000000005</v>
      </c>
      <c r="BF60">
        <v>15</v>
      </c>
      <c r="BG60">
        <v>9774</v>
      </c>
      <c r="BH60">
        <v>12</v>
      </c>
      <c r="BI60">
        <v>7819.2000000000007</v>
      </c>
      <c r="BJ60">
        <v>12</v>
      </c>
      <c r="BK60">
        <v>7819.2000000000007</v>
      </c>
      <c r="BL60">
        <v>14</v>
      </c>
      <c r="BM60">
        <v>9122.4</v>
      </c>
      <c r="BN60">
        <v>8</v>
      </c>
      <c r="BO60">
        <v>5212.8</v>
      </c>
      <c r="BP60">
        <v>10</v>
      </c>
      <c r="BQ60">
        <v>6516</v>
      </c>
      <c r="BR60">
        <v>9</v>
      </c>
      <c r="BS60">
        <v>5864.4000000000005</v>
      </c>
      <c r="BT60">
        <v>9</v>
      </c>
      <c r="BU60">
        <v>5864.4000000000005</v>
      </c>
      <c r="BV60">
        <v>13</v>
      </c>
      <c r="BW60">
        <v>8470.8000000000011</v>
      </c>
      <c r="BX60">
        <v>11</v>
      </c>
      <c r="BY60">
        <v>7167.6</v>
      </c>
      <c r="BZ60">
        <v>11</v>
      </c>
      <c r="CA60">
        <v>7167.6</v>
      </c>
      <c r="CB60">
        <v>7</v>
      </c>
      <c r="CC60">
        <v>4561.2</v>
      </c>
      <c r="CD60">
        <v>10</v>
      </c>
      <c r="CE60">
        <v>6516</v>
      </c>
      <c r="CF60">
        <v>13</v>
      </c>
      <c r="CG60">
        <v>8470.8000000000011</v>
      </c>
      <c r="CH60">
        <v>10</v>
      </c>
      <c r="CI60">
        <v>6516</v>
      </c>
      <c r="CJ60">
        <v>12</v>
      </c>
      <c r="CK60">
        <v>7819.2000000000007</v>
      </c>
      <c r="CL60">
        <v>14</v>
      </c>
      <c r="CM60">
        <v>9122.4</v>
      </c>
      <c r="CN60">
        <v>13</v>
      </c>
      <c r="CO60">
        <v>8470.8000000000011</v>
      </c>
      <c r="CP60">
        <v>11</v>
      </c>
      <c r="CQ60">
        <v>7167.6</v>
      </c>
      <c r="CR60">
        <v>14</v>
      </c>
      <c r="CS60">
        <v>9122.4</v>
      </c>
      <c r="CT60">
        <v>12</v>
      </c>
      <c r="CU60">
        <v>7819.2000000000007</v>
      </c>
    </row>
    <row r="61" spans="2:99" x14ac:dyDescent="0.2">
      <c r="C61" s="118" t="s">
        <v>227</v>
      </c>
      <c r="D61">
        <v>6.098997148436399</v>
      </c>
      <c r="E61">
        <v>5803.8056864520768</v>
      </c>
      <c r="F61">
        <v>12</v>
      </c>
      <c r="G61">
        <v>11419.199999999999</v>
      </c>
      <c r="H61">
        <v>7</v>
      </c>
      <c r="I61">
        <v>6661.1999999999989</v>
      </c>
      <c r="J61">
        <v>12.081460708695207</v>
      </c>
      <c r="K61">
        <v>11496.718010394357</v>
      </c>
      <c r="L61">
        <v>11</v>
      </c>
      <c r="M61">
        <v>10467.599999999999</v>
      </c>
      <c r="N61">
        <v>8</v>
      </c>
      <c r="O61">
        <v>7612.7999999999993</v>
      </c>
      <c r="P61">
        <v>9</v>
      </c>
      <c r="Q61">
        <v>8564.4</v>
      </c>
      <c r="R61">
        <v>8</v>
      </c>
      <c r="S61">
        <v>7612.7999999999993</v>
      </c>
      <c r="T61">
        <v>7</v>
      </c>
      <c r="U61">
        <v>6661.1999999999989</v>
      </c>
      <c r="V61">
        <v>10</v>
      </c>
      <c r="W61">
        <v>9516</v>
      </c>
      <c r="X61">
        <v>10</v>
      </c>
      <c r="Y61">
        <v>9516</v>
      </c>
      <c r="Z61">
        <v>11</v>
      </c>
      <c r="AA61">
        <v>10467.599999999999</v>
      </c>
      <c r="AB61">
        <v>10</v>
      </c>
      <c r="AC61">
        <v>9516</v>
      </c>
      <c r="AD61">
        <v>8</v>
      </c>
      <c r="AE61">
        <v>7612.7999999999993</v>
      </c>
      <c r="AF61">
        <v>9</v>
      </c>
      <c r="AG61">
        <v>8564.4</v>
      </c>
      <c r="AH61">
        <v>8</v>
      </c>
      <c r="AI61">
        <v>7612.7999999999993</v>
      </c>
      <c r="AJ61">
        <v>9</v>
      </c>
      <c r="AK61">
        <v>8564.4</v>
      </c>
      <c r="AL61">
        <v>8</v>
      </c>
      <c r="AM61">
        <v>7612.7999999999993</v>
      </c>
      <c r="AN61">
        <v>8</v>
      </c>
      <c r="AO61">
        <v>7612.7999999999993</v>
      </c>
      <c r="AP61">
        <v>11</v>
      </c>
      <c r="AQ61">
        <v>10467.599999999999</v>
      </c>
      <c r="AR61">
        <v>12</v>
      </c>
      <c r="AS61">
        <v>11419.199999999999</v>
      </c>
      <c r="AT61">
        <v>11</v>
      </c>
      <c r="AU61">
        <v>10467.599999999999</v>
      </c>
      <c r="AV61">
        <v>9</v>
      </c>
      <c r="AW61">
        <v>8564.4</v>
      </c>
      <c r="AX61">
        <v>11</v>
      </c>
      <c r="AY61">
        <v>10467.599999999999</v>
      </c>
      <c r="AZ61">
        <v>11</v>
      </c>
      <c r="BA61">
        <v>10467.599999999999</v>
      </c>
      <c r="BB61">
        <v>13</v>
      </c>
      <c r="BC61">
        <v>12370.8</v>
      </c>
      <c r="BD61">
        <v>9</v>
      </c>
      <c r="BE61">
        <v>8564.4</v>
      </c>
      <c r="BF61">
        <v>14</v>
      </c>
      <c r="BG61">
        <v>13322.399999999998</v>
      </c>
      <c r="BH61">
        <v>10</v>
      </c>
      <c r="BI61">
        <v>9516</v>
      </c>
      <c r="BJ61">
        <v>11</v>
      </c>
      <c r="BK61">
        <v>10467.599999999999</v>
      </c>
      <c r="BL61">
        <v>15</v>
      </c>
      <c r="BM61">
        <v>14273.999999999998</v>
      </c>
      <c r="BN61">
        <v>8</v>
      </c>
      <c r="BO61">
        <v>7612.7999999999993</v>
      </c>
      <c r="BP61">
        <v>10</v>
      </c>
      <c r="BQ61">
        <v>9516</v>
      </c>
      <c r="BR61">
        <v>8</v>
      </c>
      <c r="BS61">
        <v>7612.7999999999993</v>
      </c>
      <c r="BT61">
        <v>8</v>
      </c>
      <c r="BU61">
        <v>7612.7999999999993</v>
      </c>
      <c r="BV61">
        <v>11</v>
      </c>
      <c r="BW61">
        <v>10467.599999999999</v>
      </c>
      <c r="BX61">
        <v>11</v>
      </c>
      <c r="BY61">
        <v>10467.599999999999</v>
      </c>
      <c r="BZ61">
        <v>10</v>
      </c>
      <c r="CA61">
        <v>9516</v>
      </c>
      <c r="CB61">
        <v>7</v>
      </c>
      <c r="CC61">
        <v>6661.1999999999989</v>
      </c>
      <c r="CD61">
        <v>9</v>
      </c>
      <c r="CE61">
        <v>8564.4</v>
      </c>
      <c r="CF61">
        <v>13</v>
      </c>
      <c r="CG61">
        <v>12370.8</v>
      </c>
      <c r="CH61">
        <v>10</v>
      </c>
      <c r="CI61">
        <v>9516</v>
      </c>
      <c r="CJ61">
        <v>12</v>
      </c>
      <c r="CK61">
        <v>11419.199999999999</v>
      </c>
      <c r="CL61">
        <v>14</v>
      </c>
      <c r="CM61">
        <v>13322.399999999998</v>
      </c>
      <c r="CN61">
        <v>14</v>
      </c>
      <c r="CO61">
        <v>13322.399999999998</v>
      </c>
      <c r="CP61">
        <v>11</v>
      </c>
      <c r="CQ61">
        <v>10467.599999999999</v>
      </c>
      <c r="CR61">
        <v>13</v>
      </c>
      <c r="CS61">
        <v>12370.8</v>
      </c>
      <c r="CT61">
        <v>12</v>
      </c>
      <c r="CU61">
        <v>11419.199999999999</v>
      </c>
    </row>
    <row r="62" spans="2:99" x14ac:dyDescent="0.2">
      <c r="C62" s="118" t="s">
        <v>228</v>
      </c>
      <c r="D62">
        <v>5.082497623696999</v>
      </c>
      <c r="E62">
        <v>8666.6749479281225</v>
      </c>
      <c r="F62">
        <v>11</v>
      </c>
      <c r="G62">
        <v>18757.2</v>
      </c>
      <c r="H62">
        <v>7</v>
      </c>
      <c r="I62">
        <v>11936.4</v>
      </c>
      <c r="J62">
        <v>11.038202280347399</v>
      </c>
      <c r="K62">
        <v>18822.342528448386</v>
      </c>
      <c r="L62">
        <v>10</v>
      </c>
      <c r="M62">
        <v>17052</v>
      </c>
      <c r="N62">
        <v>9</v>
      </c>
      <c r="O62">
        <v>15346.800000000001</v>
      </c>
      <c r="P62">
        <v>8</v>
      </c>
      <c r="Q62">
        <v>13641.6</v>
      </c>
      <c r="R62">
        <v>8</v>
      </c>
      <c r="S62">
        <v>13641.6</v>
      </c>
      <c r="T62">
        <v>8</v>
      </c>
      <c r="U62">
        <v>13641.6</v>
      </c>
      <c r="V62">
        <v>10</v>
      </c>
      <c r="W62">
        <v>17052</v>
      </c>
      <c r="X62">
        <v>8</v>
      </c>
      <c r="Y62">
        <v>13641.6</v>
      </c>
      <c r="Z62">
        <v>10</v>
      </c>
      <c r="AA62">
        <v>17052</v>
      </c>
      <c r="AB62">
        <v>11</v>
      </c>
      <c r="AC62">
        <v>18757.2</v>
      </c>
      <c r="AD62">
        <v>9</v>
      </c>
      <c r="AE62">
        <v>15346.800000000001</v>
      </c>
      <c r="AF62">
        <v>8</v>
      </c>
      <c r="AG62">
        <v>13641.6</v>
      </c>
      <c r="AH62">
        <v>9</v>
      </c>
      <c r="AI62">
        <v>15346.800000000001</v>
      </c>
      <c r="AJ62">
        <v>9</v>
      </c>
      <c r="AK62">
        <v>15346.800000000001</v>
      </c>
      <c r="AL62">
        <v>6</v>
      </c>
      <c r="AM62">
        <v>10231.200000000001</v>
      </c>
      <c r="AN62">
        <v>8</v>
      </c>
      <c r="AO62">
        <v>13641.6</v>
      </c>
      <c r="AP62">
        <v>11</v>
      </c>
      <c r="AQ62">
        <v>18757.2</v>
      </c>
      <c r="AR62">
        <v>12</v>
      </c>
      <c r="AS62">
        <v>20462.400000000001</v>
      </c>
      <c r="AT62">
        <v>11</v>
      </c>
      <c r="AU62">
        <v>18757.2</v>
      </c>
      <c r="AV62">
        <v>10</v>
      </c>
      <c r="AW62">
        <v>17052</v>
      </c>
      <c r="AX62">
        <v>9</v>
      </c>
      <c r="AY62">
        <v>15346.800000000001</v>
      </c>
      <c r="AZ62">
        <v>11</v>
      </c>
      <c r="BA62">
        <v>18757.2</v>
      </c>
      <c r="BB62">
        <v>11</v>
      </c>
      <c r="BC62">
        <v>18757.2</v>
      </c>
      <c r="BD62">
        <v>9</v>
      </c>
      <c r="BE62">
        <v>15346.800000000001</v>
      </c>
      <c r="BF62">
        <v>13</v>
      </c>
      <c r="BG62">
        <v>22167.600000000002</v>
      </c>
      <c r="BH62">
        <v>10</v>
      </c>
      <c r="BI62">
        <v>17052</v>
      </c>
      <c r="BJ62">
        <v>11</v>
      </c>
      <c r="BK62">
        <v>18757.2</v>
      </c>
      <c r="BL62">
        <v>15</v>
      </c>
      <c r="BM62">
        <v>25578</v>
      </c>
      <c r="BN62">
        <v>7</v>
      </c>
      <c r="BO62">
        <v>11936.4</v>
      </c>
      <c r="BP62">
        <v>10</v>
      </c>
      <c r="BQ62">
        <v>17052</v>
      </c>
      <c r="BR62">
        <v>9</v>
      </c>
      <c r="BS62">
        <v>15346.800000000001</v>
      </c>
      <c r="BT62">
        <v>8</v>
      </c>
      <c r="BU62">
        <v>13641.6</v>
      </c>
      <c r="BV62">
        <v>11</v>
      </c>
      <c r="BW62">
        <v>18757.2</v>
      </c>
      <c r="BX62">
        <v>9</v>
      </c>
      <c r="BY62">
        <v>15346.800000000001</v>
      </c>
      <c r="BZ62">
        <v>10</v>
      </c>
      <c r="CA62">
        <v>17052</v>
      </c>
      <c r="CB62">
        <v>6</v>
      </c>
      <c r="CC62">
        <v>10231.200000000001</v>
      </c>
      <c r="CD62">
        <v>9</v>
      </c>
      <c r="CE62">
        <v>15346.800000000001</v>
      </c>
      <c r="CF62">
        <v>11</v>
      </c>
      <c r="CG62">
        <v>18757.2</v>
      </c>
      <c r="CH62">
        <v>9</v>
      </c>
      <c r="CI62">
        <v>15346.800000000001</v>
      </c>
      <c r="CJ62">
        <v>12</v>
      </c>
      <c r="CK62">
        <v>20462.400000000001</v>
      </c>
      <c r="CL62">
        <v>12</v>
      </c>
      <c r="CM62">
        <v>20462.400000000001</v>
      </c>
      <c r="CN62">
        <v>12</v>
      </c>
      <c r="CO62">
        <v>20462.400000000001</v>
      </c>
      <c r="CP62">
        <v>10</v>
      </c>
      <c r="CQ62">
        <v>17052</v>
      </c>
      <c r="CR62">
        <v>13</v>
      </c>
      <c r="CS62">
        <v>22167.600000000002</v>
      </c>
      <c r="CT62">
        <v>10</v>
      </c>
      <c r="CU62">
        <v>17052</v>
      </c>
    </row>
    <row r="63" spans="2:99" x14ac:dyDescent="0.2">
      <c r="C63" s="118" t="s">
        <v>229</v>
      </c>
      <c r="D63">
        <v>5.590747386066699</v>
      </c>
      <c r="E63">
        <v>4447.9986203546659</v>
      </c>
      <c r="F63">
        <v>11</v>
      </c>
      <c r="G63">
        <v>8751.6</v>
      </c>
      <c r="H63">
        <v>8</v>
      </c>
      <c r="I63">
        <v>6364.8</v>
      </c>
      <c r="J63">
        <v>12.124719137043016</v>
      </c>
      <c r="K63">
        <v>9646.4265454314245</v>
      </c>
      <c r="L63">
        <v>11</v>
      </c>
      <c r="M63">
        <v>8751.6</v>
      </c>
      <c r="N63">
        <v>9</v>
      </c>
      <c r="O63">
        <v>7160.4000000000005</v>
      </c>
      <c r="P63">
        <v>8</v>
      </c>
      <c r="Q63">
        <v>6364.8</v>
      </c>
      <c r="R63">
        <v>9</v>
      </c>
      <c r="S63">
        <v>7160.4000000000005</v>
      </c>
      <c r="T63">
        <v>9</v>
      </c>
      <c r="U63">
        <v>7160.4000000000005</v>
      </c>
      <c r="V63">
        <v>10</v>
      </c>
      <c r="W63">
        <v>7956</v>
      </c>
      <c r="X63">
        <v>10</v>
      </c>
      <c r="Y63">
        <v>7956</v>
      </c>
      <c r="Z63">
        <v>10</v>
      </c>
      <c r="AA63">
        <v>7956</v>
      </c>
      <c r="AB63">
        <v>11</v>
      </c>
      <c r="AC63">
        <v>8751.6</v>
      </c>
      <c r="AD63">
        <v>9</v>
      </c>
      <c r="AE63">
        <v>7160.4000000000005</v>
      </c>
      <c r="AF63">
        <v>9</v>
      </c>
      <c r="AG63">
        <v>7160.4000000000005</v>
      </c>
      <c r="AH63">
        <v>8</v>
      </c>
      <c r="AI63">
        <v>6364.8</v>
      </c>
      <c r="AJ63">
        <v>9</v>
      </c>
      <c r="AK63">
        <v>7160.4000000000005</v>
      </c>
      <c r="AL63">
        <v>8</v>
      </c>
      <c r="AM63">
        <v>6364.8</v>
      </c>
      <c r="AN63">
        <v>9</v>
      </c>
      <c r="AO63">
        <v>7160.4000000000005</v>
      </c>
      <c r="AP63">
        <v>12</v>
      </c>
      <c r="AQ63">
        <v>9547.2000000000007</v>
      </c>
      <c r="AR63">
        <v>12</v>
      </c>
      <c r="AS63">
        <v>9547.2000000000007</v>
      </c>
      <c r="AT63">
        <v>11</v>
      </c>
      <c r="AU63">
        <v>8751.6</v>
      </c>
      <c r="AV63">
        <v>9</v>
      </c>
      <c r="AW63">
        <v>7160.4000000000005</v>
      </c>
      <c r="AX63">
        <v>11</v>
      </c>
      <c r="AY63">
        <v>8751.6</v>
      </c>
      <c r="AZ63">
        <v>12</v>
      </c>
      <c r="BA63">
        <v>9547.2000000000007</v>
      </c>
      <c r="BB63">
        <v>13</v>
      </c>
      <c r="BC63">
        <v>10342.800000000001</v>
      </c>
      <c r="BD63">
        <v>10</v>
      </c>
      <c r="BE63">
        <v>7956</v>
      </c>
      <c r="BF63">
        <v>14</v>
      </c>
      <c r="BG63">
        <v>11138.4</v>
      </c>
      <c r="BH63">
        <v>12</v>
      </c>
      <c r="BI63">
        <v>9547.2000000000007</v>
      </c>
      <c r="BJ63">
        <v>11</v>
      </c>
      <c r="BK63">
        <v>8751.6</v>
      </c>
      <c r="BL63">
        <v>16</v>
      </c>
      <c r="BM63">
        <v>12729.6</v>
      </c>
      <c r="BN63">
        <v>9</v>
      </c>
      <c r="BO63">
        <v>7160.4000000000005</v>
      </c>
      <c r="BP63">
        <v>11</v>
      </c>
      <c r="BQ63">
        <v>8751.6</v>
      </c>
      <c r="BR63">
        <v>8</v>
      </c>
      <c r="BS63">
        <v>6364.8</v>
      </c>
      <c r="BT63">
        <v>9</v>
      </c>
      <c r="BU63">
        <v>7160.4000000000005</v>
      </c>
      <c r="BV63">
        <v>11</v>
      </c>
      <c r="BW63">
        <v>8751.6</v>
      </c>
      <c r="BX63">
        <v>9</v>
      </c>
      <c r="BY63">
        <v>7160.4000000000005</v>
      </c>
      <c r="BZ63">
        <v>10</v>
      </c>
      <c r="CA63">
        <v>7956</v>
      </c>
      <c r="CB63">
        <v>8</v>
      </c>
      <c r="CC63">
        <v>6364.8</v>
      </c>
      <c r="CD63">
        <v>11</v>
      </c>
      <c r="CE63">
        <v>8751.6</v>
      </c>
      <c r="CF63">
        <v>12</v>
      </c>
      <c r="CG63">
        <v>9547.2000000000007</v>
      </c>
      <c r="CH63">
        <v>9</v>
      </c>
      <c r="CI63">
        <v>7160.4000000000005</v>
      </c>
      <c r="CJ63">
        <v>13</v>
      </c>
      <c r="CK63">
        <v>10342.800000000001</v>
      </c>
      <c r="CL63">
        <v>13</v>
      </c>
      <c r="CM63">
        <v>10342.800000000001</v>
      </c>
      <c r="CN63">
        <v>13</v>
      </c>
      <c r="CO63">
        <v>10342.800000000001</v>
      </c>
      <c r="CP63">
        <v>12</v>
      </c>
      <c r="CQ63">
        <v>9547.2000000000007</v>
      </c>
      <c r="CR63">
        <v>14</v>
      </c>
      <c r="CS63">
        <v>11138.4</v>
      </c>
      <c r="CT63">
        <v>11</v>
      </c>
      <c r="CU63">
        <v>8751.6</v>
      </c>
    </row>
    <row r="64" spans="2:99" x14ac:dyDescent="0.2">
      <c r="C64" s="118" t="s">
        <v>230</v>
      </c>
      <c r="D64">
        <v>6.098997148436399</v>
      </c>
      <c r="E64">
        <v>6155.1079222020126</v>
      </c>
      <c r="F64">
        <v>12</v>
      </c>
      <c r="G64">
        <v>12110.399999999998</v>
      </c>
      <c r="H64">
        <v>7</v>
      </c>
      <c r="I64">
        <v>7064.3999999999987</v>
      </c>
      <c r="J64">
        <v>12.038202280347399</v>
      </c>
      <c r="K64">
        <v>12148.953741326593</v>
      </c>
      <c r="L64">
        <v>12</v>
      </c>
      <c r="M64">
        <v>12110.399999999998</v>
      </c>
      <c r="N64">
        <v>9</v>
      </c>
      <c r="O64">
        <v>9082.7999999999993</v>
      </c>
      <c r="P64">
        <v>9</v>
      </c>
      <c r="Q64">
        <v>9082.7999999999993</v>
      </c>
      <c r="R64">
        <v>7</v>
      </c>
      <c r="S64">
        <v>7064.3999999999987</v>
      </c>
      <c r="T64">
        <v>9</v>
      </c>
      <c r="U64">
        <v>9082.7999999999993</v>
      </c>
      <c r="V64">
        <v>9</v>
      </c>
      <c r="W64">
        <v>9082.7999999999993</v>
      </c>
      <c r="X64">
        <v>9</v>
      </c>
      <c r="Y64">
        <v>9082.7999999999993</v>
      </c>
      <c r="Z64">
        <v>11</v>
      </c>
      <c r="AA64">
        <v>11101.199999999997</v>
      </c>
      <c r="AB64">
        <v>12</v>
      </c>
      <c r="AC64">
        <v>12110.399999999998</v>
      </c>
      <c r="AD64">
        <v>8</v>
      </c>
      <c r="AE64">
        <v>8073.5999999999985</v>
      </c>
      <c r="AF64">
        <v>9</v>
      </c>
      <c r="AG64">
        <v>9082.7999999999993</v>
      </c>
      <c r="AH64">
        <v>8</v>
      </c>
      <c r="AI64">
        <v>8073.5999999999985</v>
      </c>
      <c r="AJ64">
        <v>9</v>
      </c>
      <c r="AK64">
        <v>9082.7999999999993</v>
      </c>
      <c r="AL64">
        <v>7</v>
      </c>
      <c r="AM64">
        <v>7064.3999999999987</v>
      </c>
      <c r="AN64">
        <v>8</v>
      </c>
      <c r="AO64">
        <v>8073.5999999999985</v>
      </c>
      <c r="AP64">
        <v>12</v>
      </c>
      <c r="AQ64">
        <v>12110.399999999998</v>
      </c>
      <c r="AR64">
        <v>13</v>
      </c>
      <c r="AS64">
        <v>13119.599999999999</v>
      </c>
      <c r="AT64">
        <v>10</v>
      </c>
      <c r="AU64">
        <v>10091.999999999998</v>
      </c>
      <c r="AV64">
        <v>9</v>
      </c>
      <c r="AW64">
        <v>9082.7999999999993</v>
      </c>
      <c r="AX64">
        <v>10</v>
      </c>
      <c r="AY64">
        <v>10091.999999999998</v>
      </c>
      <c r="AZ64">
        <v>12</v>
      </c>
      <c r="BA64">
        <v>12110.399999999998</v>
      </c>
      <c r="BB64">
        <v>12</v>
      </c>
      <c r="BC64">
        <v>12110.399999999998</v>
      </c>
      <c r="BD64">
        <v>11</v>
      </c>
      <c r="BE64">
        <v>11101.199999999997</v>
      </c>
      <c r="BF64">
        <v>15</v>
      </c>
      <c r="BG64">
        <v>15137.999999999996</v>
      </c>
      <c r="BH64">
        <v>10</v>
      </c>
      <c r="BI64">
        <v>10091.999999999998</v>
      </c>
      <c r="BJ64">
        <v>11</v>
      </c>
      <c r="BK64">
        <v>11101.199999999997</v>
      </c>
      <c r="BL64">
        <v>16</v>
      </c>
      <c r="BM64">
        <v>16147.199999999997</v>
      </c>
      <c r="BN64">
        <v>7</v>
      </c>
      <c r="BO64">
        <v>7064.3999999999987</v>
      </c>
      <c r="BP64">
        <v>9</v>
      </c>
      <c r="BQ64">
        <v>9082.7999999999993</v>
      </c>
      <c r="BR64">
        <v>9</v>
      </c>
      <c r="BS64">
        <v>9082.7999999999993</v>
      </c>
      <c r="BT64">
        <v>8</v>
      </c>
      <c r="BU64">
        <v>8073.5999999999985</v>
      </c>
      <c r="BV64">
        <v>12</v>
      </c>
      <c r="BW64">
        <v>12110.399999999998</v>
      </c>
      <c r="BX64">
        <v>11</v>
      </c>
      <c r="BY64">
        <v>11101.199999999997</v>
      </c>
      <c r="BZ64">
        <v>10</v>
      </c>
      <c r="CA64">
        <v>10091.999999999998</v>
      </c>
      <c r="CB64">
        <v>7</v>
      </c>
      <c r="CC64">
        <v>7064.3999999999987</v>
      </c>
      <c r="CD64">
        <v>11</v>
      </c>
      <c r="CE64">
        <v>11101.199999999997</v>
      </c>
      <c r="CF64">
        <v>13</v>
      </c>
      <c r="CG64">
        <v>13119.599999999999</v>
      </c>
      <c r="CH64">
        <v>10</v>
      </c>
      <c r="CI64">
        <v>10091.999999999998</v>
      </c>
      <c r="CJ64">
        <v>12</v>
      </c>
      <c r="CK64">
        <v>12110.399999999998</v>
      </c>
      <c r="CL64">
        <v>13</v>
      </c>
      <c r="CM64">
        <v>13119.599999999999</v>
      </c>
      <c r="CN64">
        <v>13</v>
      </c>
      <c r="CO64">
        <v>13119.599999999999</v>
      </c>
      <c r="CP64">
        <v>13</v>
      </c>
      <c r="CQ64">
        <v>13119.599999999999</v>
      </c>
      <c r="CR64">
        <v>12</v>
      </c>
      <c r="CS64">
        <v>12110.399999999998</v>
      </c>
      <c r="CT64">
        <v>11</v>
      </c>
      <c r="CU64">
        <v>11101.199999999997</v>
      </c>
    </row>
    <row r="65" spans="2:99" x14ac:dyDescent="0.2">
      <c r="C65" s="118" t="s">
        <v>231</v>
      </c>
      <c r="D65">
        <v>6.098997148436399</v>
      </c>
      <c r="E65">
        <v>6257.5710742957453</v>
      </c>
      <c r="F65">
        <v>13</v>
      </c>
      <c r="G65">
        <v>13338</v>
      </c>
      <c r="H65">
        <v>7</v>
      </c>
      <c r="I65">
        <v>7182</v>
      </c>
      <c r="J65">
        <v>11.038202280347399</v>
      </c>
      <c r="K65">
        <v>11325.195539636432</v>
      </c>
      <c r="L65">
        <v>10</v>
      </c>
      <c r="M65">
        <v>10260</v>
      </c>
      <c r="N65">
        <v>8</v>
      </c>
      <c r="O65">
        <v>8208</v>
      </c>
      <c r="P65">
        <v>8</v>
      </c>
      <c r="Q65">
        <v>8208</v>
      </c>
      <c r="R65">
        <v>8</v>
      </c>
      <c r="S65">
        <v>8208</v>
      </c>
      <c r="T65">
        <v>8</v>
      </c>
      <c r="U65">
        <v>8208</v>
      </c>
      <c r="V65">
        <v>9</v>
      </c>
      <c r="W65">
        <v>9234</v>
      </c>
      <c r="X65">
        <v>9</v>
      </c>
      <c r="Y65">
        <v>9234</v>
      </c>
      <c r="Z65">
        <v>10</v>
      </c>
      <c r="AA65">
        <v>10260</v>
      </c>
      <c r="AB65">
        <v>11</v>
      </c>
      <c r="AC65">
        <v>11286</v>
      </c>
      <c r="AD65">
        <v>9</v>
      </c>
      <c r="AE65">
        <v>9234</v>
      </c>
      <c r="AF65">
        <v>10</v>
      </c>
      <c r="AG65">
        <v>10260</v>
      </c>
      <c r="AH65">
        <v>9</v>
      </c>
      <c r="AI65">
        <v>9234</v>
      </c>
      <c r="AJ65">
        <v>9</v>
      </c>
      <c r="AK65">
        <v>9234</v>
      </c>
      <c r="AL65">
        <v>8</v>
      </c>
      <c r="AM65">
        <v>8208</v>
      </c>
      <c r="AN65">
        <v>9</v>
      </c>
      <c r="AO65">
        <v>9234</v>
      </c>
      <c r="AP65">
        <v>12</v>
      </c>
      <c r="AQ65">
        <v>12312</v>
      </c>
      <c r="AR65">
        <v>13</v>
      </c>
      <c r="AS65">
        <v>13338</v>
      </c>
      <c r="AT65">
        <v>10</v>
      </c>
      <c r="AU65">
        <v>10260</v>
      </c>
      <c r="AV65">
        <v>11</v>
      </c>
      <c r="AW65">
        <v>11286</v>
      </c>
      <c r="AX65">
        <v>11</v>
      </c>
      <c r="AY65">
        <v>11286</v>
      </c>
      <c r="AZ65">
        <v>11</v>
      </c>
      <c r="BA65">
        <v>11286</v>
      </c>
      <c r="BB65">
        <v>12</v>
      </c>
      <c r="BC65">
        <v>12312</v>
      </c>
      <c r="BD65">
        <v>10</v>
      </c>
      <c r="BE65">
        <v>10260</v>
      </c>
      <c r="BF65">
        <v>15</v>
      </c>
      <c r="BG65">
        <v>15390</v>
      </c>
      <c r="BH65">
        <v>10</v>
      </c>
      <c r="BI65">
        <v>10260</v>
      </c>
      <c r="BJ65">
        <v>10</v>
      </c>
      <c r="BK65">
        <v>10260</v>
      </c>
      <c r="BL65">
        <v>16</v>
      </c>
      <c r="BM65">
        <v>16416</v>
      </c>
      <c r="BN65">
        <v>8</v>
      </c>
      <c r="BO65">
        <v>8208</v>
      </c>
      <c r="BP65">
        <v>10</v>
      </c>
      <c r="BQ65">
        <v>10260</v>
      </c>
      <c r="BR65">
        <v>8</v>
      </c>
      <c r="BS65">
        <v>8208</v>
      </c>
      <c r="BT65">
        <v>9</v>
      </c>
      <c r="BU65">
        <v>9234</v>
      </c>
      <c r="BV65">
        <v>11</v>
      </c>
      <c r="BW65">
        <v>11286</v>
      </c>
      <c r="BX65">
        <v>10</v>
      </c>
      <c r="BY65">
        <v>10260</v>
      </c>
      <c r="BZ65">
        <v>10</v>
      </c>
      <c r="CA65">
        <v>10260</v>
      </c>
      <c r="CB65">
        <v>7</v>
      </c>
      <c r="CC65">
        <v>7182</v>
      </c>
      <c r="CD65">
        <v>10</v>
      </c>
      <c r="CE65">
        <v>10260</v>
      </c>
      <c r="CF65">
        <v>12</v>
      </c>
      <c r="CG65">
        <v>12312</v>
      </c>
      <c r="CH65">
        <v>10</v>
      </c>
      <c r="CI65">
        <v>10260</v>
      </c>
      <c r="CJ65">
        <v>12</v>
      </c>
      <c r="CK65">
        <v>12312</v>
      </c>
      <c r="CL65">
        <v>13</v>
      </c>
      <c r="CM65">
        <v>13338</v>
      </c>
      <c r="CN65">
        <v>12</v>
      </c>
      <c r="CO65">
        <v>12312</v>
      </c>
      <c r="CP65">
        <v>12</v>
      </c>
      <c r="CQ65">
        <v>12312</v>
      </c>
      <c r="CR65">
        <v>13</v>
      </c>
      <c r="CS65">
        <v>13338</v>
      </c>
      <c r="CT65">
        <v>12</v>
      </c>
      <c r="CU65">
        <v>12312</v>
      </c>
    </row>
    <row r="66" spans="2:99" x14ac:dyDescent="0.2">
      <c r="C66" s="118" t="s">
        <v>232</v>
      </c>
      <c r="D66">
        <v>5.590747386066699</v>
      </c>
      <c r="E66">
        <v>6655.2256883737973</v>
      </c>
      <c r="F66">
        <v>11.910668211872334</v>
      </c>
      <c r="G66">
        <v>14178.459439412825</v>
      </c>
      <c r="H66">
        <v>7</v>
      </c>
      <c r="I66">
        <v>8332.7999999999993</v>
      </c>
      <c r="J66">
        <v>11.951685423651783</v>
      </c>
      <c r="K66">
        <v>14227.286328315082</v>
      </c>
      <c r="L66">
        <v>12</v>
      </c>
      <c r="M66">
        <v>14284.8</v>
      </c>
      <c r="N66">
        <v>10</v>
      </c>
      <c r="O66">
        <v>11903.999999999998</v>
      </c>
      <c r="P66">
        <v>8</v>
      </c>
      <c r="Q66">
        <v>9523.1999999999989</v>
      </c>
      <c r="R66">
        <v>7</v>
      </c>
      <c r="S66">
        <v>8332.7999999999993</v>
      </c>
      <c r="T66">
        <v>8</v>
      </c>
      <c r="U66">
        <v>9523.1999999999989</v>
      </c>
      <c r="V66">
        <v>9</v>
      </c>
      <c r="W66">
        <v>10713.599999999999</v>
      </c>
      <c r="X66">
        <v>10</v>
      </c>
      <c r="Y66">
        <v>11903.999999999998</v>
      </c>
      <c r="Z66">
        <v>10</v>
      </c>
      <c r="AA66">
        <v>11903.999999999998</v>
      </c>
      <c r="AB66">
        <v>11</v>
      </c>
      <c r="AC66">
        <v>13094.399999999998</v>
      </c>
      <c r="AD66">
        <v>8</v>
      </c>
      <c r="AE66">
        <v>9523.1999999999989</v>
      </c>
      <c r="AF66">
        <v>9</v>
      </c>
      <c r="AG66">
        <v>10713.599999999999</v>
      </c>
      <c r="AH66">
        <v>9</v>
      </c>
      <c r="AI66">
        <v>10713.599999999999</v>
      </c>
      <c r="AJ66">
        <v>10</v>
      </c>
      <c r="AK66">
        <v>11903.999999999998</v>
      </c>
      <c r="AL66">
        <v>7</v>
      </c>
      <c r="AM66">
        <v>8332.7999999999993</v>
      </c>
      <c r="AN66">
        <v>9</v>
      </c>
      <c r="AO66">
        <v>10713.599999999999</v>
      </c>
      <c r="AP66">
        <v>12</v>
      </c>
      <c r="AQ66">
        <v>14284.8</v>
      </c>
      <c r="AR66">
        <v>13</v>
      </c>
      <c r="AS66">
        <v>15475.199999999999</v>
      </c>
      <c r="AT66">
        <v>11</v>
      </c>
      <c r="AU66">
        <v>13094.399999999998</v>
      </c>
      <c r="AV66">
        <v>10</v>
      </c>
      <c r="AW66">
        <v>11903.999999999998</v>
      </c>
      <c r="AX66">
        <v>10</v>
      </c>
      <c r="AY66">
        <v>11903.999999999998</v>
      </c>
      <c r="AZ66">
        <v>10</v>
      </c>
      <c r="BA66">
        <v>11903.999999999998</v>
      </c>
      <c r="BB66">
        <v>12</v>
      </c>
      <c r="BC66">
        <v>14284.8</v>
      </c>
      <c r="BD66">
        <v>10</v>
      </c>
      <c r="BE66">
        <v>11903.999999999998</v>
      </c>
      <c r="BF66">
        <v>14</v>
      </c>
      <c r="BG66">
        <v>16665.599999999999</v>
      </c>
      <c r="BH66">
        <v>12</v>
      </c>
      <c r="BI66">
        <v>14284.8</v>
      </c>
      <c r="BJ66">
        <v>11</v>
      </c>
      <c r="BK66">
        <v>13094.399999999998</v>
      </c>
      <c r="BL66">
        <v>15</v>
      </c>
      <c r="BM66">
        <v>17855.999999999996</v>
      </c>
      <c r="BN66">
        <v>8</v>
      </c>
      <c r="BO66">
        <v>9523.1999999999989</v>
      </c>
      <c r="BP66">
        <v>11</v>
      </c>
      <c r="BQ66">
        <v>13094.399999999998</v>
      </c>
      <c r="BR66">
        <v>9</v>
      </c>
      <c r="BS66">
        <v>10713.599999999999</v>
      </c>
      <c r="BT66">
        <v>8</v>
      </c>
      <c r="BU66">
        <v>9523.1999999999989</v>
      </c>
      <c r="BV66">
        <v>11</v>
      </c>
      <c r="BW66">
        <v>13094.399999999998</v>
      </c>
      <c r="BX66">
        <v>10</v>
      </c>
      <c r="BY66">
        <v>11903.999999999998</v>
      </c>
      <c r="BZ66">
        <v>11</v>
      </c>
      <c r="CA66">
        <v>13094.399999999998</v>
      </c>
      <c r="CB66">
        <v>8</v>
      </c>
      <c r="CC66">
        <v>9523.1999999999989</v>
      </c>
      <c r="CD66">
        <v>10</v>
      </c>
      <c r="CE66">
        <v>11903.999999999998</v>
      </c>
      <c r="CF66">
        <v>12</v>
      </c>
      <c r="CG66">
        <v>14284.8</v>
      </c>
      <c r="CH66">
        <v>10</v>
      </c>
      <c r="CI66">
        <v>11903.999999999998</v>
      </c>
      <c r="CJ66">
        <v>13</v>
      </c>
      <c r="CK66">
        <v>15475.199999999999</v>
      </c>
      <c r="CL66">
        <v>14</v>
      </c>
      <c r="CM66">
        <v>16665.599999999999</v>
      </c>
      <c r="CN66">
        <v>12</v>
      </c>
      <c r="CO66">
        <v>14284.8</v>
      </c>
      <c r="CP66">
        <v>11</v>
      </c>
      <c r="CQ66">
        <v>13094.399999999998</v>
      </c>
      <c r="CR66">
        <v>13</v>
      </c>
      <c r="CS66">
        <v>15475.199999999999</v>
      </c>
      <c r="CT66">
        <v>10</v>
      </c>
      <c r="CU66">
        <v>11903.999999999998</v>
      </c>
    </row>
    <row r="67" spans="2:99" x14ac:dyDescent="0.2">
      <c r="C67" s="118" t="s">
        <v>233</v>
      </c>
      <c r="D67">
        <v>6.098997148436399</v>
      </c>
      <c r="E67">
        <v>6850.3935971237634</v>
      </c>
      <c r="F67">
        <v>13</v>
      </c>
      <c r="G67">
        <v>14601.6</v>
      </c>
      <c r="H67">
        <v>7</v>
      </c>
      <c r="I67">
        <v>7862.4000000000005</v>
      </c>
      <c r="J67">
        <v>10.908426995303975</v>
      </c>
      <c r="K67">
        <v>12252.345201125425</v>
      </c>
      <c r="L67">
        <v>12</v>
      </c>
      <c r="M67">
        <v>13478.400000000001</v>
      </c>
      <c r="N67">
        <v>10</v>
      </c>
      <c r="O67">
        <v>11232</v>
      </c>
      <c r="P67">
        <v>9</v>
      </c>
      <c r="Q67">
        <v>10108.800000000001</v>
      </c>
      <c r="R67">
        <v>8</v>
      </c>
      <c r="S67">
        <v>8985.6</v>
      </c>
      <c r="T67">
        <v>7</v>
      </c>
      <c r="U67">
        <v>7862.4000000000005</v>
      </c>
      <c r="V67">
        <v>9</v>
      </c>
      <c r="W67">
        <v>10108.800000000001</v>
      </c>
      <c r="X67">
        <v>11</v>
      </c>
      <c r="Y67">
        <v>12355.2</v>
      </c>
      <c r="Z67">
        <v>10</v>
      </c>
      <c r="AA67">
        <v>11232</v>
      </c>
      <c r="AB67">
        <v>11</v>
      </c>
      <c r="AC67">
        <v>12355.2</v>
      </c>
      <c r="AD67">
        <v>8</v>
      </c>
      <c r="AE67">
        <v>8985.6</v>
      </c>
      <c r="AF67">
        <v>10</v>
      </c>
      <c r="AG67">
        <v>11232</v>
      </c>
      <c r="AH67">
        <v>8</v>
      </c>
      <c r="AI67">
        <v>8985.6</v>
      </c>
      <c r="AJ67">
        <v>9</v>
      </c>
      <c r="AK67">
        <v>10108.800000000001</v>
      </c>
      <c r="AL67">
        <v>7</v>
      </c>
      <c r="AM67">
        <v>7862.4000000000005</v>
      </c>
      <c r="AN67">
        <v>8</v>
      </c>
      <c r="AO67">
        <v>8985.6</v>
      </c>
      <c r="AP67">
        <v>12</v>
      </c>
      <c r="AQ67">
        <v>13478.400000000001</v>
      </c>
      <c r="AR67">
        <v>13</v>
      </c>
      <c r="AS67">
        <v>14601.6</v>
      </c>
      <c r="AT67">
        <v>12</v>
      </c>
      <c r="AU67">
        <v>13478.400000000001</v>
      </c>
      <c r="AV67">
        <v>10</v>
      </c>
      <c r="AW67">
        <v>11232</v>
      </c>
      <c r="AX67">
        <v>10</v>
      </c>
      <c r="AY67">
        <v>11232</v>
      </c>
      <c r="AZ67">
        <v>11</v>
      </c>
      <c r="BA67">
        <v>12355.2</v>
      </c>
      <c r="BB67">
        <v>13</v>
      </c>
      <c r="BC67">
        <v>14601.6</v>
      </c>
      <c r="BD67">
        <v>11</v>
      </c>
      <c r="BE67">
        <v>12355.2</v>
      </c>
      <c r="BF67">
        <v>13</v>
      </c>
      <c r="BG67">
        <v>14601.6</v>
      </c>
      <c r="BH67">
        <v>12</v>
      </c>
      <c r="BI67">
        <v>13478.400000000001</v>
      </c>
      <c r="BJ67">
        <v>11</v>
      </c>
      <c r="BK67">
        <v>12355.2</v>
      </c>
      <c r="BL67">
        <v>15</v>
      </c>
      <c r="BM67">
        <v>16848</v>
      </c>
      <c r="BN67">
        <v>8</v>
      </c>
      <c r="BO67">
        <v>8985.6</v>
      </c>
      <c r="BP67">
        <v>10</v>
      </c>
      <c r="BQ67">
        <v>11232</v>
      </c>
      <c r="BR67">
        <v>9</v>
      </c>
      <c r="BS67">
        <v>10108.800000000001</v>
      </c>
      <c r="BT67">
        <v>9</v>
      </c>
      <c r="BU67">
        <v>10108.800000000001</v>
      </c>
      <c r="BV67">
        <v>11</v>
      </c>
      <c r="BW67">
        <v>12355.2</v>
      </c>
      <c r="BX67">
        <v>9</v>
      </c>
      <c r="BY67">
        <v>10108.800000000001</v>
      </c>
      <c r="BZ67">
        <v>10</v>
      </c>
      <c r="CA67">
        <v>11232</v>
      </c>
      <c r="CB67">
        <v>8</v>
      </c>
      <c r="CC67">
        <v>8985.6</v>
      </c>
      <c r="CD67">
        <v>10</v>
      </c>
      <c r="CE67">
        <v>11232</v>
      </c>
      <c r="CF67">
        <v>12</v>
      </c>
      <c r="CG67">
        <v>13478.400000000001</v>
      </c>
      <c r="CH67">
        <v>10</v>
      </c>
      <c r="CI67">
        <v>11232</v>
      </c>
      <c r="CJ67">
        <v>12</v>
      </c>
      <c r="CK67">
        <v>13478.400000000001</v>
      </c>
      <c r="CL67">
        <v>13</v>
      </c>
      <c r="CM67">
        <v>14601.6</v>
      </c>
      <c r="CN67">
        <v>12</v>
      </c>
      <c r="CO67">
        <v>13478.400000000001</v>
      </c>
      <c r="CP67">
        <v>13</v>
      </c>
      <c r="CQ67">
        <v>14601.6</v>
      </c>
      <c r="CR67">
        <v>13</v>
      </c>
      <c r="CS67">
        <v>14601.6</v>
      </c>
      <c r="CT67">
        <v>12</v>
      </c>
      <c r="CU67">
        <v>13478.400000000001</v>
      </c>
    </row>
    <row r="68" spans="2:99" x14ac:dyDescent="0.2">
      <c r="C68" s="118" t="s">
        <v>234</v>
      </c>
      <c r="D68">
        <v>5.590747386066699</v>
      </c>
      <c r="E68">
        <v>5776.3601992841141</v>
      </c>
      <c r="F68">
        <v>13</v>
      </c>
      <c r="G68">
        <v>13431.6</v>
      </c>
      <c r="H68">
        <v>8</v>
      </c>
      <c r="I68">
        <v>8265.6</v>
      </c>
      <c r="J68">
        <v>11.994943851999592</v>
      </c>
      <c r="K68">
        <v>12393.175987885979</v>
      </c>
      <c r="L68">
        <v>12</v>
      </c>
      <c r="M68">
        <v>12398.400000000001</v>
      </c>
      <c r="N68">
        <v>9</v>
      </c>
      <c r="O68">
        <v>9298.8000000000011</v>
      </c>
      <c r="P68">
        <v>8</v>
      </c>
      <c r="Q68">
        <v>8265.6</v>
      </c>
      <c r="R68">
        <v>8</v>
      </c>
      <c r="S68">
        <v>8265.6</v>
      </c>
      <c r="T68">
        <v>8</v>
      </c>
      <c r="U68">
        <v>8265.6</v>
      </c>
      <c r="V68">
        <v>9</v>
      </c>
      <c r="W68">
        <v>9298.8000000000011</v>
      </c>
      <c r="X68">
        <v>9</v>
      </c>
      <c r="Y68">
        <v>9298.8000000000011</v>
      </c>
      <c r="Z68">
        <v>11</v>
      </c>
      <c r="AA68">
        <v>11365.2</v>
      </c>
      <c r="AB68">
        <v>11</v>
      </c>
      <c r="AC68">
        <v>11365.2</v>
      </c>
      <c r="AD68">
        <v>8</v>
      </c>
      <c r="AE68">
        <v>8265.6</v>
      </c>
      <c r="AF68">
        <v>8</v>
      </c>
      <c r="AG68">
        <v>8265.6</v>
      </c>
      <c r="AH68">
        <v>9</v>
      </c>
      <c r="AI68">
        <v>9298.8000000000011</v>
      </c>
      <c r="AJ68">
        <v>10</v>
      </c>
      <c r="AK68">
        <v>10332</v>
      </c>
      <c r="AL68">
        <v>7</v>
      </c>
      <c r="AM68">
        <v>7232.4000000000005</v>
      </c>
      <c r="AN68">
        <v>9</v>
      </c>
      <c r="AO68">
        <v>9298.8000000000011</v>
      </c>
      <c r="AP68">
        <v>12</v>
      </c>
      <c r="AQ68">
        <v>12398.400000000001</v>
      </c>
      <c r="AR68">
        <v>12</v>
      </c>
      <c r="AS68">
        <v>12398.400000000001</v>
      </c>
      <c r="AT68">
        <v>12</v>
      </c>
      <c r="AU68">
        <v>12398.400000000001</v>
      </c>
      <c r="AV68">
        <v>9</v>
      </c>
      <c r="AW68">
        <v>9298.8000000000011</v>
      </c>
      <c r="AX68">
        <v>10</v>
      </c>
      <c r="AY68">
        <v>10332</v>
      </c>
      <c r="AZ68">
        <v>11</v>
      </c>
      <c r="BA68">
        <v>11365.2</v>
      </c>
      <c r="BB68">
        <v>13</v>
      </c>
      <c r="BC68">
        <v>13431.6</v>
      </c>
      <c r="BD68">
        <v>9</v>
      </c>
      <c r="BE68">
        <v>9298.8000000000011</v>
      </c>
      <c r="BF68">
        <v>14</v>
      </c>
      <c r="BG68">
        <v>14464.800000000001</v>
      </c>
      <c r="BH68">
        <v>12</v>
      </c>
      <c r="BI68">
        <v>12398.400000000001</v>
      </c>
      <c r="BJ68">
        <v>11</v>
      </c>
      <c r="BK68">
        <v>11365.2</v>
      </c>
      <c r="BL68">
        <v>14</v>
      </c>
      <c r="BM68">
        <v>14464.800000000001</v>
      </c>
      <c r="BN68">
        <v>8</v>
      </c>
      <c r="BO68">
        <v>8265.6</v>
      </c>
      <c r="BP68">
        <v>11</v>
      </c>
      <c r="BQ68">
        <v>11365.2</v>
      </c>
      <c r="BR68">
        <v>9</v>
      </c>
      <c r="BS68">
        <v>9298.8000000000011</v>
      </c>
      <c r="BT68">
        <v>9</v>
      </c>
      <c r="BU68">
        <v>9298.8000000000011</v>
      </c>
      <c r="BV68">
        <v>11</v>
      </c>
      <c r="BW68">
        <v>11365.2</v>
      </c>
      <c r="BX68">
        <v>9</v>
      </c>
      <c r="BY68">
        <v>9298.8000000000011</v>
      </c>
      <c r="BZ68">
        <v>11</v>
      </c>
      <c r="CA68">
        <v>11365.2</v>
      </c>
      <c r="CB68">
        <v>7</v>
      </c>
      <c r="CC68">
        <v>7232.4000000000005</v>
      </c>
      <c r="CD68">
        <v>11</v>
      </c>
      <c r="CE68">
        <v>11365.2</v>
      </c>
      <c r="CF68">
        <v>13</v>
      </c>
      <c r="CG68">
        <v>13431.6</v>
      </c>
      <c r="CH68">
        <v>10</v>
      </c>
      <c r="CI68">
        <v>10332</v>
      </c>
      <c r="CJ68">
        <v>13</v>
      </c>
      <c r="CK68">
        <v>13431.6</v>
      </c>
      <c r="CL68">
        <v>13</v>
      </c>
      <c r="CM68">
        <v>13431.6</v>
      </c>
      <c r="CN68">
        <v>13</v>
      </c>
      <c r="CO68">
        <v>13431.6</v>
      </c>
      <c r="CP68">
        <v>12</v>
      </c>
      <c r="CQ68">
        <v>12398.400000000001</v>
      </c>
      <c r="CR68">
        <v>13</v>
      </c>
      <c r="CS68">
        <v>13431.6</v>
      </c>
      <c r="CT68">
        <v>11</v>
      </c>
      <c r="CU68">
        <v>11365.2</v>
      </c>
    </row>
    <row r="69" spans="2:99" x14ac:dyDescent="0.2">
      <c r="C69" s="118" t="s">
        <v>235</v>
      </c>
      <c r="D69">
        <v>6.098997148436399</v>
      </c>
      <c r="E69">
        <v>4625.4794373741652</v>
      </c>
      <c r="F69">
        <v>12</v>
      </c>
      <c r="G69">
        <v>9100.7999999999993</v>
      </c>
      <c r="H69">
        <v>7</v>
      </c>
      <c r="I69">
        <v>5308.8</v>
      </c>
      <c r="J69">
        <v>11.124719137043016</v>
      </c>
      <c r="K69">
        <v>8436.9869935334227</v>
      </c>
      <c r="L69">
        <v>11</v>
      </c>
      <c r="M69">
        <v>8342.4</v>
      </c>
      <c r="N69">
        <v>8</v>
      </c>
      <c r="O69">
        <v>6067.2</v>
      </c>
      <c r="P69">
        <v>9</v>
      </c>
      <c r="Q69">
        <v>6825.5999999999995</v>
      </c>
      <c r="R69">
        <v>8</v>
      </c>
      <c r="S69">
        <v>6067.2</v>
      </c>
      <c r="T69">
        <v>9</v>
      </c>
      <c r="U69">
        <v>6825.5999999999995</v>
      </c>
      <c r="V69">
        <v>10</v>
      </c>
      <c r="W69">
        <v>7584</v>
      </c>
      <c r="X69">
        <v>11</v>
      </c>
      <c r="Y69">
        <v>8342.4</v>
      </c>
      <c r="Z69">
        <v>10</v>
      </c>
      <c r="AA69">
        <v>7584</v>
      </c>
      <c r="AB69">
        <v>12</v>
      </c>
      <c r="AC69">
        <v>9100.7999999999993</v>
      </c>
      <c r="AD69">
        <v>10</v>
      </c>
      <c r="AE69">
        <v>7584</v>
      </c>
      <c r="AF69">
        <v>9</v>
      </c>
      <c r="AG69">
        <v>6825.5999999999995</v>
      </c>
      <c r="AH69">
        <v>9</v>
      </c>
      <c r="AI69">
        <v>6825.5999999999995</v>
      </c>
      <c r="AJ69">
        <v>9</v>
      </c>
      <c r="AK69">
        <v>6825.5999999999995</v>
      </c>
      <c r="AL69">
        <v>8</v>
      </c>
      <c r="AM69">
        <v>6067.2</v>
      </c>
      <c r="AN69">
        <v>8</v>
      </c>
      <c r="AO69">
        <v>6067.2</v>
      </c>
      <c r="AP69">
        <v>12</v>
      </c>
      <c r="AQ69">
        <v>9100.7999999999993</v>
      </c>
      <c r="AR69">
        <v>12</v>
      </c>
      <c r="AS69">
        <v>9100.7999999999993</v>
      </c>
      <c r="AT69">
        <v>11</v>
      </c>
      <c r="AU69">
        <v>8342.4</v>
      </c>
      <c r="AV69">
        <v>10</v>
      </c>
      <c r="AW69">
        <v>7584</v>
      </c>
      <c r="AX69">
        <v>10</v>
      </c>
      <c r="AY69">
        <v>7584</v>
      </c>
      <c r="AZ69">
        <v>11</v>
      </c>
      <c r="BA69">
        <v>8342.4</v>
      </c>
      <c r="BB69">
        <v>11</v>
      </c>
      <c r="BC69">
        <v>8342.4</v>
      </c>
      <c r="BD69">
        <v>11</v>
      </c>
      <c r="BE69">
        <v>8342.4</v>
      </c>
      <c r="BF69">
        <v>13</v>
      </c>
      <c r="BG69">
        <v>9859.1999999999989</v>
      </c>
      <c r="BH69">
        <v>12</v>
      </c>
      <c r="BI69">
        <v>9100.7999999999993</v>
      </c>
      <c r="BJ69">
        <v>11</v>
      </c>
      <c r="BK69">
        <v>8342.4</v>
      </c>
      <c r="BL69">
        <v>15</v>
      </c>
      <c r="BM69">
        <v>11376</v>
      </c>
      <c r="BN69">
        <v>9</v>
      </c>
      <c r="BO69">
        <v>6825.5999999999995</v>
      </c>
      <c r="BP69">
        <v>10</v>
      </c>
      <c r="BQ69">
        <v>7584</v>
      </c>
      <c r="BR69">
        <v>9</v>
      </c>
      <c r="BS69">
        <v>6825.5999999999995</v>
      </c>
      <c r="BT69">
        <v>8</v>
      </c>
      <c r="BU69">
        <v>6067.2</v>
      </c>
      <c r="BV69">
        <v>12</v>
      </c>
      <c r="BW69">
        <v>9100.7999999999993</v>
      </c>
      <c r="BX69">
        <v>10</v>
      </c>
      <c r="BY69">
        <v>7584</v>
      </c>
      <c r="BZ69">
        <v>11</v>
      </c>
      <c r="CA69">
        <v>8342.4</v>
      </c>
      <c r="CB69">
        <v>8</v>
      </c>
      <c r="CC69">
        <v>6067.2</v>
      </c>
      <c r="CD69">
        <v>11</v>
      </c>
      <c r="CE69">
        <v>8342.4</v>
      </c>
      <c r="CF69">
        <v>11</v>
      </c>
      <c r="CG69">
        <v>8342.4</v>
      </c>
      <c r="CH69">
        <v>10</v>
      </c>
      <c r="CI69">
        <v>7584</v>
      </c>
      <c r="CJ69">
        <v>13</v>
      </c>
      <c r="CK69">
        <v>9859.1999999999989</v>
      </c>
      <c r="CL69">
        <v>15</v>
      </c>
      <c r="CM69">
        <v>11376</v>
      </c>
      <c r="CN69">
        <v>14</v>
      </c>
      <c r="CO69">
        <v>10617.6</v>
      </c>
      <c r="CP69">
        <v>13</v>
      </c>
      <c r="CQ69">
        <v>9859.1999999999989</v>
      </c>
      <c r="CR69">
        <v>13</v>
      </c>
      <c r="CS69">
        <v>9859.1999999999989</v>
      </c>
      <c r="CT69">
        <v>11</v>
      </c>
      <c r="CU69">
        <v>8342.4</v>
      </c>
    </row>
    <row r="70" spans="2:99" x14ac:dyDescent="0.2">
      <c r="C70" s="118" t="s">
        <v>236</v>
      </c>
      <c r="D70">
        <v>5.590747386066699</v>
      </c>
      <c r="E70">
        <v>2992.168001022897</v>
      </c>
      <c r="F70">
        <v>13</v>
      </c>
      <c r="G70">
        <v>6957.5999999999995</v>
      </c>
      <c r="H70">
        <v>8</v>
      </c>
      <c r="I70">
        <v>4281.5999999999995</v>
      </c>
      <c r="J70">
        <v>12.167977565390824</v>
      </c>
      <c r="K70">
        <v>6512.301592997168</v>
      </c>
      <c r="L70">
        <v>11</v>
      </c>
      <c r="M70">
        <v>5887.1999999999989</v>
      </c>
      <c r="N70">
        <v>10</v>
      </c>
      <c r="O70">
        <v>5351.9999999999991</v>
      </c>
      <c r="P70">
        <v>9</v>
      </c>
      <c r="Q70">
        <v>4816.7999999999993</v>
      </c>
      <c r="R70">
        <v>9</v>
      </c>
      <c r="S70">
        <v>4816.7999999999993</v>
      </c>
      <c r="T70">
        <v>8</v>
      </c>
      <c r="U70">
        <v>4281.5999999999995</v>
      </c>
      <c r="V70">
        <v>10</v>
      </c>
      <c r="W70">
        <v>5351.9999999999991</v>
      </c>
      <c r="X70">
        <v>10</v>
      </c>
      <c r="Y70">
        <v>5351.9999999999991</v>
      </c>
      <c r="Z70">
        <v>12</v>
      </c>
      <c r="AA70">
        <v>6422.4</v>
      </c>
      <c r="AB70">
        <v>12</v>
      </c>
      <c r="AC70">
        <v>6422.4</v>
      </c>
      <c r="AD70">
        <v>9</v>
      </c>
      <c r="AE70">
        <v>4816.7999999999993</v>
      </c>
      <c r="AF70">
        <v>10</v>
      </c>
      <c r="AG70">
        <v>5351.9999999999991</v>
      </c>
      <c r="AH70">
        <v>9</v>
      </c>
      <c r="AI70">
        <v>4816.7999999999993</v>
      </c>
      <c r="AJ70">
        <v>10</v>
      </c>
      <c r="AK70">
        <v>5351.9999999999991</v>
      </c>
      <c r="AL70">
        <v>9</v>
      </c>
      <c r="AM70">
        <v>4816.7999999999993</v>
      </c>
      <c r="AN70">
        <v>8</v>
      </c>
      <c r="AO70">
        <v>4281.5999999999995</v>
      </c>
      <c r="AP70">
        <v>13</v>
      </c>
      <c r="AQ70">
        <v>6957.5999999999995</v>
      </c>
      <c r="AR70">
        <v>14</v>
      </c>
      <c r="AS70">
        <v>7492.7999999999993</v>
      </c>
      <c r="AT70">
        <v>12</v>
      </c>
      <c r="AU70">
        <v>6422.4</v>
      </c>
      <c r="AV70">
        <v>10</v>
      </c>
      <c r="AW70">
        <v>5351.9999999999991</v>
      </c>
      <c r="AX70">
        <v>10</v>
      </c>
      <c r="AY70">
        <v>5351.9999999999991</v>
      </c>
      <c r="AZ70">
        <v>11</v>
      </c>
      <c r="BA70">
        <v>5887.1999999999989</v>
      </c>
      <c r="BB70">
        <v>13</v>
      </c>
      <c r="BC70">
        <v>6957.5999999999995</v>
      </c>
      <c r="BD70">
        <v>10</v>
      </c>
      <c r="BE70">
        <v>5351.9999999999991</v>
      </c>
      <c r="BF70">
        <v>16</v>
      </c>
      <c r="BG70">
        <v>8563.1999999999989</v>
      </c>
      <c r="BH70">
        <v>12</v>
      </c>
      <c r="BI70">
        <v>6422.4</v>
      </c>
      <c r="BJ70">
        <v>11</v>
      </c>
      <c r="BK70">
        <v>5887.1999999999989</v>
      </c>
      <c r="BL70">
        <v>15</v>
      </c>
      <c r="BM70">
        <v>8027.9999999999991</v>
      </c>
      <c r="BN70">
        <v>8</v>
      </c>
      <c r="BO70">
        <v>4281.5999999999995</v>
      </c>
      <c r="BP70">
        <v>10</v>
      </c>
      <c r="BQ70">
        <v>5351.9999999999991</v>
      </c>
      <c r="BR70">
        <v>9</v>
      </c>
      <c r="BS70">
        <v>4816.7999999999993</v>
      </c>
      <c r="BT70">
        <v>9</v>
      </c>
      <c r="BU70">
        <v>4816.7999999999993</v>
      </c>
      <c r="BV70">
        <v>12</v>
      </c>
      <c r="BW70">
        <v>6422.4</v>
      </c>
      <c r="BX70">
        <v>11</v>
      </c>
      <c r="BY70">
        <v>5887.1999999999989</v>
      </c>
      <c r="BZ70">
        <v>11</v>
      </c>
      <c r="CA70">
        <v>5887.1999999999989</v>
      </c>
      <c r="CB70">
        <v>8</v>
      </c>
      <c r="CC70">
        <v>4281.5999999999995</v>
      </c>
      <c r="CD70">
        <v>12</v>
      </c>
      <c r="CE70">
        <v>6422.4</v>
      </c>
      <c r="CF70">
        <v>12</v>
      </c>
      <c r="CG70">
        <v>6422.4</v>
      </c>
      <c r="CH70">
        <v>10</v>
      </c>
      <c r="CI70">
        <v>5351.9999999999991</v>
      </c>
      <c r="CJ70">
        <v>12</v>
      </c>
      <c r="CK70">
        <v>6422.4</v>
      </c>
      <c r="CL70">
        <v>13</v>
      </c>
      <c r="CM70">
        <v>6957.5999999999995</v>
      </c>
      <c r="CN70">
        <v>15</v>
      </c>
      <c r="CO70">
        <v>8027.9999999999991</v>
      </c>
      <c r="CP70">
        <v>12</v>
      </c>
      <c r="CQ70">
        <v>6422.4</v>
      </c>
      <c r="CR70">
        <v>13</v>
      </c>
      <c r="CS70">
        <v>6957.5999999999995</v>
      </c>
      <c r="CT70">
        <v>12</v>
      </c>
      <c r="CU70">
        <v>6422.4</v>
      </c>
    </row>
    <row r="71" spans="2:99" x14ac:dyDescent="0.2">
      <c r="B71" s="118" t="s">
        <v>130</v>
      </c>
      <c r="C71" s="118" t="s">
        <v>237</v>
      </c>
      <c r="D71">
        <v>12</v>
      </c>
      <c r="E71">
        <v>6768</v>
      </c>
      <c r="F71">
        <v>15</v>
      </c>
      <c r="G71">
        <v>8460</v>
      </c>
      <c r="H71">
        <v>16</v>
      </c>
      <c r="I71">
        <v>9024</v>
      </c>
      <c r="J71">
        <v>10</v>
      </c>
      <c r="K71">
        <v>5640</v>
      </c>
      <c r="L71">
        <v>11</v>
      </c>
      <c r="M71">
        <v>6204</v>
      </c>
      <c r="N71">
        <v>16.044233591962055</v>
      </c>
      <c r="O71">
        <v>9048.9477458665988</v>
      </c>
      <c r="P71">
        <v>16.493880815076366</v>
      </c>
      <c r="Q71">
        <v>9302.548779703071</v>
      </c>
      <c r="R71">
        <v>14.43329694802742</v>
      </c>
      <c r="S71">
        <v>8140.3794786874651</v>
      </c>
      <c r="T71">
        <v>14.408259911892088</v>
      </c>
      <c r="U71">
        <v>8126.2585903071376</v>
      </c>
      <c r="V71">
        <v>16.829075724286689</v>
      </c>
      <c r="W71">
        <v>9491.5987084976932</v>
      </c>
      <c r="X71">
        <v>9.8812896014842799</v>
      </c>
      <c r="Y71">
        <v>5573.0473352371337</v>
      </c>
      <c r="Z71">
        <v>12.9663978108522</v>
      </c>
      <c r="AA71">
        <v>7313.0483653206411</v>
      </c>
      <c r="AB71">
        <v>12.271287727651714</v>
      </c>
      <c r="AC71">
        <v>6921.0062783955664</v>
      </c>
      <c r="AD71">
        <v>13.705936010698812</v>
      </c>
      <c r="AE71">
        <v>7730.1479100341303</v>
      </c>
      <c r="AF71">
        <v>17.222142331575395</v>
      </c>
      <c r="AG71">
        <v>9713.2882750085228</v>
      </c>
      <c r="AH71">
        <v>9.8810377890655303</v>
      </c>
      <c r="AI71">
        <v>5572.9053130329594</v>
      </c>
      <c r="AJ71">
        <v>13</v>
      </c>
      <c r="AK71">
        <v>7332</v>
      </c>
      <c r="AL71">
        <v>12.292264167297589</v>
      </c>
      <c r="AM71">
        <v>6932.8369903558396</v>
      </c>
      <c r="AN71">
        <v>15.654643037790279</v>
      </c>
      <c r="AO71">
        <v>8829.2186733137169</v>
      </c>
      <c r="AP71">
        <v>16.368423406434154</v>
      </c>
      <c r="AQ71">
        <v>9231.7908012288626</v>
      </c>
      <c r="AR71">
        <v>15.579097652402373</v>
      </c>
      <c r="AS71">
        <v>8786.6110759549392</v>
      </c>
      <c r="AT71">
        <v>9</v>
      </c>
      <c r="AU71">
        <v>5076</v>
      </c>
      <c r="AV71">
        <v>11.89128434771461</v>
      </c>
      <c r="AW71">
        <v>6706.6843721110399</v>
      </c>
      <c r="AX71">
        <v>16.194010859758045</v>
      </c>
      <c r="AY71">
        <v>9133.4221249035381</v>
      </c>
      <c r="AZ71">
        <v>9.6113867596565541</v>
      </c>
      <c r="BA71">
        <v>5420.8221324462966</v>
      </c>
      <c r="BB71">
        <v>11.991674720099436</v>
      </c>
      <c r="BC71">
        <v>6763.3045421360821</v>
      </c>
      <c r="BD71">
        <v>17.91903989148776</v>
      </c>
      <c r="BE71">
        <v>10106.338498799096</v>
      </c>
      <c r="BF71">
        <v>15.209839201491274</v>
      </c>
      <c r="BG71">
        <v>8578.3493096410784</v>
      </c>
      <c r="BH71">
        <v>14.05983485563733</v>
      </c>
      <c r="BI71">
        <v>7929.7468585794541</v>
      </c>
      <c r="BJ71">
        <v>13.66197675113639</v>
      </c>
      <c r="BK71">
        <v>7705.3548876409241</v>
      </c>
      <c r="BL71">
        <v>8.9476958759167182</v>
      </c>
      <c r="BM71">
        <v>5046.5004740170289</v>
      </c>
      <c r="BN71">
        <v>11.219131313750644</v>
      </c>
      <c r="BO71">
        <v>6327.5900609553637</v>
      </c>
      <c r="BP71">
        <v>11.305936670063605</v>
      </c>
      <c r="BQ71">
        <v>6376.5482819158733</v>
      </c>
      <c r="BR71">
        <v>13.933361361136372</v>
      </c>
      <c r="BS71">
        <v>7858.4158076809135</v>
      </c>
      <c r="BT71">
        <v>15.089378418324292</v>
      </c>
      <c r="BU71">
        <v>8510.409427934901</v>
      </c>
      <c r="BV71">
        <v>10.477842931230603</v>
      </c>
      <c r="BW71">
        <v>5909.5034132140599</v>
      </c>
      <c r="BX71">
        <v>12.478856735803712</v>
      </c>
      <c r="BY71">
        <v>7038.0751989932933</v>
      </c>
      <c r="BZ71">
        <v>17</v>
      </c>
      <c r="CA71">
        <v>9588</v>
      </c>
      <c r="CB71">
        <v>17.78566858384368</v>
      </c>
      <c r="CC71">
        <v>10031.117081287835</v>
      </c>
      <c r="CD71">
        <v>16.600146956300996</v>
      </c>
      <c r="CE71">
        <v>9362.4828833537613</v>
      </c>
      <c r="CF71">
        <v>18.187185155107503</v>
      </c>
      <c r="CG71">
        <v>10257.572427480633</v>
      </c>
      <c r="CH71">
        <v>11.929894565492624</v>
      </c>
      <c r="CI71">
        <v>6728.4605349378398</v>
      </c>
      <c r="CJ71">
        <v>10.006865819430601</v>
      </c>
      <c r="CK71">
        <v>5643.8723221588589</v>
      </c>
      <c r="CL71">
        <v>10.866161857107075</v>
      </c>
      <c r="CM71">
        <v>6128.5152874083906</v>
      </c>
      <c r="CN71">
        <v>17.434461688105763</v>
      </c>
      <c r="CO71">
        <v>9833.0363920916498</v>
      </c>
      <c r="CP71">
        <v>11.252194212193862</v>
      </c>
      <c r="CQ71">
        <v>6346.2375356773382</v>
      </c>
      <c r="CR71">
        <v>8.3586649029947147</v>
      </c>
      <c r="CS71">
        <v>4714.2870052890194</v>
      </c>
      <c r="CT71">
        <v>14.808006171186694</v>
      </c>
      <c r="CU71">
        <v>8351.7154805492955</v>
      </c>
    </row>
    <row r="72" spans="2:99" x14ac:dyDescent="0.2">
      <c r="C72" s="118" t="s">
        <v>238</v>
      </c>
      <c r="D72">
        <v>12</v>
      </c>
      <c r="E72">
        <v>892.8</v>
      </c>
      <c r="F72">
        <v>15</v>
      </c>
      <c r="G72">
        <v>1115.9999999999998</v>
      </c>
      <c r="H72">
        <v>16</v>
      </c>
      <c r="I72">
        <v>1190.3999999999999</v>
      </c>
      <c r="J72">
        <v>12</v>
      </c>
      <c r="K72">
        <v>892.8</v>
      </c>
      <c r="L72">
        <v>13</v>
      </c>
      <c r="M72">
        <v>967.19999999999993</v>
      </c>
      <c r="N72">
        <v>15.044233591962055</v>
      </c>
      <c r="O72">
        <v>1119.2909792419766</v>
      </c>
      <c r="P72">
        <v>18.586483467903186</v>
      </c>
      <c r="Q72">
        <v>1382.834370011997</v>
      </c>
      <c r="R72">
        <v>15.546451970240112</v>
      </c>
      <c r="S72">
        <v>1156.6560265858641</v>
      </c>
      <c r="T72">
        <v>17.497012066651237</v>
      </c>
      <c r="U72">
        <v>1301.7776977588519</v>
      </c>
      <c r="V72">
        <v>17.011983296715357</v>
      </c>
      <c r="W72">
        <v>1265.6915572756225</v>
      </c>
      <c r="X72">
        <v>9.9196065406792489</v>
      </c>
      <c r="Y72">
        <v>738.01872662653602</v>
      </c>
      <c r="Z72">
        <v>15.006664386304376</v>
      </c>
      <c r="AA72">
        <v>1116.4958303410453</v>
      </c>
      <c r="AB72">
        <v>12.155716116047012</v>
      </c>
      <c r="AC72">
        <v>904.38527903389763</v>
      </c>
      <c r="AD72">
        <v>14.705936010698812</v>
      </c>
      <c r="AE72">
        <v>1094.1216391959915</v>
      </c>
      <c r="AF72">
        <v>16.493729516369925</v>
      </c>
      <c r="AG72">
        <v>1227.1334760179222</v>
      </c>
      <c r="AH72">
        <v>10.081273650216788</v>
      </c>
      <c r="AI72">
        <v>750.04675957612892</v>
      </c>
      <c r="AJ72">
        <v>13</v>
      </c>
      <c r="AK72">
        <v>967.19999999999993</v>
      </c>
      <c r="AL72">
        <v>11.3585341245949</v>
      </c>
      <c r="AM72">
        <v>845.07493886986049</v>
      </c>
      <c r="AN72">
        <v>15.749194068521152</v>
      </c>
      <c r="AO72">
        <v>1171.7400386979737</v>
      </c>
      <c r="AP72">
        <v>15.368423406434152</v>
      </c>
      <c r="AQ72">
        <v>1143.4107014387007</v>
      </c>
      <c r="AR72">
        <v>14.651484858952669</v>
      </c>
      <c r="AS72">
        <v>1090.0704735060785</v>
      </c>
      <c r="AT72">
        <v>10</v>
      </c>
      <c r="AU72">
        <v>743.99999999999989</v>
      </c>
      <c r="AV72">
        <v>13.039831739000377</v>
      </c>
      <c r="AW72">
        <v>970.16348138162789</v>
      </c>
      <c r="AX72">
        <v>18.432813031709653</v>
      </c>
      <c r="AY72">
        <v>1371.4012895591979</v>
      </c>
      <c r="AZ72">
        <v>8.5522202990446292</v>
      </c>
      <c r="BA72">
        <v>636.28519024892034</v>
      </c>
      <c r="BB72">
        <v>11.991674720099436</v>
      </c>
      <c r="BC72">
        <v>892.1805991753979</v>
      </c>
      <c r="BD72">
        <v>16.873087896913372</v>
      </c>
      <c r="BE72">
        <v>1255.3577395303548</v>
      </c>
      <c r="BF72">
        <v>15.113052065371972</v>
      </c>
      <c r="BG72">
        <v>1124.4110736636746</v>
      </c>
      <c r="BH72">
        <v>16.128211297936513</v>
      </c>
      <c r="BI72">
        <v>1199.9389205664763</v>
      </c>
      <c r="BJ72">
        <v>14.744723845028439</v>
      </c>
      <c r="BK72">
        <v>1097.0074540701157</v>
      </c>
      <c r="BL72">
        <v>10.175142886136729</v>
      </c>
      <c r="BM72">
        <v>757.03063072857253</v>
      </c>
      <c r="BN72">
        <v>11.44977777851428</v>
      </c>
      <c r="BO72">
        <v>851.86346672146237</v>
      </c>
      <c r="BP72">
        <v>11.401493011775576</v>
      </c>
      <c r="BQ72">
        <v>848.27108007610275</v>
      </c>
      <c r="BR72">
        <v>15.008030270027282</v>
      </c>
      <c r="BS72">
        <v>1116.5974520900297</v>
      </c>
      <c r="BT72">
        <v>18.097503729081048</v>
      </c>
      <c r="BU72">
        <v>1346.4542774436297</v>
      </c>
      <c r="BV72">
        <v>11.782104711189845</v>
      </c>
      <c r="BW72">
        <v>876.58859051252443</v>
      </c>
      <c r="BX72">
        <v>14.478856735803712</v>
      </c>
      <c r="BY72">
        <v>1077.226941143796</v>
      </c>
      <c r="BZ72">
        <v>18</v>
      </c>
      <c r="CA72">
        <v>1339.1999999999998</v>
      </c>
      <c r="CB72">
        <v>17.78566858384368</v>
      </c>
      <c r="CC72">
        <v>1323.2537426379697</v>
      </c>
      <c r="CD72">
        <v>15.72015797802357</v>
      </c>
      <c r="CE72">
        <v>1169.5797535649535</v>
      </c>
      <c r="CF72">
        <v>18.288943882688145</v>
      </c>
      <c r="CG72">
        <v>1360.6974248719978</v>
      </c>
      <c r="CH72">
        <v>11.965659741088494</v>
      </c>
      <c r="CI72">
        <v>890.24508473698381</v>
      </c>
      <c r="CJ72">
        <v>10.126730797934245</v>
      </c>
      <c r="CK72">
        <v>753.42877136630773</v>
      </c>
      <c r="CL72">
        <v>11.902251934486536</v>
      </c>
      <c r="CM72">
        <v>885.52754392579811</v>
      </c>
      <c r="CN72">
        <v>19.655148101660497</v>
      </c>
      <c r="CO72">
        <v>1462.3430187635408</v>
      </c>
      <c r="CP72">
        <v>12.196541136096357</v>
      </c>
      <c r="CQ72">
        <v>907.42266052556886</v>
      </c>
      <c r="CR72">
        <v>10.398516558883017</v>
      </c>
      <c r="CS72">
        <v>773.6496319808964</v>
      </c>
      <c r="CT72">
        <v>12</v>
      </c>
      <c r="CU72">
        <v>892.8</v>
      </c>
    </row>
    <row r="73" spans="2:99" x14ac:dyDescent="0.2">
      <c r="C73" s="118" t="s">
        <v>239</v>
      </c>
      <c r="D73">
        <v>12</v>
      </c>
      <c r="E73">
        <v>6710.4</v>
      </c>
      <c r="F73">
        <v>17</v>
      </c>
      <c r="G73">
        <v>9506.4</v>
      </c>
      <c r="H73">
        <v>14</v>
      </c>
      <c r="I73">
        <v>7828.7999999999993</v>
      </c>
      <c r="J73">
        <v>11</v>
      </c>
      <c r="K73">
        <v>6151.1999999999989</v>
      </c>
      <c r="L73">
        <v>10</v>
      </c>
      <c r="M73">
        <v>5591.9999999999991</v>
      </c>
      <c r="N73">
        <v>16.044233591962055</v>
      </c>
      <c r="O73">
        <v>8971.9354246251805</v>
      </c>
      <c r="P73">
        <v>16.509314590547504</v>
      </c>
      <c r="Q73">
        <v>9232.0087190341637</v>
      </c>
      <c r="R73">
        <v>14.471015288764983</v>
      </c>
      <c r="S73">
        <v>8092.1917494773779</v>
      </c>
      <c r="T73">
        <v>15.443760773795749</v>
      </c>
      <c r="U73">
        <v>8636.1510247065817</v>
      </c>
      <c r="V73">
        <v>16.829075724286689</v>
      </c>
      <c r="W73">
        <v>9410.8191450211161</v>
      </c>
      <c r="X73">
        <v>9.9579234798742178</v>
      </c>
      <c r="Y73">
        <v>5568.470809945662</v>
      </c>
      <c r="Z73">
        <v>14.127464112660899</v>
      </c>
      <c r="AA73">
        <v>7900.0779317999741</v>
      </c>
      <c r="AB73">
        <v>11.155716116047012</v>
      </c>
      <c r="AC73">
        <v>6238.2764520934879</v>
      </c>
      <c r="AD73">
        <v>14.705936010698812</v>
      </c>
      <c r="AE73">
        <v>8223.5594171827743</v>
      </c>
      <c r="AF73">
        <v>16.31267139317357</v>
      </c>
      <c r="AG73">
        <v>9122.0458430626586</v>
      </c>
      <c r="AH73">
        <v>8.9611321335260339</v>
      </c>
      <c r="AI73">
        <v>5011.065089067758</v>
      </c>
      <c r="AJ73">
        <v>14</v>
      </c>
      <c r="AK73">
        <v>7828.7999999999993</v>
      </c>
      <c r="AL73">
        <v>12.192859231351621</v>
      </c>
      <c r="AM73">
        <v>6818.2468821718257</v>
      </c>
      <c r="AN73">
        <v>14.560092007059406</v>
      </c>
      <c r="AO73">
        <v>8142.003450347619</v>
      </c>
      <c r="AP73">
        <v>14.523926066256216</v>
      </c>
      <c r="AQ73">
        <v>8121.7794562504751</v>
      </c>
      <c r="AR73">
        <v>15.535665328472195</v>
      </c>
      <c r="AS73">
        <v>8687.5440516816507</v>
      </c>
      <c r="AT73">
        <v>8</v>
      </c>
      <c r="AU73">
        <v>4473.5999999999995</v>
      </c>
      <c r="AV73">
        <v>10.89128434771461</v>
      </c>
      <c r="AW73">
        <v>6090.4062072420093</v>
      </c>
      <c r="AX73">
        <v>15.262240051744218</v>
      </c>
      <c r="AY73">
        <v>8534.6446369353653</v>
      </c>
      <c r="AZ73">
        <v>8.5719424525819381</v>
      </c>
      <c r="BA73">
        <v>4793.4302194838192</v>
      </c>
      <c r="BB73">
        <v>10.991674720099436</v>
      </c>
      <c r="BC73">
        <v>6146.5445034796039</v>
      </c>
      <c r="BD73">
        <v>14.850111899626176</v>
      </c>
      <c r="BE73">
        <v>8304.182574270957</v>
      </c>
      <c r="BF73">
        <v>13.161445633431624</v>
      </c>
      <c r="BG73">
        <v>7359.880398214963</v>
      </c>
      <c r="BH73">
        <v>13.09402307678692</v>
      </c>
      <c r="BI73">
        <v>7322.1777045392446</v>
      </c>
      <c r="BJ73">
        <v>11.66197675113639</v>
      </c>
      <c r="BK73">
        <v>6521.3773992354681</v>
      </c>
      <c r="BL73">
        <v>8.9856037109533862</v>
      </c>
      <c r="BM73">
        <v>5024.7495951651326</v>
      </c>
      <c r="BN73">
        <v>11.317979798649345</v>
      </c>
      <c r="BO73">
        <v>6329.0143034047132</v>
      </c>
      <c r="BP73">
        <v>13.242232442255624</v>
      </c>
      <c r="BQ73">
        <v>7405.0563817093434</v>
      </c>
      <c r="BR73">
        <v>15.045364724472737</v>
      </c>
      <c r="BS73">
        <v>8413.3679539251534</v>
      </c>
      <c r="BT73">
        <v>16.097503729081048</v>
      </c>
      <c r="BU73">
        <v>9001.7240853021212</v>
      </c>
      <c r="BV73">
        <v>10.695172774058634</v>
      </c>
      <c r="BW73">
        <v>5980.7406152535868</v>
      </c>
      <c r="BX73">
        <v>11.447962752848634</v>
      </c>
      <c r="BY73">
        <v>6401.7007713929552</v>
      </c>
      <c r="BZ73">
        <v>18</v>
      </c>
      <c r="CA73">
        <v>10065.599999999999</v>
      </c>
      <c r="CB73">
        <v>17.869847360684076</v>
      </c>
      <c r="CC73">
        <v>9992.8186440945337</v>
      </c>
      <c r="CD73">
        <v>16.680154304116044</v>
      </c>
      <c r="CE73">
        <v>9327.5422868616915</v>
      </c>
      <c r="CF73">
        <v>16.017587275806431</v>
      </c>
      <c r="CG73">
        <v>8957.0348046309555</v>
      </c>
      <c r="CH73">
        <v>11.858364214300884</v>
      </c>
      <c r="CI73">
        <v>6631.1972686370536</v>
      </c>
      <c r="CJ73">
        <v>10.102757802233516</v>
      </c>
      <c r="CK73">
        <v>5649.4621630089814</v>
      </c>
      <c r="CL73">
        <v>10.866161857107075</v>
      </c>
      <c r="CM73">
        <v>6076.357710494276</v>
      </c>
      <c r="CN73">
        <v>17.691929170586288</v>
      </c>
      <c r="CO73">
        <v>9893.3267921918505</v>
      </c>
      <c r="CP73">
        <v>11.252194212193862</v>
      </c>
      <c r="CQ73">
        <v>6292.2270034588064</v>
      </c>
      <c r="CR73">
        <v>9.3719487882908155</v>
      </c>
      <c r="CS73">
        <v>5240.7937624122233</v>
      </c>
      <c r="CT73">
        <v>14.84567296641975</v>
      </c>
      <c r="CU73">
        <v>8301.7003228219237</v>
      </c>
    </row>
    <row r="74" spans="2:99" x14ac:dyDescent="0.2">
      <c r="C74" s="118" t="s">
        <v>240</v>
      </c>
      <c r="D74">
        <v>13</v>
      </c>
      <c r="E74">
        <v>5241.5999999999995</v>
      </c>
      <c r="F74">
        <v>14</v>
      </c>
      <c r="G74">
        <v>5644.8</v>
      </c>
      <c r="H74">
        <v>16</v>
      </c>
      <c r="I74">
        <v>6451.2</v>
      </c>
      <c r="J74">
        <v>10</v>
      </c>
      <c r="K74">
        <v>4032</v>
      </c>
      <c r="L74">
        <v>11</v>
      </c>
      <c r="M74">
        <v>4435.2</v>
      </c>
      <c r="N74">
        <v>16.011601292213239</v>
      </c>
      <c r="O74">
        <v>6455.8776410203782</v>
      </c>
      <c r="P74">
        <v>16.478447039605232</v>
      </c>
      <c r="Q74">
        <v>6644.1098463688295</v>
      </c>
      <c r="R74">
        <v>15.43329694802742</v>
      </c>
      <c r="S74">
        <v>6222.7053294446559</v>
      </c>
      <c r="T74">
        <v>17.408259911892088</v>
      </c>
      <c r="U74">
        <v>7019.0103964748896</v>
      </c>
      <c r="V74">
        <v>16.737621938072355</v>
      </c>
      <c r="W74">
        <v>6748.6091654307729</v>
      </c>
      <c r="X74">
        <v>9.9962404190691849</v>
      </c>
      <c r="Y74">
        <v>4030.4841369686951</v>
      </c>
      <c r="Z74">
        <v>13.04693096175655</v>
      </c>
      <c r="AA74">
        <v>5260.5225637802405</v>
      </c>
      <c r="AB74">
        <v>13.040144504442312</v>
      </c>
      <c r="AC74">
        <v>5257.7862641911397</v>
      </c>
      <c r="AD74">
        <v>12.611811209272304</v>
      </c>
      <c r="AE74">
        <v>5085.0822795785925</v>
      </c>
      <c r="AF74">
        <v>16.493729516369925</v>
      </c>
      <c r="AG74">
        <v>6650.2717410003534</v>
      </c>
      <c r="AH74">
        <v>9.0412264779865357</v>
      </c>
      <c r="AI74">
        <v>3645.422515924171</v>
      </c>
      <c r="AJ74">
        <v>12</v>
      </c>
      <c r="AK74">
        <v>4838.3999999999996</v>
      </c>
      <c r="AL74">
        <v>11.292264167297589</v>
      </c>
      <c r="AM74">
        <v>4553.0409122543879</v>
      </c>
      <c r="AN74">
        <v>13.654643037790279</v>
      </c>
      <c r="AO74">
        <v>5505.5520728370402</v>
      </c>
      <c r="AP74">
        <v>15.461725002327389</v>
      </c>
      <c r="AQ74">
        <v>6234.167520938403</v>
      </c>
      <c r="AR74">
        <v>15.521187887162135</v>
      </c>
      <c r="AS74">
        <v>6258.142956103773</v>
      </c>
      <c r="AT74">
        <v>9</v>
      </c>
      <c r="AU74">
        <v>3628.7999999999997</v>
      </c>
      <c r="AV74">
        <v>11.002694891178935</v>
      </c>
      <c r="AW74">
        <v>4436.2865801233465</v>
      </c>
      <c r="AX74">
        <v>16.296354647737303</v>
      </c>
      <c r="AY74">
        <v>6570.69019396768</v>
      </c>
      <c r="AZ74">
        <v>9.6113867596565541</v>
      </c>
      <c r="BA74">
        <v>3875.3111414935224</v>
      </c>
      <c r="BB74">
        <v>11.950354940095293</v>
      </c>
      <c r="BC74">
        <v>4818.3831118464223</v>
      </c>
      <c r="BD74">
        <v>14.827135902338982</v>
      </c>
      <c r="BE74">
        <v>5978.3011958230773</v>
      </c>
      <c r="BF74">
        <v>15.064658497312321</v>
      </c>
      <c r="BG74">
        <v>6074.0703061163276</v>
      </c>
      <c r="BH74">
        <v>14.264964182534877</v>
      </c>
      <c r="BI74">
        <v>5751.6335583980626</v>
      </c>
      <c r="BJ74">
        <v>13.689559115767072</v>
      </c>
      <c r="BK74">
        <v>5519.6302354772833</v>
      </c>
      <c r="BL74">
        <v>10.023511545990056</v>
      </c>
      <c r="BM74">
        <v>4041.4798553431906</v>
      </c>
      <c r="BN74">
        <v>12.350929293615579</v>
      </c>
      <c r="BO74">
        <v>4979.8946911858011</v>
      </c>
      <c r="BP74">
        <v>11.337788783967596</v>
      </c>
      <c r="BQ74">
        <v>4571.3964376957347</v>
      </c>
      <c r="BR74">
        <v>14.008030270027282</v>
      </c>
      <c r="BS74">
        <v>5648.0378048749999</v>
      </c>
      <c r="BT74">
        <v>15.100212165999965</v>
      </c>
      <c r="BU74">
        <v>6088.4055453311857</v>
      </c>
      <c r="BV74">
        <v>10.738638742624239</v>
      </c>
      <c r="BW74">
        <v>4329.8191410260933</v>
      </c>
      <c r="BX74">
        <v>12.494303727281251</v>
      </c>
      <c r="BY74">
        <v>5037.7032628398001</v>
      </c>
      <c r="BZ74">
        <v>18.741478588679676</v>
      </c>
      <c r="CA74">
        <v>7556.5641669556453</v>
      </c>
      <c r="CB74">
        <v>16.925966545244339</v>
      </c>
      <c r="CC74">
        <v>6824.5497110425176</v>
      </c>
      <c r="CD74">
        <v>15.680154304116044</v>
      </c>
      <c r="CE74">
        <v>6322.2382154195893</v>
      </c>
      <c r="CF74">
        <v>16.119346003387072</v>
      </c>
      <c r="CG74">
        <v>6499.3203085656669</v>
      </c>
      <c r="CH74">
        <v>11.894129389896754</v>
      </c>
      <c r="CI74">
        <v>4795.7129700063715</v>
      </c>
      <c r="CJ74">
        <v>11.030838815131331</v>
      </c>
      <c r="CK74">
        <v>4447.6342102609524</v>
      </c>
      <c r="CL74">
        <v>10.938342011865998</v>
      </c>
      <c r="CM74">
        <v>4410.3394991843707</v>
      </c>
      <c r="CN74">
        <v>17.61836703273471</v>
      </c>
      <c r="CO74">
        <v>7103.7255875986348</v>
      </c>
      <c r="CP74">
        <v>11.280020750242615</v>
      </c>
      <c r="CQ74">
        <v>4548.1043664978224</v>
      </c>
      <c r="CR74">
        <v>9.332097132402513</v>
      </c>
      <c r="CS74">
        <v>3762.701563784693</v>
      </c>
      <c r="CT74">
        <v>14.883339761652806</v>
      </c>
      <c r="CU74">
        <v>6000.9625918984111</v>
      </c>
    </row>
    <row r="75" spans="2:99" x14ac:dyDescent="0.2">
      <c r="C75" s="118" t="s">
        <v>241</v>
      </c>
      <c r="D75">
        <v>12</v>
      </c>
      <c r="E75">
        <v>7718.4</v>
      </c>
      <c r="F75">
        <v>16</v>
      </c>
      <c r="G75">
        <v>10291.199999999999</v>
      </c>
      <c r="H75">
        <v>14</v>
      </c>
      <c r="I75">
        <v>9004.7999999999993</v>
      </c>
      <c r="J75">
        <v>12</v>
      </c>
      <c r="K75">
        <v>7718.4</v>
      </c>
      <c r="L75">
        <v>11</v>
      </c>
      <c r="M75">
        <v>7075.1999999999989</v>
      </c>
      <c r="N75">
        <v>14.076865891710868</v>
      </c>
      <c r="O75">
        <v>9054.2401415484292</v>
      </c>
      <c r="P75">
        <v>16.540182141489776</v>
      </c>
      <c r="Q75">
        <v>10638.645153406223</v>
      </c>
      <c r="R75">
        <v>14.395578607289856</v>
      </c>
      <c r="S75">
        <v>9259.2361602088349</v>
      </c>
      <c r="T75">
        <v>15.408259911892088</v>
      </c>
      <c r="U75">
        <v>9910.5927753289907</v>
      </c>
      <c r="V75">
        <v>14.691895044965188</v>
      </c>
      <c r="W75">
        <v>9449.8268929216083</v>
      </c>
      <c r="X75">
        <v>8.9962404190691849</v>
      </c>
      <c r="Y75">
        <v>5786.3818375452993</v>
      </c>
      <c r="Z75">
        <v>14.04693096175655</v>
      </c>
      <c r="AA75">
        <v>9034.9859946018114</v>
      </c>
      <c r="AB75">
        <v>11.040144504442312</v>
      </c>
      <c r="AC75">
        <v>7101.0209452572944</v>
      </c>
      <c r="AD75">
        <v>13.611811209272304</v>
      </c>
      <c r="AE75">
        <v>8755.1169698039448</v>
      </c>
      <c r="AF75">
        <v>15.357935923972661</v>
      </c>
      <c r="AG75">
        <v>9878.2243862992145</v>
      </c>
      <c r="AH75">
        <v>10.001179305756285</v>
      </c>
      <c r="AI75">
        <v>6432.7585294624414</v>
      </c>
      <c r="AJ75">
        <v>13</v>
      </c>
      <c r="AK75">
        <v>8361.5999999999985</v>
      </c>
      <c r="AL75">
        <v>12.259129188648933</v>
      </c>
      <c r="AM75">
        <v>7885.0718941389923</v>
      </c>
      <c r="AN75">
        <v>13.749194068521152</v>
      </c>
      <c r="AO75">
        <v>8843.4816248728039</v>
      </c>
      <c r="AP75">
        <v>16.492825534291804</v>
      </c>
      <c r="AQ75">
        <v>10608.185383656486</v>
      </c>
      <c r="AR75">
        <v>13.593575093712431</v>
      </c>
      <c r="AS75">
        <v>8743.3875002758341</v>
      </c>
      <c r="AT75">
        <v>9</v>
      </c>
      <c r="AU75">
        <v>5788.7999999999993</v>
      </c>
      <c r="AV75">
        <v>11.002694891178935</v>
      </c>
      <c r="AW75">
        <v>7076.9333540062898</v>
      </c>
      <c r="AX75">
        <v>17.22812545575113</v>
      </c>
      <c r="AY75">
        <v>11081.130293139126</v>
      </c>
      <c r="AZ75">
        <v>8.6113867596565541</v>
      </c>
      <c r="BA75">
        <v>5538.8439638110949</v>
      </c>
      <c r="BB75">
        <v>11.03299450010358</v>
      </c>
      <c r="BC75">
        <v>7096.4220624666223</v>
      </c>
      <c r="BD75">
        <v>15.896063894200564</v>
      </c>
      <c r="BE75">
        <v>10224.348296749802</v>
      </c>
      <c r="BF75">
        <v>15.209839201491274</v>
      </c>
      <c r="BG75">
        <v>9782.9685743991868</v>
      </c>
      <c r="BH75">
        <v>15.05983485563733</v>
      </c>
      <c r="BI75">
        <v>9686.485779145929</v>
      </c>
      <c r="BJ75">
        <v>12.634394386505706</v>
      </c>
      <c r="BK75">
        <v>8126.4424694004692</v>
      </c>
      <c r="BL75">
        <v>9.9476958759167182</v>
      </c>
      <c r="BM75">
        <v>6398.3579873896324</v>
      </c>
      <c r="BN75">
        <v>11.317979798649345</v>
      </c>
      <c r="BO75">
        <v>7279.7246064912579</v>
      </c>
      <c r="BP75">
        <v>13.242232442255624</v>
      </c>
      <c r="BQ75">
        <v>8517.4039068588154</v>
      </c>
      <c r="BR75">
        <v>11.933361361136372</v>
      </c>
      <c r="BS75">
        <v>7675.538027482914</v>
      </c>
      <c r="BT75">
        <v>17.102920602918882</v>
      </c>
      <c r="BU75">
        <v>11000.598531797425</v>
      </c>
      <c r="BV75">
        <v>10.477842931230603</v>
      </c>
      <c r="BW75">
        <v>6739.3485733675234</v>
      </c>
      <c r="BX75">
        <v>11.463409744326173</v>
      </c>
      <c r="BY75">
        <v>7373.2651475505936</v>
      </c>
      <c r="BZ75">
        <v>17</v>
      </c>
      <c r="CA75">
        <v>10934.4</v>
      </c>
      <c r="CB75">
        <v>17.869847360684076</v>
      </c>
      <c r="CC75">
        <v>11493.885822391996</v>
      </c>
      <c r="CD75">
        <v>14.680154304116044</v>
      </c>
      <c r="CE75">
        <v>9442.275248407439</v>
      </c>
      <c r="CF75">
        <v>15.017587275806431</v>
      </c>
      <c r="CG75">
        <v>9659.3121357986947</v>
      </c>
      <c r="CH75">
        <v>11.822599038705015</v>
      </c>
      <c r="CI75">
        <v>7604.295701695065</v>
      </c>
      <c r="CJ75">
        <v>10.030838815131331</v>
      </c>
      <c r="CK75">
        <v>6451.8355258924712</v>
      </c>
      <c r="CL75">
        <v>9.9022519344865358</v>
      </c>
      <c r="CM75">
        <v>6369.1284442617389</v>
      </c>
      <c r="CN75">
        <v>17.581585963808919</v>
      </c>
      <c r="CO75">
        <v>11308.476091921895</v>
      </c>
      <c r="CP75">
        <v>11.140888059998852</v>
      </c>
      <c r="CQ75">
        <v>7165.8192001912612</v>
      </c>
      <c r="CR75">
        <v>10.318813247106414</v>
      </c>
      <c r="CS75">
        <v>6637.0606805388452</v>
      </c>
      <c r="CT75">
        <v>13.544338604555302</v>
      </c>
      <c r="CU75">
        <v>8711.7185904499693</v>
      </c>
    </row>
    <row r="76" spans="2:99" x14ac:dyDescent="0.2">
      <c r="C76" s="118" t="s">
        <v>242</v>
      </c>
      <c r="D76">
        <v>12</v>
      </c>
      <c r="E76">
        <v>9345.5999999999985</v>
      </c>
      <c r="F76">
        <v>15</v>
      </c>
      <c r="G76">
        <v>11682</v>
      </c>
      <c r="H76">
        <v>14</v>
      </c>
      <c r="I76">
        <v>10903.199999999999</v>
      </c>
      <c r="J76">
        <v>12</v>
      </c>
      <c r="K76">
        <v>9345.5999999999985</v>
      </c>
      <c r="L76">
        <v>10</v>
      </c>
      <c r="M76">
        <v>7788</v>
      </c>
      <c r="N76">
        <v>14.044233591962055</v>
      </c>
      <c r="O76">
        <v>10937.649121420047</v>
      </c>
      <c r="P76">
        <v>14.493880815076368</v>
      </c>
      <c r="Q76">
        <v>11287.834378781476</v>
      </c>
      <c r="R76">
        <v>14.320141925814729</v>
      </c>
      <c r="S76">
        <v>11152.526531824511</v>
      </c>
      <c r="T76">
        <v>16.42601034284392</v>
      </c>
      <c r="U76">
        <v>12792.576855006844</v>
      </c>
      <c r="V76">
        <v>15.783348831179522</v>
      </c>
      <c r="W76">
        <v>12292.072069722612</v>
      </c>
      <c r="X76">
        <v>8.9962404190691849</v>
      </c>
      <c r="Y76">
        <v>7006.2720383710812</v>
      </c>
      <c r="Z76">
        <v>14.087197537208725</v>
      </c>
      <c r="AA76">
        <v>10971.109441978155</v>
      </c>
      <c r="AB76">
        <v>12.194239986581913</v>
      </c>
      <c r="AC76">
        <v>9496.8741015499927</v>
      </c>
      <c r="AD76">
        <v>13.63534240962893</v>
      </c>
      <c r="AE76">
        <v>10619.20466861901</v>
      </c>
      <c r="AF76">
        <v>15.403200454771749</v>
      </c>
      <c r="AG76">
        <v>11996.012514176238</v>
      </c>
      <c r="AH76">
        <v>8.8810377890655303</v>
      </c>
      <c r="AI76">
        <v>6916.5522301242345</v>
      </c>
      <c r="AJ76">
        <v>14</v>
      </c>
      <c r="AK76">
        <v>10903.199999999999</v>
      </c>
      <c r="AL76">
        <v>12.391669103243558</v>
      </c>
      <c r="AM76">
        <v>9650.6318976060829</v>
      </c>
      <c r="AN76">
        <v>15.796469583886589</v>
      </c>
      <c r="AO76">
        <v>12302.290511930874</v>
      </c>
      <c r="AP76">
        <v>16.368423406434154</v>
      </c>
      <c r="AQ76">
        <v>12747.728148930919</v>
      </c>
      <c r="AR76">
        <v>13.535665328472195</v>
      </c>
      <c r="AS76">
        <v>10541.576157814145</v>
      </c>
      <c r="AT76">
        <v>9</v>
      </c>
      <c r="AU76">
        <v>7009.2</v>
      </c>
      <c r="AV76">
        <v>11.965558043357493</v>
      </c>
      <c r="AW76">
        <v>9318.7766041668146</v>
      </c>
      <c r="AX76">
        <v>15.330469243730391</v>
      </c>
      <c r="AY76">
        <v>11939.369447017229</v>
      </c>
      <c r="AZ76">
        <v>9.6113867596565541</v>
      </c>
      <c r="BA76">
        <v>7485.3480084205239</v>
      </c>
      <c r="BB76">
        <v>12.074314280107723</v>
      </c>
      <c r="BC76">
        <v>9403.4759613478946</v>
      </c>
      <c r="BD76">
        <v>15.827135902338982</v>
      </c>
      <c r="BE76">
        <v>12326.173440741599</v>
      </c>
      <c r="BF76">
        <v>15.064658497312321</v>
      </c>
      <c r="BG76">
        <v>11732.356037706835</v>
      </c>
      <c r="BH76">
        <v>14.162399519086103</v>
      </c>
      <c r="BI76">
        <v>11029.676745464256</v>
      </c>
      <c r="BJ76">
        <v>13.717141480397755</v>
      </c>
      <c r="BK76">
        <v>10682.90978493377</v>
      </c>
      <c r="BL76">
        <v>10.061419381026724</v>
      </c>
      <c r="BM76">
        <v>7835.833413943612</v>
      </c>
      <c r="BN76">
        <v>10.350929293615579</v>
      </c>
      <c r="BO76">
        <v>8061.3037338678123</v>
      </c>
      <c r="BP76">
        <v>12.114823986639664</v>
      </c>
      <c r="BQ76">
        <v>9435.0249207949691</v>
      </c>
      <c r="BR76">
        <v>13.896026906690917</v>
      </c>
      <c r="BS76">
        <v>10822.225754930885</v>
      </c>
      <c r="BT76">
        <v>14.097503729081046</v>
      </c>
      <c r="BU76">
        <v>10979.135904208319</v>
      </c>
      <c r="BV76">
        <v>9.6951727740586335</v>
      </c>
      <c r="BW76">
        <v>7550.6005564368634</v>
      </c>
      <c r="BX76">
        <v>11.478856735803712</v>
      </c>
      <c r="BY76">
        <v>8939.73362584393</v>
      </c>
      <c r="BZ76">
        <v>15</v>
      </c>
      <c r="CA76">
        <v>11682</v>
      </c>
      <c r="CB76">
        <v>16.841787768403947</v>
      </c>
      <c r="CC76">
        <v>13116.384314032994</v>
      </c>
      <c r="CD76">
        <v>14.600146956300996</v>
      </c>
      <c r="CE76">
        <v>11370.594449567216</v>
      </c>
      <c r="CF76">
        <v>17.085426427526858</v>
      </c>
      <c r="CG76">
        <v>13306.130101757917</v>
      </c>
      <c r="CH76">
        <v>11.786833863109145</v>
      </c>
      <c r="CI76">
        <v>9179.5862125894018</v>
      </c>
      <c r="CJ76">
        <v>8.934946832328416</v>
      </c>
      <c r="CK76">
        <v>6958.5365930173703</v>
      </c>
      <c r="CL76">
        <v>9.9744320892454592</v>
      </c>
      <c r="CM76">
        <v>7768.0877111043628</v>
      </c>
      <c r="CN76">
        <v>18.61836703273471</v>
      </c>
      <c r="CO76">
        <v>14499.984245093792</v>
      </c>
      <c r="CP76">
        <v>10.140888059998852</v>
      </c>
      <c r="CQ76">
        <v>7897.7236211271056</v>
      </c>
      <c r="CR76">
        <v>8.3453810176986138</v>
      </c>
      <c r="CS76">
        <v>6499.3827365836805</v>
      </c>
      <c r="CT76">
        <v>13.506671809322246</v>
      </c>
      <c r="CU76">
        <v>10518.996005100164</v>
      </c>
    </row>
    <row r="77" spans="2:99" x14ac:dyDescent="0.2">
      <c r="C77" s="118" t="s">
        <v>243</v>
      </c>
      <c r="D77">
        <v>12</v>
      </c>
      <c r="E77">
        <v>3340.7999999999997</v>
      </c>
      <c r="F77">
        <v>16</v>
      </c>
      <c r="G77">
        <v>4454.3999999999996</v>
      </c>
      <c r="H77">
        <v>16</v>
      </c>
      <c r="I77">
        <v>4454.3999999999996</v>
      </c>
      <c r="J77">
        <v>11</v>
      </c>
      <c r="K77">
        <v>3062.3999999999996</v>
      </c>
      <c r="L77">
        <v>11</v>
      </c>
      <c r="M77">
        <v>3062.3999999999996</v>
      </c>
      <c r="N77">
        <v>17.109498191459682</v>
      </c>
      <c r="O77">
        <v>4763.2842965023756</v>
      </c>
      <c r="P77">
        <v>17.478447039605232</v>
      </c>
      <c r="Q77">
        <v>4865.9996558260964</v>
      </c>
      <c r="R77">
        <v>14.471015288764983</v>
      </c>
      <c r="S77">
        <v>4028.7306563921711</v>
      </c>
      <c r="T77">
        <v>15.461511204747579</v>
      </c>
      <c r="U77">
        <v>4304.4847194017257</v>
      </c>
      <c r="V77">
        <v>15</v>
      </c>
      <c r="W77">
        <v>4176</v>
      </c>
      <c r="X77">
        <v>9.9579234798742178</v>
      </c>
      <c r="Y77">
        <v>2772.2858967969819</v>
      </c>
      <c r="Z77">
        <v>12.04693096175655</v>
      </c>
      <c r="AA77">
        <v>3353.8655797530232</v>
      </c>
      <c r="AB77">
        <v>12.271287727651714</v>
      </c>
      <c r="AC77">
        <v>3416.3265033782368</v>
      </c>
      <c r="AD77">
        <v>12.63534240962893</v>
      </c>
      <c r="AE77">
        <v>3517.6793268406936</v>
      </c>
      <c r="AF77">
        <v>17.267406862374482</v>
      </c>
      <c r="AG77">
        <v>4807.2460704850555</v>
      </c>
      <c r="AH77">
        <v>8.9611321335260339</v>
      </c>
      <c r="AI77">
        <v>2494.7791859736476</v>
      </c>
      <c r="AJ77">
        <v>13</v>
      </c>
      <c r="AK77">
        <v>3619.2</v>
      </c>
      <c r="AL77">
        <v>12.259129188648933</v>
      </c>
      <c r="AM77">
        <v>3412.9415661198627</v>
      </c>
      <c r="AN77">
        <v>13.843745099252025</v>
      </c>
      <c r="AO77">
        <v>3854.0986356317635</v>
      </c>
      <c r="AP77">
        <v>17.492825534291804</v>
      </c>
      <c r="AQ77">
        <v>4870.0026287468381</v>
      </c>
      <c r="AR77">
        <v>14.622529976332551</v>
      </c>
      <c r="AS77">
        <v>4070.9123454109817</v>
      </c>
      <c r="AT77">
        <v>8</v>
      </c>
      <c r="AU77">
        <v>2227.1999999999998</v>
      </c>
      <c r="AV77">
        <v>11.928421195536052</v>
      </c>
      <c r="AW77">
        <v>3320.8724608372363</v>
      </c>
      <c r="AX77">
        <v>15.296354647737305</v>
      </c>
      <c r="AY77">
        <v>4258.5051339300653</v>
      </c>
      <c r="AZ77">
        <v>8.6113867596565541</v>
      </c>
      <c r="BA77">
        <v>2397.4100738883844</v>
      </c>
      <c r="BB77">
        <v>11.991674720099436</v>
      </c>
      <c r="BC77">
        <v>3338.4822420756827</v>
      </c>
      <c r="BD77">
        <v>17.873087896913372</v>
      </c>
      <c r="BE77">
        <v>4975.8676705006819</v>
      </c>
      <c r="BF77">
        <v>14.258232769550926</v>
      </c>
      <c r="BG77">
        <v>3969.4920030429776</v>
      </c>
      <c r="BH77">
        <v>13.230775961385286</v>
      </c>
      <c r="BI77">
        <v>3683.4480276496633</v>
      </c>
      <c r="BJ77">
        <v>14.744723845028439</v>
      </c>
      <c r="BK77">
        <v>4104.9311184559174</v>
      </c>
      <c r="BL77">
        <v>10.137235051100062</v>
      </c>
      <c r="BM77">
        <v>2822.206238226257</v>
      </c>
      <c r="BN77">
        <v>12.482727273480513</v>
      </c>
      <c r="BO77">
        <v>3475.1912729369747</v>
      </c>
      <c r="BP77">
        <v>13.178528214447644</v>
      </c>
      <c r="BQ77">
        <v>3668.9022549022238</v>
      </c>
      <c r="BR77">
        <v>13.933361361136372</v>
      </c>
      <c r="BS77">
        <v>3879.0478029403657</v>
      </c>
      <c r="BT77">
        <v>15.089378418324292</v>
      </c>
      <c r="BU77">
        <v>4200.8829516614824</v>
      </c>
      <c r="BV77">
        <v>10.782104711189845</v>
      </c>
      <c r="BW77">
        <v>3001.7379515952525</v>
      </c>
      <c r="BX77">
        <v>12.50975071875879</v>
      </c>
      <c r="BY77">
        <v>3482.7146001024466</v>
      </c>
      <c r="BZ77">
        <v>18.786131885825309</v>
      </c>
      <c r="CA77">
        <v>5230.0591170137659</v>
      </c>
      <c r="CB77">
        <v>18.841787768403947</v>
      </c>
      <c r="CC77">
        <v>5245.5537147236582</v>
      </c>
      <c r="CD77">
        <v>16.760161651931096</v>
      </c>
      <c r="CE77">
        <v>4666.0290038976163</v>
      </c>
      <c r="CF77">
        <v>17.187185155107503</v>
      </c>
      <c r="CG77">
        <v>4784.9123471819285</v>
      </c>
      <c r="CH77">
        <v>10.822599038705015</v>
      </c>
      <c r="CI77">
        <v>3013.0115723754757</v>
      </c>
      <c r="CJ77">
        <v>9.1267307979342451</v>
      </c>
      <c r="CK77">
        <v>2540.8818541448936</v>
      </c>
      <c r="CL77">
        <v>9.9744320892454592</v>
      </c>
      <c r="CM77">
        <v>2776.8818936459356</v>
      </c>
      <c r="CN77">
        <v>17.655148101660497</v>
      </c>
      <c r="CO77">
        <v>4915.1932315022823</v>
      </c>
      <c r="CP77">
        <v>10.196541136096357</v>
      </c>
      <c r="CQ77">
        <v>2838.7170522892256</v>
      </c>
      <c r="CR77">
        <v>10.345381017698614</v>
      </c>
      <c r="CS77">
        <v>2880.1540753272939</v>
      </c>
      <c r="CT77">
        <v>15.582005399788358</v>
      </c>
      <c r="CU77">
        <v>4338.0303033010787</v>
      </c>
    </row>
    <row r="78" spans="2:99" x14ac:dyDescent="0.2">
      <c r="C78" s="118" t="s">
        <v>244</v>
      </c>
      <c r="D78">
        <v>11</v>
      </c>
      <c r="E78">
        <v>6072</v>
      </c>
      <c r="F78">
        <v>15</v>
      </c>
      <c r="G78">
        <v>8280</v>
      </c>
      <c r="H78">
        <v>13</v>
      </c>
      <c r="I78">
        <v>7176</v>
      </c>
      <c r="J78">
        <v>11</v>
      </c>
      <c r="K78">
        <v>6072</v>
      </c>
      <c r="L78">
        <v>11</v>
      </c>
      <c r="M78">
        <v>6072</v>
      </c>
      <c r="N78">
        <v>16.978968992464427</v>
      </c>
      <c r="O78">
        <v>9372.390883840364</v>
      </c>
      <c r="P78">
        <v>16.540182141489776</v>
      </c>
      <c r="Q78">
        <v>9130.1805421023564</v>
      </c>
      <c r="R78">
        <v>14.471015288764983</v>
      </c>
      <c r="S78">
        <v>7988.0004393982708</v>
      </c>
      <c r="T78">
        <v>15.443760773795749</v>
      </c>
      <c r="U78">
        <v>8524.9559471352532</v>
      </c>
      <c r="V78">
        <v>15.783348831179522</v>
      </c>
      <c r="W78">
        <v>8712.4085548110961</v>
      </c>
      <c r="X78">
        <v>9.8812896014842799</v>
      </c>
      <c r="Y78">
        <v>5454.4718600193228</v>
      </c>
      <c r="Z78">
        <v>13.9663978108522</v>
      </c>
      <c r="AA78">
        <v>7709.4515915904149</v>
      </c>
      <c r="AB78">
        <v>13.078668374977212</v>
      </c>
      <c r="AC78">
        <v>7219.4249429874217</v>
      </c>
      <c r="AD78">
        <v>12.658873609985557</v>
      </c>
      <c r="AE78">
        <v>6987.6982327120277</v>
      </c>
      <c r="AF78">
        <v>15.267406862374482</v>
      </c>
      <c r="AG78">
        <v>8427.6085880307146</v>
      </c>
      <c r="AH78">
        <v>8.8810377890655303</v>
      </c>
      <c r="AI78">
        <v>4902.3328595641724</v>
      </c>
      <c r="AJ78">
        <v>14</v>
      </c>
      <c r="AK78">
        <v>7728</v>
      </c>
      <c r="AL78">
        <v>11.424804081892214</v>
      </c>
      <c r="AM78">
        <v>6306.4918532045021</v>
      </c>
      <c r="AN78">
        <v>15.796469583886589</v>
      </c>
      <c r="AO78">
        <v>8719.6512103053974</v>
      </c>
      <c r="AP78">
        <v>17.306222342505329</v>
      </c>
      <c r="AQ78">
        <v>9553.0347330629411</v>
      </c>
      <c r="AR78">
        <v>14.579097652402373</v>
      </c>
      <c r="AS78">
        <v>8047.6619041261101</v>
      </c>
      <c r="AT78">
        <v>10.873966784811149</v>
      </c>
      <c r="AU78">
        <v>6002.4296652157545</v>
      </c>
      <c r="AV78">
        <v>12.002694891178935</v>
      </c>
      <c r="AW78">
        <v>6625.487579930772</v>
      </c>
      <c r="AX78">
        <v>17.194010859758045</v>
      </c>
      <c r="AY78">
        <v>9491.0939945864411</v>
      </c>
      <c r="AZ78">
        <v>8.5719424525819381</v>
      </c>
      <c r="BA78">
        <v>4731.7122338252302</v>
      </c>
      <c r="BB78">
        <v>12.074314280107723</v>
      </c>
      <c r="BC78">
        <v>6665.0214826194633</v>
      </c>
      <c r="BD78">
        <v>14.804159905051788</v>
      </c>
      <c r="BE78">
        <v>8171.8962675885869</v>
      </c>
      <c r="BF78">
        <v>16.113052065371974</v>
      </c>
      <c r="BG78">
        <v>8894.4047400853306</v>
      </c>
      <c r="BH78">
        <v>13.128211297936511</v>
      </c>
      <c r="BI78">
        <v>7246.7726364609543</v>
      </c>
      <c r="BJ78">
        <v>12.744723845028439</v>
      </c>
      <c r="BK78">
        <v>7035.0875624556984</v>
      </c>
      <c r="BL78">
        <v>9.0993272160633918</v>
      </c>
      <c r="BM78">
        <v>5022.8286232669925</v>
      </c>
      <c r="BN78">
        <v>12.317979798649345</v>
      </c>
      <c r="BO78">
        <v>6799.5248488544385</v>
      </c>
      <c r="BP78">
        <v>12.146676100543653</v>
      </c>
      <c r="BQ78">
        <v>6704.9652075000968</v>
      </c>
      <c r="BR78">
        <v>13.045364724472737</v>
      </c>
      <c r="BS78">
        <v>7201.0413279089507</v>
      </c>
      <c r="BT78">
        <v>17.102920602918882</v>
      </c>
      <c r="BU78">
        <v>9440.8121728112237</v>
      </c>
      <c r="BV78">
        <v>11.738638742624239</v>
      </c>
      <c r="BW78">
        <v>6479.7285859285803</v>
      </c>
      <c r="BX78">
        <v>12.494303727281251</v>
      </c>
      <c r="BY78">
        <v>6896.8556574592503</v>
      </c>
      <c r="BZ78">
        <v>17</v>
      </c>
      <c r="CA78">
        <v>9384</v>
      </c>
      <c r="CB78">
        <v>16.841787768403947</v>
      </c>
      <c r="CC78">
        <v>9296.6668481589786</v>
      </c>
      <c r="CD78">
        <v>14.600146956300996</v>
      </c>
      <c r="CE78">
        <v>8059.2811198781501</v>
      </c>
      <c r="CF78">
        <v>18.051506851666645</v>
      </c>
      <c r="CG78">
        <v>9964.4317821199875</v>
      </c>
      <c r="CH78">
        <v>12.894129389896754</v>
      </c>
      <c r="CI78">
        <v>7117.5594232230087</v>
      </c>
      <c r="CJ78">
        <v>9.934946832328416</v>
      </c>
      <c r="CK78">
        <v>5484.0906514452854</v>
      </c>
      <c r="CL78">
        <v>10.830071779727614</v>
      </c>
      <c r="CM78">
        <v>5978.1996224096429</v>
      </c>
      <c r="CN78">
        <v>19.471242757031554</v>
      </c>
      <c r="CO78">
        <v>10748.126001881417</v>
      </c>
      <c r="CP78">
        <v>11.168714598047604</v>
      </c>
      <c r="CQ78">
        <v>6165.1304581222776</v>
      </c>
      <c r="CR78">
        <v>9.3586649029947147</v>
      </c>
      <c r="CS78">
        <v>5165.9830264530829</v>
      </c>
      <c r="CT78">
        <v>14.732672580720582</v>
      </c>
      <c r="CU78">
        <v>8132.435264557761</v>
      </c>
    </row>
    <row r="79" spans="2:99" x14ac:dyDescent="0.2">
      <c r="C79" s="118" t="s">
        <v>245</v>
      </c>
      <c r="D79">
        <v>12</v>
      </c>
      <c r="E79">
        <v>9086.4</v>
      </c>
      <c r="F79">
        <v>15</v>
      </c>
      <c r="G79">
        <v>11357.999999999998</v>
      </c>
      <c r="H79">
        <v>15</v>
      </c>
      <c r="I79">
        <v>11357.999999999998</v>
      </c>
      <c r="J79">
        <v>11</v>
      </c>
      <c r="K79">
        <v>8329.1999999999989</v>
      </c>
      <c r="L79">
        <v>12</v>
      </c>
      <c r="M79">
        <v>9086.4</v>
      </c>
      <c r="N79">
        <v>14.978968992464427</v>
      </c>
      <c r="O79">
        <v>11342.075321094064</v>
      </c>
      <c r="P79">
        <v>15.540182141489778</v>
      </c>
      <c r="Q79">
        <v>11767.025917536059</v>
      </c>
      <c r="R79">
        <v>15.471015288764983</v>
      </c>
      <c r="S79">
        <v>11714.652776652843</v>
      </c>
      <c r="T79">
        <v>16.443760773795749</v>
      </c>
      <c r="U79">
        <v>12451.215657918139</v>
      </c>
      <c r="V79">
        <v>13.966256403608192</v>
      </c>
      <c r="W79">
        <v>10575.249348812122</v>
      </c>
      <c r="X79">
        <v>8.9962404190691849</v>
      </c>
      <c r="Y79">
        <v>6811.953245319186</v>
      </c>
      <c r="Z79">
        <v>13.006664386304376</v>
      </c>
      <c r="AA79">
        <v>9848.6462733096723</v>
      </c>
      <c r="AB79">
        <v>11.155716116047012</v>
      </c>
      <c r="AC79">
        <v>8447.1082430707975</v>
      </c>
      <c r="AD79">
        <v>14.682404810342184</v>
      </c>
      <c r="AE79">
        <v>11117.516922391102</v>
      </c>
      <c r="AF79">
        <v>16.357935923972661</v>
      </c>
      <c r="AG79">
        <v>12386.229081632098</v>
      </c>
      <c r="AH79">
        <v>8.8409906168352794</v>
      </c>
      <c r="AI79">
        <v>6694.3980950676732</v>
      </c>
      <c r="AJ79">
        <v>13</v>
      </c>
      <c r="AK79">
        <v>9843.5999999999985</v>
      </c>
      <c r="AL79">
        <v>12.192859231351621</v>
      </c>
      <c r="AM79">
        <v>9232.4330099794461</v>
      </c>
      <c r="AN79">
        <v>14.843745099252025</v>
      </c>
      <c r="AO79">
        <v>11239.683789153632</v>
      </c>
      <c r="AP79">
        <v>14.244021278576502</v>
      </c>
      <c r="AQ79">
        <v>10785.572912138126</v>
      </c>
      <c r="AR79">
        <v>15.535665328472195</v>
      </c>
      <c r="AS79">
        <v>11763.605786719145</v>
      </c>
      <c r="AT79">
        <v>8</v>
      </c>
      <c r="AU79">
        <v>6057.5999999999995</v>
      </c>
      <c r="AV79">
        <v>11.002694891178935</v>
      </c>
      <c r="AW79">
        <v>8331.2405716006888</v>
      </c>
      <c r="AX79">
        <v>17.36458383972348</v>
      </c>
      <c r="AY79">
        <v>13148.462883438619</v>
      </c>
      <c r="AZ79">
        <v>9.5719424525819381</v>
      </c>
      <c r="BA79">
        <v>7247.874825095043</v>
      </c>
      <c r="BB79">
        <v>10.991674720099436</v>
      </c>
      <c r="BC79">
        <v>8322.8960980592929</v>
      </c>
      <c r="BD79">
        <v>16.758207910477402</v>
      </c>
      <c r="BE79">
        <v>12689.315029813488</v>
      </c>
      <c r="BF79">
        <v>14.967871361193019</v>
      </c>
      <c r="BG79">
        <v>11333.672194695353</v>
      </c>
      <c r="BH79">
        <v>13.05983485563733</v>
      </c>
      <c r="BI79">
        <v>9888.9069526885851</v>
      </c>
      <c r="BJ79">
        <v>12.689559115767072</v>
      </c>
      <c r="BK79">
        <v>9608.5341624588254</v>
      </c>
      <c r="BL79">
        <v>10.061419381026724</v>
      </c>
      <c r="BM79">
        <v>7618.506755313435</v>
      </c>
      <c r="BN79">
        <v>11.44977777851428</v>
      </c>
      <c r="BO79">
        <v>8669.7717338910115</v>
      </c>
      <c r="BP79">
        <v>12.210380328351635</v>
      </c>
      <c r="BQ79">
        <v>9245.6999846278577</v>
      </c>
      <c r="BR79">
        <v>12.896026906690917</v>
      </c>
      <c r="BS79">
        <v>9764.8715737463608</v>
      </c>
      <c r="BT79">
        <v>17.089378418324294</v>
      </c>
      <c r="BU79">
        <v>12940.077338355155</v>
      </c>
      <c r="BV79">
        <v>11.434376962664997</v>
      </c>
      <c r="BW79">
        <v>8658.1102361299345</v>
      </c>
      <c r="BX79">
        <v>12.447962752848634</v>
      </c>
      <c r="BY79">
        <v>9425.5973964569839</v>
      </c>
      <c r="BZ79">
        <v>18</v>
      </c>
      <c r="CA79">
        <v>13629.599999999999</v>
      </c>
      <c r="CB79">
        <v>16.78566858384368</v>
      </c>
      <c r="CC79">
        <v>12710.108251686434</v>
      </c>
      <c r="CD79">
        <v>14.520139608485945</v>
      </c>
      <c r="CE79">
        <v>10994.649711545557</v>
      </c>
      <c r="CF79">
        <v>17.085426427526858</v>
      </c>
      <c r="CG79">
        <v>12937.084890923335</v>
      </c>
      <c r="CH79">
        <v>10.858364214300884</v>
      </c>
      <c r="CI79">
        <v>8221.9533830686287</v>
      </c>
      <c r="CJ79">
        <v>10.078784806532788</v>
      </c>
      <c r="CK79">
        <v>7631.6558555066267</v>
      </c>
      <c r="CL79">
        <v>8.9022519344865358</v>
      </c>
      <c r="CM79">
        <v>6740.7851647932048</v>
      </c>
      <c r="CN79">
        <v>17.655148101660497</v>
      </c>
      <c r="CO79">
        <v>13368.478142577327</v>
      </c>
      <c r="CP79">
        <v>10.168714598047604</v>
      </c>
      <c r="CQ79">
        <v>7699.7506936416448</v>
      </c>
      <c r="CR79">
        <v>8.332097132402513</v>
      </c>
      <c r="CS79">
        <v>6309.0639486551827</v>
      </c>
      <c r="CT79">
        <v>13.695005785487526</v>
      </c>
      <c r="CU79">
        <v>10369.858380771153</v>
      </c>
    </row>
    <row r="80" spans="2:99" x14ac:dyDescent="0.2">
      <c r="C80" s="118" t="s">
        <v>246</v>
      </c>
      <c r="D80">
        <v>11</v>
      </c>
      <c r="E80">
        <v>8857.1999999999989</v>
      </c>
      <c r="F80">
        <v>16</v>
      </c>
      <c r="G80">
        <v>12883.199999999999</v>
      </c>
      <c r="H80">
        <v>16</v>
      </c>
      <c r="I80">
        <v>12883.199999999999</v>
      </c>
      <c r="J80">
        <v>10</v>
      </c>
      <c r="K80">
        <v>8051.9999999999991</v>
      </c>
      <c r="L80">
        <v>10</v>
      </c>
      <c r="M80">
        <v>8051.9999999999991</v>
      </c>
      <c r="N80">
        <v>13.881072093217984</v>
      </c>
      <c r="O80">
        <v>11177.03924945912</v>
      </c>
      <c r="P80">
        <v>14.524748366018642</v>
      </c>
      <c r="Q80">
        <v>11695.327384318209</v>
      </c>
      <c r="R80">
        <v>14.43329694802742</v>
      </c>
      <c r="S80">
        <v>11621.690702551678</v>
      </c>
      <c r="T80">
        <v>14.426010342843918</v>
      </c>
      <c r="U80">
        <v>11615.823528057923</v>
      </c>
      <c r="V80">
        <v>14.920529510501023</v>
      </c>
      <c r="W80">
        <v>12014.010361855422</v>
      </c>
      <c r="X80">
        <v>8.9962404190691849</v>
      </c>
      <c r="Y80">
        <v>7243.7727854345067</v>
      </c>
      <c r="Z80">
        <v>14.087197537208725</v>
      </c>
      <c r="AA80">
        <v>11343.011456960465</v>
      </c>
      <c r="AB80">
        <v>12.040144504442312</v>
      </c>
      <c r="AC80">
        <v>9694.7243549769482</v>
      </c>
      <c r="AD80">
        <v>13.682404810342184</v>
      </c>
      <c r="AE80">
        <v>11017.072353287525</v>
      </c>
      <c r="AF80">
        <v>14.312671393173572</v>
      </c>
      <c r="AG80">
        <v>11524.563005783359</v>
      </c>
      <c r="AH80">
        <v>8.8810377890655303</v>
      </c>
      <c r="AI80">
        <v>7151.0116277555644</v>
      </c>
      <c r="AJ80">
        <v>14</v>
      </c>
      <c r="AK80">
        <v>11272.8</v>
      </c>
      <c r="AL80">
        <v>11.225994210000277</v>
      </c>
      <c r="AM80">
        <v>9039.1705378922215</v>
      </c>
      <c r="AN80">
        <v>14.560092007059406</v>
      </c>
      <c r="AO80">
        <v>11723.786084084233</v>
      </c>
      <c r="AP80">
        <v>14.399523938398564</v>
      </c>
      <c r="AQ80">
        <v>11594.496675198523</v>
      </c>
      <c r="AR80">
        <v>15.506710445852075</v>
      </c>
      <c r="AS80">
        <v>12486.003251000089</v>
      </c>
      <c r="AT80">
        <v>10.873966784811149</v>
      </c>
      <c r="AU80">
        <v>8755.7180551299371</v>
      </c>
      <c r="AV80">
        <v>11.002694891178935</v>
      </c>
      <c r="AW80">
        <v>8859.3699263772778</v>
      </c>
      <c r="AX80">
        <v>16.262240051744218</v>
      </c>
      <c r="AY80">
        <v>13094.355689664444</v>
      </c>
      <c r="AZ80">
        <v>9.5324981455073221</v>
      </c>
      <c r="BA80">
        <v>7675.5675067624952</v>
      </c>
      <c r="BB80">
        <v>11.991674720099436</v>
      </c>
      <c r="BC80">
        <v>9655.6964846240644</v>
      </c>
      <c r="BD80">
        <v>16.873087896913372</v>
      </c>
      <c r="BE80">
        <v>13586.210374594646</v>
      </c>
      <c r="BF80">
        <v>14.113052065371972</v>
      </c>
      <c r="BG80">
        <v>11363.829523037512</v>
      </c>
      <c r="BH80">
        <v>15.162399519086103</v>
      </c>
      <c r="BI80">
        <v>12208.76409276813</v>
      </c>
      <c r="BJ80">
        <v>11.744723845028439</v>
      </c>
      <c r="BK80">
        <v>9456.8516400168974</v>
      </c>
      <c r="BL80">
        <v>9.9097880408800485</v>
      </c>
      <c r="BM80">
        <v>7979.3613305166145</v>
      </c>
      <c r="BN80">
        <v>10.252080808716878</v>
      </c>
      <c r="BO80">
        <v>8254.9754671788287</v>
      </c>
      <c r="BP80">
        <v>12.146676100543653</v>
      </c>
      <c r="BQ80">
        <v>9780.5035961577487</v>
      </c>
      <c r="BR80">
        <v>13.896026906690917</v>
      </c>
      <c r="BS80">
        <v>11189.080865267526</v>
      </c>
      <c r="BT80">
        <v>16.083961544486456</v>
      </c>
      <c r="BU80">
        <v>12950.805835620493</v>
      </c>
      <c r="BV80">
        <v>10.695172774058634</v>
      </c>
      <c r="BW80">
        <v>8611.7531176720113</v>
      </c>
      <c r="BX80">
        <v>11.401621778416017</v>
      </c>
      <c r="BY80">
        <v>9180.5858559805765</v>
      </c>
      <c r="BZ80">
        <v>16.696825291534044</v>
      </c>
      <c r="CA80">
        <v>13444.283724743211</v>
      </c>
      <c r="CB80">
        <v>16.729549399283417</v>
      </c>
      <c r="CC80">
        <v>13470.633176303007</v>
      </c>
      <c r="CD80">
        <v>14.80016532583862</v>
      </c>
      <c r="CE80">
        <v>11917.093120365256</v>
      </c>
      <c r="CF80">
        <v>16.153265579247289</v>
      </c>
      <c r="CG80">
        <v>13006.609444409916</v>
      </c>
      <c r="CH80">
        <v>10.894129389896754</v>
      </c>
      <c r="CI80">
        <v>8771.9529847448666</v>
      </c>
      <c r="CJ80">
        <v>10.030838815131331</v>
      </c>
      <c r="CK80">
        <v>8076.8314139437471</v>
      </c>
      <c r="CL80">
        <v>8.8661618571070751</v>
      </c>
      <c r="CM80">
        <v>7139.0335273426163</v>
      </c>
      <c r="CN80">
        <v>18.397680619179976</v>
      </c>
      <c r="CO80">
        <v>14813.812434563715</v>
      </c>
      <c r="CP80">
        <v>10.085234983901348</v>
      </c>
      <c r="CQ80">
        <v>8120.6312090373649</v>
      </c>
      <c r="CR80">
        <v>9.318813247106414</v>
      </c>
      <c r="CS80">
        <v>7503.5084265700843</v>
      </c>
      <c r="CT80">
        <v>14.506671809322246</v>
      </c>
      <c r="CU80">
        <v>11680.772140866271</v>
      </c>
    </row>
    <row r="81" spans="2:99" x14ac:dyDescent="0.2">
      <c r="C81" s="118" t="s">
        <v>247</v>
      </c>
      <c r="D81">
        <v>10</v>
      </c>
      <c r="E81">
        <v>7536</v>
      </c>
      <c r="F81">
        <v>14</v>
      </c>
      <c r="G81">
        <v>10550.4</v>
      </c>
      <c r="H81">
        <v>15</v>
      </c>
      <c r="I81">
        <v>11304</v>
      </c>
      <c r="J81">
        <v>11</v>
      </c>
      <c r="K81">
        <v>8289.6</v>
      </c>
      <c r="L81">
        <v>12</v>
      </c>
      <c r="M81">
        <v>9043.2000000000007</v>
      </c>
      <c r="N81">
        <v>14.011601292213241</v>
      </c>
      <c r="O81">
        <v>10559.142733811899</v>
      </c>
      <c r="P81">
        <v>16.540182141489776</v>
      </c>
      <c r="Q81">
        <v>12464.681261826696</v>
      </c>
      <c r="R81">
        <v>14.43329694802742</v>
      </c>
      <c r="S81">
        <v>10876.932580033465</v>
      </c>
      <c r="T81">
        <v>14.39050948094026</v>
      </c>
      <c r="U81">
        <v>10844.68794483658</v>
      </c>
      <c r="V81">
        <v>16.829075724286689</v>
      </c>
      <c r="W81">
        <v>12682.391465822449</v>
      </c>
      <c r="X81">
        <v>8.9196065406792489</v>
      </c>
      <c r="Y81">
        <v>6721.8154890558817</v>
      </c>
      <c r="Z81">
        <v>12.006664386304376</v>
      </c>
      <c r="AA81">
        <v>9048.222281518978</v>
      </c>
      <c r="AB81">
        <v>11.194239986581913</v>
      </c>
      <c r="AC81">
        <v>8435.9792538881302</v>
      </c>
      <c r="AD81">
        <v>12.564748808559049</v>
      </c>
      <c r="AE81">
        <v>9468.7947021300988</v>
      </c>
      <c r="AF81">
        <v>15.267406862374482</v>
      </c>
      <c r="AG81">
        <v>11505.51781148541</v>
      </c>
      <c r="AH81">
        <v>9.921084961295783</v>
      </c>
      <c r="AI81">
        <v>7476.5296268325019</v>
      </c>
      <c r="AJ81">
        <v>13</v>
      </c>
      <c r="AK81">
        <v>9796.8000000000011</v>
      </c>
      <c r="AL81">
        <v>12.391669103243558</v>
      </c>
      <c r="AM81">
        <v>9338.3618362043453</v>
      </c>
      <c r="AN81">
        <v>14.796469583886589</v>
      </c>
      <c r="AO81">
        <v>11150.619478416933</v>
      </c>
      <c r="AP81">
        <v>16.337322874469741</v>
      </c>
      <c r="AQ81">
        <v>12311.806518200397</v>
      </c>
      <c r="AR81">
        <v>14.564620211092313</v>
      </c>
      <c r="AS81">
        <v>10975.897791079167</v>
      </c>
      <c r="AT81">
        <v>8</v>
      </c>
      <c r="AU81">
        <v>6028.8</v>
      </c>
      <c r="AV81">
        <v>10.854147499893168</v>
      </c>
      <c r="AW81">
        <v>8179.6855559194919</v>
      </c>
      <c r="AX81">
        <v>15.296354647737305</v>
      </c>
      <c r="AY81">
        <v>11527.332862534833</v>
      </c>
      <c r="AZ81">
        <v>9.5127759919700132</v>
      </c>
      <c r="BA81">
        <v>7168.8279875486023</v>
      </c>
      <c r="BB81">
        <v>11.074314280107723</v>
      </c>
      <c r="BC81">
        <v>8345.6032414891797</v>
      </c>
      <c r="BD81">
        <v>14.758207910477401</v>
      </c>
      <c r="BE81">
        <v>11121.78548133577</v>
      </c>
      <c r="BF81">
        <v>15.064658497312321</v>
      </c>
      <c r="BG81">
        <v>11352.726643574566</v>
      </c>
      <c r="BH81">
        <v>14.196587740235694</v>
      </c>
      <c r="BI81">
        <v>10698.548521041619</v>
      </c>
      <c r="BJ81">
        <v>12.744723845028439</v>
      </c>
      <c r="BK81">
        <v>9604.423889613432</v>
      </c>
      <c r="BL81">
        <v>9.9097880408800485</v>
      </c>
      <c r="BM81">
        <v>7468.016267607205</v>
      </c>
      <c r="BN81">
        <v>11.317979798649345</v>
      </c>
      <c r="BO81">
        <v>8529.229576262147</v>
      </c>
      <c r="BP81">
        <v>11.178528214447644</v>
      </c>
      <c r="BQ81">
        <v>8424.1388624077445</v>
      </c>
      <c r="BR81">
        <v>14.008030270027282</v>
      </c>
      <c r="BS81">
        <v>10556.451611492561</v>
      </c>
      <c r="BT81">
        <v>15.097503729081046</v>
      </c>
      <c r="BU81">
        <v>11377.478810235476</v>
      </c>
      <c r="BV81">
        <v>10.434376962664997</v>
      </c>
      <c r="BW81">
        <v>7863.346479064342</v>
      </c>
      <c r="BX81">
        <v>12.432515761371095</v>
      </c>
      <c r="BY81">
        <v>9369.1438777692565</v>
      </c>
      <c r="BZ81">
        <v>17</v>
      </c>
      <c r="CA81">
        <v>12811.2</v>
      </c>
      <c r="CB81">
        <v>15.841787768403945</v>
      </c>
      <c r="CC81">
        <v>11938.371262269213</v>
      </c>
      <c r="CD81">
        <v>14.600146956300996</v>
      </c>
      <c r="CE81">
        <v>11002.670746268432</v>
      </c>
      <c r="CF81">
        <v>15.153265579247288</v>
      </c>
      <c r="CG81">
        <v>11419.500940520757</v>
      </c>
      <c r="CH81">
        <v>10.822599038705015</v>
      </c>
      <c r="CI81">
        <v>8155.9106355680997</v>
      </c>
      <c r="CJ81">
        <v>10.078784806532788</v>
      </c>
      <c r="CK81">
        <v>7595.3722302031092</v>
      </c>
      <c r="CL81">
        <v>9.9383420118659984</v>
      </c>
      <c r="CM81">
        <v>7489.5345401422164</v>
      </c>
      <c r="CN81">
        <v>17.471242757031554</v>
      </c>
      <c r="CO81">
        <v>13166.32854169898</v>
      </c>
      <c r="CP81">
        <v>11.252194212193862</v>
      </c>
      <c r="CQ81">
        <v>8479.6535583092937</v>
      </c>
      <c r="CR81">
        <v>9.3055293618103132</v>
      </c>
      <c r="CS81">
        <v>7012.646927060252</v>
      </c>
      <c r="CT81">
        <v>14.619672195021414</v>
      </c>
      <c r="CU81">
        <v>11017.384966168138</v>
      </c>
    </row>
    <row r="82" spans="2:99" x14ac:dyDescent="0.2">
      <c r="C82" s="118" t="s">
        <v>248</v>
      </c>
      <c r="D82">
        <v>11</v>
      </c>
      <c r="E82">
        <v>5596.7999999999993</v>
      </c>
      <c r="F82">
        <v>16</v>
      </c>
      <c r="G82">
        <v>8140.7999999999984</v>
      </c>
      <c r="H82">
        <v>14</v>
      </c>
      <c r="I82">
        <v>7123.1999999999989</v>
      </c>
      <c r="J82">
        <v>12</v>
      </c>
      <c r="K82">
        <v>6105.5999999999985</v>
      </c>
      <c r="L82">
        <v>12</v>
      </c>
      <c r="M82">
        <v>6105.5999999999985</v>
      </c>
      <c r="N82">
        <v>15.011601292213241</v>
      </c>
      <c r="O82">
        <v>7637.9027374780953</v>
      </c>
      <c r="P82">
        <v>17.540182141489776</v>
      </c>
      <c r="Q82">
        <v>8924.4446735899965</v>
      </c>
      <c r="R82">
        <v>14.395578607289856</v>
      </c>
      <c r="S82">
        <v>7324.4703953890776</v>
      </c>
      <c r="T82">
        <v>16.46151120474758</v>
      </c>
      <c r="U82">
        <v>8375.6169009755668</v>
      </c>
      <c r="V82">
        <v>14.874802617393856</v>
      </c>
      <c r="W82">
        <v>7568.2995717299927</v>
      </c>
      <c r="X82">
        <v>9.8812896014842799</v>
      </c>
      <c r="Y82">
        <v>5027.6001492352007</v>
      </c>
      <c r="Z82">
        <v>12.04693096175655</v>
      </c>
      <c r="AA82">
        <v>6129.4784733417309</v>
      </c>
      <c r="AB82">
        <v>12.155716116047012</v>
      </c>
      <c r="AC82">
        <v>6184.8283598447188</v>
      </c>
      <c r="AD82">
        <v>12.611811209272304</v>
      </c>
      <c r="AE82">
        <v>6416.8895432777472</v>
      </c>
      <c r="AF82">
        <v>15.448464985570837</v>
      </c>
      <c r="AG82">
        <v>7860.1789846584406</v>
      </c>
      <c r="AH82">
        <v>8.921084961295783</v>
      </c>
      <c r="AI82">
        <v>4539.0480283072939</v>
      </c>
      <c r="AJ82">
        <v>12</v>
      </c>
      <c r="AK82">
        <v>6105.5999999999985</v>
      </c>
      <c r="AL82">
        <v>12.3585341245949</v>
      </c>
      <c r="AM82">
        <v>6288.0221625938839</v>
      </c>
      <c r="AN82">
        <v>14.654643037790279</v>
      </c>
      <c r="AO82">
        <v>7456.2823776276928</v>
      </c>
      <c r="AP82">
        <v>15</v>
      </c>
      <c r="AQ82">
        <v>7631.9999999999982</v>
      </c>
      <c r="AR82">
        <v>14.579097652402373</v>
      </c>
      <c r="AS82">
        <v>7417.8448855423258</v>
      </c>
      <c r="AT82">
        <v>8</v>
      </c>
      <c r="AU82">
        <v>4070.3999999999992</v>
      </c>
      <c r="AV82">
        <v>11.965558043357493</v>
      </c>
      <c r="AW82">
        <v>6088.0759324602914</v>
      </c>
      <c r="AX82">
        <v>16.296354647737303</v>
      </c>
      <c r="AY82">
        <v>8291.5852447687375</v>
      </c>
      <c r="AZ82">
        <v>9.5916646061192452</v>
      </c>
      <c r="BA82">
        <v>4880.238951593471</v>
      </c>
      <c r="BB82">
        <v>12.03299450010358</v>
      </c>
      <c r="BC82">
        <v>6122.3876016527001</v>
      </c>
      <c r="BD82">
        <v>15.896063894200564</v>
      </c>
      <c r="BE82">
        <v>8087.9173093692452</v>
      </c>
      <c r="BF82">
        <v>15.209839201491274</v>
      </c>
      <c r="BG82">
        <v>7738.7661857187586</v>
      </c>
      <c r="BH82">
        <v>15.230775961385286</v>
      </c>
      <c r="BI82">
        <v>7749.4188091528322</v>
      </c>
      <c r="BJ82">
        <v>12.689559115767072</v>
      </c>
      <c r="BK82">
        <v>6456.447678102285</v>
      </c>
      <c r="BL82">
        <v>9.0614193810267238</v>
      </c>
      <c r="BM82">
        <v>4610.450181066396</v>
      </c>
      <c r="BN82">
        <v>12.317979798649345</v>
      </c>
      <c r="BO82">
        <v>6267.3881215527854</v>
      </c>
      <c r="BP82">
        <v>11.274084556159615</v>
      </c>
      <c r="BQ82">
        <v>5736.2542221740105</v>
      </c>
      <c r="BR82">
        <v>12.896026906690917</v>
      </c>
      <c r="BS82">
        <v>6561.498490124337</v>
      </c>
      <c r="BT82">
        <v>18.102920602918882</v>
      </c>
      <c r="BU82">
        <v>9210.7660027651254</v>
      </c>
      <c r="BV82">
        <v>11.651706805493028</v>
      </c>
      <c r="BW82">
        <v>5928.3884226348509</v>
      </c>
      <c r="BX82">
        <v>11.494303727281251</v>
      </c>
      <c r="BY82">
        <v>5848.3017364406996</v>
      </c>
      <c r="BZ82">
        <v>16</v>
      </c>
      <c r="CA82">
        <v>8140.7999999999984</v>
      </c>
      <c r="CB82">
        <v>18.78566858384368</v>
      </c>
      <c r="CC82">
        <v>9558.1481754596625</v>
      </c>
      <c r="CD82">
        <v>14.840168999746144</v>
      </c>
      <c r="CE82">
        <v>7550.6779870708369</v>
      </c>
      <c r="CF82">
        <v>17.051506851666645</v>
      </c>
      <c r="CG82">
        <v>8675.8066861279876</v>
      </c>
      <c r="CH82">
        <v>10.858364214300884</v>
      </c>
      <c r="CI82">
        <v>5524.7357122362891</v>
      </c>
      <c r="CJ82">
        <v>10.030838815131331</v>
      </c>
      <c r="CK82">
        <v>5103.69078913882</v>
      </c>
      <c r="CL82">
        <v>10.01052216662492</v>
      </c>
      <c r="CM82">
        <v>5093.3536783787586</v>
      </c>
      <c r="CN82">
        <v>16.581585963808919</v>
      </c>
      <c r="CO82">
        <v>8436.710938385977</v>
      </c>
      <c r="CP82">
        <v>11.113061521950099</v>
      </c>
      <c r="CQ82">
        <v>5654.325702368209</v>
      </c>
      <c r="CR82">
        <v>9.3719487882908155</v>
      </c>
      <c r="CS82">
        <v>4768.4475434823662</v>
      </c>
      <c r="CT82">
        <v>14.84567296641975</v>
      </c>
      <c r="CU82">
        <v>7553.4784053143676</v>
      </c>
    </row>
    <row r="83" spans="2:99" x14ac:dyDescent="0.2">
      <c r="C83" s="118" t="s">
        <v>249</v>
      </c>
      <c r="D83">
        <v>11</v>
      </c>
      <c r="E83">
        <v>9464.4</v>
      </c>
      <c r="F83">
        <v>15</v>
      </c>
      <c r="G83">
        <v>12906</v>
      </c>
      <c r="H83">
        <v>13</v>
      </c>
      <c r="I83">
        <v>11185.199999999999</v>
      </c>
      <c r="J83">
        <v>11</v>
      </c>
      <c r="K83">
        <v>9464.4</v>
      </c>
      <c r="L83">
        <v>11</v>
      </c>
      <c r="M83">
        <v>9464.4</v>
      </c>
      <c r="N83">
        <v>14.978968992464427</v>
      </c>
      <c r="O83">
        <v>12887.904921116393</v>
      </c>
      <c r="P83">
        <v>15.493880815076368</v>
      </c>
      <c r="Q83">
        <v>13330.935053291707</v>
      </c>
      <c r="R83">
        <v>12.282423585077165</v>
      </c>
      <c r="S83">
        <v>10567.797252600392</v>
      </c>
      <c r="T83">
        <v>14.408259911892088</v>
      </c>
      <c r="U83">
        <v>12396.866828191953</v>
      </c>
      <c r="V83">
        <v>14.920529510501023</v>
      </c>
      <c r="W83">
        <v>12837.623590835079</v>
      </c>
      <c r="X83">
        <v>8.8812896014842799</v>
      </c>
      <c r="Y83">
        <v>7641.4615731170743</v>
      </c>
      <c r="Z83">
        <v>13.04693096175655</v>
      </c>
      <c r="AA83">
        <v>11225.579399495335</v>
      </c>
      <c r="AB83">
        <v>11.117192245512111</v>
      </c>
      <c r="AC83">
        <v>9565.2322080386202</v>
      </c>
      <c r="AD83">
        <v>13.588280008915676</v>
      </c>
      <c r="AE83">
        <v>11691.356119671047</v>
      </c>
      <c r="AF83">
        <v>14.403200454771749</v>
      </c>
      <c r="AG83">
        <v>12392.513671285613</v>
      </c>
      <c r="AH83">
        <v>8.8810377890655303</v>
      </c>
      <c r="AI83">
        <v>7641.244913711982</v>
      </c>
      <c r="AJ83">
        <v>13</v>
      </c>
      <c r="AK83">
        <v>11185.199999999999</v>
      </c>
      <c r="AL83">
        <v>10.3585341245949</v>
      </c>
      <c r="AM83">
        <v>8912.4827608014511</v>
      </c>
      <c r="AN83">
        <v>14.51281649169397</v>
      </c>
      <c r="AO83">
        <v>12486.827309453491</v>
      </c>
      <c r="AP83">
        <v>15.244021278576502</v>
      </c>
      <c r="AQ83">
        <v>13115.955908087222</v>
      </c>
      <c r="AR83">
        <v>14.593575093712431</v>
      </c>
      <c r="AS83">
        <v>12556.312010630176</v>
      </c>
      <c r="AT83">
        <v>8</v>
      </c>
      <c r="AU83">
        <v>6883.2</v>
      </c>
      <c r="AV83">
        <v>10.928421195536052</v>
      </c>
      <c r="AW83">
        <v>9402.8135966392183</v>
      </c>
      <c r="AX83">
        <v>16.296354647737303</v>
      </c>
      <c r="AY83">
        <v>14021.383538913175</v>
      </c>
      <c r="AZ83">
        <v>9.5324981455073221</v>
      </c>
      <c r="BA83">
        <v>8201.7614043944996</v>
      </c>
      <c r="BB83">
        <v>10.90903516009115</v>
      </c>
      <c r="BC83">
        <v>9386.1338517424247</v>
      </c>
      <c r="BD83">
        <v>16.896063894200566</v>
      </c>
      <c r="BE83">
        <v>14537.373374570167</v>
      </c>
      <c r="BF83">
        <v>14.161445633431624</v>
      </c>
      <c r="BG83">
        <v>12184.507823004569</v>
      </c>
      <c r="BH83">
        <v>13.09402307678692</v>
      </c>
      <c r="BI83">
        <v>11266.097455267465</v>
      </c>
      <c r="BJ83">
        <v>13.66197675113639</v>
      </c>
      <c r="BK83">
        <v>11754.764796677749</v>
      </c>
      <c r="BL83">
        <v>8.9856037109533862</v>
      </c>
      <c r="BM83">
        <v>7731.2134329042929</v>
      </c>
      <c r="BN83">
        <v>11.285030303683111</v>
      </c>
      <c r="BO83">
        <v>9709.6400732889488</v>
      </c>
      <c r="BP83">
        <v>12.114823986639664</v>
      </c>
      <c r="BQ83">
        <v>10423.594558104767</v>
      </c>
      <c r="BR83">
        <v>12.896026906690917</v>
      </c>
      <c r="BS83">
        <v>11095.741550516865</v>
      </c>
      <c r="BT83">
        <v>15.089378418324292</v>
      </c>
      <c r="BU83">
        <v>12982.901191126221</v>
      </c>
      <c r="BV83">
        <v>10.434376962664997</v>
      </c>
      <c r="BW83">
        <v>8977.7379386769626</v>
      </c>
      <c r="BX83">
        <v>12.401621778416017</v>
      </c>
      <c r="BY83">
        <v>10670.355378149141</v>
      </c>
      <c r="BZ83">
        <v>19.652171994388411</v>
      </c>
      <c r="CA83">
        <v>16908.728783971786</v>
      </c>
      <c r="CB83">
        <v>15.729549399283419</v>
      </c>
      <c r="CC83">
        <v>13533.704303143453</v>
      </c>
      <c r="CD83">
        <v>15.64015063020852</v>
      </c>
      <c r="CE83">
        <v>13456.78560223141</v>
      </c>
      <c r="CF83">
        <v>17.119346003387072</v>
      </c>
      <c r="CG83">
        <v>14729.485301314236</v>
      </c>
      <c r="CH83">
        <v>9.8225990387050146</v>
      </c>
      <c r="CI83">
        <v>8451.3642129017935</v>
      </c>
      <c r="CJ83">
        <v>9.0548118108320601</v>
      </c>
      <c r="CK83">
        <v>7790.7600820399039</v>
      </c>
      <c r="CL83">
        <v>8.9022519344865358</v>
      </c>
      <c r="CM83">
        <v>7659.4975644322149</v>
      </c>
      <c r="CN83">
        <v>17.544804894883132</v>
      </c>
      <c r="CO83">
        <v>15095.550131557446</v>
      </c>
      <c r="CP83">
        <v>10.168714598047604</v>
      </c>
      <c r="CQ83">
        <v>8749.1620401601576</v>
      </c>
      <c r="CR83">
        <v>8.332097132402513</v>
      </c>
      <c r="CS83">
        <v>7168.9363727191221</v>
      </c>
      <c r="CT83">
        <v>13.506671809322246</v>
      </c>
      <c r="CU83">
        <v>11621.140424740859</v>
      </c>
    </row>
    <row r="84" spans="2:99" x14ac:dyDescent="0.2">
      <c r="C84" s="118" t="s">
        <v>250</v>
      </c>
      <c r="D84">
        <v>12</v>
      </c>
      <c r="E84">
        <v>9374.4</v>
      </c>
      <c r="F84">
        <v>15</v>
      </c>
      <c r="G84">
        <v>11717.999999999998</v>
      </c>
      <c r="H84">
        <v>14</v>
      </c>
      <c r="I84">
        <v>10936.8</v>
      </c>
      <c r="J84">
        <v>11</v>
      </c>
      <c r="K84">
        <v>8593.1999999999989</v>
      </c>
      <c r="L84">
        <v>11</v>
      </c>
      <c r="M84">
        <v>8593.1999999999989</v>
      </c>
      <c r="N84">
        <v>16.044233591962055</v>
      </c>
      <c r="O84">
        <v>12533.755282040756</v>
      </c>
      <c r="P84">
        <v>14.524748366018642</v>
      </c>
      <c r="Q84">
        <v>11346.733423533762</v>
      </c>
      <c r="R84">
        <v>14.320141925814729</v>
      </c>
      <c r="S84">
        <v>11186.894872446466</v>
      </c>
      <c r="T84">
        <v>13.39050948094026</v>
      </c>
      <c r="U84">
        <v>10460.66600651053</v>
      </c>
      <c r="V84">
        <v>14.737621938072355</v>
      </c>
      <c r="W84">
        <v>11513.030258022123</v>
      </c>
      <c r="X84">
        <v>9.842972662289311</v>
      </c>
      <c r="Y84">
        <v>7689.3302437804086</v>
      </c>
      <c r="Z84">
        <v>12.9663978108522</v>
      </c>
      <c r="AA84">
        <v>10129.349969837738</v>
      </c>
      <c r="AB84">
        <v>12.155716116047012</v>
      </c>
      <c r="AC84">
        <v>9496.0454298559252</v>
      </c>
      <c r="AD84">
        <v>14.682404810342184</v>
      </c>
      <c r="AE84">
        <v>11469.894637839314</v>
      </c>
      <c r="AF84">
        <v>15.357935923972661</v>
      </c>
      <c r="AG84">
        <v>11997.619543807443</v>
      </c>
      <c r="AH84">
        <v>10.001179305756285</v>
      </c>
      <c r="AI84">
        <v>7812.9212736568088</v>
      </c>
      <c r="AJ84">
        <v>14</v>
      </c>
      <c r="AK84">
        <v>10936.8</v>
      </c>
      <c r="AL84">
        <v>11.225994210000277</v>
      </c>
      <c r="AM84">
        <v>8769.7466768522154</v>
      </c>
      <c r="AN84">
        <v>13.701918553155716</v>
      </c>
      <c r="AO84">
        <v>10703.938773725244</v>
      </c>
      <c r="AP84">
        <v>14.368423406434152</v>
      </c>
      <c r="AQ84">
        <v>11224.612365106359</v>
      </c>
      <c r="AR84">
        <v>13.506710445852075</v>
      </c>
      <c r="AS84">
        <v>10551.44220029964</v>
      </c>
      <c r="AT84">
        <v>8</v>
      </c>
      <c r="AU84">
        <v>6249.5999999999995</v>
      </c>
      <c r="AV84">
        <v>10.854147499893168</v>
      </c>
      <c r="AW84">
        <v>8479.2600269165414</v>
      </c>
      <c r="AX84">
        <v>17.262240051744218</v>
      </c>
      <c r="AY84">
        <v>13485.261928422582</v>
      </c>
      <c r="AZ84">
        <v>9.5916646061192452</v>
      </c>
      <c r="BA84">
        <v>7493.0083903003533</v>
      </c>
      <c r="BB84">
        <v>11.03299450010358</v>
      </c>
      <c r="BC84">
        <v>8618.9753034809164</v>
      </c>
      <c r="BD84">
        <v>16.758207910477402</v>
      </c>
      <c r="BE84">
        <v>13091.512019664946</v>
      </c>
      <c r="BF84">
        <v>16.064658497312323</v>
      </c>
      <c r="BG84">
        <v>12549.711218100385</v>
      </c>
      <c r="BH84">
        <v>15.09402307678692</v>
      </c>
      <c r="BI84">
        <v>11791.450827585941</v>
      </c>
      <c r="BJ84">
        <v>12.634394386505706</v>
      </c>
      <c r="BK84">
        <v>9869.9888947382569</v>
      </c>
      <c r="BL84">
        <v>9.9097880408800485</v>
      </c>
      <c r="BM84">
        <v>7741.5264175354932</v>
      </c>
      <c r="BN84">
        <v>10.285030303683111</v>
      </c>
      <c r="BO84">
        <v>8034.6656732372458</v>
      </c>
      <c r="BP84">
        <v>11.114823986639664</v>
      </c>
      <c r="BQ84">
        <v>8682.9004983629038</v>
      </c>
      <c r="BR84">
        <v>14.045364724472737</v>
      </c>
      <c r="BS84">
        <v>10972.238922758101</v>
      </c>
      <c r="BT84">
        <v>16.086669981405375</v>
      </c>
      <c r="BU84">
        <v>12566.906589473878</v>
      </c>
      <c r="BV84">
        <v>10.390910994099391</v>
      </c>
      <c r="BW84">
        <v>8117.3796685904435</v>
      </c>
      <c r="BX84">
        <v>11.432515761371095</v>
      </c>
      <c r="BY84">
        <v>8931.0813127830988</v>
      </c>
      <c r="BZ84">
        <v>18</v>
      </c>
      <c r="CA84">
        <v>14061.599999999999</v>
      </c>
      <c r="CB84">
        <v>17.841787768403947</v>
      </c>
      <c r="CC84">
        <v>13938.004604677162</v>
      </c>
      <c r="CD84">
        <v>14.480135934578421</v>
      </c>
      <c r="CE84">
        <v>11311.882192092662</v>
      </c>
      <c r="CF84">
        <v>15.119346003387074</v>
      </c>
      <c r="CG84">
        <v>11811.233097845981</v>
      </c>
      <c r="CH84">
        <v>10.858364214300884</v>
      </c>
      <c r="CI84">
        <v>8482.5541242118506</v>
      </c>
      <c r="CJ84">
        <v>10.006865819430601</v>
      </c>
      <c r="CK84">
        <v>7817.3635781391849</v>
      </c>
      <c r="CL84">
        <v>10.830071779727614</v>
      </c>
      <c r="CM84">
        <v>8460.4520743232115</v>
      </c>
      <c r="CN84">
        <v>18.434461688105763</v>
      </c>
      <c r="CO84">
        <v>14401.001470748221</v>
      </c>
      <c r="CP84">
        <v>11.252194212193862</v>
      </c>
      <c r="CQ84">
        <v>8790.2141185658438</v>
      </c>
      <c r="CR84">
        <v>8.3055293618103132</v>
      </c>
      <c r="CS84">
        <v>6488.2795374462157</v>
      </c>
      <c r="CT84">
        <v>13</v>
      </c>
      <c r="CU84">
        <v>10155.599999999999</v>
      </c>
    </row>
    <row r="85" spans="2:99" x14ac:dyDescent="0.2">
      <c r="C85" s="118" t="s">
        <v>251</v>
      </c>
      <c r="D85">
        <v>13</v>
      </c>
      <c r="E85">
        <v>1950</v>
      </c>
      <c r="F85">
        <v>15</v>
      </c>
      <c r="G85">
        <v>2250</v>
      </c>
      <c r="H85">
        <v>15</v>
      </c>
      <c r="I85">
        <v>2250</v>
      </c>
      <c r="J85">
        <v>13</v>
      </c>
      <c r="K85">
        <v>1950</v>
      </c>
      <c r="L85">
        <v>11</v>
      </c>
      <c r="M85">
        <v>1650</v>
      </c>
      <c r="N85">
        <v>15.978968992464427</v>
      </c>
      <c r="O85">
        <v>2396.8453488696641</v>
      </c>
      <c r="P85">
        <v>17.571049692432052</v>
      </c>
      <c r="Q85">
        <v>2635.6574538648078</v>
      </c>
      <c r="R85">
        <v>13.357860266552294</v>
      </c>
      <c r="S85">
        <v>2003.679039982844</v>
      </c>
      <c r="T85">
        <v>17.46151120474758</v>
      </c>
      <c r="U85">
        <v>2619.2266807121368</v>
      </c>
      <c r="V85">
        <v>16.14916397603686</v>
      </c>
      <c r="W85">
        <v>2422.3745964055288</v>
      </c>
      <c r="X85">
        <v>8.8812896014842799</v>
      </c>
      <c r="Y85">
        <v>1332.193440222642</v>
      </c>
      <c r="Z85">
        <v>14.006664386304376</v>
      </c>
      <c r="AA85">
        <v>2100.9996579456565</v>
      </c>
      <c r="AB85">
        <v>12.194239986581913</v>
      </c>
      <c r="AC85">
        <v>1829.1359979872868</v>
      </c>
      <c r="AD85">
        <v>13.658873609985557</v>
      </c>
      <c r="AE85">
        <v>2048.8310414978337</v>
      </c>
      <c r="AF85">
        <v>16.31267139317357</v>
      </c>
      <c r="AG85">
        <v>2446.9007089760357</v>
      </c>
      <c r="AH85">
        <v>9.0412264779865357</v>
      </c>
      <c r="AI85">
        <v>1356.1839716979803</v>
      </c>
      <c r="AJ85">
        <v>15</v>
      </c>
      <c r="AK85">
        <v>2250</v>
      </c>
      <c r="AL85">
        <v>12.292264167297589</v>
      </c>
      <c r="AM85">
        <v>1843.8396250946382</v>
      </c>
      <c r="AN85">
        <v>16.796469583886587</v>
      </c>
      <c r="AO85">
        <v>2519.4704375829879</v>
      </c>
      <c r="AP85">
        <v>16.430624470362979</v>
      </c>
      <c r="AQ85">
        <v>2464.5936705544468</v>
      </c>
      <c r="AR85">
        <v>14.637007417642609</v>
      </c>
      <c r="AS85">
        <v>2195.5511126463912</v>
      </c>
      <c r="AT85">
        <v>9</v>
      </c>
      <c r="AU85">
        <v>1350</v>
      </c>
      <c r="AV85">
        <v>11.928421195536052</v>
      </c>
      <c r="AW85">
        <v>1789.2631793304076</v>
      </c>
      <c r="AX85">
        <v>16.330469243730391</v>
      </c>
      <c r="AY85">
        <v>2449.5703865595588</v>
      </c>
      <c r="AZ85">
        <v>9.631108913193863</v>
      </c>
      <c r="BA85">
        <v>1444.6663369790795</v>
      </c>
      <c r="BB85">
        <v>12.991674720099436</v>
      </c>
      <c r="BC85">
        <v>1948.7512080149154</v>
      </c>
      <c r="BD85">
        <v>17.873087896913372</v>
      </c>
      <c r="BE85">
        <v>2680.9631845370059</v>
      </c>
      <c r="BF85">
        <v>14.113052065371972</v>
      </c>
      <c r="BG85">
        <v>2116.9578098057959</v>
      </c>
      <c r="BH85">
        <v>14.196587740235694</v>
      </c>
      <c r="BI85">
        <v>2129.4881610353541</v>
      </c>
      <c r="BJ85">
        <v>13.772306209659121</v>
      </c>
      <c r="BK85">
        <v>2065.8459314488682</v>
      </c>
      <c r="BL85">
        <v>9.0614193810267238</v>
      </c>
      <c r="BM85">
        <v>1359.2129071540085</v>
      </c>
      <c r="BN85">
        <v>10.416828283548046</v>
      </c>
      <c r="BO85">
        <v>1562.5242425322069</v>
      </c>
      <c r="BP85">
        <v>12.178528214447644</v>
      </c>
      <c r="BQ85">
        <v>1826.7792321671466</v>
      </c>
      <c r="BR85">
        <v>14.120033633363647</v>
      </c>
      <c r="BS85">
        <v>2118.0050450045469</v>
      </c>
      <c r="BT85">
        <v>18.102920602918882</v>
      </c>
      <c r="BU85">
        <v>2715.4380904378322</v>
      </c>
      <c r="BV85">
        <v>10.825570679755451</v>
      </c>
      <c r="BW85">
        <v>1623.8356019633177</v>
      </c>
      <c r="BX85">
        <v>13.478856735803712</v>
      </c>
      <c r="BY85">
        <v>2021.8285103705568</v>
      </c>
      <c r="BZ85">
        <v>19</v>
      </c>
      <c r="CA85">
        <v>2850</v>
      </c>
      <c r="CB85">
        <v>17.869847360684076</v>
      </c>
      <c r="CC85">
        <v>2680.4771041026115</v>
      </c>
      <c r="CD85">
        <v>15.920176347561195</v>
      </c>
      <c r="CE85">
        <v>2388.0264521341792</v>
      </c>
      <c r="CF85">
        <v>18.288943882688145</v>
      </c>
      <c r="CG85">
        <v>2743.3415824032218</v>
      </c>
      <c r="CH85">
        <v>12.965659741088494</v>
      </c>
      <c r="CI85">
        <v>1944.8489611632742</v>
      </c>
      <c r="CJ85">
        <v>9.9828928237298733</v>
      </c>
      <c r="CK85">
        <v>1497.4339235594809</v>
      </c>
      <c r="CL85">
        <v>9.9744320892454592</v>
      </c>
      <c r="CM85">
        <v>1496.1648133868189</v>
      </c>
      <c r="CN85">
        <v>19.728710239512075</v>
      </c>
      <c r="CO85">
        <v>2959.3065359268112</v>
      </c>
      <c r="CP85">
        <v>12.280020750242615</v>
      </c>
      <c r="CQ85">
        <v>1842.0031125363923</v>
      </c>
      <c r="CR85">
        <v>10.371948788290815</v>
      </c>
      <c r="CS85">
        <v>1555.7923182436223</v>
      </c>
      <c r="CT85">
        <v>12</v>
      </c>
      <c r="CU85">
        <v>1800</v>
      </c>
    </row>
    <row r="86" spans="2:99" x14ac:dyDescent="0.2">
      <c r="C86" s="118" t="s">
        <v>252</v>
      </c>
      <c r="D86">
        <v>13</v>
      </c>
      <c r="E86">
        <v>7020</v>
      </c>
      <c r="F86">
        <v>16</v>
      </c>
      <c r="G86">
        <v>8640</v>
      </c>
      <c r="H86">
        <v>16</v>
      </c>
      <c r="I86">
        <v>8640</v>
      </c>
      <c r="J86">
        <v>11</v>
      </c>
      <c r="K86">
        <v>5940</v>
      </c>
      <c r="L86">
        <v>10</v>
      </c>
      <c r="M86">
        <v>5400</v>
      </c>
      <c r="N86">
        <v>15.011601292213241</v>
      </c>
      <c r="O86">
        <v>8106.2646977951499</v>
      </c>
      <c r="P86">
        <v>15.524748366018642</v>
      </c>
      <c r="Q86">
        <v>8383.364117650066</v>
      </c>
      <c r="R86">
        <v>14.282423585077165</v>
      </c>
      <c r="S86">
        <v>7712.5087359416693</v>
      </c>
      <c r="T86">
        <v>16.46151120474758</v>
      </c>
      <c r="U86">
        <v>8889.216050563693</v>
      </c>
      <c r="V86">
        <v>16.874802617393858</v>
      </c>
      <c r="W86">
        <v>9112.3934133926832</v>
      </c>
      <c r="X86">
        <v>8.9579234798742178</v>
      </c>
      <c r="Y86">
        <v>4837.2786791320777</v>
      </c>
      <c r="Z86">
        <v>14.04693096175655</v>
      </c>
      <c r="AA86">
        <v>7585.3427193485368</v>
      </c>
      <c r="AB86">
        <v>12.232763857116813</v>
      </c>
      <c r="AC86">
        <v>6605.6924828430792</v>
      </c>
      <c r="AD86">
        <v>12.682404810342184</v>
      </c>
      <c r="AE86">
        <v>6848.4985975847794</v>
      </c>
      <c r="AF86">
        <v>17.31267139317357</v>
      </c>
      <c r="AG86">
        <v>9348.8425523137284</v>
      </c>
      <c r="AH86">
        <v>8.9611321335260339</v>
      </c>
      <c r="AI86">
        <v>4839.0113521040585</v>
      </c>
      <c r="AJ86">
        <v>12</v>
      </c>
      <c r="AK86">
        <v>6480</v>
      </c>
      <c r="AL86">
        <v>11.45793906054087</v>
      </c>
      <c r="AM86">
        <v>6187.2870926920696</v>
      </c>
      <c r="AN86">
        <v>14.701918553155716</v>
      </c>
      <c r="AO86">
        <v>7939.0360187040869</v>
      </c>
      <c r="AP86">
        <v>15.399523938398564</v>
      </c>
      <c r="AQ86">
        <v>8315.7429267352254</v>
      </c>
      <c r="AR86">
        <v>14.521187887162135</v>
      </c>
      <c r="AS86">
        <v>7841.4414590675533</v>
      </c>
      <c r="AT86">
        <v>8</v>
      </c>
      <c r="AU86">
        <v>4320</v>
      </c>
      <c r="AV86">
        <v>11.039831739000377</v>
      </c>
      <c r="AW86">
        <v>5961.5091390602038</v>
      </c>
      <c r="AX86">
        <v>17.296354647737303</v>
      </c>
      <c r="AY86">
        <v>9340.031509778144</v>
      </c>
      <c r="AZ86">
        <v>9.5522202990446292</v>
      </c>
      <c r="BA86">
        <v>5158.1989614840995</v>
      </c>
      <c r="BB86">
        <v>11.950354940095293</v>
      </c>
      <c r="BC86">
        <v>6453.1916676514584</v>
      </c>
      <c r="BD86">
        <v>16.781183907764596</v>
      </c>
      <c r="BE86">
        <v>9061.8393101928814</v>
      </c>
      <c r="BF86">
        <v>15.016264929252671</v>
      </c>
      <c r="BG86">
        <v>8108.7830617964419</v>
      </c>
      <c r="BH86">
        <v>14.162399519086103</v>
      </c>
      <c r="BI86">
        <v>7647.6957403064953</v>
      </c>
      <c r="BJ86">
        <v>12.744723845028439</v>
      </c>
      <c r="BK86">
        <v>6882.150876315357</v>
      </c>
      <c r="BL86">
        <v>9.1372350511000615</v>
      </c>
      <c r="BM86">
        <v>4934.1069275940336</v>
      </c>
      <c r="BN86">
        <v>11.44977777851428</v>
      </c>
      <c r="BO86">
        <v>6182.8800003977112</v>
      </c>
      <c r="BP86">
        <v>12.114823986639664</v>
      </c>
      <c r="BQ86">
        <v>6542.004952785418</v>
      </c>
      <c r="BR86">
        <v>14.933361361136372</v>
      </c>
      <c r="BS86">
        <v>8064.0151350136412</v>
      </c>
      <c r="BT86">
        <v>16.100212165999963</v>
      </c>
      <c r="BU86">
        <v>8694.1145696399799</v>
      </c>
      <c r="BV86">
        <v>11.521308899796209</v>
      </c>
      <c r="BW86">
        <v>6221.5068058899524</v>
      </c>
      <c r="BX86">
        <v>11.447962752848634</v>
      </c>
      <c r="BY86">
        <v>6181.8998865382619</v>
      </c>
      <c r="BZ86">
        <v>17</v>
      </c>
      <c r="CA86">
        <v>9180</v>
      </c>
      <c r="CB86">
        <v>16.78566858384368</v>
      </c>
      <c r="CC86">
        <v>9064.2610352755873</v>
      </c>
      <c r="CD86">
        <v>14.56014328239347</v>
      </c>
      <c r="CE86">
        <v>7862.4773724924744</v>
      </c>
      <c r="CF86">
        <v>16.221104730967717</v>
      </c>
      <c r="CG86">
        <v>8759.3965547225671</v>
      </c>
      <c r="CH86">
        <v>10.786833863109145</v>
      </c>
      <c r="CI86">
        <v>5824.8902860789385</v>
      </c>
      <c r="CJ86">
        <v>9.0548118108320601</v>
      </c>
      <c r="CK86">
        <v>4889.5983778493128</v>
      </c>
      <c r="CL86">
        <v>10.974432089245459</v>
      </c>
      <c r="CM86">
        <v>5926.1933281925476</v>
      </c>
      <c r="CN86">
        <v>16.691929170586288</v>
      </c>
      <c r="CO86">
        <v>9013.6417521165949</v>
      </c>
      <c r="CP86">
        <v>11.196541136096357</v>
      </c>
      <c r="CQ86">
        <v>6046.1322134920329</v>
      </c>
      <c r="CR86">
        <v>9.318813247106414</v>
      </c>
      <c r="CS86">
        <v>5032.1591534374638</v>
      </c>
      <c r="CT86">
        <v>14</v>
      </c>
      <c r="CU86">
        <v>7560</v>
      </c>
    </row>
    <row r="87" spans="2:99" x14ac:dyDescent="0.2">
      <c r="B87" s="118" t="s">
        <v>131</v>
      </c>
      <c r="C87" s="118" t="s">
        <v>253</v>
      </c>
      <c r="D87">
        <v>13</v>
      </c>
      <c r="E87">
        <v>25412.399999999998</v>
      </c>
      <c r="F87">
        <v>11</v>
      </c>
      <c r="G87">
        <v>21502.799999999999</v>
      </c>
      <c r="H87">
        <v>10</v>
      </c>
      <c r="I87">
        <v>19548</v>
      </c>
      <c r="J87">
        <v>10</v>
      </c>
      <c r="K87">
        <v>19548</v>
      </c>
      <c r="L87">
        <v>8</v>
      </c>
      <c r="M87">
        <v>15638.4</v>
      </c>
      <c r="N87">
        <v>12.685278294725098</v>
      </c>
      <c r="O87">
        <v>24797.182010528621</v>
      </c>
      <c r="P87">
        <v>14.324109284893867</v>
      </c>
      <c r="Q87">
        <v>28000.76883011053</v>
      </c>
      <c r="R87">
        <v>12.01839519991422</v>
      </c>
      <c r="S87">
        <v>23493.558936792317</v>
      </c>
      <c r="T87">
        <v>16.42601034284392</v>
      </c>
      <c r="U87">
        <v>32109.565018191293</v>
      </c>
      <c r="V87">
        <v>9.6401765035003404</v>
      </c>
      <c r="W87">
        <v>18844.617029042463</v>
      </c>
      <c r="X87">
        <v>15.88128960148428</v>
      </c>
      <c r="Y87">
        <v>31044.74491298147</v>
      </c>
      <c r="Z87">
        <v>14.885864659947849</v>
      </c>
      <c r="AA87">
        <v>29098.888237266056</v>
      </c>
      <c r="AB87">
        <v>8.8090012812329093</v>
      </c>
      <c r="AC87">
        <v>17219.835704554091</v>
      </c>
      <c r="AD87">
        <v>15.40003040606266</v>
      </c>
      <c r="AE87">
        <v>30103.979437771286</v>
      </c>
      <c r="AF87">
        <v>8.7242324927854185</v>
      </c>
      <c r="AG87">
        <v>17054.129676896937</v>
      </c>
      <c r="AH87">
        <v>13.840990616835279</v>
      </c>
      <c r="AI87">
        <v>27056.368457789602</v>
      </c>
      <c r="AJ87">
        <v>11</v>
      </c>
      <c r="AK87">
        <v>21502.799999999999</v>
      </c>
      <c r="AL87">
        <v>13.497024679729842</v>
      </c>
      <c r="AM87">
        <v>26383.983843935894</v>
      </c>
      <c r="AN87">
        <v>10.898234791943294</v>
      </c>
      <c r="AO87">
        <v>21303.869371290752</v>
      </c>
      <c r="AP87">
        <v>15.559809575359425</v>
      </c>
      <c r="AQ87">
        <v>30416.315757912605</v>
      </c>
      <c r="AR87">
        <v>12.275071384891127</v>
      </c>
      <c r="AS87">
        <v>23995.309543185176</v>
      </c>
      <c r="AT87">
        <v>16.639891097252587</v>
      </c>
      <c r="AU87">
        <v>32527.659116909355</v>
      </c>
      <c r="AV87">
        <v>16.928421195536053</v>
      </c>
      <c r="AW87">
        <v>33091.677753033873</v>
      </c>
      <c r="AX87">
        <v>16.818750303834086</v>
      </c>
      <c r="AY87">
        <v>32877.293093934873</v>
      </c>
      <c r="AZ87">
        <v>14.493053838432704</v>
      </c>
      <c r="BA87">
        <v>28331.021643368251</v>
      </c>
      <c r="BB87">
        <v>12.619796700062148</v>
      </c>
      <c r="BC87">
        <v>24669.178589281488</v>
      </c>
      <c r="BD87">
        <v>9.436543948456686</v>
      </c>
      <c r="BE87">
        <v>18446.556110443129</v>
      </c>
      <c r="BF87">
        <v>8.7259035208947644</v>
      </c>
      <c r="BG87">
        <v>17057.396202645086</v>
      </c>
      <c r="BH87">
        <v>14.683764422991825</v>
      </c>
      <c r="BI87">
        <v>28703.82269406442</v>
      </c>
      <c r="BJ87">
        <v>16.772306209659121</v>
      </c>
      <c r="BK87">
        <v>32786.504178641648</v>
      </c>
      <c r="BL87">
        <v>10.947695875916718</v>
      </c>
      <c r="BM87">
        <v>21400.555898242001</v>
      </c>
      <c r="BN87">
        <v>17.658989899324673</v>
      </c>
      <c r="BO87">
        <v>34519.79345519987</v>
      </c>
      <c r="BP87">
        <v>12.668894391983798</v>
      </c>
      <c r="BQ87">
        <v>24765.154757449927</v>
      </c>
      <c r="BR87">
        <v>18.1573680878091</v>
      </c>
      <c r="BS87">
        <v>35494.023138049226</v>
      </c>
      <c r="BT87">
        <v>15.065002486054031</v>
      </c>
      <c r="BU87">
        <v>29449.066859738417</v>
      </c>
      <c r="BV87">
        <v>11.043183245574543</v>
      </c>
      <c r="BW87">
        <v>21587.214608449114</v>
      </c>
      <c r="BX87">
        <v>16.386174786938476</v>
      </c>
      <c r="BY87">
        <v>32031.69447350733</v>
      </c>
      <c r="BZ87">
        <v>14.027025834349551</v>
      </c>
      <c r="CA87">
        <v>27420.030100986503</v>
      </c>
      <c r="CB87">
        <v>10.645370622443025</v>
      </c>
      <c r="CC87">
        <v>20809.570492751624</v>
      </c>
      <c r="CD87">
        <v>14.760069804242972</v>
      </c>
      <c r="CE87">
        <v>28852.98445333416</v>
      </c>
      <c r="CF87">
        <v>12.678391517204288</v>
      </c>
      <c r="CG87">
        <v>24783.719737830943</v>
      </c>
      <c r="CH87">
        <v>12.608007985129793</v>
      </c>
      <c r="CI87">
        <v>24646.134009331719</v>
      </c>
      <c r="CJ87">
        <v>13.407540926912386</v>
      </c>
      <c r="CK87">
        <v>26209.061003928331</v>
      </c>
      <c r="CL87">
        <v>10.793981702348152</v>
      </c>
      <c r="CM87">
        <v>21100.075431750167</v>
      </c>
      <c r="CN87">
        <v>18.066650998847877</v>
      </c>
      <c r="CO87">
        <v>35316.689372547829</v>
      </c>
      <c r="CP87">
        <v>17.584357299023804</v>
      </c>
      <c r="CQ87">
        <v>34373.90164813173</v>
      </c>
      <c r="CR87">
        <v>17.252393820625912</v>
      </c>
      <c r="CS87">
        <v>33724.979440559531</v>
      </c>
      <c r="CT87">
        <v>13.979336676059459</v>
      </c>
      <c r="CU87">
        <v>27326.80733436103</v>
      </c>
    </row>
    <row r="88" spans="2:99" x14ac:dyDescent="0.2">
      <c r="C88" s="118" t="s">
        <v>254</v>
      </c>
      <c r="D88">
        <v>13</v>
      </c>
      <c r="E88">
        <v>24601.199999999997</v>
      </c>
      <c r="F88">
        <v>13</v>
      </c>
      <c r="G88">
        <v>24601.199999999997</v>
      </c>
      <c r="H88">
        <v>9</v>
      </c>
      <c r="I88">
        <v>17031.599999999999</v>
      </c>
      <c r="J88">
        <v>10</v>
      </c>
      <c r="K88">
        <v>18924</v>
      </c>
      <c r="L88">
        <v>9</v>
      </c>
      <c r="M88">
        <v>17031.599999999999</v>
      </c>
      <c r="N88">
        <v>10.815807493720355</v>
      </c>
      <c r="O88">
        <v>20467.834101116398</v>
      </c>
      <c r="P88">
        <v>14.293241733951593</v>
      </c>
      <c r="Q88">
        <v>27048.530657329993</v>
      </c>
      <c r="R88">
        <v>12.056113540651783</v>
      </c>
      <c r="S88">
        <v>22814.989264329433</v>
      </c>
      <c r="T88">
        <v>15.479261635699409</v>
      </c>
      <c r="U88">
        <v>29292.95471939756</v>
      </c>
      <c r="V88">
        <v>11.594449610393173</v>
      </c>
      <c r="W88">
        <v>21941.336442708041</v>
      </c>
      <c r="X88">
        <v>17.957923479874218</v>
      </c>
      <c r="Y88">
        <v>33983.574393313967</v>
      </c>
      <c r="Z88">
        <v>13.885864659947849</v>
      </c>
      <c r="AA88">
        <v>26277.610282485308</v>
      </c>
      <c r="AB88">
        <v>8.7704774106980086</v>
      </c>
      <c r="AC88">
        <v>16597.251452004912</v>
      </c>
      <c r="AD88">
        <v>14.423561606419288</v>
      </c>
      <c r="AE88">
        <v>27295.147983987859</v>
      </c>
      <c r="AF88">
        <v>8.8147615543835958</v>
      </c>
      <c r="AG88">
        <v>16681.054765515517</v>
      </c>
      <c r="AH88">
        <v>16.961132133526032</v>
      </c>
      <c r="AI88">
        <v>32097.246449484661</v>
      </c>
      <c r="AJ88">
        <v>12</v>
      </c>
      <c r="AK88">
        <v>22708.799999999999</v>
      </c>
      <c r="AL88">
        <v>14.463889701081186</v>
      </c>
      <c r="AM88">
        <v>27371.464870326035</v>
      </c>
      <c r="AN88">
        <v>11.94551030730873</v>
      </c>
      <c r="AO88">
        <v>22605.68370555104</v>
      </c>
      <c r="AP88">
        <v>15.590910107323838</v>
      </c>
      <c r="AQ88">
        <v>29504.23828709963</v>
      </c>
      <c r="AR88">
        <v>11.260593943581068</v>
      </c>
      <c r="AS88">
        <v>21309.547978832812</v>
      </c>
      <c r="AT88">
        <v>16.685597604199202</v>
      </c>
      <c r="AU88">
        <v>31575.824906186568</v>
      </c>
      <c r="AV88">
        <v>14.928421195536052</v>
      </c>
      <c r="AW88">
        <v>28250.544270432423</v>
      </c>
      <c r="AX88">
        <v>15.818750303834086</v>
      </c>
      <c r="AY88">
        <v>29935.403074975624</v>
      </c>
      <c r="AZ88">
        <v>16.552220299044631</v>
      </c>
      <c r="BA88">
        <v>31323.421693912056</v>
      </c>
      <c r="BB88">
        <v>14.661116480066291</v>
      </c>
      <c r="BC88">
        <v>27744.696826877447</v>
      </c>
      <c r="BD88">
        <v>10.413567951169492</v>
      </c>
      <c r="BE88">
        <v>19706.635990793144</v>
      </c>
      <c r="BF88">
        <v>9.7259035208947644</v>
      </c>
      <c r="BG88">
        <v>18405.299822941251</v>
      </c>
      <c r="BH88">
        <v>13.717952644141416</v>
      </c>
      <c r="BI88">
        <v>25959.853583773212</v>
      </c>
      <c r="BJ88">
        <v>17.689559115767072</v>
      </c>
      <c r="BK88">
        <v>33475.721670677602</v>
      </c>
      <c r="BL88">
        <v>11.833972370806713</v>
      </c>
      <c r="BM88">
        <v>22394.609314514622</v>
      </c>
      <c r="BN88">
        <v>18.658989899324673</v>
      </c>
      <c r="BO88">
        <v>35310.272485482012</v>
      </c>
      <c r="BP88">
        <v>12.700746505887789</v>
      </c>
      <c r="BQ88">
        <v>24034.892687742049</v>
      </c>
      <c r="BR88">
        <v>18.120033633363647</v>
      </c>
      <c r="BS88">
        <v>34290.351647777366</v>
      </c>
      <c r="BT88">
        <v>16.070419359891869</v>
      </c>
      <c r="BU88">
        <v>30411.661596659371</v>
      </c>
      <c r="BV88">
        <v>11.956251308443331</v>
      </c>
      <c r="BW88">
        <v>22626.009976098157</v>
      </c>
      <c r="BX88">
        <v>16.417068769893554</v>
      </c>
      <c r="BY88">
        <v>31067.660940146558</v>
      </c>
      <c r="BZ88">
        <v>12.982372537203918</v>
      </c>
      <c r="CA88">
        <v>24567.841789404694</v>
      </c>
      <c r="CB88">
        <v>11.673430214723156</v>
      </c>
      <c r="CC88">
        <v>22090.799338342098</v>
      </c>
      <c r="CD88">
        <v>14.720066130335448</v>
      </c>
      <c r="CE88">
        <v>27856.253145046801</v>
      </c>
      <c r="CF88">
        <v>13.712311093064502</v>
      </c>
      <c r="CG88">
        <v>25949.17751251526</v>
      </c>
      <c r="CH88">
        <v>11.679538336321533</v>
      </c>
      <c r="CI88">
        <v>22102.358347654867</v>
      </c>
      <c r="CJ88">
        <v>14.407540926912386</v>
      </c>
      <c r="CK88">
        <v>27264.830450088997</v>
      </c>
      <c r="CL88">
        <v>9.7218015475892301</v>
      </c>
      <c r="CM88">
        <v>18397.537248657856</v>
      </c>
      <c r="CN88">
        <v>16.029869929922089</v>
      </c>
      <c r="CO88">
        <v>30334.925855384561</v>
      </c>
      <c r="CP88">
        <v>17.55653076097505</v>
      </c>
      <c r="CQ88">
        <v>33223.978812069181</v>
      </c>
      <c r="CR88">
        <v>18.239109935329811</v>
      </c>
      <c r="CS88">
        <v>34515.691641618134</v>
      </c>
      <c r="CT88">
        <v>13.017003471292515</v>
      </c>
      <c r="CU88">
        <v>24633.377369073954</v>
      </c>
    </row>
    <row r="89" spans="2:99" x14ac:dyDescent="0.2">
      <c r="C89" s="118" t="s">
        <v>255</v>
      </c>
      <c r="D89">
        <v>13</v>
      </c>
      <c r="E89">
        <v>31168.799999999999</v>
      </c>
      <c r="F89">
        <v>12</v>
      </c>
      <c r="G89">
        <v>28771.199999999997</v>
      </c>
      <c r="H89">
        <v>8</v>
      </c>
      <c r="I89">
        <v>19180.8</v>
      </c>
      <c r="J89">
        <v>10</v>
      </c>
      <c r="K89">
        <v>23976</v>
      </c>
      <c r="L89">
        <v>8</v>
      </c>
      <c r="M89">
        <v>19180.8</v>
      </c>
      <c r="N89">
        <v>12.783175193971541</v>
      </c>
      <c r="O89">
        <v>30648.940845066165</v>
      </c>
      <c r="P89">
        <v>15.293241733951593</v>
      </c>
      <c r="Q89">
        <v>36667.076381322338</v>
      </c>
      <c r="R89">
        <v>11.01839519991422</v>
      </c>
      <c r="S89">
        <v>26417.704331314333</v>
      </c>
      <c r="T89">
        <v>15.426010342843918</v>
      </c>
      <c r="U89">
        <v>36985.402398002574</v>
      </c>
      <c r="V89">
        <v>10.594449610393173</v>
      </c>
      <c r="W89">
        <v>25401.25238587867</v>
      </c>
      <c r="X89">
        <v>16.804655723094342</v>
      </c>
      <c r="Y89">
        <v>40290.842561690995</v>
      </c>
      <c r="Z89">
        <v>14.765064933591326</v>
      </c>
      <c r="AA89">
        <v>35400.71968477856</v>
      </c>
      <c r="AB89">
        <v>9.7319535401631079</v>
      </c>
      <c r="AC89">
        <v>23333.331807895065</v>
      </c>
      <c r="AD89">
        <v>15.423561606419288</v>
      </c>
      <c r="AE89">
        <v>36979.531307550882</v>
      </c>
      <c r="AF89">
        <v>8.769497023584508</v>
      </c>
      <c r="AG89">
        <v>21025.746063746217</v>
      </c>
      <c r="AH89">
        <v>13.921084961295783</v>
      </c>
      <c r="AI89">
        <v>33377.193303202766</v>
      </c>
      <c r="AJ89">
        <v>12</v>
      </c>
      <c r="AK89">
        <v>28771.199999999997</v>
      </c>
      <c r="AL89">
        <v>13.463889701081186</v>
      </c>
      <c r="AM89">
        <v>32281.021947312249</v>
      </c>
      <c r="AN89">
        <v>10.94551030730873</v>
      </c>
      <c r="AO89">
        <v>26242.955512803412</v>
      </c>
      <c r="AP89">
        <v>14.559809575359425</v>
      </c>
      <c r="AQ89">
        <v>34908.599437881756</v>
      </c>
      <c r="AR89">
        <v>12.260593943581068</v>
      </c>
      <c r="AS89">
        <v>29396.000039129965</v>
      </c>
      <c r="AT89">
        <v>15.6855976041992</v>
      </c>
      <c r="AU89">
        <v>37607.788815828004</v>
      </c>
      <c r="AV89">
        <v>14.928421195536052</v>
      </c>
      <c r="AW89">
        <v>35792.382658417235</v>
      </c>
      <c r="AX89">
        <v>14.716406515854827</v>
      </c>
      <c r="AY89">
        <v>35284.056262413527</v>
      </c>
      <c r="AZ89">
        <v>14.552220299044629</v>
      </c>
      <c r="BA89">
        <v>34890.403388989398</v>
      </c>
      <c r="BB89">
        <v>13.537157140053861</v>
      </c>
      <c r="BC89">
        <v>32456.687958993134</v>
      </c>
      <c r="BD89">
        <v>8.3905919538822982</v>
      </c>
      <c r="BE89">
        <v>20117.283268628198</v>
      </c>
      <c r="BF89">
        <v>8.6775099528351145</v>
      </c>
      <c r="BG89">
        <v>20805.19786291747</v>
      </c>
      <c r="BH89">
        <v>14.717952644141416</v>
      </c>
      <c r="BI89">
        <v>35287.763259593456</v>
      </c>
      <c r="BJ89">
        <v>15.66197675113639</v>
      </c>
      <c r="BK89">
        <v>37551.155458524605</v>
      </c>
      <c r="BL89">
        <v>9.7581567007333749</v>
      </c>
      <c r="BM89">
        <v>23396.15650567834</v>
      </c>
      <c r="BN89">
        <v>16.691939394290905</v>
      </c>
      <c r="BO89">
        <v>40020.593891751872</v>
      </c>
      <c r="BP89">
        <v>12.700746505887789</v>
      </c>
      <c r="BQ89">
        <v>30451.309822516563</v>
      </c>
      <c r="BR89">
        <v>18.008030270027284</v>
      </c>
      <c r="BS89">
        <v>43176.053375417418</v>
      </c>
      <c r="BT89">
        <v>14.065002486054031</v>
      </c>
      <c r="BU89">
        <v>33722.249960563146</v>
      </c>
      <c r="BV89">
        <v>11.043183245574543</v>
      </c>
      <c r="BW89">
        <v>26477.136149589522</v>
      </c>
      <c r="BX89">
        <v>15.432515761371095</v>
      </c>
      <c r="BY89">
        <v>37000.999789463334</v>
      </c>
      <c r="BZ89">
        <v>13.071679131495184</v>
      </c>
      <c r="CA89">
        <v>31340.657885672852</v>
      </c>
      <c r="CB89">
        <v>9.6453706224430249</v>
      </c>
      <c r="CC89">
        <v>23125.740604369395</v>
      </c>
      <c r="CD89">
        <v>15.800073478150498</v>
      </c>
      <c r="CE89">
        <v>37882.25617121363</v>
      </c>
      <c r="CF89">
        <v>12.576632789623645</v>
      </c>
      <c r="CG89">
        <v>30153.734776401649</v>
      </c>
      <c r="CH89">
        <v>11.572242809533924</v>
      </c>
      <c r="CI89">
        <v>27745.609360138533</v>
      </c>
      <c r="CJ89">
        <v>13.383567931211658</v>
      </c>
      <c r="CK89">
        <v>32088.44247187307</v>
      </c>
      <c r="CL89">
        <v>10.757891624968691</v>
      </c>
      <c r="CM89">
        <v>25793.120960024931</v>
      </c>
      <c r="CN89">
        <v>15.91952672314472</v>
      </c>
      <c r="CO89">
        <v>38168.657271411779</v>
      </c>
      <c r="CP89">
        <v>17.612183837072553</v>
      </c>
      <c r="CQ89">
        <v>42226.971967765152</v>
      </c>
      <c r="CR89">
        <v>15.265677705922011</v>
      </c>
      <c r="CS89">
        <v>36600.98886771861</v>
      </c>
      <c r="CT89">
        <v>12.904003085593347</v>
      </c>
      <c r="CU89">
        <v>30938.637798018608</v>
      </c>
    </row>
    <row r="90" spans="2:99" x14ac:dyDescent="0.2">
      <c r="C90" s="118" t="s">
        <v>256</v>
      </c>
      <c r="D90">
        <v>14</v>
      </c>
      <c r="E90">
        <v>30760.799999999996</v>
      </c>
      <c r="F90">
        <v>13</v>
      </c>
      <c r="G90">
        <v>28563.599999999999</v>
      </c>
      <c r="H90">
        <v>10</v>
      </c>
      <c r="I90">
        <v>21972</v>
      </c>
      <c r="J90">
        <v>10</v>
      </c>
      <c r="K90">
        <v>21972</v>
      </c>
      <c r="L90">
        <v>9</v>
      </c>
      <c r="M90">
        <v>19774.8</v>
      </c>
      <c r="N90">
        <v>11.783175193971541</v>
      </c>
      <c r="O90">
        <v>25889.992536194266</v>
      </c>
      <c r="P90">
        <v>15.308675509422731</v>
      </c>
      <c r="Q90">
        <v>33636.22182930362</v>
      </c>
      <c r="R90">
        <v>9.9052401777015291</v>
      </c>
      <c r="S90">
        <v>21763.793718445799</v>
      </c>
      <c r="T90">
        <v>15.461511204747579</v>
      </c>
      <c r="U90">
        <v>33972.03241907138</v>
      </c>
      <c r="V90">
        <v>11.64017650350034</v>
      </c>
      <c r="W90">
        <v>25575.795813490946</v>
      </c>
      <c r="X90">
        <v>14.804655723094342</v>
      </c>
      <c r="Y90">
        <v>32528.789554782885</v>
      </c>
      <c r="Z90">
        <v>13.845598084495675</v>
      </c>
      <c r="AA90">
        <v>30421.548111253895</v>
      </c>
      <c r="AB90">
        <v>8.7319535401631079</v>
      </c>
      <c r="AC90">
        <v>19185.84831844638</v>
      </c>
      <c r="AD90">
        <v>15.40003040606266</v>
      </c>
      <c r="AE90">
        <v>33836.946808200875</v>
      </c>
      <c r="AF90">
        <v>9.7242324927854185</v>
      </c>
      <c r="AG90">
        <v>21366.083633148119</v>
      </c>
      <c r="AH90">
        <v>15.800943444605029</v>
      </c>
      <c r="AI90">
        <v>34717.832936486164</v>
      </c>
      <c r="AJ90">
        <v>12</v>
      </c>
      <c r="AK90">
        <v>26366.399999999998</v>
      </c>
      <c r="AL90">
        <v>12.497024679729842</v>
      </c>
      <c r="AM90">
        <v>27458.462626302407</v>
      </c>
      <c r="AN90">
        <v>10.803683761212421</v>
      </c>
      <c r="AO90">
        <v>23737.85396013593</v>
      </c>
      <c r="AP90">
        <v>14.528709043395013</v>
      </c>
      <c r="AQ90">
        <v>31922.479510147521</v>
      </c>
      <c r="AR90">
        <v>12.23163906096095</v>
      </c>
      <c r="AS90">
        <v>26875.357344743396</v>
      </c>
      <c r="AT90">
        <v>15.639891097252587</v>
      </c>
      <c r="AU90">
        <v>34363.968718883378</v>
      </c>
      <c r="AV90">
        <v>15.817010652071726</v>
      </c>
      <c r="AW90">
        <v>34753.135804731995</v>
      </c>
      <c r="AX90">
        <v>16.648177323868651</v>
      </c>
      <c r="AY90">
        <v>36579.375216004199</v>
      </c>
      <c r="AZ90">
        <v>16.552220299044631</v>
      </c>
      <c r="BA90">
        <v>36368.53844106086</v>
      </c>
      <c r="BB90">
        <v>12.619796700062148</v>
      </c>
      <c r="BC90">
        <v>27728.217309376549</v>
      </c>
      <c r="BD90">
        <v>8.3905919538822982</v>
      </c>
      <c r="BE90">
        <v>18435.808641070184</v>
      </c>
      <c r="BF90">
        <v>8.7742970889544161</v>
      </c>
      <c r="BG90">
        <v>19278.885563850643</v>
      </c>
      <c r="BH90">
        <v>15.683764422991825</v>
      </c>
      <c r="BI90">
        <v>34460.367190197634</v>
      </c>
      <c r="BJ90">
        <v>14.66197675113639</v>
      </c>
      <c r="BK90">
        <v>32215.295317596872</v>
      </c>
      <c r="BL90">
        <v>9.8718802058433806</v>
      </c>
      <c r="BM90">
        <v>21690.495188279074</v>
      </c>
      <c r="BN90">
        <v>16.626040404358438</v>
      </c>
      <c r="BO90">
        <v>36530.735976456359</v>
      </c>
      <c r="BP90">
        <v>13.700746505887789</v>
      </c>
      <c r="BQ90">
        <v>30103.280222736648</v>
      </c>
      <c r="BR90">
        <v>19.120033633363647</v>
      </c>
      <c r="BS90">
        <v>42010.537899226605</v>
      </c>
      <c r="BT90">
        <v>15.065002486054031</v>
      </c>
      <c r="BU90">
        <v>33100.823462357912</v>
      </c>
      <c r="BV90">
        <v>11.043183245574543</v>
      </c>
      <c r="BW90">
        <v>24264.082227176383</v>
      </c>
      <c r="BX90">
        <v>14.417068769893556</v>
      </c>
      <c r="BY90">
        <v>31677.183501210118</v>
      </c>
      <c r="BZ90">
        <v>13.027025834349551</v>
      </c>
      <c r="CA90">
        <v>28622.981163232831</v>
      </c>
      <c r="CB90">
        <v>9.6453706224430249</v>
      </c>
      <c r="CC90">
        <v>21192.808331631812</v>
      </c>
      <c r="CD90">
        <v>16.800073478150498</v>
      </c>
      <c r="CE90">
        <v>36913.121446192272</v>
      </c>
      <c r="CF90">
        <v>11.610552365483858</v>
      </c>
      <c r="CG90">
        <v>25510.705657441133</v>
      </c>
      <c r="CH90">
        <v>12.643773160725663</v>
      </c>
      <c r="CI90">
        <v>27780.898388746424</v>
      </c>
      <c r="CJ90">
        <v>14.359594935510929</v>
      </c>
      <c r="CK90">
        <v>31550.901992304611</v>
      </c>
      <c r="CL90">
        <v>9.7578916249686909</v>
      </c>
      <c r="CM90">
        <v>21440.039478381204</v>
      </c>
      <c r="CN90">
        <v>16.066650998847877</v>
      </c>
      <c r="CO90">
        <v>35301.645574668553</v>
      </c>
      <c r="CP90">
        <v>15.584357299023802</v>
      </c>
      <c r="CQ90">
        <v>34241.949857415093</v>
      </c>
      <c r="CR90">
        <v>17.252393820625912</v>
      </c>
      <c r="CS90">
        <v>37906.959702679247</v>
      </c>
      <c r="CT90">
        <v>12.904003085593347</v>
      </c>
      <c r="CU90">
        <v>28352.675579665698</v>
      </c>
    </row>
    <row r="91" spans="2:99" x14ac:dyDescent="0.2">
      <c r="C91" s="118" t="s">
        <v>257</v>
      </c>
      <c r="D91">
        <v>14</v>
      </c>
      <c r="E91">
        <v>32155.199999999997</v>
      </c>
      <c r="F91">
        <v>11</v>
      </c>
      <c r="G91">
        <v>25264.799999999996</v>
      </c>
      <c r="H91">
        <v>9</v>
      </c>
      <c r="I91">
        <v>20671.199999999997</v>
      </c>
      <c r="J91">
        <v>11</v>
      </c>
      <c r="K91">
        <v>25264.799999999996</v>
      </c>
      <c r="L91">
        <v>8</v>
      </c>
      <c r="M91">
        <v>18374.399999999998</v>
      </c>
      <c r="N91">
        <v>12.717910594473913</v>
      </c>
      <c r="O91">
        <v>29210.49705338768</v>
      </c>
      <c r="P91">
        <v>14.293241733951593</v>
      </c>
      <c r="Q91">
        <v>32828.717614540015</v>
      </c>
      <c r="R91">
        <v>11.980676859176656</v>
      </c>
      <c r="S91">
        <v>27517.218610156939</v>
      </c>
      <c r="T91">
        <v>14.408259911892088</v>
      </c>
      <c r="U91">
        <v>33092.891365633746</v>
      </c>
      <c r="V91">
        <v>9.5944496103931733</v>
      </c>
      <c r="W91">
        <v>22036.531865151039</v>
      </c>
      <c r="X91">
        <v>14.804655723094342</v>
      </c>
      <c r="Y91">
        <v>34003.333264803077</v>
      </c>
      <c r="Z91">
        <v>13.885864659947849</v>
      </c>
      <c r="AA91">
        <v>31893.053950968217</v>
      </c>
      <c r="AB91">
        <v>8.6934296696282072</v>
      </c>
      <c r="AC91">
        <v>19967.069265202063</v>
      </c>
      <c r="AD91">
        <v>14.423561606419288</v>
      </c>
      <c r="AE91">
        <v>33128.036297623818</v>
      </c>
      <c r="AF91">
        <v>9.7242324927854185</v>
      </c>
      <c r="AG91">
        <v>22334.617189429548</v>
      </c>
      <c r="AH91">
        <v>15.88103778906553</v>
      </c>
      <c r="AI91">
        <v>36475.567593925705</v>
      </c>
      <c r="AJ91">
        <v>11</v>
      </c>
      <c r="AK91">
        <v>25264.799999999996</v>
      </c>
      <c r="AL91">
        <v>13.497024679729842</v>
      </c>
      <c r="AM91">
        <v>30999.966284403497</v>
      </c>
      <c r="AN91">
        <v>9.8982347919432936</v>
      </c>
      <c r="AO91">
        <v>22734.265670135355</v>
      </c>
      <c r="AP91">
        <v>14.528709043395013</v>
      </c>
      <c r="AQ91">
        <v>33369.538930869661</v>
      </c>
      <c r="AR91">
        <v>11.23163906096095</v>
      </c>
      <c r="AS91">
        <v>25796.828595215105</v>
      </c>
      <c r="AT91">
        <v>16.685597604199202</v>
      </c>
      <c r="AU91">
        <v>38323.480577324721</v>
      </c>
      <c r="AV91">
        <v>14.89128434771461</v>
      </c>
      <c r="AW91">
        <v>34202.301889830909</v>
      </c>
      <c r="AX91">
        <v>17.784635707841002</v>
      </c>
      <c r="AY91">
        <v>40847.751293769208</v>
      </c>
      <c r="AZ91">
        <v>15.552220299044629</v>
      </c>
      <c r="BA91">
        <v>35720.3395828457</v>
      </c>
      <c r="BB91">
        <v>12.619796700062148</v>
      </c>
      <c r="BC91">
        <v>28985.149060702737</v>
      </c>
      <c r="BD91">
        <v>10.436543948456686</v>
      </c>
      <c r="BE91">
        <v>23970.654140815313</v>
      </c>
      <c r="BF91">
        <v>9.7259035208947644</v>
      </c>
      <c r="BG91">
        <v>22338.455206791092</v>
      </c>
      <c r="BH91">
        <v>15.683764422991825</v>
      </c>
      <c r="BI91">
        <v>36022.470126727618</v>
      </c>
      <c r="BJ91">
        <v>16.744723845028439</v>
      </c>
      <c r="BK91">
        <v>38459.28172726131</v>
      </c>
      <c r="BL91">
        <v>10.909788040880048</v>
      </c>
      <c r="BM91">
        <v>25057.601172293293</v>
      </c>
      <c r="BN91">
        <v>16.691939394290905</v>
      </c>
      <c r="BO91">
        <v>38338.046400807347</v>
      </c>
      <c r="BP91">
        <v>12.668894391983798</v>
      </c>
      <c r="BQ91">
        <v>29097.916639508385</v>
      </c>
      <c r="BR91">
        <v>17.970695815581827</v>
      </c>
      <c r="BS91">
        <v>41275.094149228338</v>
      </c>
      <c r="BT91">
        <v>15.056877175297277</v>
      </c>
      <c r="BU91">
        <v>34582.635496222785</v>
      </c>
      <c r="BV91">
        <v>10.956251308443331</v>
      </c>
      <c r="BW91">
        <v>25164.318005232639</v>
      </c>
      <c r="BX91">
        <v>15.432515761371095</v>
      </c>
      <c r="BY91">
        <v>35445.402200717122</v>
      </c>
      <c r="BZ91">
        <v>14.116332428640817</v>
      </c>
      <c r="CA91">
        <v>32422.392322102223</v>
      </c>
      <c r="CB91">
        <v>10.701489807003288</v>
      </c>
      <c r="CC91">
        <v>24579.181788725149</v>
      </c>
      <c r="CD91">
        <v>13.760069804242972</v>
      </c>
      <c r="CE91">
        <v>31604.128326385257</v>
      </c>
      <c r="CF91">
        <v>11.678391517204288</v>
      </c>
      <c r="CG91">
        <v>26822.929636714805</v>
      </c>
      <c r="CH91">
        <v>10.643773160725663</v>
      </c>
      <c r="CI91">
        <v>24446.6181955547</v>
      </c>
      <c r="CJ91">
        <v>14.383567931211658</v>
      </c>
      <c r="CK91">
        <v>33036.178824406932</v>
      </c>
      <c r="CL91">
        <v>8.7218015475892301</v>
      </c>
      <c r="CM91">
        <v>20032.233794502943</v>
      </c>
      <c r="CN91">
        <v>16.956307792070511</v>
      </c>
      <c r="CO91">
        <v>38945.247736827543</v>
      </c>
      <c r="CP91">
        <v>17.528704222926297</v>
      </c>
      <c r="CQ91">
        <v>40259.927859217118</v>
      </c>
      <c r="CR91">
        <v>16.239109935329811</v>
      </c>
      <c r="CS91">
        <v>37297.987699465506</v>
      </c>
      <c r="CT91">
        <v>12.866336290360291</v>
      </c>
      <c r="CU91">
        <v>29551.401191699511</v>
      </c>
    </row>
    <row r="92" spans="2:99" x14ac:dyDescent="0.2">
      <c r="C92" s="118" t="s">
        <v>258</v>
      </c>
      <c r="D92">
        <v>14</v>
      </c>
      <c r="E92">
        <v>19891.2</v>
      </c>
      <c r="F92">
        <v>14</v>
      </c>
      <c r="G92">
        <v>19891.2</v>
      </c>
      <c r="H92">
        <v>9</v>
      </c>
      <c r="I92">
        <v>12787.199999999999</v>
      </c>
      <c r="J92">
        <v>11</v>
      </c>
      <c r="K92">
        <v>15628.8</v>
      </c>
      <c r="L92">
        <v>8</v>
      </c>
      <c r="M92">
        <v>11366.4</v>
      </c>
      <c r="N92">
        <v>11.848439793469169</v>
      </c>
      <c r="O92">
        <v>16834.263258560994</v>
      </c>
      <c r="P92">
        <v>15.293241733951593</v>
      </c>
      <c r="Q92">
        <v>21728.637855598423</v>
      </c>
      <c r="R92">
        <v>12.093831881389347</v>
      </c>
      <c r="S92">
        <v>17182.916337077982</v>
      </c>
      <c r="T92">
        <v>17.42601034284392</v>
      </c>
      <c r="U92">
        <v>24758.875495112639</v>
      </c>
      <c r="V92">
        <v>10.731630289714676</v>
      </c>
      <c r="W92">
        <v>15247.500315626612</v>
      </c>
      <c r="X92">
        <v>18.88128960148428</v>
      </c>
      <c r="Y92">
        <v>26826.536265788865</v>
      </c>
      <c r="Z92">
        <v>15.845598084495675</v>
      </c>
      <c r="AA92">
        <v>22513.425758451456</v>
      </c>
      <c r="AB92">
        <v>8.8475251517678082</v>
      </c>
      <c r="AC92">
        <v>12570.563735631702</v>
      </c>
      <c r="AD92">
        <v>14.423561606419288</v>
      </c>
      <c r="AE92">
        <v>20492.996330400521</v>
      </c>
      <c r="AF92">
        <v>9.769497023584508</v>
      </c>
      <c r="AG92">
        <v>13880.501371108869</v>
      </c>
      <c r="AH92">
        <v>17.041226477986537</v>
      </c>
      <c r="AI92">
        <v>24212.17457992327</v>
      </c>
      <c r="AJ92">
        <v>13</v>
      </c>
      <c r="AK92">
        <v>18470.399999999998</v>
      </c>
      <c r="AL92">
        <v>16.563294637027155</v>
      </c>
      <c r="AM92">
        <v>23533.129020288183</v>
      </c>
      <c r="AN92">
        <v>12.087336853405041</v>
      </c>
      <c r="AO92">
        <v>17173.688201317884</v>
      </c>
      <c r="AP92">
        <v>16.622010639288252</v>
      </c>
      <c r="AQ92">
        <v>23616.552716300746</v>
      </c>
      <c r="AR92">
        <v>12.246116502271008</v>
      </c>
      <c r="AS92">
        <v>17399.282326426648</v>
      </c>
      <c r="AT92">
        <v>17.731304111145814</v>
      </c>
      <c r="AU92">
        <v>25192.63688111597</v>
      </c>
      <c r="AV92">
        <v>15.965558043357493</v>
      </c>
      <c r="AW92">
        <v>22683.864868002325</v>
      </c>
      <c r="AX92">
        <v>17.750521111847913</v>
      </c>
      <c r="AY92">
        <v>25219.940395713515</v>
      </c>
      <c r="AZ92">
        <v>17.611386759656554</v>
      </c>
      <c r="BA92">
        <v>25022.258308120032</v>
      </c>
      <c r="BB92">
        <v>14.619796700062148</v>
      </c>
      <c r="BC92">
        <v>20771.807151448298</v>
      </c>
      <c r="BD92">
        <v>10.390591953882298</v>
      </c>
      <c r="BE92">
        <v>14762.953048075969</v>
      </c>
      <c r="BF92">
        <v>10.822690657014066</v>
      </c>
      <c r="BG92">
        <v>15376.878885485585</v>
      </c>
      <c r="BH92">
        <v>17.717952644141416</v>
      </c>
      <c r="BI92">
        <v>25173.667116796125</v>
      </c>
      <c r="BJ92">
        <v>18.689559115767072</v>
      </c>
      <c r="BK92">
        <v>26554.125591681855</v>
      </c>
      <c r="BL92">
        <v>10.023511545990056</v>
      </c>
      <c r="BM92">
        <v>14241.405204542671</v>
      </c>
      <c r="BN92">
        <v>17.790787879189608</v>
      </c>
      <c r="BO92">
        <v>25277.151418752594</v>
      </c>
      <c r="BP92">
        <v>13.732598619791778</v>
      </c>
      <c r="BQ92">
        <v>19511.276119000158</v>
      </c>
      <c r="BR92">
        <v>19.008030270027284</v>
      </c>
      <c r="BS92">
        <v>27006.609407654763</v>
      </c>
      <c r="BT92">
        <v>14.070419359891867</v>
      </c>
      <c r="BU92">
        <v>19991.251826534364</v>
      </c>
      <c r="BV92">
        <v>12.17358115127136</v>
      </c>
      <c r="BW92">
        <v>17296.224099726347</v>
      </c>
      <c r="BX92">
        <v>16.417068769893554</v>
      </c>
      <c r="BY92">
        <v>23325.371308264759</v>
      </c>
      <c r="BZ92">
        <v>15.250292320077715</v>
      </c>
      <c r="CA92">
        <v>21667.615328366417</v>
      </c>
      <c r="CB92">
        <v>11.645370622443025</v>
      </c>
      <c r="CC92">
        <v>16545.742580367049</v>
      </c>
      <c r="CD92">
        <v>17.840077152058022</v>
      </c>
      <c r="CE92">
        <v>25347.181617644037</v>
      </c>
      <c r="CF92">
        <v>14.746230668924715</v>
      </c>
      <c r="CG92">
        <v>20951.444534408234</v>
      </c>
      <c r="CH92">
        <v>13.608007985129793</v>
      </c>
      <c r="CI92">
        <v>19334.257745272411</v>
      </c>
      <c r="CJ92">
        <v>15.431513922613115</v>
      </c>
      <c r="CK92">
        <v>21925.094981248712</v>
      </c>
      <c r="CL92">
        <v>9.7939817023481517</v>
      </c>
      <c r="CM92">
        <v>13915.289202696253</v>
      </c>
      <c r="CN92">
        <v>19.176994205625242</v>
      </c>
      <c r="CO92">
        <v>27246.673367352341</v>
      </c>
      <c r="CP92">
        <v>17.695663451218813</v>
      </c>
      <c r="CQ92">
        <v>25141.99863149169</v>
      </c>
      <c r="CR92">
        <v>18.265677705922013</v>
      </c>
      <c r="CS92">
        <v>25951.874884573994</v>
      </c>
      <c r="CT92">
        <v>12.941669880826403</v>
      </c>
      <c r="CU92">
        <v>18387.524566678152</v>
      </c>
    </row>
    <row r="93" spans="2:99" x14ac:dyDescent="0.2">
      <c r="C93" s="118" t="s">
        <v>259</v>
      </c>
      <c r="D93">
        <v>13</v>
      </c>
      <c r="E93">
        <v>23041.199999999997</v>
      </c>
      <c r="F93">
        <v>13</v>
      </c>
      <c r="G93">
        <v>23041.199999999997</v>
      </c>
      <c r="H93">
        <v>10</v>
      </c>
      <c r="I93">
        <v>17724</v>
      </c>
      <c r="J93">
        <v>11</v>
      </c>
      <c r="K93">
        <v>19496.399999999998</v>
      </c>
      <c r="L93">
        <v>9</v>
      </c>
      <c r="M93">
        <v>15951.599999999999</v>
      </c>
      <c r="N93">
        <v>12.750542894222727</v>
      </c>
      <c r="O93">
        <v>22599.062225720361</v>
      </c>
      <c r="P93">
        <v>16.293241733951593</v>
      </c>
      <c r="Q93">
        <v>28878.141649255802</v>
      </c>
      <c r="R93">
        <v>10.980676859176656</v>
      </c>
      <c r="S93">
        <v>19462.151665204703</v>
      </c>
      <c r="T93">
        <v>14.479261635699409</v>
      </c>
      <c r="U93">
        <v>25663.04332311363</v>
      </c>
      <c r="V93">
        <v>10.64017650350034</v>
      </c>
      <c r="W93">
        <v>18858.648834804</v>
      </c>
      <c r="X93">
        <v>17.919606540679247</v>
      </c>
      <c r="Y93">
        <v>31760.710632699895</v>
      </c>
      <c r="Z93">
        <v>14.9663978108522</v>
      </c>
      <c r="AA93">
        <v>26526.443479954436</v>
      </c>
      <c r="AB93">
        <v>7.8090012812329093</v>
      </c>
      <c r="AC93">
        <v>13840.673870857207</v>
      </c>
      <c r="AD93">
        <v>14.423561606419288</v>
      </c>
      <c r="AE93">
        <v>25564.320591217544</v>
      </c>
      <c r="AF93">
        <v>10.769497023584508</v>
      </c>
      <c r="AG93">
        <v>19087.856524601182</v>
      </c>
      <c r="AH93">
        <v>15.001179305756285</v>
      </c>
      <c r="AI93">
        <v>26588.090201522438</v>
      </c>
      <c r="AJ93">
        <v>12</v>
      </c>
      <c r="AK93">
        <v>21268.799999999999</v>
      </c>
      <c r="AL93">
        <v>15.530159658378498</v>
      </c>
      <c r="AM93">
        <v>27525.654978510047</v>
      </c>
      <c r="AN93">
        <v>9.8982347919432936</v>
      </c>
      <c r="AO93">
        <v>17543.631345240294</v>
      </c>
      <c r="AP93">
        <v>16.622010639288252</v>
      </c>
      <c r="AQ93">
        <v>29460.851657074494</v>
      </c>
      <c r="AR93">
        <v>13.275071384891127</v>
      </c>
      <c r="AS93">
        <v>23528.736522581032</v>
      </c>
      <c r="AT93">
        <v>16.685597604199202</v>
      </c>
      <c r="AU93">
        <v>29573.553193682663</v>
      </c>
      <c r="AV93">
        <v>16.854147499893166</v>
      </c>
      <c r="AW93">
        <v>29872.291028810647</v>
      </c>
      <c r="AX93">
        <v>15.716406515854827</v>
      </c>
      <c r="AY93">
        <v>27855.758908701093</v>
      </c>
      <c r="AZ93">
        <v>15.591664606119245</v>
      </c>
      <c r="BA93">
        <v>27634.666347885748</v>
      </c>
      <c r="BB93">
        <v>13.578476920058005</v>
      </c>
      <c r="BC93">
        <v>24066.492493110807</v>
      </c>
      <c r="BD93">
        <v>9.4135679511694921</v>
      </c>
      <c r="BE93">
        <v>16684.607836652805</v>
      </c>
      <c r="BF93">
        <v>10.725903520894764</v>
      </c>
      <c r="BG93">
        <v>19010.591400433877</v>
      </c>
      <c r="BH93">
        <v>15.717952644141416</v>
      </c>
      <c r="BI93">
        <v>27858.499266476243</v>
      </c>
      <c r="BJ93">
        <v>16.717141480397757</v>
      </c>
      <c r="BK93">
        <v>29629.461559856984</v>
      </c>
      <c r="BL93">
        <v>11.909788040880048</v>
      </c>
      <c r="BM93">
        <v>21108.908323655796</v>
      </c>
      <c r="BN93">
        <v>19.658989899324673</v>
      </c>
      <c r="BO93">
        <v>34843.593697563047</v>
      </c>
      <c r="BP93">
        <v>13.668894391983798</v>
      </c>
      <c r="BQ93">
        <v>24226.748420352083</v>
      </c>
      <c r="BR93">
        <v>18.008030270027284</v>
      </c>
      <c r="BS93">
        <v>31917.432850596357</v>
      </c>
      <c r="BT93">
        <v>16.059585612216196</v>
      </c>
      <c r="BU93">
        <v>28464.009539091985</v>
      </c>
      <c r="BV93">
        <v>12.086649214140149</v>
      </c>
      <c r="BW93">
        <v>21422.377067141999</v>
      </c>
      <c r="BX93">
        <v>15.417068769893556</v>
      </c>
      <c r="BY93">
        <v>27325.212687759336</v>
      </c>
      <c r="BZ93">
        <v>13.116332428640817</v>
      </c>
      <c r="CA93">
        <v>23247.387596522982</v>
      </c>
      <c r="CB93">
        <v>11.673430214723156</v>
      </c>
      <c r="CC93">
        <v>20689.987712575319</v>
      </c>
      <c r="CD93">
        <v>14.760069804242972</v>
      </c>
      <c r="CE93">
        <v>26160.747721040243</v>
      </c>
      <c r="CF93">
        <v>13.712311093064502</v>
      </c>
      <c r="CG93">
        <v>24303.700181347522</v>
      </c>
      <c r="CH93">
        <v>12.608007985129793</v>
      </c>
      <c r="CI93">
        <v>22346.433352844044</v>
      </c>
      <c r="CJ93">
        <v>15.383567931211658</v>
      </c>
      <c r="CK93">
        <v>27265.83580127954</v>
      </c>
      <c r="CL93">
        <v>9.6857114702097675</v>
      </c>
      <c r="CM93">
        <v>17166.955009799789</v>
      </c>
      <c r="CN93">
        <v>16.993088860996298</v>
      </c>
      <c r="CO93">
        <v>30118.550697229835</v>
      </c>
      <c r="CP93">
        <v>18.584357299023804</v>
      </c>
      <c r="CQ93">
        <v>32938.914876789786</v>
      </c>
      <c r="CR93">
        <v>17.239109935329811</v>
      </c>
      <c r="CS93">
        <v>30554.598449378555</v>
      </c>
      <c r="CT93">
        <v>11.904003085593347</v>
      </c>
      <c r="CU93">
        <v>21098.655068905646</v>
      </c>
    </row>
    <row r="94" spans="2:99" x14ac:dyDescent="0.2">
      <c r="C94" s="118" t="s">
        <v>260</v>
      </c>
      <c r="D94">
        <v>13</v>
      </c>
      <c r="E94">
        <v>31137.599999999999</v>
      </c>
      <c r="F94">
        <v>12</v>
      </c>
      <c r="G94">
        <v>28742.399999999998</v>
      </c>
      <c r="H94">
        <v>9</v>
      </c>
      <c r="I94">
        <v>21556.799999999999</v>
      </c>
      <c r="J94">
        <v>10</v>
      </c>
      <c r="K94">
        <v>23952</v>
      </c>
      <c r="L94">
        <v>7</v>
      </c>
      <c r="M94">
        <v>16766.399999999998</v>
      </c>
      <c r="N94">
        <v>11.685278294725098</v>
      </c>
      <c r="O94">
        <v>27988.578571525552</v>
      </c>
      <c r="P94">
        <v>13.277807958480457</v>
      </c>
      <c r="Q94">
        <v>31803.005622152388</v>
      </c>
      <c r="R94">
        <v>11.01839519991422</v>
      </c>
      <c r="S94">
        <v>26391.26018283454</v>
      </c>
      <c r="T94">
        <v>14.39050948094026</v>
      </c>
      <c r="U94">
        <v>34468.14830874811</v>
      </c>
      <c r="V94">
        <v>10.64017650350034</v>
      </c>
      <c r="W94">
        <v>25485.350761184014</v>
      </c>
      <c r="X94">
        <v>14.842972662289311</v>
      </c>
      <c r="Y94">
        <v>35551.888120715354</v>
      </c>
      <c r="Z94">
        <v>13.8053315090435</v>
      </c>
      <c r="AA94">
        <v>33066.530030460985</v>
      </c>
      <c r="AB94">
        <v>7.7704774106980086</v>
      </c>
      <c r="AC94">
        <v>18611.847494103869</v>
      </c>
      <c r="AD94">
        <v>14.40003040606266</v>
      </c>
      <c r="AE94">
        <v>34490.952828601279</v>
      </c>
      <c r="AF94">
        <v>8.8147615543835958</v>
      </c>
      <c r="AG94">
        <v>21113.116875059586</v>
      </c>
      <c r="AH94">
        <v>14.800943444605029</v>
      </c>
      <c r="AI94">
        <v>35451.219738517961</v>
      </c>
      <c r="AJ94">
        <v>11</v>
      </c>
      <c r="AK94">
        <v>26347.199999999997</v>
      </c>
      <c r="AL94">
        <v>13.530159658378498</v>
      </c>
      <c r="AM94">
        <v>32407.438413748176</v>
      </c>
      <c r="AN94">
        <v>10.803683761212421</v>
      </c>
      <c r="AO94">
        <v>25876.983344855988</v>
      </c>
      <c r="AP94">
        <v>16.497608511430602</v>
      </c>
      <c r="AQ94">
        <v>39515.071906578574</v>
      </c>
      <c r="AR94">
        <v>10.246116502271008</v>
      </c>
      <c r="AS94">
        <v>24541.498246239516</v>
      </c>
      <c r="AT94">
        <v>14.639891097252587</v>
      </c>
      <c r="AU94">
        <v>35065.467156139392</v>
      </c>
      <c r="AV94">
        <v>13.854147499893168</v>
      </c>
      <c r="AW94">
        <v>33183.454091744112</v>
      </c>
      <c r="AX94">
        <v>15.68229191986174</v>
      </c>
      <c r="AY94">
        <v>37562.225606452834</v>
      </c>
      <c r="AZ94">
        <v>15.473331684895397</v>
      </c>
      <c r="BA94">
        <v>37061.724051661455</v>
      </c>
      <c r="BB94">
        <v>13.578476920058005</v>
      </c>
      <c r="BC94">
        <v>32523.167918922933</v>
      </c>
      <c r="BD94">
        <v>9.3676159565951043</v>
      </c>
      <c r="BE94">
        <v>22437.313739236593</v>
      </c>
      <c r="BF94">
        <v>9.6291163847754628</v>
      </c>
      <c r="BG94">
        <v>23063.659564814188</v>
      </c>
      <c r="BH94">
        <v>13.649576201842233</v>
      </c>
      <c r="BI94">
        <v>32693.464918652513</v>
      </c>
      <c r="BJ94">
        <v>15.717141480397755</v>
      </c>
      <c r="BK94">
        <v>37645.697273848702</v>
      </c>
      <c r="BL94">
        <v>10.871880205843381</v>
      </c>
      <c r="BM94">
        <v>26040.327469036063</v>
      </c>
      <c r="BN94">
        <v>18.691939394290905</v>
      </c>
      <c r="BO94">
        <v>44770.933237205572</v>
      </c>
      <c r="BP94">
        <v>12.637042278079807</v>
      </c>
      <c r="BQ94">
        <v>30268.243664456753</v>
      </c>
      <c r="BR94">
        <v>18.008030270027284</v>
      </c>
      <c r="BS94">
        <v>43132.834102769346</v>
      </c>
      <c r="BT94">
        <v>14.065002486054031</v>
      </c>
      <c r="BU94">
        <v>33688.493954596612</v>
      </c>
      <c r="BV94">
        <v>10.999717277008937</v>
      </c>
      <c r="BW94">
        <v>26346.522821891806</v>
      </c>
      <c r="BX94">
        <v>15.386174786938478</v>
      </c>
      <c r="BY94">
        <v>36852.965849675042</v>
      </c>
      <c r="BZ94">
        <v>13.116332428640817</v>
      </c>
      <c r="CA94">
        <v>31416.239433080482</v>
      </c>
      <c r="CB94">
        <v>10.617311030162893</v>
      </c>
      <c r="CC94">
        <v>25430.583379446161</v>
      </c>
      <c r="CD94">
        <v>14.680062456427923</v>
      </c>
      <c r="CE94">
        <v>35161.685595636154</v>
      </c>
      <c r="CF94">
        <v>12.610552365483858</v>
      </c>
      <c r="CG94">
        <v>30204.795025806936</v>
      </c>
      <c r="CH94">
        <v>11.608007985129793</v>
      </c>
      <c r="CI94">
        <v>27803.500725982878</v>
      </c>
      <c r="CJ94">
        <v>13.383567931211658</v>
      </c>
      <c r="CK94">
        <v>32056.321908838163</v>
      </c>
      <c r="CL94">
        <v>10.72180154758923</v>
      </c>
      <c r="CM94">
        <v>25680.859066785721</v>
      </c>
      <c r="CN94">
        <v>18.029869929922089</v>
      </c>
      <c r="CO94">
        <v>43185.144456149384</v>
      </c>
      <c r="CP94">
        <v>17.612183837072553</v>
      </c>
      <c r="CQ94">
        <v>42184.702726556177</v>
      </c>
      <c r="CR94">
        <v>14.25239382062591</v>
      </c>
      <c r="CS94">
        <v>34137.333679163174</v>
      </c>
      <c r="CT94">
        <v>13.866336290360291</v>
      </c>
      <c r="CU94">
        <v>33212.648682670966</v>
      </c>
    </row>
    <row r="95" spans="2:99" x14ac:dyDescent="0.2">
      <c r="B95" s="118" t="s">
        <v>132</v>
      </c>
      <c r="C95" s="118" t="s">
        <v>261</v>
      </c>
      <c r="D95">
        <v>9</v>
      </c>
      <c r="E95">
        <v>15595.199999999999</v>
      </c>
      <c r="F95">
        <v>18</v>
      </c>
      <c r="G95">
        <v>31190.399999999998</v>
      </c>
      <c r="H95">
        <v>10</v>
      </c>
      <c r="I95">
        <v>17328</v>
      </c>
      <c r="J95">
        <v>19</v>
      </c>
      <c r="K95">
        <v>32923.199999999997</v>
      </c>
      <c r="L95">
        <v>17</v>
      </c>
      <c r="M95">
        <v>29457.599999999999</v>
      </c>
      <c r="N95">
        <v>19.554749095729843</v>
      </c>
      <c r="O95">
        <v>33884.469233080672</v>
      </c>
      <c r="P95">
        <v>12.200639081124775</v>
      </c>
      <c r="Q95">
        <v>21141.267399773009</v>
      </c>
      <c r="R95">
        <v>13.716648474013709</v>
      </c>
      <c r="S95">
        <v>23768.208475770956</v>
      </c>
      <c r="T95">
        <v>15.248506033325619</v>
      </c>
      <c r="U95">
        <v>26422.611254546631</v>
      </c>
      <c r="V95">
        <v>11.777357182821843</v>
      </c>
      <c r="W95">
        <v>20407.804526393691</v>
      </c>
      <c r="X95">
        <v>14.728021844704404</v>
      </c>
      <c r="Y95">
        <v>25520.716252503789</v>
      </c>
      <c r="Z95">
        <v>16.523465480878276</v>
      </c>
      <c r="AA95">
        <v>28631.860985265874</v>
      </c>
      <c r="AB95">
        <v>13.539334187488606</v>
      </c>
      <c r="AC95">
        <v>23460.958280080256</v>
      </c>
      <c r="AD95">
        <v>16.494155207489168</v>
      </c>
      <c r="AE95">
        <v>28581.072143537229</v>
      </c>
      <c r="AF95">
        <v>19.04108420837904</v>
      </c>
      <c r="AG95">
        <v>32994.390716279202</v>
      </c>
      <c r="AH95">
        <v>18.640754755684021</v>
      </c>
      <c r="AI95">
        <v>32300.699840649271</v>
      </c>
      <c r="AJ95">
        <v>14</v>
      </c>
      <c r="AK95">
        <v>24259.200000000001</v>
      </c>
      <c r="AL95">
        <v>12.662699572973123</v>
      </c>
      <c r="AM95">
        <v>21941.925820047829</v>
      </c>
      <c r="AN95">
        <v>11.614581699750675</v>
      </c>
      <c r="AO95">
        <v>20125.747169327969</v>
      </c>
      <c r="AP95">
        <v>14.342105851608538</v>
      </c>
      <c r="AQ95">
        <v>24852.001019667274</v>
      </c>
      <c r="AR95">
        <v>11.246116502271008</v>
      </c>
      <c r="AS95">
        <v>19487.270675135202</v>
      </c>
      <c r="AT95">
        <v>17.639891097252587</v>
      </c>
      <c r="AU95">
        <v>30566.403293319283</v>
      </c>
      <c r="AV95">
        <v>19.854147499893166</v>
      </c>
      <c r="AW95">
        <v>34403.266787814879</v>
      </c>
      <c r="AX95">
        <v>14.614062727875565</v>
      </c>
      <c r="AY95">
        <v>25323.24789486278</v>
      </c>
      <c r="AZ95">
        <v>11.236665842447698</v>
      </c>
      <c r="BA95">
        <v>19470.894571793371</v>
      </c>
      <c r="BB95">
        <v>16.743756040074576</v>
      </c>
      <c r="BC95">
        <v>29013.580466241223</v>
      </c>
      <c r="BD95">
        <v>12.574399932179849</v>
      </c>
      <c r="BE95">
        <v>21788.920202481244</v>
      </c>
      <c r="BF95">
        <v>16.871084225073716</v>
      </c>
      <c r="BG95">
        <v>29234.214745207733</v>
      </c>
      <c r="BH95">
        <v>18.717952644141416</v>
      </c>
      <c r="BI95">
        <v>32434.468341768246</v>
      </c>
      <c r="BJ95">
        <v>18.413735469460242</v>
      </c>
      <c r="BK95">
        <v>31907.320821480705</v>
      </c>
      <c r="BL95">
        <v>17.682341030660037</v>
      </c>
      <c r="BM95">
        <v>30639.960537927713</v>
      </c>
      <c r="BN95">
        <v>12.461292929527271</v>
      </c>
      <c r="BO95">
        <v>21592.928388284854</v>
      </c>
      <c r="BP95">
        <v>13.764450733695769</v>
      </c>
      <c r="BQ95">
        <v>23851.040231348026</v>
      </c>
      <c r="BR95">
        <v>15.597351271127279</v>
      </c>
      <c r="BS95">
        <v>27027.090282609348</v>
      </c>
      <c r="BT95">
        <v>11.065002486054031</v>
      </c>
      <c r="BU95">
        <v>19173.436307834425</v>
      </c>
      <c r="BV95">
        <v>11.86931937131212</v>
      </c>
      <c r="BW95">
        <v>20567.156606609642</v>
      </c>
      <c r="BX95">
        <v>16.293492838073242</v>
      </c>
      <c r="BY95">
        <v>28233.364389813312</v>
      </c>
      <c r="BZ95">
        <v>13.893065942912655</v>
      </c>
      <c r="CA95">
        <v>24073.904665879047</v>
      </c>
      <c r="CB95">
        <v>19.308655515081448</v>
      </c>
      <c r="CC95">
        <v>33458.038276533131</v>
      </c>
      <c r="CD95">
        <v>11.760069804242972</v>
      </c>
      <c r="CE95">
        <v>20377.848956792222</v>
      </c>
      <c r="CF95">
        <v>16.814069820645145</v>
      </c>
      <c r="CG95">
        <v>29135.420185213905</v>
      </c>
      <c r="CH95">
        <v>15.608007985129793</v>
      </c>
      <c r="CI95">
        <v>27045.556236632907</v>
      </c>
      <c r="CJ95">
        <v>13.287675948408744</v>
      </c>
      <c r="CK95">
        <v>23024.884883402672</v>
      </c>
      <c r="CL95">
        <v>17.613531315450846</v>
      </c>
      <c r="CM95">
        <v>30520.727063413226</v>
      </c>
      <c r="CN95">
        <v>18.588497102812621</v>
      </c>
      <c r="CO95">
        <v>32210.147779753708</v>
      </c>
      <c r="CP95">
        <v>10.33391845658503</v>
      </c>
      <c r="CQ95">
        <v>17906.613901570541</v>
      </c>
      <c r="CR95">
        <v>11.292245476514212</v>
      </c>
      <c r="CS95">
        <v>19567.202961703828</v>
      </c>
      <c r="CT95">
        <v>14.791002699894179</v>
      </c>
      <c r="CU95">
        <v>25629.849478376633</v>
      </c>
    </row>
    <row r="96" spans="2:99" x14ac:dyDescent="0.2">
      <c r="C96" s="118" t="s">
        <v>262</v>
      </c>
      <c r="D96">
        <v>10</v>
      </c>
      <c r="E96">
        <v>8232</v>
      </c>
      <c r="F96">
        <v>18</v>
      </c>
      <c r="G96">
        <v>14817.599999999999</v>
      </c>
      <c r="H96">
        <v>12</v>
      </c>
      <c r="I96">
        <v>9878.4</v>
      </c>
      <c r="J96">
        <v>20</v>
      </c>
      <c r="K96">
        <v>16464</v>
      </c>
      <c r="L96">
        <v>17</v>
      </c>
      <c r="M96">
        <v>13994.4</v>
      </c>
      <c r="N96">
        <v>18.717910594473913</v>
      </c>
      <c r="O96">
        <v>15408.584001370924</v>
      </c>
      <c r="P96">
        <v>14.185205305653637</v>
      </c>
      <c r="Q96">
        <v>11677.261007614074</v>
      </c>
      <c r="R96">
        <v>13.905240177701529</v>
      </c>
      <c r="S96">
        <v>11446.793714283898</v>
      </c>
      <c r="T96">
        <v>16.266256464277451</v>
      </c>
      <c r="U96">
        <v>13390.382321393196</v>
      </c>
      <c r="V96">
        <v>10.82308407592901</v>
      </c>
      <c r="W96">
        <v>8909.5628113047605</v>
      </c>
      <c r="X96">
        <v>16.957923479874218</v>
      </c>
      <c r="Y96">
        <v>13959.762608632454</v>
      </c>
      <c r="Z96">
        <v>17.603998631782623</v>
      </c>
      <c r="AA96">
        <v>14491.611673683454</v>
      </c>
      <c r="AB96">
        <v>13.616381928558406</v>
      </c>
      <c r="AC96">
        <v>11209.005603589279</v>
      </c>
      <c r="AD96">
        <v>19.564748808559049</v>
      </c>
      <c r="AE96">
        <v>16105.701219205808</v>
      </c>
      <c r="AF96">
        <v>22.04108420837904</v>
      </c>
      <c r="AG96">
        <v>18144.220520337625</v>
      </c>
      <c r="AH96">
        <v>16.720849100144527</v>
      </c>
      <c r="AI96">
        <v>13764.602979238973</v>
      </c>
      <c r="AJ96">
        <v>15</v>
      </c>
      <c r="AK96">
        <v>12347.999999999998</v>
      </c>
      <c r="AL96">
        <v>14.662699572973123</v>
      </c>
      <c r="AM96">
        <v>12070.334288471475</v>
      </c>
      <c r="AN96">
        <v>11.709132730481548</v>
      </c>
      <c r="AO96">
        <v>9638.9580637324088</v>
      </c>
      <c r="AP96">
        <v>16.373206383572949</v>
      </c>
      <c r="AQ96">
        <v>13478.423494957251</v>
      </c>
      <c r="AR96">
        <v>11.23163906096095</v>
      </c>
      <c r="AS96">
        <v>9245.885274983053</v>
      </c>
      <c r="AT96">
        <v>18.685597604199202</v>
      </c>
      <c r="AU96">
        <v>15381.983947776782</v>
      </c>
      <c r="AV96">
        <v>20.928421195536053</v>
      </c>
      <c r="AW96">
        <v>17228.276328165277</v>
      </c>
      <c r="AX96">
        <v>16.614062727875567</v>
      </c>
      <c r="AY96">
        <v>13676.696437587165</v>
      </c>
      <c r="AZ96">
        <v>10.295832303059623</v>
      </c>
      <c r="BA96">
        <v>8475.5291518786798</v>
      </c>
      <c r="BB96">
        <v>16.78507582007872</v>
      </c>
      <c r="BC96">
        <v>13817.474415088802</v>
      </c>
      <c r="BD96">
        <v>13.574399932179849</v>
      </c>
      <c r="BE96">
        <v>11174.446024170451</v>
      </c>
      <c r="BF96">
        <v>18.871084225073716</v>
      </c>
      <c r="BG96">
        <v>15534.676534080681</v>
      </c>
      <c r="BH96">
        <v>20.854705528739782</v>
      </c>
      <c r="BI96">
        <v>17167.593591258588</v>
      </c>
      <c r="BJ96">
        <v>17.413735469460242</v>
      </c>
      <c r="BK96">
        <v>14334.987038459671</v>
      </c>
      <c r="BL96">
        <v>18.758156700733373</v>
      </c>
      <c r="BM96">
        <v>15441.714596043712</v>
      </c>
      <c r="BN96">
        <v>13.494242424493505</v>
      </c>
      <c r="BO96">
        <v>11108.460363843053</v>
      </c>
      <c r="BP96">
        <v>15.86000707540774</v>
      </c>
      <c r="BQ96">
        <v>13055.95782447565</v>
      </c>
      <c r="BR96">
        <v>18.672020180018187</v>
      </c>
      <c r="BS96">
        <v>15370.80701219097</v>
      </c>
      <c r="BT96">
        <v>12.065002486054031</v>
      </c>
      <c r="BU96">
        <v>9931.9100465196771</v>
      </c>
      <c r="BV96">
        <v>16.043183245574543</v>
      </c>
      <c r="BW96">
        <v>13206.748447756963</v>
      </c>
      <c r="BX96">
        <v>18.308939829550781</v>
      </c>
      <c r="BY96">
        <v>15071.919267686202</v>
      </c>
      <c r="BZ96">
        <v>13.803759348621389</v>
      </c>
      <c r="CA96">
        <v>11363.254695785126</v>
      </c>
      <c r="CB96">
        <v>19.39283429192184</v>
      </c>
      <c r="CC96">
        <v>15964.181189110057</v>
      </c>
      <c r="CD96">
        <v>13.760069804242972</v>
      </c>
      <c r="CE96">
        <v>11327.289462852814</v>
      </c>
      <c r="CF96">
        <v>19.780150244784931</v>
      </c>
      <c r="CG96">
        <v>16283.019681506954</v>
      </c>
      <c r="CH96">
        <v>15.643773160725663</v>
      </c>
      <c r="CI96">
        <v>12877.954065909365</v>
      </c>
      <c r="CJ96">
        <v>13.311648944109471</v>
      </c>
      <c r="CK96">
        <v>10958.149410790917</v>
      </c>
      <c r="CL96">
        <v>20.72180154758923</v>
      </c>
      <c r="CM96">
        <v>17058.187033975453</v>
      </c>
      <c r="CN96">
        <v>20.662059240664199</v>
      </c>
      <c r="CO96">
        <v>17009.007166914766</v>
      </c>
      <c r="CP96">
        <v>12.389571532682535</v>
      </c>
      <c r="CQ96">
        <v>10199.095285704261</v>
      </c>
      <c r="CR96">
        <v>13.292245476514212</v>
      </c>
      <c r="CS96">
        <v>10942.176476266499</v>
      </c>
      <c r="CT96">
        <v>13.979336676059459</v>
      </c>
      <c r="CU96">
        <v>11507.789951732146</v>
      </c>
    </row>
    <row r="97" spans="2:99" x14ac:dyDescent="0.2">
      <c r="C97" s="118" t="s">
        <v>263</v>
      </c>
      <c r="D97">
        <v>10</v>
      </c>
      <c r="E97">
        <v>18288</v>
      </c>
      <c r="F97">
        <v>18</v>
      </c>
      <c r="G97">
        <v>32918.400000000001</v>
      </c>
      <c r="H97">
        <v>11</v>
      </c>
      <c r="I97">
        <v>20116.8</v>
      </c>
      <c r="J97">
        <v>16</v>
      </c>
      <c r="K97">
        <v>29260.799999999999</v>
      </c>
      <c r="L97">
        <v>17</v>
      </c>
      <c r="M97">
        <v>31089.599999999999</v>
      </c>
      <c r="N97">
        <v>17.554749095729843</v>
      </c>
      <c r="O97">
        <v>32104.125146270737</v>
      </c>
      <c r="P97">
        <v>11.185205305653637</v>
      </c>
      <c r="Q97">
        <v>20455.50346297937</v>
      </c>
      <c r="R97">
        <v>14.867521836963965</v>
      </c>
      <c r="S97">
        <v>27189.723935439699</v>
      </c>
      <c r="T97">
        <v>15.21300517142196</v>
      </c>
      <c r="U97">
        <v>27821.543857496479</v>
      </c>
      <c r="V97">
        <v>10.82308407592901</v>
      </c>
      <c r="W97">
        <v>19793.256158058975</v>
      </c>
      <c r="X97">
        <v>14.766338783899373</v>
      </c>
      <c r="Y97">
        <v>27004.680367995174</v>
      </c>
      <c r="Z97">
        <v>17.563732056330451</v>
      </c>
      <c r="AA97">
        <v>32120.553184617129</v>
      </c>
      <c r="AB97">
        <v>13.616381928558406</v>
      </c>
      <c r="AC97">
        <v>24901.639270947613</v>
      </c>
      <c r="AD97">
        <v>17.494155207489168</v>
      </c>
      <c r="AE97">
        <v>31993.31104345619</v>
      </c>
      <c r="AF97">
        <v>17.950555146780861</v>
      </c>
      <c r="AG97">
        <v>32827.975252432836</v>
      </c>
      <c r="AH97">
        <v>17.600707583453772</v>
      </c>
      <c r="AI97">
        <v>32188.174028620258</v>
      </c>
      <c r="AJ97">
        <v>12</v>
      </c>
      <c r="AK97">
        <v>21945.599999999999</v>
      </c>
      <c r="AL97">
        <v>13.662699572973123</v>
      </c>
      <c r="AM97">
        <v>24986.344979053247</v>
      </c>
      <c r="AN97">
        <v>9.6145816997506746</v>
      </c>
      <c r="AO97">
        <v>17583.147012504032</v>
      </c>
      <c r="AP97">
        <v>13.373206383572951</v>
      </c>
      <c r="AQ97">
        <v>24456.919834278211</v>
      </c>
      <c r="AR97">
        <v>9.2026841783408297</v>
      </c>
      <c r="AS97">
        <v>16829.868825349709</v>
      </c>
      <c r="AT97">
        <v>19.685597604199202</v>
      </c>
      <c r="AU97">
        <v>36001.020898559502</v>
      </c>
      <c r="AV97">
        <v>16.705600108607399</v>
      </c>
      <c r="AW97">
        <v>30551.201478621209</v>
      </c>
      <c r="AX97">
        <v>13.545833535889392</v>
      </c>
      <c r="AY97">
        <v>24772.620370434517</v>
      </c>
      <c r="AZ97">
        <v>10.256387995985007</v>
      </c>
      <c r="BA97">
        <v>18756.88236705738</v>
      </c>
      <c r="BB97">
        <v>16.702436260070435</v>
      </c>
      <c r="BC97">
        <v>30545.415432416812</v>
      </c>
      <c r="BD97">
        <v>12.528447937605462</v>
      </c>
      <c r="BE97">
        <v>22912.025588292869</v>
      </c>
      <c r="BF97">
        <v>16.725903520894764</v>
      </c>
      <c r="BG97">
        <v>30588.332359012344</v>
      </c>
      <c r="BH97">
        <v>20.717952644141416</v>
      </c>
      <c r="BI97">
        <v>37888.99179560582</v>
      </c>
      <c r="BJ97">
        <v>18.441317834090928</v>
      </c>
      <c r="BK97">
        <v>33725.482054985485</v>
      </c>
      <c r="BL97">
        <v>17.682341030660037</v>
      </c>
      <c r="BM97">
        <v>32337.465276871077</v>
      </c>
      <c r="BN97">
        <v>12.494242424493505</v>
      </c>
      <c r="BO97">
        <v>22849.470545913722</v>
      </c>
      <c r="BP97">
        <v>13.732598619791778</v>
      </c>
      <c r="BQ97">
        <v>25114.176355875203</v>
      </c>
      <c r="BR97">
        <v>14.634685725572734</v>
      </c>
      <c r="BS97">
        <v>26763.913254927415</v>
      </c>
      <c r="BT97">
        <v>11.059585612216194</v>
      </c>
      <c r="BU97">
        <v>20225.770167620976</v>
      </c>
      <c r="BV97">
        <v>13.86931937131212</v>
      </c>
      <c r="BW97">
        <v>25364.211266255603</v>
      </c>
      <c r="BX97">
        <v>19.278045846595703</v>
      </c>
      <c r="BY97">
        <v>35255.69024425422</v>
      </c>
      <c r="BZ97">
        <v>12.848412645767022</v>
      </c>
      <c r="CA97">
        <v>23497.17704657873</v>
      </c>
      <c r="CB97">
        <v>17.308655515081448</v>
      </c>
      <c r="CC97">
        <v>31654.069205980952</v>
      </c>
      <c r="CD97">
        <v>12.800073478150498</v>
      </c>
      <c r="CE97">
        <v>23408.774376841629</v>
      </c>
      <c r="CF97">
        <v>15.780150244784931</v>
      </c>
      <c r="CG97">
        <v>28858.738767662682</v>
      </c>
      <c r="CH97">
        <v>14.536477633938052</v>
      </c>
      <c r="CI97">
        <v>26584.310296945907</v>
      </c>
      <c r="CJ97">
        <v>12.263702952708014</v>
      </c>
      <c r="CK97">
        <v>22427.859959912417</v>
      </c>
      <c r="CL97">
        <v>17.613531315450846</v>
      </c>
      <c r="CM97">
        <v>32211.626069696507</v>
      </c>
      <c r="CN97">
        <v>20.588497102812621</v>
      </c>
      <c r="CO97">
        <v>37652.243501623721</v>
      </c>
      <c r="CP97">
        <v>12.33391845658503</v>
      </c>
      <c r="CQ97">
        <v>22556.270073402702</v>
      </c>
      <c r="CR97">
        <v>11.292245476514212</v>
      </c>
      <c r="CS97">
        <v>20651.25852744919</v>
      </c>
      <c r="CT97">
        <v>14.904003085593347</v>
      </c>
      <c r="CU97">
        <v>27256.440842933112</v>
      </c>
    </row>
    <row r="98" spans="2:99" x14ac:dyDescent="0.2">
      <c r="C98" s="118" t="s">
        <v>264</v>
      </c>
      <c r="D98">
        <v>10</v>
      </c>
      <c r="E98">
        <v>12636</v>
      </c>
      <c r="F98">
        <v>19</v>
      </c>
      <c r="G98">
        <v>24008.399999999998</v>
      </c>
      <c r="H98">
        <v>11</v>
      </c>
      <c r="I98">
        <v>13899.599999999999</v>
      </c>
      <c r="J98">
        <v>19</v>
      </c>
      <c r="K98">
        <v>24008.399999999998</v>
      </c>
      <c r="L98">
        <v>17</v>
      </c>
      <c r="M98">
        <v>21481.199999999997</v>
      </c>
      <c r="N98">
        <v>18.685278294725098</v>
      </c>
      <c r="O98">
        <v>23610.717653214633</v>
      </c>
      <c r="P98">
        <v>13.216072856595911</v>
      </c>
      <c r="Q98">
        <v>16699.829661594591</v>
      </c>
      <c r="R98">
        <v>13.792085155488838</v>
      </c>
      <c r="S98">
        <v>17427.678802475693</v>
      </c>
      <c r="T98">
        <v>15.248506033325619</v>
      </c>
      <c r="U98">
        <v>19268.012223710251</v>
      </c>
      <c r="V98">
        <v>10.777357182821843</v>
      </c>
      <c r="W98">
        <v>13618.26853621368</v>
      </c>
      <c r="X98">
        <v>14.842972662289311</v>
      </c>
      <c r="Y98">
        <v>18755.580256068773</v>
      </c>
      <c r="Z98">
        <v>19.603998631782623</v>
      </c>
      <c r="AA98">
        <v>24771.612671120522</v>
      </c>
      <c r="AB98">
        <v>13.616381928558406</v>
      </c>
      <c r="AC98">
        <v>17205.6602049264</v>
      </c>
      <c r="AD98">
        <v>16.564748808559049</v>
      </c>
      <c r="AE98">
        <v>20931.216594495214</v>
      </c>
      <c r="AF98">
        <v>21.086348739178128</v>
      </c>
      <c r="AG98">
        <v>26644.710266825481</v>
      </c>
      <c r="AH98">
        <v>17.640754755684021</v>
      </c>
      <c r="AI98">
        <v>22290.857709282329</v>
      </c>
      <c r="AJ98">
        <v>14</v>
      </c>
      <c r="AK98">
        <v>17690.399999999998</v>
      </c>
      <c r="AL98">
        <v>12.662699572973123</v>
      </c>
      <c r="AM98">
        <v>16000.587180408837</v>
      </c>
      <c r="AN98">
        <v>11.614581699750675</v>
      </c>
      <c r="AO98">
        <v>14676.185435804951</v>
      </c>
      <c r="AP98">
        <v>15.404306915537363</v>
      </c>
      <c r="AQ98">
        <v>19464.882218473012</v>
      </c>
      <c r="AR98">
        <v>11.23163906096095</v>
      </c>
      <c r="AS98">
        <v>14192.299117430255</v>
      </c>
      <c r="AT98">
        <v>21.685597604199202</v>
      </c>
      <c r="AU98">
        <v>27401.92113266611</v>
      </c>
      <c r="AV98">
        <v>20.89128434771461</v>
      </c>
      <c r="AW98">
        <v>26398.226901772177</v>
      </c>
      <c r="AX98">
        <v>15.545833535889392</v>
      </c>
      <c r="AY98">
        <v>19643.715255949835</v>
      </c>
      <c r="AZ98">
        <v>11.295832303059623</v>
      </c>
      <c r="BA98">
        <v>14273.413698146138</v>
      </c>
      <c r="BB98">
        <v>17.78507582007872</v>
      </c>
      <c r="BC98">
        <v>22473.221806251469</v>
      </c>
      <c r="BD98">
        <v>13.574399932179849</v>
      </c>
      <c r="BE98">
        <v>17152.611754302456</v>
      </c>
      <c r="BF98">
        <v>18.871084225073716</v>
      </c>
      <c r="BG98">
        <v>23845.502026803144</v>
      </c>
      <c r="BH98">
        <v>19.683764422991825</v>
      </c>
      <c r="BI98">
        <v>24872.404724892469</v>
      </c>
      <c r="BJ98">
        <v>19.441317834090928</v>
      </c>
      <c r="BK98">
        <v>24566.049215157294</v>
      </c>
      <c r="BL98">
        <v>18.682341030660037</v>
      </c>
      <c r="BM98">
        <v>23607.006126342021</v>
      </c>
      <c r="BN98">
        <v>14.461292929527271</v>
      </c>
      <c r="BO98">
        <v>18273.289745750659</v>
      </c>
      <c r="BP98">
        <v>14.79630284759976</v>
      </c>
      <c r="BQ98">
        <v>18696.608278227057</v>
      </c>
      <c r="BR98">
        <v>17.672020180018187</v>
      </c>
      <c r="BS98">
        <v>22330.364699470978</v>
      </c>
      <c r="BT98">
        <v>11.070419359891867</v>
      </c>
      <c r="BU98">
        <v>13988.581903159362</v>
      </c>
      <c r="BV98">
        <v>14.999717277008937</v>
      </c>
      <c r="BW98">
        <v>18953.64275122849</v>
      </c>
      <c r="BX98">
        <v>17.293492838073242</v>
      </c>
      <c r="BY98">
        <v>21852.057550189347</v>
      </c>
      <c r="BZ98">
        <v>14.893065942912655</v>
      </c>
      <c r="CA98">
        <v>18818.878125464427</v>
      </c>
      <c r="CB98">
        <v>19.336715107361577</v>
      </c>
      <c r="CC98">
        <v>24433.873209662088</v>
      </c>
      <c r="CD98">
        <v>12.800073478150498</v>
      </c>
      <c r="CE98">
        <v>16174.172846990969</v>
      </c>
      <c r="CF98">
        <v>17.814069820645145</v>
      </c>
      <c r="CG98">
        <v>22509.858625367204</v>
      </c>
      <c r="CH98">
        <v>14.643773160725663</v>
      </c>
      <c r="CI98">
        <v>18503.871765892945</v>
      </c>
      <c r="CJ98">
        <v>12.311648944109471</v>
      </c>
      <c r="CK98">
        <v>15556.999605776728</v>
      </c>
      <c r="CL98">
        <v>21.649621392830305</v>
      </c>
      <c r="CM98">
        <v>27356.461591980373</v>
      </c>
      <c r="CN98">
        <v>21.662059240664199</v>
      </c>
      <c r="CO98">
        <v>27372.178056503279</v>
      </c>
      <c r="CP98">
        <v>12.361744994633783</v>
      </c>
      <c r="CQ98">
        <v>15620.300975219247</v>
      </c>
      <c r="CR98">
        <v>11.265677705922011</v>
      </c>
      <c r="CS98">
        <v>14235.310349203051</v>
      </c>
      <c r="CT98">
        <v>15.979336676059459</v>
      </c>
      <c r="CU98">
        <v>20191.489823868731</v>
      </c>
    </row>
    <row r="99" spans="2:99" x14ac:dyDescent="0.2">
      <c r="C99" s="118" t="s">
        <v>265</v>
      </c>
      <c r="D99">
        <v>7</v>
      </c>
      <c r="E99">
        <v>38371.199999999997</v>
      </c>
      <c r="F99">
        <v>14</v>
      </c>
      <c r="G99">
        <v>76742.399999999994</v>
      </c>
      <c r="H99">
        <v>8</v>
      </c>
      <c r="I99">
        <v>43852.799999999996</v>
      </c>
      <c r="J99">
        <v>12</v>
      </c>
      <c r="K99">
        <v>65779.199999999997</v>
      </c>
      <c r="L99">
        <v>12</v>
      </c>
      <c r="M99">
        <v>65779.199999999997</v>
      </c>
      <c r="N99">
        <v>12.424219896734584</v>
      </c>
      <c r="O99">
        <v>68104.603785940286</v>
      </c>
      <c r="P99">
        <v>9.1389039792402293</v>
      </c>
      <c r="Q99">
        <v>50095.816052603237</v>
      </c>
      <c r="R99">
        <v>10.641211792538583</v>
      </c>
      <c r="S99">
        <v>58330.866561979485</v>
      </c>
      <c r="T99">
        <v>13.1775043095183</v>
      </c>
      <c r="U99">
        <v>72233.807623055502</v>
      </c>
      <c r="V99">
        <v>7.5944496103931742</v>
      </c>
      <c r="W99">
        <v>41629.734984331219</v>
      </c>
      <c r="X99">
        <v>11.613071027119499</v>
      </c>
      <c r="Y99">
        <v>63658.210142258242</v>
      </c>
      <c r="Z99">
        <v>13.402665754521751</v>
      </c>
      <c r="AA99">
        <v>73468.052599986418</v>
      </c>
      <c r="AB99">
        <v>9.3852387053490034</v>
      </c>
      <c r="AC99">
        <v>51446.12448724109</v>
      </c>
      <c r="AD99">
        <v>11.376499205706033</v>
      </c>
      <c r="AE99">
        <v>62361.41804599818</v>
      </c>
      <c r="AF99">
        <v>12.769497023584508</v>
      </c>
      <c r="AG99">
        <v>69997.274884480837</v>
      </c>
      <c r="AH99">
        <v>12.480566066763016</v>
      </c>
      <c r="AI99">
        <v>68413.470951568146</v>
      </c>
      <c r="AJ99">
        <v>11</v>
      </c>
      <c r="AK99">
        <v>60297.599999999991</v>
      </c>
      <c r="AL99">
        <v>8.4307547224325301</v>
      </c>
      <c r="AM99">
        <v>46214.025086486152</v>
      </c>
      <c r="AN99">
        <v>8.472755153654365</v>
      </c>
      <c r="AO99">
        <v>46444.25465027176</v>
      </c>
      <c r="AP99">
        <v>11.279904787679714</v>
      </c>
      <c r="AQ99">
        <v>61831.926084145111</v>
      </c>
      <c r="AR99">
        <v>7.1882067370307707</v>
      </c>
      <c r="AS99">
        <v>39402.874049707869</v>
      </c>
      <c r="AT99">
        <v>14.502771576412748</v>
      </c>
      <c r="AU99">
        <v>79498.392673264112</v>
      </c>
      <c r="AV99">
        <v>12.519915869500188</v>
      </c>
      <c r="AW99">
        <v>68629.170830252231</v>
      </c>
      <c r="AX99">
        <v>11.409375151917043</v>
      </c>
      <c r="AY99">
        <v>62541.630832748458</v>
      </c>
      <c r="AZ99">
        <v>7.1972215353730817</v>
      </c>
      <c r="BA99">
        <v>39452.289568301079</v>
      </c>
      <c r="BB99">
        <v>12.495837360049718</v>
      </c>
      <c r="BC99">
        <v>68497.182072848533</v>
      </c>
      <c r="BD99">
        <v>9.4135679511694921</v>
      </c>
      <c r="BE99">
        <v>51601.414081130686</v>
      </c>
      <c r="BF99">
        <v>12.580722816715811</v>
      </c>
      <c r="BG99">
        <v>68962.490192109384</v>
      </c>
      <c r="BH99">
        <v>14.512823317243869</v>
      </c>
      <c r="BI99">
        <v>79553.492295803982</v>
      </c>
      <c r="BJ99">
        <v>13.303406010937511</v>
      </c>
      <c r="BK99">
        <v>72923.950389555059</v>
      </c>
      <c r="BL99">
        <v>13.492801855476694</v>
      </c>
      <c r="BM99">
        <v>73962.142650981041</v>
      </c>
      <c r="BN99">
        <v>9.3294949496623367</v>
      </c>
      <c r="BO99">
        <v>51140.559516069057</v>
      </c>
      <c r="BP99">
        <v>9.5096338224638455</v>
      </c>
      <c r="BQ99">
        <v>52128.00876121781</v>
      </c>
      <c r="BR99">
        <v>12.448013453345459</v>
      </c>
      <c r="BS99">
        <v>68235.030545858463</v>
      </c>
      <c r="BT99">
        <v>8.0406265537837687</v>
      </c>
      <c r="BU99">
        <v>44075.498517221102</v>
      </c>
      <c r="BV99">
        <v>10.608523559918483</v>
      </c>
      <c r="BW99">
        <v>58151.682746049148</v>
      </c>
      <c r="BX99">
        <v>14.200810889208007</v>
      </c>
      <c r="BY99">
        <v>77843.164970282611</v>
      </c>
      <c r="BZ99">
        <v>8.5358395657475921</v>
      </c>
      <c r="CA99">
        <v>46790.058163601992</v>
      </c>
      <c r="CB99">
        <v>11.252536330521183</v>
      </c>
      <c r="CC99">
        <v>61681.903149384911</v>
      </c>
      <c r="CD99">
        <v>9.5200477607978229</v>
      </c>
      <c r="CE99">
        <v>52185.093805589342</v>
      </c>
      <c r="CF99">
        <v>12.542713213763429</v>
      </c>
      <c r="CG99">
        <v>68754.13675256561</v>
      </c>
      <c r="CH99">
        <v>10.464947282746312</v>
      </c>
      <c r="CI99">
        <v>57364.655025102176</v>
      </c>
      <c r="CJ99">
        <v>8.2157569613065569</v>
      </c>
      <c r="CK99">
        <v>45035.493359098014</v>
      </c>
      <c r="CL99">
        <v>13.50526108331246</v>
      </c>
      <c r="CM99">
        <v>74030.439154285574</v>
      </c>
      <c r="CN99">
        <v>14.367810689257889</v>
      </c>
      <c r="CO99">
        <v>78758.591074236028</v>
      </c>
      <c r="CP99">
        <v>7.2782653804875252</v>
      </c>
      <c r="CQ99">
        <v>39896.539509680413</v>
      </c>
      <c r="CR99">
        <v>8.2125421647376093</v>
      </c>
      <c r="CS99">
        <v>45017.871130225678</v>
      </c>
      <c r="CT99">
        <v>9.6403355189619546</v>
      </c>
      <c r="CU99">
        <v>52844.463180741848</v>
      </c>
    </row>
    <row r="100" spans="2:99" x14ac:dyDescent="0.2">
      <c r="C100" s="118" t="s">
        <v>266</v>
      </c>
      <c r="D100">
        <v>9</v>
      </c>
      <c r="E100">
        <v>14601.599999999999</v>
      </c>
      <c r="F100">
        <v>16</v>
      </c>
      <c r="G100">
        <v>25958.399999999998</v>
      </c>
      <c r="H100">
        <v>11</v>
      </c>
      <c r="I100">
        <v>17846.399999999998</v>
      </c>
      <c r="J100">
        <v>17</v>
      </c>
      <c r="K100">
        <v>27580.799999999999</v>
      </c>
      <c r="L100">
        <v>15</v>
      </c>
      <c r="M100">
        <v>24335.999999999996</v>
      </c>
      <c r="N100">
        <v>17.587381395478655</v>
      </c>
      <c r="O100">
        <v>28533.767576024566</v>
      </c>
      <c r="P100">
        <v>13.185205305653637</v>
      </c>
      <c r="Q100">
        <v>21391.677087892458</v>
      </c>
      <c r="R100">
        <v>13.867521836963965</v>
      </c>
      <c r="S100">
        <v>22498.667428290333</v>
      </c>
      <c r="T100">
        <v>17.248506033325619</v>
      </c>
      <c r="U100">
        <v>27983.976188467481</v>
      </c>
      <c r="V100">
        <v>11.868810969036177</v>
      </c>
      <c r="W100">
        <v>19255.958916164294</v>
      </c>
      <c r="X100">
        <v>14.804655723094342</v>
      </c>
      <c r="Y100">
        <v>24019.07344514826</v>
      </c>
      <c r="Z100">
        <v>19.563732056330451</v>
      </c>
      <c r="AA100">
        <v>31740.19888819052</v>
      </c>
      <c r="AB100">
        <v>13.539334187488606</v>
      </c>
      <c r="AC100">
        <v>21966.215785781515</v>
      </c>
      <c r="AD100">
        <v>16.517686407845794</v>
      </c>
      <c r="AE100">
        <v>26798.294428089015</v>
      </c>
      <c r="AF100">
        <v>20.086348739178128</v>
      </c>
      <c r="AG100">
        <v>32588.09219444259</v>
      </c>
      <c r="AH100">
        <v>17.600707583453772</v>
      </c>
      <c r="AI100">
        <v>28555.387983395398</v>
      </c>
      <c r="AJ100">
        <v>14</v>
      </c>
      <c r="AK100">
        <v>22713.599999999999</v>
      </c>
      <c r="AL100">
        <v>12.695834551621779</v>
      </c>
      <c r="AM100">
        <v>20597.721976551173</v>
      </c>
      <c r="AN100">
        <v>10.661857215116111</v>
      </c>
      <c r="AO100">
        <v>17297.797145804376</v>
      </c>
      <c r="AP100">
        <v>13.404306915537363</v>
      </c>
      <c r="AQ100">
        <v>21747.147539767815</v>
      </c>
      <c r="AR100">
        <v>10.23163906096095</v>
      </c>
      <c r="AS100">
        <v>16599.811212503042</v>
      </c>
      <c r="AT100">
        <v>20.685597604199202</v>
      </c>
      <c r="AU100">
        <v>33560.31355305278</v>
      </c>
      <c r="AV100">
        <v>20.817010652071726</v>
      </c>
      <c r="AW100">
        <v>33773.518081921167</v>
      </c>
      <c r="AX100">
        <v>14.579948131882478</v>
      </c>
      <c r="AY100">
        <v>23654.50784916613</v>
      </c>
      <c r="AZ100">
        <v>10.236665842447698</v>
      </c>
      <c r="BA100">
        <v>16607.966662787145</v>
      </c>
      <c r="BB100">
        <v>14.78507582007872</v>
      </c>
      <c r="BC100">
        <v>23987.307010495715</v>
      </c>
      <c r="BD100">
        <v>11.551423934892656</v>
      </c>
      <c r="BE100">
        <v>18741.030191969843</v>
      </c>
      <c r="BF100">
        <v>16.774297088954416</v>
      </c>
      <c r="BG100">
        <v>27214.619597119643</v>
      </c>
      <c r="BH100">
        <v>19.683764422991825</v>
      </c>
      <c r="BI100">
        <v>31934.939399861934</v>
      </c>
      <c r="BJ100">
        <v>18.468900198721609</v>
      </c>
      <c r="BK100">
        <v>29963.943682405938</v>
      </c>
      <c r="BL100">
        <v>18.720248865696707</v>
      </c>
      <c r="BM100">
        <v>30371.731759706334</v>
      </c>
      <c r="BN100">
        <v>12.527191919459739</v>
      </c>
      <c r="BO100">
        <v>20324.116170131478</v>
      </c>
      <c r="BP100">
        <v>14.79630284759976</v>
      </c>
      <c r="BQ100">
        <v>24005.521739945849</v>
      </c>
      <c r="BR100">
        <v>18.672020180018187</v>
      </c>
      <c r="BS100">
        <v>30293.485540061505</v>
      </c>
      <c r="BT100">
        <v>10.056877175297277</v>
      </c>
      <c r="BU100">
        <v>16316.277529202302</v>
      </c>
      <c r="BV100">
        <v>13.86931937131212</v>
      </c>
      <c r="BW100">
        <v>22501.583748016779</v>
      </c>
      <c r="BX100">
        <v>18.278045846595703</v>
      </c>
      <c r="BY100">
        <v>29654.301581516866</v>
      </c>
      <c r="BZ100">
        <v>12.803759348621389</v>
      </c>
      <c r="CA100">
        <v>20772.819167203339</v>
      </c>
      <c r="CB100">
        <v>17.336715107361577</v>
      </c>
      <c r="CC100">
        <v>28127.086590183422</v>
      </c>
      <c r="CD100">
        <v>13.680062456427923</v>
      </c>
      <c r="CE100">
        <v>22194.533329308659</v>
      </c>
      <c r="CF100">
        <v>15.712311093064502</v>
      </c>
      <c r="CG100">
        <v>25491.653517387844</v>
      </c>
      <c r="CH100">
        <v>12.643773160725663</v>
      </c>
      <c r="CI100">
        <v>20513.257575961314</v>
      </c>
      <c r="CJ100">
        <v>13.311648944109471</v>
      </c>
      <c r="CK100">
        <v>21596.819246923205</v>
      </c>
      <c r="CL100">
        <v>19.649621392830305</v>
      </c>
      <c r="CM100">
        <v>31879.545747727883</v>
      </c>
      <c r="CN100">
        <v>18.514934964961043</v>
      </c>
      <c r="CO100">
        <v>30038.630487152794</v>
      </c>
      <c r="CP100">
        <v>11.389571532682535</v>
      </c>
      <c r="CQ100">
        <v>18478.440854624143</v>
      </c>
      <c r="CR100">
        <v>10.25239382062591</v>
      </c>
      <c r="CS100">
        <v>16633.483734583475</v>
      </c>
      <c r="CT100">
        <v>14.828669495127235</v>
      </c>
      <c r="CU100">
        <v>24058.033388894422</v>
      </c>
    </row>
    <row r="101" spans="2:99" x14ac:dyDescent="0.2">
      <c r="C101" s="118" t="s">
        <v>267</v>
      </c>
      <c r="D101">
        <v>9</v>
      </c>
      <c r="E101">
        <v>10713.599999999999</v>
      </c>
      <c r="F101">
        <v>17</v>
      </c>
      <c r="G101">
        <v>20236.8</v>
      </c>
      <c r="H101">
        <v>11</v>
      </c>
      <c r="I101">
        <v>13094.399999999998</v>
      </c>
      <c r="J101">
        <v>19</v>
      </c>
      <c r="K101">
        <v>22617.599999999999</v>
      </c>
      <c r="L101">
        <v>17</v>
      </c>
      <c r="M101">
        <v>20236.8</v>
      </c>
      <c r="N101">
        <v>17.62001369522747</v>
      </c>
      <c r="O101">
        <v>20974.864302798778</v>
      </c>
      <c r="P101">
        <v>13.216072856595911</v>
      </c>
      <c r="Q101">
        <v>15732.413128491771</v>
      </c>
      <c r="R101">
        <v>13.754366814751274</v>
      </c>
      <c r="S101">
        <v>16373.198256279915</v>
      </c>
      <c r="T101">
        <v>17.248506033325619</v>
      </c>
      <c r="U101">
        <v>20532.621582070813</v>
      </c>
      <c r="V101">
        <v>11.914537862143344</v>
      </c>
      <c r="W101">
        <v>14183.065871095436</v>
      </c>
      <c r="X101">
        <v>15.766338783899373</v>
      </c>
      <c r="Y101">
        <v>18768.249688353812</v>
      </c>
      <c r="Z101">
        <v>17.523465480878276</v>
      </c>
      <c r="AA101">
        <v>20859.933308437496</v>
      </c>
      <c r="AB101">
        <v>12.577858058023507</v>
      </c>
      <c r="AC101">
        <v>14972.682232271181</v>
      </c>
      <c r="AD101">
        <v>17.517686407845794</v>
      </c>
      <c r="AE101">
        <v>20853.053899899631</v>
      </c>
      <c r="AF101">
        <v>17.950555146780861</v>
      </c>
      <c r="AG101">
        <v>21368.340846727933</v>
      </c>
      <c r="AH101">
        <v>19.640754755684021</v>
      </c>
      <c r="AI101">
        <v>23380.354461166255</v>
      </c>
      <c r="AJ101">
        <v>13</v>
      </c>
      <c r="AK101">
        <v>15475.199999999999</v>
      </c>
      <c r="AL101">
        <v>12.728969530270435</v>
      </c>
      <c r="AM101">
        <v>15152.565328833924</v>
      </c>
      <c r="AN101">
        <v>10.661857215116111</v>
      </c>
      <c r="AO101">
        <v>12691.874828874217</v>
      </c>
      <c r="AP101">
        <v>16.342105851608537</v>
      </c>
      <c r="AQ101">
        <v>19453.6428057548</v>
      </c>
      <c r="AR101">
        <v>11.260593943581068</v>
      </c>
      <c r="AS101">
        <v>13404.611030438902</v>
      </c>
      <c r="AT101">
        <v>18.594184590305975</v>
      </c>
      <c r="AU101">
        <v>22134.517336300229</v>
      </c>
      <c r="AV101">
        <v>19.779873804250283</v>
      </c>
      <c r="AW101">
        <v>23545.961776579534</v>
      </c>
      <c r="AX101">
        <v>13.614062727875565</v>
      </c>
      <c r="AY101">
        <v>16206.180271263071</v>
      </c>
      <c r="AZ101">
        <v>11.276110149522315</v>
      </c>
      <c r="BA101">
        <v>13423.081521991362</v>
      </c>
      <c r="BB101">
        <v>15.78507582007872</v>
      </c>
      <c r="BC101">
        <v>18790.554256221705</v>
      </c>
      <c r="BD101">
        <v>12.574399932179849</v>
      </c>
      <c r="BE101">
        <v>14968.565679266891</v>
      </c>
      <c r="BF101">
        <v>16.774297088954416</v>
      </c>
      <c r="BG101">
        <v>19968.123254691334</v>
      </c>
      <c r="BH101">
        <v>19.717952644141416</v>
      </c>
      <c r="BI101">
        <v>23472.25082758594</v>
      </c>
      <c r="BJ101">
        <v>18.413735469460242</v>
      </c>
      <c r="BK101">
        <v>21919.71070284547</v>
      </c>
      <c r="BL101">
        <v>18.720248865696707</v>
      </c>
      <c r="BM101">
        <v>22284.584249725358</v>
      </c>
      <c r="BN101">
        <v>14.527191919459739</v>
      </c>
      <c r="BO101">
        <v>17293.169260924871</v>
      </c>
      <c r="BP101">
        <v>14.828154961503749</v>
      </c>
      <c r="BQ101">
        <v>17651.43566617406</v>
      </c>
      <c r="BR101">
        <v>18.597351271127277</v>
      </c>
      <c r="BS101">
        <v>22138.286953149909</v>
      </c>
      <c r="BT101">
        <v>11.059585612216194</v>
      </c>
      <c r="BU101">
        <v>13165.330712782157</v>
      </c>
      <c r="BV101">
        <v>15.956251308443331</v>
      </c>
      <c r="BW101">
        <v>18994.32155757094</v>
      </c>
      <c r="BX101">
        <v>19.308939829550781</v>
      </c>
      <c r="BY101">
        <v>22985.361973097246</v>
      </c>
      <c r="BZ101">
        <v>12.893065942912655</v>
      </c>
      <c r="CA101">
        <v>15347.905698443223</v>
      </c>
      <c r="CB101">
        <v>17.39283429192184</v>
      </c>
      <c r="CC101">
        <v>20704.429941103757</v>
      </c>
      <c r="CD101">
        <v>12.840077152058022</v>
      </c>
      <c r="CE101">
        <v>15284.827841809867</v>
      </c>
      <c r="CF101">
        <v>15.814069820645145</v>
      </c>
      <c r="CG101">
        <v>18825.068714495977</v>
      </c>
      <c r="CH101">
        <v>14.643773160725663</v>
      </c>
      <c r="CI101">
        <v>17431.947570527827</v>
      </c>
      <c r="CJ101">
        <v>13.311648944109471</v>
      </c>
      <c r="CK101">
        <v>15846.186903067914</v>
      </c>
      <c r="CL101">
        <v>19.685711470209768</v>
      </c>
      <c r="CM101">
        <v>23433.870934137703</v>
      </c>
      <c r="CN101">
        <v>19.588497102812621</v>
      </c>
      <c r="CO101">
        <v>23318.146951188141</v>
      </c>
      <c r="CP101">
        <v>12.417398070731288</v>
      </c>
      <c r="CQ101">
        <v>14781.670663398523</v>
      </c>
      <c r="CR101">
        <v>12.278961591218112</v>
      </c>
      <c r="CS101">
        <v>14616.875878186038</v>
      </c>
      <c r="CT101">
        <v>14.828669495127235</v>
      </c>
      <c r="CU101">
        <v>17652.048166999459</v>
      </c>
    </row>
    <row r="102" spans="2:99" x14ac:dyDescent="0.2">
      <c r="C102" s="118" t="s">
        <v>268</v>
      </c>
      <c r="D102">
        <v>10</v>
      </c>
      <c r="E102">
        <v>19392</v>
      </c>
      <c r="F102">
        <v>19</v>
      </c>
      <c r="G102">
        <v>36844.799999999996</v>
      </c>
      <c r="H102">
        <v>11</v>
      </c>
      <c r="I102">
        <v>21331.199999999997</v>
      </c>
      <c r="J102">
        <v>17</v>
      </c>
      <c r="K102">
        <v>32966.399999999994</v>
      </c>
      <c r="L102">
        <v>16</v>
      </c>
      <c r="M102">
        <v>31027.199999999997</v>
      </c>
      <c r="N102">
        <v>18.652645994976286</v>
      </c>
      <c r="O102">
        <v>36171.211113458012</v>
      </c>
      <c r="P102">
        <v>13.169771530182501</v>
      </c>
      <c r="Q102">
        <v>25538.820951329904</v>
      </c>
      <c r="R102">
        <v>13.867521836963965</v>
      </c>
      <c r="S102">
        <v>26891.898346240519</v>
      </c>
      <c r="T102">
        <v>16.248506033325619</v>
      </c>
      <c r="U102">
        <v>31509.102899825037</v>
      </c>
      <c r="V102">
        <v>10.82308407592901</v>
      </c>
      <c r="W102">
        <v>20988.124640041537</v>
      </c>
      <c r="X102">
        <v>13.728021844704404</v>
      </c>
      <c r="Y102">
        <v>26621.379961250779</v>
      </c>
      <c r="Z102">
        <v>17.563732056330451</v>
      </c>
      <c r="AA102">
        <v>34059.589203636009</v>
      </c>
      <c r="AB102">
        <v>13.539334187488606</v>
      </c>
      <c r="AC102">
        <v>26255.476856377903</v>
      </c>
      <c r="AD102">
        <v>15.470624007132541</v>
      </c>
      <c r="AE102">
        <v>30000.63407463142</v>
      </c>
      <c r="AF102">
        <v>16.905290615981773</v>
      </c>
      <c r="AG102">
        <v>32782.739562511852</v>
      </c>
      <c r="AH102">
        <v>17.640754755684021</v>
      </c>
      <c r="AI102">
        <v>34208.951622222448</v>
      </c>
      <c r="AJ102">
        <v>12</v>
      </c>
      <c r="AK102">
        <v>23270.399999999998</v>
      </c>
      <c r="AL102">
        <v>13.662699572973123</v>
      </c>
      <c r="AM102">
        <v>26494.707011909479</v>
      </c>
      <c r="AN102">
        <v>11.661857215116111</v>
      </c>
      <c r="AO102">
        <v>22614.673511553159</v>
      </c>
      <c r="AP102">
        <v>13.342105851608538</v>
      </c>
      <c r="AQ102">
        <v>25873.011667439274</v>
      </c>
      <c r="AR102">
        <v>9.2461165022710077</v>
      </c>
      <c r="AS102">
        <v>17930.069121203935</v>
      </c>
      <c r="AT102">
        <v>18.639891097252587</v>
      </c>
      <c r="AU102">
        <v>36146.476815792215</v>
      </c>
      <c r="AV102">
        <v>17.817010652071726</v>
      </c>
      <c r="AW102">
        <v>34550.747056497486</v>
      </c>
      <c r="AX102">
        <v>13.614062727875565</v>
      </c>
      <c r="AY102">
        <v>26400.390441896292</v>
      </c>
      <c r="AZ102">
        <v>10.276110149522315</v>
      </c>
      <c r="BA102">
        <v>19927.432801953673</v>
      </c>
      <c r="BB102">
        <v>15.743756040074578</v>
      </c>
      <c r="BC102">
        <v>30530.291712912618</v>
      </c>
      <c r="BD102">
        <v>12.505471940318268</v>
      </c>
      <c r="BE102">
        <v>24250.611186665181</v>
      </c>
      <c r="BF102">
        <v>15.725903520894764</v>
      </c>
      <c r="BG102">
        <v>30495.672107719125</v>
      </c>
      <c r="BH102">
        <v>18.649576201842233</v>
      </c>
      <c r="BI102">
        <v>36165.258170612455</v>
      </c>
      <c r="BJ102">
        <v>16.413735469460242</v>
      </c>
      <c r="BK102">
        <v>31829.5158223773</v>
      </c>
      <c r="BL102">
        <v>15.644433195623368</v>
      </c>
      <c r="BM102">
        <v>30337.684852952832</v>
      </c>
      <c r="BN102">
        <v>13.428343434561038</v>
      </c>
      <c r="BO102">
        <v>26040.24358830076</v>
      </c>
      <c r="BP102">
        <v>12.668894391983798</v>
      </c>
      <c r="BQ102">
        <v>24567.520004934981</v>
      </c>
      <c r="BR102">
        <v>16.634685725572734</v>
      </c>
      <c r="BS102">
        <v>32257.982559030643</v>
      </c>
      <c r="BT102">
        <v>11.065002486054031</v>
      </c>
      <c r="BU102">
        <v>21457.252820955975</v>
      </c>
      <c r="BV102">
        <v>13.86931937131212</v>
      </c>
      <c r="BW102">
        <v>26895.38412484846</v>
      </c>
      <c r="BX102">
        <v>19.308939829550781</v>
      </c>
      <c r="BY102">
        <v>37443.896117464872</v>
      </c>
      <c r="BZ102">
        <v>13.714452754330123</v>
      </c>
      <c r="CA102">
        <v>26595.066781196972</v>
      </c>
      <c r="CB102">
        <v>15.336715107361577</v>
      </c>
      <c r="CC102">
        <v>29740.957936195569</v>
      </c>
      <c r="CD102">
        <v>12.800073478150498</v>
      </c>
      <c r="CE102">
        <v>24821.902488829444</v>
      </c>
      <c r="CF102">
        <v>15.746230668924715</v>
      </c>
      <c r="CG102">
        <v>30535.090513178806</v>
      </c>
      <c r="CH102">
        <v>13.608007985129793</v>
      </c>
      <c r="CI102">
        <v>26388.649084763692</v>
      </c>
      <c r="CJ102">
        <v>12.287675948408744</v>
      </c>
      <c r="CK102">
        <v>23828.261199154233</v>
      </c>
      <c r="CL102">
        <v>19.72180154758923</v>
      </c>
      <c r="CM102">
        <v>38244.517561085035</v>
      </c>
      <c r="CN102">
        <v>20.551716033886834</v>
      </c>
      <c r="CO102">
        <v>39853.887732913347</v>
      </c>
      <c r="CP102">
        <v>12.361744994633783</v>
      </c>
      <c r="CQ102">
        <v>23971.895893593832</v>
      </c>
      <c r="CR102">
        <v>12.265677705922011</v>
      </c>
      <c r="CS102">
        <v>23785.602207323962</v>
      </c>
      <c r="CT102">
        <v>12.866336290360291</v>
      </c>
      <c r="CU102">
        <v>24950.399334266673</v>
      </c>
    </row>
    <row r="103" spans="2:99" x14ac:dyDescent="0.2">
      <c r="C103" s="118" t="s">
        <v>269</v>
      </c>
      <c r="D103">
        <v>10</v>
      </c>
      <c r="E103">
        <v>20280</v>
      </c>
      <c r="F103">
        <v>17</v>
      </c>
      <c r="G103">
        <v>34476</v>
      </c>
      <c r="H103">
        <v>10</v>
      </c>
      <c r="I103">
        <v>20280</v>
      </c>
      <c r="J103">
        <v>18</v>
      </c>
      <c r="K103">
        <v>36504</v>
      </c>
      <c r="L103">
        <v>15</v>
      </c>
      <c r="M103">
        <v>30420</v>
      </c>
      <c r="N103">
        <v>18.587381395478655</v>
      </c>
      <c r="O103">
        <v>37695.209470030713</v>
      </c>
      <c r="P103">
        <v>13.169771530182501</v>
      </c>
      <c r="Q103">
        <v>26708.296663210112</v>
      </c>
      <c r="R103">
        <v>12.754366814751274</v>
      </c>
      <c r="S103">
        <v>25865.855900315582</v>
      </c>
      <c r="T103">
        <v>16.248506033325619</v>
      </c>
      <c r="U103">
        <v>32951.970235584355</v>
      </c>
      <c r="V103">
        <v>9.8230840759290103</v>
      </c>
      <c r="W103">
        <v>19921.214505984033</v>
      </c>
      <c r="X103">
        <v>15.766338783899373</v>
      </c>
      <c r="Y103">
        <v>31974.13505374793</v>
      </c>
      <c r="Z103">
        <v>18.523465480878276</v>
      </c>
      <c r="AA103">
        <v>37565.58799522114</v>
      </c>
      <c r="AB103">
        <v>12.539334187488606</v>
      </c>
      <c r="AC103">
        <v>25429.769732226894</v>
      </c>
      <c r="AD103">
        <v>16.470624007132542</v>
      </c>
      <c r="AE103">
        <v>33402.425486464796</v>
      </c>
      <c r="AF103">
        <v>19.905290615981773</v>
      </c>
      <c r="AG103">
        <v>40367.929369211037</v>
      </c>
      <c r="AH103">
        <v>16.640754755684021</v>
      </c>
      <c r="AI103">
        <v>33747.450644527198</v>
      </c>
      <c r="AJ103">
        <v>12</v>
      </c>
      <c r="AK103">
        <v>24336</v>
      </c>
      <c r="AL103">
        <v>13.629564594324467</v>
      </c>
      <c r="AM103">
        <v>27640.75699729002</v>
      </c>
      <c r="AN103">
        <v>10.614581699750675</v>
      </c>
      <c r="AO103">
        <v>21526.371687094368</v>
      </c>
      <c r="AP103">
        <v>14.373206383572951</v>
      </c>
      <c r="AQ103">
        <v>29148.862545885946</v>
      </c>
      <c r="AR103">
        <v>10.23163906096095</v>
      </c>
      <c r="AS103">
        <v>20749.764015628807</v>
      </c>
      <c r="AT103">
        <v>18.594184590305975</v>
      </c>
      <c r="AU103">
        <v>37709.006349140516</v>
      </c>
      <c r="AV103">
        <v>18.779873804250283</v>
      </c>
      <c r="AW103">
        <v>38085.584075019571</v>
      </c>
      <c r="AX103">
        <v>13.545833535889392</v>
      </c>
      <c r="AY103">
        <v>27470.950410783687</v>
      </c>
      <c r="AZ103">
        <v>11.256387995985007</v>
      </c>
      <c r="BA103">
        <v>22827.954855857592</v>
      </c>
      <c r="BB103">
        <v>14.743756040074578</v>
      </c>
      <c r="BC103">
        <v>29900.337249271244</v>
      </c>
      <c r="BD103">
        <v>12.482495943031074</v>
      </c>
      <c r="BE103">
        <v>25314.501772467018</v>
      </c>
      <c r="BF103">
        <v>16.774297088954416</v>
      </c>
      <c r="BG103">
        <v>34018.274496399557</v>
      </c>
      <c r="BH103">
        <v>17.649576201842233</v>
      </c>
      <c r="BI103">
        <v>35793.340537336051</v>
      </c>
      <c r="BJ103">
        <v>18.441317834090928</v>
      </c>
      <c r="BK103">
        <v>37398.992567536399</v>
      </c>
      <c r="BL103">
        <v>16.606525360586698</v>
      </c>
      <c r="BM103">
        <v>33678.033431269825</v>
      </c>
      <c r="BN103">
        <v>13.461292929527271</v>
      </c>
      <c r="BO103">
        <v>27299.502061081308</v>
      </c>
      <c r="BP103">
        <v>12.668894391983798</v>
      </c>
      <c r="BQ103">
        <v>25692.517826943142</v>
      </c>
      <c r="BR103">
        <v>16.560016816681824</v>
      </c>
      <c r="BS103">
        <v>33583.714104230741</v>
      </c>
      <c r="BT103">
        <v>11.05416873837836</v>
      </c>
      <c r="BU103">
        <v>22417.854201431313</v>
      </c>
      <c r="BV103">
        <v>12.86931937131212</v>
      </c>
      <c r="BW103">
        <v>26098.979685020979</v>
      </c>
      <c r="BX103">
        <v>16.278045846595703</v>
      </c>
      <c r="BY103">
        <v>33011.876976896085</v>
      </c>
      <c r="BZ103">
        <v>12.803759348621389</v>
      </c>
      <c r="CA103">
        <v>25966.023959004178</v>
      </c>
      <c r="CB103">
        <v>17.308655515081448</v>
      </c>
      <c r="CC103">
        <v>35101.953384585177</v>
      </c>
      <c r="CD103">
        <v>12.760069804242972</v>
      </c>
      <c r="CE103">
        <v>25877.421563004747</v>
      </c>
      <c r="CF103">
        <v>15.746230668924715</v>
      </c>
      <c r="CG103">
        <v>31933.355796579322</v>
      </c>
      <c r="CH103">
        <v>12.536477633938052</v>
      </c>
      <c r="CI103">
        <v>25423.97664162637</v>
      </c>
      <c r="CJ103">
        <v>12.263702952708014</v>
      </c>
      <c r="CK103">
        <v>24870.789588091851</v>
      </c>
      <c r="CL103">
        <v>20.577441238071383</v>
      </c>
      <c r="CM103">
        <v>41731.050830808766</v>
      </c>
      <c r="CN103">
        <v>18.514934964961043</v>
      </c>
      <c r="CO103">
        <v>37548.288108940993</v>
      </c>
      <c r="CP103">
        <v>11.33391845658503</v>
      </c>
      <c r="CQ103">
        <v>22985.186629954442</v>
      </c>
      <c r="CR103">
        <v>10.292245476514212</v>
      </c>
      <c r="CS103">
        <v>20872.673826370821</v>
      </c>
      <c r="CT103">
        <v>12.828669495127235</v>
      </c>
      <c r="CU103">
        <v>26016.541736118033</v>
      </c>
    </row>
    <row r="104" spans="2:99" x14ac:dyDescent="0.2">
      <c r="C104" s="118" t="s">
        <v>270</v>
      </c>
      <c r="D104">
        <v>9</v>
      </c>
      <c r="E104">
        <v>18651.600000000002</v>
      </c>
      <c r="F104">
        <v>17</v>
      </c>
      <c r="G104">
        <v>35230.800000000003</v>
      </c>
      <c r="H104">
        <v>10</v>
      </c>
      <c r="I104">
        <v>20724</v>
      </c>
      <c r="J104">
        <v>18</v>
      </c>
      <c r="K104">
        <v>37303.200000000004</v>
      </c>
      <c r="L104">
        <v>17</v>
      </c>
      <c r="M104">
        <v>35230.800000000003</v>
      </c>
      <c r="N104">
        <v>19.652645994976286</v>
      </c>
      <c r="O104">
        <v>40728.143559988857</v>
      </c>
      <c r="P104">
        <v>12.200639081124775</v>
      </c>
      <c r="Q104">
        <v>25284.604431722986</v>
      </c>
      <c r="R104">
        <v>12.754366814751274</v>
      </c>
      <c r="S104">
        <v>26432.149786890539</v>
      </c>
      <c r="T104">
        <v>14.21300517142196</v>
      </c>
      <c r="U104">
        <v>29455.03191725487</v>
      </c>
      <c r="V104">
        <v>10.868810969036177</v>
      </c>
      <c r="W104">
        <v>22524.523852230574</v>
      </c>
      <c r="X104">
        <v>13.804655723094342</v>
      </c>
      <c r="Y104">
        <v>28608.768520540714</v>
      </c>
      <c r="Z104">
        <v>16.523465480878276</v>
      </c>
      <c r="AA104">
        <v>34243.229862572138</v>
      </c>
      <c r="AB104">
        <v>13.577858058023507</v>
      </c>
      <c r="AC104">
        <v>28138.753039447918</v>
      </c>
      <c r="AD104">
        <v>16.541217608202423</v>
      </c>
      <c r="AE104">
        <v>34280.019371238704</v>
      </c>
      <c r="AF104">
        <v>17.905290615981773</v>
      </c>
      <c r="AG104">
        <v>37106.924272560631</v>
      </c>
      <c r="AH104">
        <v>16.56066041122352</v>
      </c>
      <c r="AI104">
        <v>34320.312636219627</v>
      </c>
      <c r="AJ104">
        <v>14</v>
      </c>
      <c r="AK104">
        <v>29013.600000000002</v>
      </c>
      <c r="AL104">
        <v>12.629564594324467</v>
      </c>
      <c r="AM104">
        <v>26173.509665278027</v>
      </c>
      <c r="AN104">
        <v>10.614581699750675</v>
      </c>
      <c r="AO104">
        <v>21997.659114563299</v>
      </c>
      <c r="AP104">
        <v>13.373206383572951</v>
      </c>
      <c r="AQ104">
        <v>27714.632909316584</v>
      </c>
      <c r="AR104">
        <v>10.20268417834083</v>
      </c>
      <c r="AS104">
        <v>21144.042691193536</v>
      </c>
      <c r="AT104">
        <v>16.54847808335936</v>
      </c>
      <c r="AU104">
        <v>34295.065979953935</v>
      </c>
      <c r="AV104">
        <v>18.817010652071726</v>
      </c>
      <c r="AW104">
        <v>38996.372875353445</v>
      </c>
      <c r="AX104">
        <v>13.545833535889392</v>
      </c>
      <c r="AY104">
        <v>28072.385419777176</v>
      </c>
      <c r="AZ104">
        <v>10.276110149522315</v>
      </c>
      <c r="BA104">
        <v>21296.210673870046</v>
      </c>
      <c r="BB104">
        <v>14.619796700062148</v>
      </c>
      <c r="BC104">
        <v>30298.066681208795</v>
      </c>
      <c r="BD104">
        <v>12.482495943031074</v>
      </c>
      <c r="BE104">
        <v>25868.724592337599</v>
      </c>
      <c r="BF104">
        <v>15.725903520894764</v>
      </c>
      <c r="BG104">
        <v>32590.362456702311</v>
      </c>
      <c r="BH104">
        <v>16.683764422991825</v>
      </c>
      <c r="BI104">
        <v>34575.433390208258</v>
      </c>
      <c r="BJ104">
        <v>18.413735469460242</v>
      </c>
      <c r="BK104">
        <v>38160.625386909407</v>
      </c>
      <c r="BL104">
        <v>15.644433195623368</v>
      </c>
      <c r="BM104">
        <v>32421.523354609868</v>
      </c>
      <c r="BN104">
        <v>12.494242424493505</v>
      </c>
      <c r="BO104">
        <v>25893.068000520339</v>
      </c>
      <c r="BP104">
        <v>12.732598619791778</v>
      </c>
      <c r="BQ104">
        <v>26387.037379656482</v>
      </c>
      <c r="BR104">
        <v>16.560016816681824</v>
      </c>
      <c r="BS104">
        <v>34318.978850891413</v>
      </c>
      <c r="BT104">
        <v>11.05416873837836</v>
      </c>
      <c r="BU104">
        <v>22908.659293415316</v>
      </c>
      <c r="BV104">
        <v>12.999717277008937</v>
      </c>
      <c r="BW104">
        <v>26940.614084873323</v>
      </c>
      <c r="BX104">
        <v>17.308939829550781</v>
      </c>
      <c r="BY104">
        <v>35871.046902761038</v>
      </c>
      <c r="BZ104">
        <v>12.848412645767022</v>
      </c>
      <c r="CA104">
        <v>26627.050367087577</v>
      </c>
      <c r="CB104">
        <v>17.336715107361577</v>
      </c>
      <c r="CC104">
        <v>35928.608388496134</v>
      </c>
      <c r="CD104">
        <v>12.720066130335448</v>
      </c>
      <c r="CE104">
        <v>26361.065048507186</v>
      </c>
      <c r="CF104">
        <v>14.746230668924715</v>
      </c>
      <c r="CG104">
        <v>30560.088438279581</v>
      </c>
      <c r="CH104">
        <v>13.536477633938052</v>
      </c>
      <c r="CI104">
        <v>28052.996248573221</v>
      </c>
      <c r="CJ104">
        <v>12.263702952708014</v>
      </c>
      <c r="CK104">
        <v>25415.297999192091</v>
      </c>
      <c r="CL104">
        <v>19.685711470209768</v>
      </c>
      <c r="CM104">
        <v>40796.668450862722</v>
      </c>
      <c r="CN104">
        <v>20.588497102812621</v>
      </c>
      <c r="CO104">
        <v>42667.601395868878</v>
      </c>
      <c r="CP104">
        <v>11.389571532682535</v>
      </c>
      <c r="CQ104">
        <v>23603.748044331285</v>
      </c>
      <c r="CR104">
        <v>11.239109935329809</v>
      </c>
      <c r="CS104">
        <v>23291.931429977496</v>
      </c>
      <c r="CT104">
        <v>13.828669495127235</v>
      </c>
      <c r="CU104">
        <v>28658.534661701684</v>
      </c>
    </row>
    <row r="105" spans="2:99" x14ac:dyDescent="0.2">
      <c r="C105" s="118" t="s">
        <v>271</v>
      </c>
      <c r="D105">
        <v>8</v>
      </c>
      <c r="E105">
        <v>15984</v>
      </c>
      <c r="F105">
        <v>17</v>
      </c>
      <c r="G105">
        <v>33966</v>
      </c>
      <c r="H105">
        <v>10</v>
      </c>
      <c r="I105">
        <v>19980</v>
      </c>
      <c r="J105">
        <v>17</v>
      </c>
      <c r="K105">
        <v>33966</v>
      </c>
      <c r="L105">
        <v>16</v>
      </c>
      <c r="M105">
        <v>31968</v>
      </c>
      <c r="N105">
        <v>18.554749095729843</v>
      </c>
      <c r="O105">
        <v>37072.388693268229</v>
      </c>
      <c r="P105">
        <v>12.185205305653637</v>
      </c>
      <c r="Q105">
        <v>24346.040200695967</v>
      </c>
      <c r="R105">
        <v>12.754366814751274</v>
      </c>
      <c r="S105">
        <v>25483.224895873045</v>
      </c>
      <c r="T105">
        <v>14.21300517142196</v>
      </c>
      <c r="U105">
        <v>28397.584332501076</v>
      </c>
      <c r="V105">
        <v>9.7773571828218433</v>
      </c>
      <c r="W105">
        <v>19535.159651278042</v>
      </c>
      <c r="X105">
        <v>14.728021844704404</v>
      </c>
      <c r="Y105">
        <v>29426.587645719399</v>
      </c>
      <c r="Z105">
        <v>16.523465480878276</v>
      </c>
      <c r="AA105">
        <v>33013.884030794798</v>
      </c>
      <c r="AB105">
        <v>12.616381928558406</v>
      </c>
      <c r="AC105">
        <v>25207.531093259695</v>
      </c>
      <c r="AD105">
        <v>16.470624007132542</v>
      </c>
      <c r="AE105">
        <v>32908.306766250818</v>
      </c>
      <c r="AF105">
        <v>19.04108420837904</v>
      </c>
      <c r="AG105">
        <v>38044.086248341322</v>
      </c>
      <c r="AH105">
        <v>15.640754755684023</v>
      </c>
      <c r="AI105">
        <v>31250.228001856678</v>
      </c>
      <c r="AJ105">
        <v>14</v>
      </c>
      <c r="AK105">
        <v>27972</v>
      </c>
      <c r="AL105">
        <v>13.662699572973123</v>
      </c>
      <c r="AM105">
        <v>27298.073746800299</v>
      </c>
      <c r="AN105">
        <v>11.661857215116111</v>
      </c>
      <c r="AO105">
        <v>23300.39071580199</v>
      </c>
      <c r="AP105">
        <v>14.373206383572951</v>
      </c>
      <c r="AQ105">
        <v>28717.666354378754</v>
      </c>
      <c r="AR105">
        <v>9.2461165022710077</v>
      </c>
      <c r="AS105">
        <v>18473.740771537472</v>
      </c>
      <c r="AT105">
        <v>17.54847808335936</v>
      </c>
      <c r="AU105">
        <v>35061.859210552</v>
      </c>
      <c r="AV105">
        <v>16.817010652071726</v>
      </c>
      <c r="AW105">
        <v>33600.387282839307</v>
      </c>
      <c r="AX105">
        <v>12.579948131882478</v>
      </c>
      <c r="AY105">
        <v>25134.736367501191</v>
      </c>
      <c r="AZ105">
        <v>10.276110149522315</v>
      </c>
      <c r="BA105">
        <v>20531.668078745588</v>
      </c>
      <c r="BB105">
        <v>14.702436260070433</v>
      </c>
      <c r="BC105">
        <v>29375.467647620724</v>
      </c>
      <c r="BD105">
        <v>10.505471940318268</v>
      </c>
      <c r="BE105">
        <v>20989.9329367559</v>
      </c>
      <c r="BF105">
        <v>14.725903520894764</v>
      </c>
      <c r="BG105">
        <v>29422.355234747738</v>
      </c>
      <c r="BH105">
        <v>19.717952644141416</v>
      </c>
      <c r="BI105">
        <v>39396.469382994546</v>
      </c>
      <c r="BJ105">
        <v>17.441317834090928</v>
      </c>
      <c r="BK105">
        <v>34847.753032513676</v>
      </c>
      <c r="BL105">
        <v>15.644433195623368</v>
      </c>
      <c r="BM105">
        <v>31257.577524855489</v>
      </c>
      <c r="BN105">
        <v>13.428343434561038</v>
      </c>
      <c r="BO105">
        <v>26829.830182252954</v>
      </c>
      <c r="BP105">
        <v>14.668894391983798</v>
      </c>
      <c r="BQ105">
        <v>29308.45099518363</v>
      </c>
      <c r="BR105">
        <v>16.560016816681824</v>
      </c>
      <c r="BS105">
        <v>33086.91359973028</v>
      </c>
      <c r="BT105">
        <v>11.065002486054031</v>
      </c>
      <c r="BU105">
        <v>22107.874967135955</v>
      </c>
      <c r="BV105">
        <v>13.999717277008937</v>
      </c>
      <c r="BW105">
        <v>27971.435119463855</v>
      </c>
      <c r="BX105">
        <v>19.262598855118163</v>
      </c>
      <c r="BY105">
        <v>38486.672512526093</v>
      </c>
      <c r="BZ105">
        <v>12.759106051475756</v>
      </c>
      <c r="CA105">
        <v>25492.693890848561</v>
      </c>
      <c r="CB105">
        <v>18.308655515081448</v>
      </c>
      <c r="CC105">
        <v>36580.693719132731</v>
      </c>
      <c r="CD105">
        <v>12.720066130335448</v>
      </c>
      <c r="CE105">
        <v>25414.692128410225</v>
      </c>
      <c r="CF105">
        <v>17.814069820645145</v>
      </c>
      <c r="CG105">
        <v>35592.511501649002</v>
      </c>
      <c r="CH105">
        <v>12.536477633938052</v>
      </c>
      <c r="CI105">
        <v>25047.882312608228</v>
      </c>
      <c r="CJ105">
        <v>12.311648944109471</v>
      </c>
      <c r="CK105">
        <v>24598.674590330724</v>
      </c>
      <c r="CL105">
        <v>19.685711470209768</v>
      </c>
      <c r="CM105">
        <v>39332.051517479114</v>
      </c>
      <c r="CN105">
        <v>20.551716033886834</v>
      </c>
      <c r="CO105">
        <v>41062.328635705897</v>
      </c>
      <c r="CP105">
        <v>10.33391845658503</v>
      </c>
      <c r="CQ105">
        <v>20647.169076256891</v>
      </c>
      <c r="CR105">
        <v>11.239109935329809</v>
      </c>
      <c r="CS105">
        <v>22455.741650788957</v>
      </c>
      <c r="CT105">
        <v>13.866336290360291</v>
      </c>
      <c r="CU105">
        <v>27704.939908139862</v>
      </c>
    </row>
    <row r="107" spans="2:99" x14ac:dyDescent="0.2">
      <c r="B107" s="121" t="s">
        <v>276</v>
      </c>
    </row>
    <row r="108" spans="2:99" x14ac:dyDescent="0.2">
      <c r="C108" s="118" t="s">
        <v>277</v>
      </c>
      <c r="D108" s="118" t="s">
        <v>92</v>
      </c>
      <c r="E108" s="118" t="s">
        <v>93</v>
      </c>
      <c r="F108" s="118" t="s">
        <v>94</v>
      </c>
      <c r="G108" s="118" t="s">
        <v>95</v>
      </c>
      <c r="H108" s="118" t="s">
        <v>96</v>
      </c>
      <c r="I108" s="118" t="s">
        <v>97</v>
      </c>
      <c r="J108" s="118" t="s">
        <v>98</v>
      </c>
      <c r="K108" s="118" t="s">
        <v>99</v>
      </c>
      <c r="L108" s="118" t="s">
        <v>100</v>
      </c>
      <c r="M108" s="118" t="s">
        <v>101</v>
      </c>
      <c r="N108" s="118" t="s">
        <v>102</v>
      </c>
      <c r="O108" s="118" t="s">
        <v>103</v>
      </c>
    </row>
    <row r="109" spans="2:99" x14ac:dyDescent="0.2">
      <c r="C109" s="118" t="s">
        <v>126</v>
      </c>
      <c r="D109">
        <f>SUM(D$6:D$19)+SUM(F$6:F$19)+SUM(H$6:H$19)+SUM(J$6:J$19)</f>
        <v>417.58673381767727</v>
      </c>
      <c r="E109">
        <f>SUM(L$6:L$19)+SUM(N$6:N$19)+SUM(P$6:P$19)+SUM(R$6:R$19)</f>
        <v>489</v>
      </c>
      <c r="F109">
        <f>SUM(T$6:T$19)+SUM(V$6:V$19)+SUM(X$6:X$19)+SUM(Z$6:Z$19)</f>
        <v>405</v>
      </c>
      <c r="G109">
        <f>SUM(AB$6:AB$19)+SUM(AD$6:AD$19)+SUM(AF$6:AF$19)+SUM(AH$6:AH$19)</f>
        <v>429</v>
      </c>
      <c r="H109">
        <f>SUM(AJ$6:AJ$19)+SUM(AL$6:AL$19)+SUM(AN$6:AN$19)+SUM(AP$6:AP$19)</f>
        <v>486</v>
      </c>
      <c r="I109">
        <f>SUM(AR$6:AR$19)+SUM(AT$6:AT$19)+SUM(AV$6:AV$19)+SUM(AX$6:AX$19)</f>
        <v>436</v>
      </c>
      <c r="J109">
        <f>SUM(AZ$6:AZ$19)+SUM(BB$6:BB$19)+SUM(BD$6:BD$19)+SUM(BF$6:BF$19)</f>
        <v>524</v>
      </c>
      <c r="K109">
        <f>SUM(BH$6:BH$19)+SUM(BJ$6:BJ$19)+SUM(BL$6:BL$19)+SUM(BN$6:BN$19)</f>
        <v>549</v>
      </c>
      <c r="L109">
        <f>SUM(BP$6:BP$19)+SUM(BR$6:BR$19)+SUM(BT$6:BT$19)+SUM(BV$6:BV$19)</f>
        <v>622</v>
      </c>
      <c r="M109">
        <f>SUM(BX$6:BX$19)+SUM(BZ$6:BZ$19)+SUM(CB$6:CB$19)+SUM(CD$6:CD$19)</f>
        <v>442</v>
      </c>
      <c r="N109">
        <f>SUM(CF$6:CF$19)+SUM(CH$6:CH$19)+SUM(CJ$6:CJ$19)+SUM(CL$6:CL$19)</f>
        <v>590</v>
      </c>
      <c r="O109">
        <f>SUM(CN$6:CN$19)+SUM(CP$6:CP$19)+SUM(CR$6:CR$19)+SUM(CT$6:CT$19)</f>
        <v>563</v>
      </c>
    </row>
    <row r="110" spans="2:99" x14ac:dyDescent="0.2">
      <c r="C110" s="118" t="s">
        <v>127</v>
      </c>
      <c r="D110">
        <f>SUM(D$20:D$36)+SUM(F$20:F$36)+SUM(H$20:H$36)+SUM(J$20:J$36)</f>
        <v>1141.7165510649536</v>
      </c>
      <c r="E110">
        <f>SUM(L$20:L$36)+SUM(N$20:N$36)+SUM(P$20:P$36)+SUM(R$20:R$36)</f>
        <v>1205</v>
      </c>
      <c r="F110">
        <f>SUM(T$20:T$36)+SUM(V$20:V$36)+SUM(X$20:X$36)+SUM(Z$20:Z$36)</f>
        <v>1192</v>
      </c>
      <c r="G110">
        <f>SUM(AB$20:AB$36)+SUM(AD$20:AD$36)+SUM(AF$20:AF$36)+SUM(AH$20:AH$36)</f>
        <v>1182</v>
      </c>
      <c r="H110">
        <f>SUM(AJ$20:AJ$36)+SUM(AL$20:AL$36)+SUM(AN$20:AN$36)+SUM(AP$20:AP$36)</f>
        <v>1124</v>
      </c>
      <c r="I110">
        <f>SUM(AR$20:AR$36)+SUM(AT$20:AT$36)+SUM(AV$20:AV$36)+SUM(AX$20:AX$36)</f>
        <v>1010</v>
      </c>
      <c r="J110">
        <f>SUM(AZ$20:AZ$36)+SUM(BB$20:BB$36)+SUM(BD$20:BD$36)+SUM(BF$20:BF$36)</f>
        <v>1103</v>
      </c>
      <c r="K110">
        <f>SUM(BH$20:BH$36)+SUM(BJ$20:BJ$36)+SUM(BL$20:BL$36)+SUM(BN$20:BN$36)</f>
        <v>1112</v>
      </c>
      <c r="L110">
        <f>SUM(BP$20:BP$36)+SUM(BR$20:BR$36)+SUM(BT$20:BT$36)+SUM(BV$20:BV$36)</f>
        <v>1120</v>
      </c>
      <c r="M110">
        <f>SUM(BX$20:BX$36)+SUM(BZ$20:BZ$36)+SUM(CB$20:CB$36)+SUM(CD$20:CD$36)</f>
        <v>932</v>
      </c>
      <c r="N110">
        <f>SUM(CF$20:CF$36)+SUM(CH$20:CH$36)+SUM(CJ$20:CJ$36)+SUM(CL$20:CL$36)</f>
        <v>1323</v>
      </c>
      <c r="O110">
        <f>SUM(CN$20:CN$36)+SUM(CP$20:CP$36)+SUM(CR$20:CR$36)+SUM(CT$20:CT$36)</f>
        <v>1204</v>
      </c>
    </row>
    <row r="111" spans="2:99" x14ac:dyDescent="0.2">
      <c r="C111" s="118" t="s">
        <v>128</v>
      </c>
      <c r="D111">
        <f>SUM(D$37:D$48)+SUM(F$37:F$48)+SUM(H$37:H$48)+SUM(J$37:J$48)</f>
        <v>689.22254176308422</v>
      </c>
      <c r="E111">
        <f>SUM(L$37:L$48)+SUM(N$37:N$48)+SUM(P$37:P$48)+SUM(R$37:R$48)</f>
        <v>814</v>
      </c>
      <c r="F111">
        <f>SUM(T$37:T$48)+SUM(V$37:V$48)+SUM(X$37:X$48)+SUM(Z$37:Z$48)</f>
        <v>788</v>
      </c>
      <c r="G111">
        <f>SUM(AB$37:AB$48)+SUM(AD$37:AD$48)+SUM(AF$37:AF$48)+SUM(AH$37:AH$48)</f>
        <v>715</v>
      </c>
      <c r="H111">
        <f>SUM(AJ$37:AJ$48)+SUM(AL$37:AL$48)+SUM(AN$37:AN$48)+SUM(AP$37:AP$48)</f>
        <v>820</v>
      </c>
      <c r="I111">
        <f>SUM(AR$37:AR$48)+SUM(AT$37:AT$48)+SUM(AV$37:AV$48)+SUM(AX$37:AX$48)</f>
        <v>718</v>
      </c>
      <c r="J111">
        <f>SUM(AZ$37:AZ$48)+SUM(BB$37:BB$48)+SUM(BD$37:BD$48)+SUM(BF$37:BF$48)</f>
        <v>672</v>
      </c>
      <c r="K111">
        <f>SUM(BH$37:BH$48)+SUM(BJ$37:BJ$48)+SUM(BL$37:BL$48)+SUM(BN$37:BN$48)</f>
        <v>608</v>
      </c>
      <c r="L111">
        <f>SUM(BP$37:BP$48)+SUM(BR$37:BR$48)+SUM(BT$37:BT$48)+SUM(BV$37:BV$48)</f>
        <v>713</v>
      </c>
      <c r="M111">
        <f>SUM(BX$37:BX$48)+SUM(BZ$37:BZ$48)+SUM(CB$37:CB$48)+SUM(CD$37:CD$48)</f>
        <v>824</v>
      </c>
      <c r="N111">
        <f>SUM(CF$37:CF$48)+SUM(CH$37:CH$48)+SUM(CJ$37:CJ$48)+SUM(CL$37:CL$48)</f>
        <v>759</v>
      </c>
      <c r="O111">
        <f>SUM(CN$37:CN$48)+SUM(CP$37:CP$48)+SUM(CR$37:CR$48)+SUM(CT$37:CT$48)</f>
        <v>831</v>
      </c>
    </row>
    <row r="112" spans="2:99" x14ac:dyDescent="0.2">
      <c r="C112" s="118" t="s">
        <v>129</v>
      </c>
      <c r="D112">
        <f>SUM(D$49:D$70)+SUM(F$49:F$70)+SUM(H$49:H$70)+SUM(J$49:J$70)</f>
        <v>836.17255768647294</v>
      </c>
      <c r="E112">
        <f>SUM(L$49:L$70)+SUM(N$49:N$70)+SUM(P$49:P$70)+SUM(R$49:R$70)</f>
        <v>826.22848993263574</v>
      </c>
      <c r="F112">
        <f>SUM(T$49:T$70)+SUM(V$49:V$70)+SUM(X$49:X$70)+SUM(Z$49:Z$70)</f>
        <v>844.00325499748908</v>
      </c>
      <c r="G112">
        <f>SUM(AB$49:AB$70)+SUM(AD$49:AD$70)+SUM(AF$49:AF$70)+SUM(AH$49:AH$70)</f>
        <v>844.82070575030082</v>
      </c>
      <c r="H112">
        <f>SUM(AJ$49:AJ$70)+SUM(AL$49:AL$70)+SUM(AN$49:AN$70)+SUM(AP$49:AP$70)</f>
        <v>846.59756114296283</v>
      </c>
      <c r="I112">
        <f>SUM(AR$49:AR$70)+SUM(AT$49:AT$70)+SUM(AV$49:AV$70)+SUM(AX$49:AX$70)</f>
        <v>971.60440521733108</v>
      </c>
      <c r="J112">
        <f>SUM(AZ$49:AZ$70)+SUM(BB$49:BB$70)+SUM(BD$49:BD$70)+SUM(BF$49:BF$70)</f>
        <v>1060.1540663477513</v>
      </c>
      <c r="K112">
        <f>SUM(BH$49:BH$70)+SUM(BJ$49:BJ$70)+SUM(BL$49:BL$70)+SUM(BN$49:BN$70)</f>
        <v>1020.9776711514198</v>
      </c>
      <c r="L112">
        <f>SUM(BP$49:BP$70)+SUM(BR$49:BR$70)+SUM(BT$49:BT$70)+SUM(BV$49:BV$70)</f>
        <v>878.00159666721606</v>
      </c>
      <c r="M112">
        <f>SUM(BX$49:BX$70)+SUM(BZ$49:BZ$70)+SUM(CB$49:CB$70)+SUM(CD$49:CD$70)</f>
        <v>856.91287099812394</v>
      </c>
      <c r="N112">
        <f>SUM(CF$49:CF$70)+SUM(CH$49:CH$70)+SUM(CJ$49:CJ$70)+SUM(CL$49:CL$70)</f>
        <v>1071.6189324076815</v>
      </c>
      <c r="O112">
        <f>SUM(CN$49:CN$70)+SUM(CP$49:CP$70)+SUM(CR$49:CR$70)+SUM(CT$49:CT$70)</f>
        <v>1091.940278384523</v>
      </c>
    </row>
    <row r="113" spans="2:15" x14ac:dyDescent="0.2">
      <c r="C113" s="118" t="s">
        <v>130</v>
      </c>
      <c r="D113">
        <f>SUM(D$71:D$86)+SUM(F$71:F$86)+SUM(H$71:H$86)+SUM(J$71:J$86)</f>
        <v>850</v>
      </c>
      <c r="E113">
        <f>SUM(L$71:L$86)+SUM(N$71:N$86)+SUM(P$71:P$86)+SUM(R$71:R$86)</f>
        <v>913.14927477606216</v>
      </c>
      <c r="F113">
        <f>SUM(T$71:T$86)+SUM(V$71:V$86)+SUM(X$71:X$86)+SUM(Z$71:Z$86)</f>
        <v>868.33245241207419</v>
      </c>
      <c r="G113">
        <f>SUM(AB$71:AB$86)+SUM(AD$71:AD$86)+SUM(AF$71:AF$86)+SUM(AH$71:AH$86)</f>
        <v>810.60626803840341</v>
      </c>
      <c r="H113">
        <f>SUM(AJ$71:AJ$86)+SUM(AL$71:AL$86)+SUM(AN$71:AN$86)+SUM(AP$71:AP$86)</f>
        <v>889.15322076537905</v>
      </c>
      <c r="I113">
        <f>SUM(AR$71:AR$86)+SUM(AT$71:AT$86)+SUM(AV$71:AV$86)+SUM(AX$71:AX$86)</f>
        <v>822.75052370797118</v>
      </c>
      <c r="J113">
        <f>SUM(AZ$71:AZ$86)+SUM(BB$71:BB$86)+SUM(BD$71:BD$86)+SUM(BF$71:BF$86)</f>
        <v>834.71236117651301</v>
      </c>
      <c r="K113">
        <f>SUM(BH$71:BH$86)+SUM(BJ$71:BJ$86)+SUM(BL$71:BL$86)+SUM(BN$71:BN$86)</f>
        <v>772.6020854438907</v>
      </c>
      <c r="L113">
        <f>SUM(BP$71:BP$86)+SUM(BR$71:BR$86)+SUM(BT$71:BT$86)+SUM(BV$71:BV$86)</f>
        <v>846.10176583927489</v>
      </c>
      <c r="M113">
        <f>SUM(BX$71:BX$86)+SUM(BZ$71:BZ$86)+SUM(CB$71:CB$86)+SUM(CD$71:CD$86)</f>
        <v>998.07460937011183</v>
      </c>
      <c r="N113">
        <f>SUM(CF$71:CF$86)+SUM(CH$71:CH$86)+SUM(CJ$71:CJ$86)+SUM(CL$71:CL$86)</f>
        <v>772.2539534774827</v>
      </c>
      <c r="O113">
        <f>SUM(CN$71:CN$86)+SUM(CP$71:CP$86)+SUM(CR$71:CR$86)+SUM(CT$71:CT$86)</f>
        <v>836.93911794714131</v>
      </c>
    </row>
    <row r="114" spans="2:15" x14ac:dyDescent="0.2">
      <c r="C114" s="118" t="s">
        <v>131</v>
      </c>
      <c r="D114">
        <f>SUM(D$87:D$94)+SUM(F$87:F$94)+SUM(H$87:H$94)+SUM(J$87:J$94)</f>
        <v>363</v>
      </c>
      <c r="E114">
        <f>SUM(L$87:L$94)+SUM(N$87:N$94)+SUM(P$87:P$94)+SUM(R$87:R$94)</f>
        <v>372.5181340936731</v>
      </c>
      <c r="F114">
        <f>SUM(T$87:T$94)+SUM(V$87:V$94)+SUM(X$87:X$94)+SUM(Z$87:Z$94)</f>
        <v>456.35515348982233</v>
      </c>
      <c r="G114">
        <f>SUM(AB$87:AB$94)+SUM(AD$87:AD$94)+SUM(AF$87:AF$94)+SUM(AH$87:AH$94)</f>
        <v>385.84096836742094</v>
      </c>
      <c r="H114">
        <f>SUM(AJ$87:AJ$94)+SUM(AL$87:AL$94)+SUM(AN$87:AN$94)+SUM(AP$87:AP$94)</f>
        <v>418.83247389625308</v>
      </c>
      <c r="I114">
        <f>SUM(AR$87:AR$94)+SUM(AT$87:AT$94)+SUM(AV$87:AV$94)+SUM(AX$87:AX$94)</f>
        <v>480.52356093544421</v>
      </c>
      <c r="J114">
        <f>SUM(AZ$87:AZ$94)+SUM(BB$87:BB$94)+SUM(BD$87:BD$94)+SUM(BF$87:BF$94)</f>
        <v>387.25957613041965</v>
      </c>
      <c r="K114">
        <f>SUM(BH$87:BH$94)+SUM(BJ$87:BJ$94)+SUM(BL$87:BL$94)+SUM(BN$87:BN$94)</f>
        <v>482.82335394796189</v>
      </c>
      <c r="L114">
        <f>SUM(BP$87:BP$94)+SUM(BR$87:BR$94)+SUM(BT$87:BT$94)+SUM(BV$87:BV$94)</f>
        <v>461.6981272892578</v>
      </c>
      <c r="M114">
        <f>SUM(BX$87:BX$94)+SUM(BZ$87:BZ$94)+SUM(CB$87:CB$94)+SUM(CD$87:CD$94)</f>
        <v>443.38075498382767</v>
      </c>
      <c r="N114">
        <f>SUM(CF$87:CF$94)+SUM(CH$87:CH$94)+SUM(CJ$87:CJ$94)+SUM(CL$87:CL$94)</f>
        <v>394.39205802228616</v>
      </c>
      <c r="O114">
        <f>SUM(CN$87:CN$94)+SUM(CP$87:CP$94)+SUM(CR$87:CR$94)+SUM(CT$87:CT$94)</f>
        <v>515.38585599110354</v>
      </c>
    </row>
    <row r="115" spans="2:15" x14ac:dyDescent="0.2">
      <c r="C115" s="118" t="s">
        <v>132</v>
      </c>
      <c r="D115">
        <f>SUM(D$95:D$105)+SUM(F$95:F$105)+SUM(H$95:H$105)+SUM(J$95:J$105)</f>
        <v>598</v>
      </c>
      <c r="E115">
        <f>SUM(L$95:L$105)+SUM(N$95:N$105)+SUM(P$95:P$105)+SUM(R$95:R$105)</f>
        <v>657.31963505656131</v>
      </c>
      <c r="F115">
        <f>SUM(T$95:T$105)+SUM(V$95:V$105)+SUM(X$95:X$105)+SUM(Z$95:Z$105)</f>
        <v>639.87037684355857</v>
      </c>
      <c r="G115">
        <f>SUM(AB$95:AB$105)+SUM(AD$95:AD$105)+SUM(AF$95:AF$105)+SUM(AH$95:AH$105)</f>
        <v>714.13703751640583</v>
      </c>
      <c r="H115">
        <f>SUM(AJ$95:AJ$105)+SUM(AL$95:AL$105)+SUM(AN$95:AN$105)+SUM(AP$95:AP$105)</f>
        <v>560.97397876561092</v>
      </c>
      <c r="I115">
        <f>SUM(AR$95:AR$105)+SUM(AT$95:AT$105)+SUM(AV$95:AV$105)+SUM(AX$95:AX$105)</f>
        <v>670.26536003177637</v>
      </c>
      <c r="J115">
        <f>SUM(AZ$95:AZ$105)+SUM(BB$95:BB$105)+SUM(BD$95:BD$105)+SUM(BF$95:BF$105)</f>
        <v>598.95896855870319</v>
      </c>
      <c r="K115">
        <f>SUM(BH$95:BH$105)+SUM(BJ$95:BJ$105)+SUM(BL$95:BL$105)+SUM(BN$95:BN$105)</f>
        <v>730.58151603533997</v>
      </c>
      <c r="L115">
        <f>SUM(BP$95:BP$105)+SUM(BR$95:BR$105)+SUM(BT$95:BT$105)+SUM(BV$95:BV$105)</f>
        <v>602.24407967655293</v>
      </c>
      <c r="M115">
        <f>SUM(BX$95:BX$105)+SUM(BZ$95:BZ$105)+SUM(CB$95:CB$105)+SUM(CD$95:CD$105)</f>
        <v>664.69742869742447</v>
      </c>
      <c r="N115">
        <f>SUM(CF$95:CF$105)+SUM(CH$95:CH$105)+SUM(CJ$95:CJ$105)+SUM(CL$95:CL$105)</f>
        <v>673.9624701979626</v>
      </c>
      <c r="O115">
        <f>SUM(CN$95:CN$105)+SUM(CP$95:CP$105)+SUM(CR$95:CR$105)+SUM(CT$95:CT$105)</f>
        <v>613.36658142734666</v>
      </c>
    </row>
    <row r="116" spans="2:15" x14ac:dyDescent="0.2">
      <c r="C116" s="118" t="s">
        <v>278</v>
      </c>
      <c r="D116">
        <f t="shared" ref="D116:O116" si="0">SUM(D$109:D$115)</f>
        <v>4895.6983843321877</v>
      </c>
      <c r="E116">
        <f t="shared" si="0"/>
        <v>5277.2155338589328</v>
      </c>
      <c r="F116">
        <f t="shared" si="0"/>
        <v>5193.5612377429443</v>
      </c>
      <c r="G116">
        <f t="shared" si="0"/>
        <v>5081.4049796725312</v>
      </c>
      <c r="H116">
        <f t="shared" si="0"/>
        <v>5145.5572345702058</v>
      </c>
      <c r="I116">
        <f t="shared" si="0"/>
        <v>5109.1438498925227</v>
      </c>
      <c r="J116">
        <f t="shared" si="0"/>
        <v>5180.084972213388</v>
      </c>
      <c r="K116">
        <f t="shared" si="0"/>
        <v>5275.9846265786127</v>
      </c>
      <c r="L116">
        <f t="shared" si="0"/>
        <v>5243.0455694723023</v>
      </c>
      <c r="M116">
        <f t="shared" si="0"/>
        <v>5161.0656640494881</v>
      </c>
      <c r="N116">
        <f t="shared" si="0"/>
        <v>5584.2274141054131</v>
      </c>
      <c r="O116">
        <f t="shared" si="0"/>
        <v>5655.6318337501134</v>
      </c>
    </row>
    <row r="118" spans="2:15" x14ac:dyDescent="0.2">
      <c r="B118" s="120" t="s">
        <v>279</v>
      </c>
    </row>
    <row r="119" spans="2:15" x14ac:dyDescent="0.2">
      <c r="C119" s="118" t="s">
        <v>277</v>
      </c>
      <c r="D119" s="118" t="s">
        <v>92</v>
      </c>
      <c r="E119" s="118" t="s">
        <v>93</v>
      </c>
      <c r="F119" s="118" t="s">
        <v>94</v>
      </c>
      <c r="G119" s="118" t="s">
        <v>95</v>
      </c>
      <c r="H119" s="118" t="s">
        <v>96</v>
      </c>
      <c r="I119" s="118" t="s">
        <v>97</v>
      </c>
      <c r="J119" s="118" t="s">
        <v>98</v>
      </c>
      <c r="K119" s="118" t="s">
        <v>99</v>
      </c>
      <c r="L119" s="118" t="s">
        <v>100</v>
      </c>
      <c r="M119" s="118" t="s">
        <v>101</v>
      </c>
      <c r="N119" s="118" t="s">
        <v>102</v>
      </c>
      <c r="O119" s="118" t="s">
        <v>103</v>
      </c>
    </row>
    <row r="120" spans="2:15" x14ac:dyDescent="0.2">
      <c r="C120" s="118" t="s">
        <v>126</v>
      </c>
      <c r="D120">
        <f>D109*pricing!D24*2000</f>
        <v>2537849.538181643</v>
      </c>
      <c r="E120">
        <f>E109*pricing!E24*2000</f>
        <v>2971857.8768660319</v>
      </c>
      <c r="F120">
        <f>F109*pricing!F24*2000</f>
        <v>2461354.6832939526</v>
      </c>
      <c r="G120">
        <f>G109*pricing!G24*2000</f>
        <v>2607212.7386002606</v>
      </c>
      <c r="H120">
        <f>H109*pricing!H24*2000</f>
        <v>2953625.6199527429</v>
      </c>
      <c r="I120">
        <f>I109*pricing!I24*2000</f>
        <v>2649754.6713979342</v>
      </c>
      <c r="J120">
        <f>J109*pricing!J24*2000</f>
        <v>3184567.5408543982</v>
      </c>
      <c r="K120">
        <f>K109*pricing!K24*2000</f>
        <v>3336503.0151318023</v>
      </c>
      <c r="L120">
        <f>L109*pricing!L24*2000</f>
        <v>3780154.6000218238</v>
      </c>
      <c r="M120">
        <f>M109*pricing!M24*2000</f>
        <v>2686219.1852245112</v>
      </c>
      <c r="N120">
        <f>N109*pricing!N24*2000</f>
        <v>3585677.192946746</v>
      </c>
      <c r="O120">
        <f>O109*pricing!O24*2000</f>
        <v>3421586.8807271491</v>
      </c>
    </row>
    <row r="121" spans="2:15" x14ac:dyDescent="0.2">
      <c r="C121" s="118" t="s">
        <v>127</v>
      </c>
      <c r="D121">
        <f>D110*pricing!D25*2000</f>
        <v>6292821.71863693</v>
      </c>
      <c r="E121">
        <f>E110*pricing!E25*2000</f>
        <v>6641622.3570416681</v>
      </c>
      <c r="F121">
        <f>F110*pricing!F25*2000</f>
        <v>6569969.9996627951</v>
      </c>
      <c r="G121">
        <f>G110*pricing!G25*2000</f>
        <v>6514852.8016790468</v>
      </c>
      <c r="H121">
        <f>H110*pricing!H25*2000</f>
        <v>6195173.0533733061</v>
      </c>
      <c r="I121">
        <f>I110*pricing!I25*2000</f>
        <v>5566836.9963585762</v>
      </c>
      <c r="J121">
        <f>J110*pricing!J25*2000</f>
        <v>6079426.9376074355</v>
      </c>
      <c r="K121">
        <f>K110*pricing!K25*2000</f>
        <v>6129032.4157928089</v>
      </c>
      <c r="L121">
        <f>L110*pricing!L25*2000</f>
        <v>6173126.1741798073</v>
      </c>
      <c r="M121">
        <f>M110*pricing!M25*2000</f>
        <v>5136922.8520853398</v>
      </c>
      <c r="N121">
        <f>N110*pricing!N25*2000</f>
        <v>7292005.2932498977</v>
      </c>
      <c r="O121">
        <f>O110*pricing!O25*2000</f>
        <v>6636110.6372432923</v>
      </c>
    </row>
    <row r="122" spans="2:15" x14ac:dyDescent="0.2">
      <c r="C122" s="118" t="s">
        <v>128</v>
      </c>
      <c r="D122">
        <f>D111*pricing!D26*2000</f>
        <v>3034656.4801466889</v>
      </c>
      <c r="E122">
        <f>E111*pricing!E26*2000</f>
        <v>3584053.3719637445</v>
      </c>
      <c r="F122">
        <f>F111*pricing!F26*2000</f>
        <v>3469575.0087314872</v>
      </c>
      <c r="G122">
        <f>G111*pricing!G26*2000</f>
        <v>3148154.988887073</v>
      </c>
      <c r="H122">
        <f>H111*pricing!H26*2000</f>
        <v>3610471.4557865732</v>
      </c>
      <c r="I122">
        <f>I111*pricing!I26*2000</f>
        <v>3161364.0307984874</v>
      </c>
      <c r="J122">
        <f>J111*pricing!J26*2000</f>
        <v>2958825.3881568015</v>
      </c>
      <c r="K122">
        <f>K111*pricing!K26*2000</f>
        <v>2677032.4940466299</v>
      </c>
      <c r="L122">
        <f>L111*pricing!L26*2000</f>
        <v>3139348.9609461301</v>
      </c>
      <c r="M122">
        <f>M111*pricing!M26*2000</f>
        <v>3628083.511668459</v>
      </c>
      <c r="N122">
        <f>N111*pricing!N26*2000</f>
        <v>3341887.603587816</v>
      </c>
      <c r="O122">
        <f>O111*pricing!O26*2000</f>
        <v>3658904.6094617588</v>
      </c>
    </row>
    <row r="123" spans="2:15" x14ac:dyDescent="0.2">
      <c r="C123" s="118" t="s">
        <v>129</v>
      </c>
      <c r="D123">
        <f>D112*pricing!D27*2000</f>
        <v>3806402.5739271659</v>
      </c>
      <c r="E123">
        <f>E112*pricing!E27*2000</f>
        <v>3761135.4520328064</v>
      </c>
      <c r="F123">
        <f>F112*pricing!F27*2000</f>
        <v>3842049.2668571109</v>
      </c>
      <c r="G123">
        <f>G112*pricing!G27*2000</f>
        <v>3845770.4445266705</v>
      </c>
      <c r="H123">
        <f>H112*pricing!H27*2000</f>
        <v>3853858.9985912028</v>
      </c>
      <c r="I123">
        <f>I112*pricing!I27*2000</f>
        <v>4422911.8438073937</v>
      </c>
      <c r="J123">
        <f>J112*pricing!J27*2000</f>
        <v>4826005.2662700703</v>
      </c>
      <c r="K123">
        <f>K112*pricing!K27*2000</f>
        <v>4647667.5175103005</v>
      </c>
      <c r="L123">
        <f>L112*pricing!L27*2000</f>
        <v>3996815.6174761271</v>
      </c>
      <c r="M123">
        <f>M112*pricing!M27*2000</f>
        <v>3900816.0789481304</v>
      </c>
      <c r="N123">
        <f>N112*pricing!N27*2000</f>
        <v>4878195.3259402793</v>
      </c>
      <c r="O123">
        <f>O112*pricing!O27*2000</f>
        <v>4970701.6189546417</v>
      </c>
    </row>
    <row r="124" spans="2:15" x14ac:dyDescent="0.2">
      <c r="C124" s="118" t="s">
        <v>130</v>
      </c>
      <c r="D124">
        <f>D113*pricing!D28*2000</f>
        <v>3514296.6942350208</v>
      </c>
      <c r="E124">
        <f>E113*pricing!E28*2000</f>
        <v>3775385.2678689673</v>
      </c>
      <c r="F124">
        <f>F113*pricing!F28*2000</f>
        <v>3590091.6082455777</v>
      </c>
      <c r="G124">
        <f>G113*pricing!G28*2000</f>
        <v>3351424.6212865277</v>
      </c>
      <c r="H124">
        <f>H113*pricing!H28*2000</f>
        <v>3676174.3816519924</v>
      </c>
      <c r="I124">
        <f>I113*pricing!I28*2000</f>
        <v>3401634.6419377122</v>
      </c>
      <c r="J124">
        <f>J113*pricing!J28*2000</f>
        <v>3451090.4606114454</v>
      </c>
      <c r="K124">
        <f>K113*pricing!K28*2000</f>
        <v>3194297.5939229983</v>
      </c>
      <c r="L124">
        <f>L113*pricing!L28*2000</f>
        <v>3498179.5749122091</v>
      </c>
      <c r="M124">
        <f>M113*pricing!M28*2000</f>
        <v>4126506.2356579928</v>
      </c>
      <c r="N124">
        <f>N113*pricing!N28*2000</f>
        <v>3192858.2539009922</v>
      </c>
      <c r="O124">
        <f>O113*pricing!O28*2000</f>
        <v>3460296.9123266037</v>
      </c>
    </row>
    <row r="125" spans="2:15" x14ac:dyDescent="0.2">
      <c r="C125" s="118" t="s">
        <v>131</v>
      </c>
      <c r="D125">
        <f>D114*pricing!D29*2000</f>
        <v>1500186.6279290097</v>
      </c>
      <c r="E125">
        <f>E114*pricing!E29*2000</f>
        <v>1539522.6540727112</v>
      </c>
      <c r="F125">
        <f>F114*pricing!F29*2000</f>
        <v>1885999.7213551579</v>
      </c>
      <c r="G125">
        <f>G114*pricing!G29*2000</f>
        <v>1594582.5378842563</v>
      </c>
      <c r="H125">
        <f>H114*pricing!H29*2000</f>
        <v>1730928.0349354956</v>
      </c>
      <c r="I125">
        <f>I114*pricing!I29*2000</f>
        <v>1985881.5992291574</v>
      </c>
      <c r="J125">
        <f>J114*pricing!J29*2000</f>
        <v>1600445.2827777187</v>
      </c>
      <c r="K125">
        <f>K114*pricing!K29*2000</f>
        <v>1995386.05852498</v>
      </c>
      <c r="L125">
        <f>L114*pricing!L29*2000</f>
        <v>1908080.8724496155</v>
      </c>
      <c r="M125">
        <f>M114*pricing!M29*2000</f>
        <v>1832379.8339058044</v>
      </c>
      <c r="N125">
        <f>N114*pricing!N29*2000</f>
        <v>1629922.0154447269</v>
      </c>
      <c r="O125">
        <f>O114*pricing!O29*2000</f>
        <v>2129958.5933377407</v>
      </c>
    </row>
    <row r="126" spans="2:15" x14ac:dyDescent="0.2">
      <c r="C126" s="118" t="s">
        <v>132</v>
      </c>
      <c r="D126">
        <f>D115*pricing!D30*2000</f>
        <v>2936890.3985188664</v>
      </c>
      <c r="E126">
        <f>E115*pricing!E30*2000</f>
        <v>3228220.2758453852</v>
      </c>
      <c r="F126">
        <f>F115*pricing!F30*2000</f>
        <v>3142523.6890443075</v>
      </c>
      <c r="G126">
        <f>G115*pricing!G30*2000</f>
        <v>3507261.2185763204</v>
      </c>
      <c r="H126">
        <f>H115*pricing!H30*2000</f>
        <v>2755048.64892249</v>
      </c>
      <c r="I126">
        <f>I115*pricing!I30*2000</f>
        <v>3291799.1644433364</v>
      </c>
      <c r="J126">
        <f>J115*pricing!J30*2000</f>
        <v>2941600.0733558843</v>
      </c>
      <c r="K126">
        <f>K115*pricing!K30*2000</f>
        <v>3588023.143444059</v>
      </c>
      <c r="L126">
        <f>L115*pricing!L30*2000</f>
        <v>2957733.8715165542</v>
      </c>
      <c r="M126">
        <f>M115*pricing!M30*2000</f>
        <v>3264454.0071264962</v>
      </c>
      <c r="N126">
        <f>N115*pricing!N30*2000</f>
        <v>3309956.367368652</v>
      </c>
      <c r="O126">
        <f>O115*pricing!O30*2000</f>
        <v>3012358.5681710951</v>
      </c>
    </row>
    <row r="127" spans="2:15" x14ac:dyDescent="0.2">
      <c r="C127" s="118" t="s">
        <v>278</v>
      </c>
      <c r="D127">
        <f t="shared" ref="D127:O127" si="1">SUM(D$120:D$126)</f>
        <v>23623104.031575326</v>
      </c>
      <c r="E127">
        <f t="shared" si="1"/>
        <v>25501797.255691312</v>
      </c>
      <c r="F127">
        <f t="shared" si="1"/>
        <v>24961563.97719039</v>
      </c>
      <c r="G127">
        <f t="shared" si="1"/>
        <v>24569259.351440154</v>
      </c>
      <c r="H127">
        <f t="shared" si="1"/>
        <v>24775280.193213806</v>
      </c>
      <c r="I127">
        <f t="shared" si="1"/>
        <v>24480182.947972596</v>
      </c>
      <c r="J127">
        <f t="shared" si="1"/>
        <v>25041960.949633751</v>
      </c>
      <c r="K127">
        <f t="shared" si="1"/>
        <v>25567942.238373578</v>
      </c>
      <c r="L127">
        <f t="shared" si="1"/>
        <v>25453439.671502266</v>
      </c>
      <c r="M127">
        <f t="shared" si="1"/>
        <v>24575381.704616733</v>
      </c>
      <c r="N127">
        <f t="shared" si="1"/>
        <v>27230502.052439112</v>
      </c>
      <c r="O127">
        <f t="shared" si="1"/>
        <v>27289917.820222281</v>
      </c>
    </row>
    <row r="129" spans="2:15" x14ac:dyDescent="0.2">
      <c r="B129" s="120" t="s">
        <v>280</v>
      </c>
    </row>
    <row r="130" spans="2:15" x14ac:dyDescent="0.2">
      <c r="C130" s="122" t="s">
        <v>277</v>
      </c>
      <c r="D130" s="122" t="s">
        <v>92</v>
      </c>
      <c r="E130" s="122" t="s">
        <v>93</v>
      </c>
      <c r="F130" s="122" t="s">
        <v>94</v>
      </c>
      <c r="G130" s="122" t="s">
        <v>95</v>
      </c>
      <c r="H130" s="122" t="s">
        <v>96</v>
      </c>
      <c r="I130" s="122" t="s">
        <v>97</v>
      </c>
      <c r="J130" s="122" t="s">
        <v>98</v>
      </c>
      <c r="K130" s="122" t="s">
        <v>99</v>
      </c>
      <c r="L130" s="122" t="s">
        <v>100</v>
      </c>
      <c r="M130" s="122" t="s">
        <v>101</v>
      </c>
      <c r="N130" s="122" t="s">
        <v>102</v>
      </c>
      <c r="O130" s="122" t="s">
        <v>103</v>
      </c>
    </row>
    <row r="131" spans="2:15" x14ac:dyDescent="0.2">
      <c r="C131" s="122" t="s">
        <v>126</v>
      </c>
      <c r="D131" s="123">
        <f>SUM(E$6:E$19)+SUM(G$6:G$19)+SUM(I$6:I$19)+SUM(K$6:K$19)</f>
        <v>211106.35608068964</v>
      </c>
      <c r="E131" s="123">
        <f>SUM(M$6:M$19)+SUM(O$6:O$19)+SUM(Q$6:Q$19)+SUM(S$6:S$19)</f>
        <v>245825.99999999997</v>
      </c>
      <c r="F131" s="123">
        <f>SUM(U$6:U$19)+SUM(W$6:W$19)+SUM(Y$6:Y$19)+SUM(AA$6:AA$19)</f>
        <v>203871.59999999998</v>
      </c>
      <c r="G131" s="123">
        <f>SUM(AC$6:AC$19)+SUM(AE$6:AE$19)+SUM(AG$6:AG$19)+SUM(AI$6:AI$19)</f>
        <v>216032.39999999997</v>
      </c>
      <c r="H131" s="123">
        <f>SUM(AK$6:AK$19)+SUM(AM$6:AM$19)+SUM(AO$6:AO$19)+SUM(AQ$6:AQ$19)</f>
        <v>245926.8</v>
      </c>
      <c r="I131" s="123">
        <f>SUM(AS$6:AS$19)+SUM(AU$6:AU$19)+SUM(AW$6:AW$19)+SUM(AY$6:AY$19)</f>
        <v>219775.19999999998</v>
      </c>
      <c r="J131" s="123">
        <f>SUM(BA$6:BA$19)+SUM(BC$6:BC$19)+SUM(BE$6:BE$19)+SUM(BG$6:BG$19)</f>
        <v>262323.59999999998</v>
      </c>
      <c r="K131" s="123">
        <f>SUM(BI$6:BI$19)+SUM(BK$6:BK$19)+SUM(BM$6:BM$19)+SUM(BO$6:BO$19)</f>
        <v>278602.8</v>
      </c>
      <c r="L131" s="123">
        <f>SUM(BQ$6:BQ$19)+SUM(BS$6:BS$19)+SUM(BU$6:BU$19)+SUM(BW$6:BW$19)</f>
        <v>313266</v>
      </c>
      <c r="M131" s="123">
        <f>SUM(BY$6:BY$19)+SUM(CA$6:CA$19)+SUM(CC$6:CC$19)+SUM(CE$6:CE$19)</f>
        <v>224419.19999999998</v>
      </c>
      <c r="N131" s="123">
        <f>SUM(CG$6:CG$19)+SUM(CI$6:CI$19)+SUM(CK$6:CK$19)+SUM(CM$6:CM$19)</f>
        <v>296896.8</v>
      </c>
      <c r="O131" s="123">
        <f>SUM(CO$6:CO$19)+SUM(CQ$6:CQ$19)+SUM(CS$6:CS$19)+SUM(CU$6:CU$19)</f>
        <v>283294.8</v>
      </c>
    </row>
    <row r="132" spans="2:15" x14ac:dyDescent="0.2">
      <c r="C132" s="122" t="s">
        <v>127</v>
      </c>
      <c r="D132" s="123">
        <f>SUM(E$20:E$36)+SUM(G$20:G$36)+SUM(I$20:I$36)+SUM(K$20:K$36)</f>
        <v>486179.00218591711</v>
      </c>
      <c r="E132" s="123">
        <f>SUM(M$20:M$36)+SUM(O$20:O$36)+SUM(Q$20:Q$36)+SUM(S$20:S$36)</f>
        <v>515145.6</v>
      </c>
      <c r="F132" s="123">
        <f>SUM(U$20:U$36)+SUM(W$20:W$36)+SUM(Y$20:Y$36)+SUM(AA$20:AA$36)</f>
        <v>510178.79999999993</v>
      </c>
      <c r="G132" s="123">
        <f>SUM(AC$20:AC$36)+SUM(AE$20:AE$36)+SUM(AG$20:AG$36)+SUM(AI$20:AI$36)</f>
        <v>507418.8</v>
      </c>
      <c r="H132" s="123">
        <f>SUM(AK$20:AK$36)+SUM(AM$20:AM$36)+SUM(AO$20:AO$36)+SUM(AQ$20:AQ$36)</f>
        <v>481354.79999999993</v>
      </c>
      <c r="I132" s="123">
        <f>SUM(AS$20:AS$36)+SUM(AU$20:AU$36)+SUM(AW$20:AW$36)+SUM(AY$20:AY$36)</f>
        <v>430543.2</v>
      </c>
      <c r="J132" s="123">
        <f>SUM(BA$20:BA$36)+SUM(BC$20:BC$36)+SUM(BE$20:BE$36)+SUM(BG$20:BG$36)</f>
        <v>470848.79999999993</v>
      </c>
      <c r="K132" s="123">
        <f>SUM(BI$20:BI$36)+SUM(BK$20:BK$36)+SUM(BM$20:BM$36)+SUM(BO$20:BO$36)</f>
        <v>476018.39999999991</v>
      </c>
      <c r="L132" s="123">
        <f>SUM(BQ$20:BQ$36)+SUM(BS$20:BS$36)+SUM(BU$20:BU$36)+SUM(BW$20:BW$36)</f>
        <v>473795.99999999994</v>
      </c>
      <c r="M132" s="123">
        <f>SUM(BY$20:BY$36)+SUM(CA$20:CA$36)+SUM(CC$20:CC$36)+SUM(CE$20:CE$36)</f>
        <v>396542.39999999997</v>
      </c>
      <c r="N132" s="123">
        <f>SUM(CG$20:CG$36)+SUM(CI$20:CI$36)+SUM(CK$20:CK$36)+SUM(CM$20:CM$36)</f>
        <v>563216.4</v>
      </c>
      <c r="O132" s="123">
        <f>SUM(CO$20:CO$36)+SUM(CQ$20:CQ$36)+SUM(CS$20:CS$36)+SUM(CU$20:CU$36)</f>
        <v>514649.99999999988</v>
      </c>
    </row>
    <row r="133" spans="2:15" x14ac:dyDescent="0.2">
      <c r="C133" s="122" t="s">
        <v>128</v>
      </c>
      <c r="D133" s="123">
        <f>SUM(E$37:E$48)+SUM(G$37:G$48)+SUM(I$37:I$48)+SUM(K$37:K$48)</f>
        <v>722108.2303535539</v>
      </c>
      <c r="E133" s="123">
        <f>SUM(M$37:M$48)+SUM(O$37:O$48)+SUM(Q$37:Q$48)+SUM(S$37:S$48)</f>
        <v>854164.79999999993</v>
      </c>
      <c r="F133" s="123">
        <f>SUM(U$37:U$48)+SUM(W$37:W$48)+SUM(Y$37:Y$48)+SUM(AA$37:AA$48)</f>
        <v>823564.79999999981</v>
      </c>
      <c r="G133" s="123">
        <f>SUM(AC$37:AC$48)+SUM(AE$37:AE$48)+SUM(AG$37:AG$48)+SUM(AI$37:AI$48)</f>
        <v>748666.79999999993</v>
      </c>
      <c r="H133" s="123">
        <f>SUM(AK$37:AK$48)+SUM(AM$37:AM$48)+SUM(AO$37:AO$48)+SUM(AQ$37:AQ$48)</f>
        <v>863768.39999999991</v>
      </c>
      <c r="I133" s="123">
        <f>SUM(AS$37:AS$48)+SUM(AU$37:AU$48)+SUM(AW$37:AW$48)+SUM(AY$37:AY$48)</f>
        <v>751322.39999999991</v>
      </c>
      <c r="J133" s="123">
        <f>SUM(BA$37:BA$48)+SUM(BC$37:BC$48)+SUM(BE$37:BE$48)+SUM(BG$37:BG$48)</f>
        <v>703290.00000000012</v>
      </c>
      <c r="K133" s="123">
        <f>SUM(BI$37:BI$48)+SUM(BK$37:BK$48)+SUM(BM$37:BM$48)+SUM(BO$37:BO$48)</f>
        <v>637220.4</v>
      </c>
      <c r="L133" s="123">
        <f>SUM(BQ$37:BQ$48)+SUM(BS$37:BS$48)+SUM(BU$37:BU$48)+SUM(BW$37:BW$48)</f>
        <v>747956.4</v>
      </c>
      <c r="M133" s="123">
        <f>SUM(BY$37:BY$48)+SUM(CA$37:CA$48)+SUM(CC$37:CC$48)+SUM(CE$37:CE$48)</f>
        <v>865275.6</v>
      </c>
      <c r="N133" s="123">
        <f>SUM(CG$37:CG$48)+SUM(CI$37:CI$48)+SUM(CK$37:CK$48)+SUM(CM$37:CM$48)</f>
        <v>796225.20000000019</v>
      </c>
      <c r="O133" s="123">
        <f>SUM(CO$37:CO$48)+SUM(CQ$37:CQ$48)+SUM(CS$37:CS$48)+SUM(CU$37:CU$48)</f>
        <v>871083.6</v>
      </c>
    </row>
    <row r="134" spans="2:15" x14ac:dyDescent="0.2">
      <c r="C134" s="122" t="s">
        <v>129</v>
      </c>
      <c r="D134" s="123">
        <f>SUM(E$49:E$70)+SUM(G$49:G$70)+SUM(I$49:I$70)+SUM(K$49:K$70)</f>
        <v>709532.03533185786</v>
      </c>
      <c r="E134" s="123">
        <f>SUM(M$49:M$70)+SUM(O$49:O$70)+SUM(Q$49:Q$70)+SUM(S$49:S$70)</f>
        <v>706146.22904249572</v>
      </c>
      <c r="F134" s="123">
        <f>SUM(U$49:U$70)+SUM(W$49:W$70)+SUM(Y$49:Y$70)+SUM(AA$49:AA$70)</f>
        <v>717712.8851985496</v>
      </c>
      <c r="G134" s="123">
        <f>SUM(AC$49:AC$70)+SUM(AE$49:AE$70)+SUM(AG$49:AG$70)+SUM(AI$49:AI$70)</f>
        <v>716529.57467359852</v>
      </c>
      <c r="H134" s="123">
        <f>SUM(AK$49:AK$70)+SUM(AM$49:AM$70)+SUM(AO$49:AO$70)+SUM(AQ$49:AQ$70)</f>
        <v>716042.91428088606</v>
      </c>
      <c r="I134" s="123">
        <f>SUM(AS$49:AS$70)+SUM(AU$49:AU$70)+SUM(AW$49:AW$70)+SUM(AY$49:AY$70)</f>
        <v>829863.04863522702</v>
      </c>
      <c r="J134" s="123">
        <f>SUM(BA$49:BA$70)+SUM(BC$49:BC$70)+SUM(BE$49:BE$70)+SUM(BG$49:BG$70)</f>
        <v>899643.75127225649</v>
      </c>
      <c r="K134" s="123">
        <f>SUM(BI$49:BI$70)+SUM(BK$49:BK$70)+SUM(BM$49:BM$70)+SUM(BO$49:BO$70)</f>
        <v>869605.08222811227</v>
      </c>
      <c r="L134" s="123">
        <f>SUM(BQ$49:BQ$70)+SUM(BS$49:BS$70)+SUM(BU$49:BU$70)+SUM(BW$49:BW$70)</f>
        <v>745870.99693754991</v>
      </c>
      <c r="M134" s="123">
        <f>SUM(BY$49:BY$70)+SUM(CA$49:CA$70)+SUM(CC$49:CC$70)+SUM(CE$49:CE$70)</f>
        <v>724166.86167725455</v>
      </c>
      <c r="N134" s="123">
        <f>SUM(CG$49:CG$70)+SUM(CI$49:CI$70)+SUM(CK$49:CK$70)+SUM(CM$49:CM$70)</f>
        <v>914989.47764202137</v>
      </c>
      <c r="O134" s="123">
        <f>SUM(CO$49:CO$70)+SUM(CQ$49:CQ$70)+SUM(CS$49:CS$70)+SUM(CU$49:CU$70)</f>
        <v>927540.56404401863</v>
      </c>
    </row>
    <row r="135" spans="2:15" x14ac:dyDescent="0.2">
      <c r="C135" s="122" t="s">
        <v>130</v>
      </c>
      <c r="D135" s="123">
        <f>SUM(E$71:E$86)+SUM(G$71:G$86)+SUM(I$71:I$86)+SUM(K$71:K$86)</f>
        <v>474207.59999999992</v>
      </c>
      <c r="E135" s="123">
        <f>SUM(M$71:M$86)+SUM(O$71:O$86)+SUM(Q$71:Q$86)+SUM(S$71:S$86)</f>
        <v>507036.72998419357</v>
      </c>
      <c r="F135" s="123">
        <f>SUM(U$71:U$86)+SUM(W$71:W$86)+SUM(Y$71:Y$86)+SUM(AA$71:AA$86)</f>
        <v>482846.55208217382</v>
      </c>
      <c r="G135" s="123">
        <f>SUM(AC$71:AC$86)+SUM(AE$71:AE$86)+SUM(AG$71:AG$86)+SUM(AI$71:AI$86)</f>
        <v>453425.71908492129</v>
      </c>
      <c r="H135" s="123">
        <f>SUM(AK$71:AK$86)+SUM(AM$71:AM$86)+SUM(AO$71:AO$86)+SUM(AQ$71:AQ$86)</f>
        <v>498007.44147379103</v>
      </c>
      <c r="I135" s="123">
        <f>SUM(AS$71:AS$86)+SUM(AU$71:AU$86)+SUM(AW$71:AW$86)+SUM(AY$71:AY$86)</f>
        <v>460054.42240842571</v>
      </c>
      <c r="J135" s="123">
        <f>SUM(BA$71:BA$86)+SUM(BC$71:BC$86)+SUM(BE$71:BE$86)+SUM(BG$71:BG$86)</f>
        <v>468591.02596032363</v>
      </c>
      <c r="K135" s="123">
        <f>SUM(BI$71:BI$86)+SUM(BK$71:BK$86)+SUM(BM$71:BM$86)+SUM(BO$71:BO$86)</f>
        <v>431428.56248222233</v>
      </c>
      <c r="L135" s="123">
        <f>SUM(BQ$71:BQ$86)+SUM(BS$71:BS$86)+SUM(BU$71:BU$86)+SUM(BW$71:BW$86)</f>
        <v>472002.65652609966</v>
      </c>
      <c r="M135" s="123">
        <f>SUM(BY$71:BY$86)+SUM(CA$71:CA$86)+SUM(CC$71:CC$86)+SUM(CE$71:CE$86)</f>
        <v>555104.32888893783</v>
      </c>
      <c r="N135" s="123">
        <f>SUM(CG$71:CG$86)+SUM(CI$71:CI$86)+SUM(CK$71:CK$86)+SUM(CM$71:CM$86)</f>
        <v>428940.64964395209</v>
      </c>
      <c r="O135" s="123">
        <f>SUM(CO$71:CO$86)+SUM(CQ$71:CQ$86)+SUM(CS$71:CS$86)+SUM(CU$71:CU$86)</f>
        <v>467081.73544114392</v>
      </c>
    </row>
    <row r="136" spans="2:15" x14ac:dyDescent="0.2">
      <c r="C136" s="122" t="s">
        <v>131</v>
      </c>
      <c r="D136" s="123">
        <f>SUM(E$87:E$94)+SUM(G$87:G$94)+SUM(I$87:I$94)+SUM(K$87:K$94)</f>
        <v>737780.39999999991</v>
      </c>
      <c r="E136" s="123">
        <f>SUM(M$87:M$94)+SUM(O$87:O$94)+SUM(Q$87:Q$94)+SUM(S$87:S$94)</f>
        <v>758155.44408786925</v>
      </c>
      <c r="F136" s="123">
        <f>SUM(U$87:U$94)+SUM(W$87:W$94)+SUM(Y$87:Y$94)+SUM(AA$87:AA$94)</f>
        <v>924922.58573755214</v>
      </c>
      <c r="G136" s="123">
        <f>SUM(AC$87:AC$94)+SUM(AE$87:AE$94)+SUM(AG$87:AG$94)+SUM(AI$87:AI$94)</f>
        <v>785737.13259440789</v>
      </c>
      <c r="H136" s="123">
        <f>SUM(AK$87:AK$94)+SUM(AM$87:AM$94)+SUM(AO$87:AO$94)+SUM(AQ$87:AQ$94)</f>
        <v>848594.1013000221</v>
      </c>
      <c r="I136" s="123">
        <f>SUM(AS$87:AS$94)+SUM(AU$87:AU$94)+SUM(AW$87:AW$94)+SUM(AY$87:AY$94)</f>
        <v>975064.39617939212</v>
      </c>
      <c r="J136" s="123">
        <f>SUM(BA$87:BA$94)+SUM(BC$87:BC$94)+SUM(BE$87:BE$94)+SUM(BG$87:BG$94)</f>
        <v>785195.94805215136</v>
      </c>
      <c r="K136" s="123">
        <f>SUM(BI$87:BI$94)+SUM(BK$87:BK$94)+SUM(BM$87:BM$94)+SUM(BO$87:BO$94)</f>
        <v>979418.33057383122</v>
      </c>
      <c r="L136" s="123">
        <f>SUM(BQ$87:BQ$94)+SUM(BS$87:BS$94)+SUM(BU$87:BU$94)+SUM(BW$87:BW$94)</f>
        <v>939355.83655555255</v>
      </c>
      <c r="M136" s="123">
        <f>SUM(BY$87:BY$94)+SUM(CA$87:CA$94)+SUM(CC$87:CC$94)+SUM(CE$87:CE$94)</f>
        <v>899674.40907481383</v>
      </c>
      <c r="N136" s="123">
        <f>SUM(CG$87:CG$94)+SUM(CI$87:CI$94)+SUM(CK$87:CK$94)+SUM(CM$87:CM$94)</f>
        <v>799808.79481455928</v>
      </c>
      <c r="O136" s="123">
        <f>SUM(CO$87:CO$94)+SUM(CQ$87:CQ$94)+SUM(CS$87:CS$94)+SUM(CU$87:CU$94)</f>
        <v>1047402.0226672381</v>
      </c>
    </row>
    <row r="137" spans="2:15" x14ac:dyDescent="0.2">
      <c r="C137" s="122" t="s">
        <v>132</v>
      </c>
      <c r="D137" s="123">
        <f>SUM(E$95:E$105)+SUM(G$95:G$105)+SUM(I$95:I$105)+SUM(K$95:K$105)</f>
        <v>1136840.3999999999</v>
      </c>
      <c r="E137" s="123">
        <f>SUM(M$95:M$105)+SUM(O$95:O$105)+SUM(Q$95:Q$105)+SUM(S$95:S$105)</f>
        <v>1250088.6806871938</v>
      </c>
      <c r="F137" s="123">
        <f>SUM(U$95:U$105)+SUM(W$95:W$105)+SUM(Y$95:Y$105)+SUM(AA$95:AA$105)</f>
        <v>1224016.5772347469</v>
      </c>
      <c r="G137" s="123">
        <f>SUM(AC$95:AC$105)+SUM(AE$95:AE$105)+SUM(AG$95:AG$105)+SUM(AI$95:AI$105)</f>
        <v>1345696.4446523148</v>
      </c>
      <c r="H137" s="123">
        <f>SUM(AK$95:AK$105)+SUM(AM$95:AM$105)+SUM(AO$95:AO$105)+SUM(AQ$95:AQ$105)</f>
        <v>1068528.327890527</v>
      </c>
      <c r="I137" s="123">
        <f>SUM(AS$95:AS$105)+SUM(AU$95:AU$105)+SUM(AW$95:AW$105)+SUM(AY$95:AY$105)</f>
        <v>1267876.9730022959</v>
      </c>
      <c r="J137" s="123">
        <f>SUM(BA$95:BA$105)+SUM(BC$95:BC$105)+SUM(BE$95:BE$105)+SUM(BG$95:BG$105)</f>
        <v>1138909.6297173928</v>
      </c>
      <c r="K137" s="123">
        <f>SUM(BI$95:BI$105)+SUM(BK$95:BK$105)+SUM(BM$95:BM$105)+SUM(BO$95:BO$105)</f>
        <v>1389817.0353565132</v>
      </c>
      <c r="L137" s="123">
        <f>SUM(BQ$95:BQ$105)+SUM(BS$95:BS$105)+SUM(BU$95:BU$105)+SUM(BW$95:BW$105)</f>
        <v>1137279.0490711061</v>
      </c>
      <c r="M137" s="123">
        <f>SUM(BY$95:BY$105)+SUM(CA$95:CA$105)+SUM(CC$95:CC$105)+SUM(CE$95:CE$105)</f>
        <v>1257857.6018868862</v>
      </c>
      <c r="N137" s="123">
        <f>SUM(CG$95:CG$105)+SUM(CI$95:CI$105)+SUM(CK$95:CK$105)+SUM(CM$95:CM$105)</f>
        <v>1273468.5620196238</v>
      </c>
      <c r="O137" s="123">
        <f>SUM(CO$95:CO$105)+SUM(CQ$95:CQ$105)+SUM(CS$95:CS$105)+SUM(CU$95:CU$105)</f>
        <v>1156678.6404443895</v>
      </c>
    </row>
    <row r="138" spans="2:15" x14ac:dyDescent="0.2">
      <c r="C138" s="122" t="s">
        <v>278</v>
      </c>
      <c r="D138">
        <f t="shared" ref="D138:O138" si="2">SUM(D$131:D$137)</f>
        <v>4477754.0239520185</v>
      </c>
      <c r="E138">
        <f t="shared" si="2"/>
        <v>4836563.4838017523</v>
      </c>
      <c r="F138">
        <f t="shared" si="2"/>
        <v>4887113.8002530225</v>
      </c>
      <c r="G138">
        <f t="shared" si="2"/>
        <v>4773506.8710052427</v>
      </c>
      <c r="H138">
        <f t="shared" si="2"/>
        <v>4722222.7849452253</v>
      </c>
      <c r="I138">
        <f t="shared" si="2"/>
        <v>4934499.6402253406</v>
      </c>
      <c r="J138">
        <f t="shared" si="2"/>
        <v>4728802.7550021242</v>
      </c>
      <c r="K138">
        <f t="shared" si="2"/>
        <v>5062110.6106406795</v>
      </c>
      <c r="L138">
        <f t="shared" si="2"/>
        <v>4829526.9390903087</v>
      </c>
      <c r="M138">
        <f t="shared" si="2"/>
        <v>4923040.4015278928</v>
      </c>
      <c r="N138">
        <f t="shared" si="2"/>
        <v>5073545.884120157</v>
      </c>
      <c r="O138">
        <f t="shared" si="2"/>
        <v>5267731.3625967903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sheetData>
    <row r="1" spans="1:99" x14ac:dyDescent="0.2">
      <c r="A1" s="119"/>
    </row>
    <row r="2" spans="1:99" x14ac:dyDescent="0.2">
      <c r="B2" s="1" t="s">
        <v>272</v>
      </c>
    </row>
    <row r="3" spans="1:99" x14ac:dyDescent="0.2">
      <c r="B3" s="120" t="s">
        <v>273</v>
      </c>
    </row>
    <row r="4" spans="1:99" x14ac:dyDescent="0.2">
      <c r="A4" s="119"/>
      <c r="B4" s="119"/>
      <c r="C4" s="118" t="s">
        <v>274</v>
      </c>
      <c r="D4" s="118" t="s">
        <v>92</v>
      </c>
      <c r="E4" s="119"/>
      <c r="F4" s="119"/>
      <c r="G4" s="119"/>
      <c r="H4" s="119"/>
      <c r="I4" s="119"/>
      <c r="J4" s="119"/>
      <c r="K4" s="119"/>
      <c r="L4" s="118" t="s">
        <v>93</v>
      </c>
      <c r="M4" s="119"/>
      <c r="N4" s="119"/>
      <c r="O4" s="119"/>
      <c r="P4" s="119"/>
      <c r="Q4" s="119"/>
      <c r="R4" s="119"/>
      <c r="S4" s="119"/>
      <c r="T4" s="118" t="s">
        <v>94</v>
      </c>
      <c r="U4" s="119"/>
      <c r="V4" s="119"/>
      <c r="W4" s="119"/>
      <c r="X4" s="119"/>
      <c r="Y4" s="119"/>
      <c r="Z4" s="119"/>
      <c r="AA4" s="119"/>
      <c r="AB4" s="118" t="s">
        <v>95</v>
      </c>
      <c r="AC4" s="119"/>
      <c r="AD4" s="119"/>
      <c r="AE4" s="119"/>
      <c r="AF4" s="119"/>
      <c r="AG4" s="119"/>
      <c r="AH4" s="119"/>
      <c r="AI4" s="119"/>
      <c r="AJ4" s="118" t="s">
        <v>96</v>
      </c>
      <c r="AK4" s="119"/>
      <c r="AL4" s="119"/>
      <c r="AM4" s="119"/>
      <c r="AN4" s="119"/>
      <c r="AO4" s="119"/>
      <c r="AP4" s="119"/>
      <c r="AQ4" s="119"/>
      <c r="AR4" s="118" t="s">
        <v>97</v>
      </c>
      <c r="AS4" s="119"/>
      <c r="AT4" s="119"/>
      <c r="AU4" s="119"/>
      <c r="AV4" s="119"/>
      <c r="AW4" s="119"/>
      <c r="AX4" s="119"/>
      <c r="AY4" s="119"/>
      <c r="AZ4" s="118" t="s">
        <v>98</v>
      </c>
      <c r="BA4" s="119"/>
      <c r="BB4" s="119"/>
      <c r="BC4" s="119"/>
      <c r="BD4" s="119"/>
      <c r="BE4" s="119"/>
      <c r="BF4" s="119"/>
      <c r="BG4" s="119"/>
      <c r="BH4" s="118" t="s">
        <v>99</v>
      </c>
      <c r="BI4" s="119"/>
      <c r="BJ4" s="119"/>
      <c r="BK4" s="119"/>
      <c r="BL4" s="119"/>
      <c r="BM4" s="119"/>
      <c r="BN4" s="119"/>
      <c r="BO4" s="119"/>
      <c r="BP4" s="118" t="s">
        <v>100</v>
      </c>
      <c r="BQ4" s="119"/>
      <c r="BR4" s="119"/>
      <c r="BS4" s="119"/>
      <c r="BT4" s="119"/>
      <c r="BU4" s="119"/>
      <c r="BV4" s="119"/>
      <c r="BW4" s="119"/>
      <c r="BX4" s="118" t="s">
        <v>101</v>
      </c>
      <c r="BY4" s="119"/>
      <c r="BZ4" s="119"/>
      <c r="CA4" s="119"/>
      <c r="CB4" s="119"/>
      <c r="CC4" s="119"/>
      <c r="CD4" s="119"/>
      <c r="CE4" s="119"/>
      <c r="CF4" s="118" t="s">
        <v>102</v>
      </c>
      <c r="CG4" s="119"/>
      <c r="CH4" s="119"/>
      <c r="CI4" s="119"/>
      <c r="CJ4" s="119"/>
      <c r="CK4" s="119"/>
      <c r="CL4" s="119"/>
      <c r="CM4" s="119"/>
      <c r="CN4" s="118" t="s">
        <v>103</v>
      </c>
      <c r="CO4" s="119"/>
      <c r="CP4" s="119"/>
      <c r="CQ4" s="119"/>
      <c r="CR4" s="119"/>
      <c r="CS4" s="119"/>
      <c r="CT4" s="119"/>
      <c r="CU4" s="119"/>
    </row>
    <row r="5" spans="1:99" x14ac:dyDescent="0.2">
      <c r="B5" s="118" t="s">
        <v>167</v>
      </c>
      <c r="C5" s="118" t="s">
        <v>275</v>
      </c>
      <c r="D5" s="118">
        <v>1</v>
      </c>
      <c r="E5" s="118"/>
      <c r="F5" s="118">
        <v>2</v>
      </c>
      <c r="G5" s="118"/>
      <c r="H5" s="118">
        <v>3</v>
      </c>
      <c r="I5" s="118"/>
      <c r="J5" s="118">
        <v>4</v>
      </c>
      <c r="K5" s="118"/>
      <c r="L5" s="118">
        <v>1</v>
      </c>
      <c r="M5" s="118"/>
      <c r="N5" s="118">
        <v>2</v>
      </c>
      <c r="O5" s="118"/>
      <c r="P5" s="118">
        <v>3</v>
      </c>
      <c r="Q5" s="118"/>
      <c r="R5" s="118">
        <v>4</v>
      </c>
      <c r="S5" s="118"/>
      <c r="T5" s="118">
        <v>1</v>
      </c>
      <c r="U5" s="118"/>
      <c r="V5" s="118">
        <v>2</v>
      </c>
      <c r="W5" s="118"/>
      <c r="X5" s="118">
        <v>3</v>
      </c>
      <c r="Y5" s="118"/>
      <c r="Z5" s="118">
        <v>4</v>
      </c>
      <c r="AA5" s="118"/>
      <c r="AB5" s="118">
        <v>1</v>
      </c>
      <c r="AC5" s="118"/>
      <c r="AD5" s="118">
        <v>2</v>
      </c>
      <c r="AE5" s="118"/>
      <c r="AF5" s="118">
        <v>3</v>
      </c>
      <c r="AG5" s="118"/>
      <c r="AH5" s="118">
        <v>4</v>
      </c>
      <c r="AI5" s="118"/>
      <c r="AJ5" s="118">
        <v>1</v>
      </c>
      <c r="AK5" s="118"/>
      <c r="AL5" s="118">
        <v>2</v>
      </c>
      <c r="AM5" s="118"/>
      <c r="AN5" s="118">
        <v>3</v>
      </c>
      <c r="AO5" s="118"/>
      <c r="AP5" s="118">
        <v>4</v>
      </c>
      <c r="AQ5" s="118"/>
      <c r="AR5" s="118">
        <v>1</v>
      </c>
      <c r="AS5" s="118"/>
      <c r="AT5" s="118">
        <v>2</v>
      </c>
      <c r="AU5" s="118"/>
      <c r="AV5" s="118">
        <v>3</v>
      </c>
      <c r="AW5" s="118"/>
      <c r="AX5" s="118">
        <v>4</v>
      </c>
      <c r="AY5" s="118"/>
      <c r="AZ5" s="118">
        <v>1</v>
      </c>
      <c r="BA5" s="118"/>
      <c r="BB5" s="118">
        <v>2</v>
      </c>
      <c r="BC5" s="118"/>
      <c r="BD5" s="118">
        <v>3</v>
      </c>
      <c r="BE5" s="118"/>
      <c r="BF5" s="118">
        <v>4</v>
      </c>
      <c r="BG5" s="118"/>
      <c r="BH5" s="118">
        <v>1</v>
      </c>
      <c r="BI5" s="118"/>
      <c r="BJ5" s="118">
        <v>2</v>
      </c>
      <c r="BK5" s="118"/>
      <c r="BL5" s="118">
        <v>3</v>
      </c>
      <c r="BM5" s="118"/>
      <c r="BN5" s="118">
        <v>4</v>
      </c>
      <c r="BO5" s="118"/>
      <c r="BP5" s="118">
        <v>1</v>
      </c>
      <c r="BQ5" s="118"/>
      <c r="BR5" s="118">
        <v>2</v>
      </c>
      <c r="BS5" s="118"/>
      <c r="BT5" s="118">
        <v>3</v>
      </c>
      <c r="BU5" s="118"/>
      <c r="BV5" s="118">
        <v>4</v>
      </c>
      <c r="BW5" s="118"/>
      <c r="BX5" s="118">
        <v>1</v>
      </c>
      <c r="BY5" s="118"/>
      <c r="BZ5" s="118">
        <v>2</v>
      </c>
      <c r="CA5" s="118"/>
      <c r="CB5" s="118">
        <v>3</v>
      </c>
      <c r="CC5" s="118"/>
      <c r="CD5" s="118">
        <v>4</v>
      </c>
      <c r="CE5" s="118"/>
      <c r="CF5" s="118">
        <v>1</v>
      </c>
      <c r="CG5" s="118"/>
      <c r="CH5" s="118">
        <v>2</v>
      </c>
      <c r="CI5" s="118"/>
      <c r="CJ5" s="118">
        <v>3</v>
      </c>
      <c r="CK5" s="118"/>
      <c r="CL5" s="118">
        <v>4</v>
      </c>
      <c r="CM5" s="118"/>
      <c r="CN5" s="118">
        <v>1</v>
      </c>
      <c r="CO5" s="118"/>
      <c r="CP5" s="118">
        <v>2</v>
      </c>
      <c r="CQ5" s="118"/>
      <c r="CR5" s="118">
        <v>3</v>
      </c>
      <c r="CS5" s="118"/>
      <c r="CT5" s="118">
        <v>4</v>
      </c>
      <c r="CU5" s="118"/>
    </row>
    <row r="6" spans="1:99" x14ac:dyDescent="0.2">
      <c r="B6" s="118" t="s">
        <v>126</v>
      </c>
      <c r="C6" s="118" t="s">
        <v>172</v>
      </c>
      <c r="D6">
        <v>20</v>
      </c>
      <c r="E6">
        <v>11568</v>
      </c>
      <c r="F6">
        <v>18.431369152992158</v>
      </c>
      <c r="G6">
        <v>10660.703918090663</v>
      </c>
      <c r="H6">
        <v>19</v>
      </c>
      <c r="I6">
        <v>10989.6</v>
      </c>
      <c r="J6">
        <v>24.346067426782465</v>
      </c>
      <c r="K6">
        <v>14081.765399650978</v>
      </c>
      <c r="L6">
        <v>20</v>
      </c>
      <c r="M6">
        <v>11568</v>
      </c>
      <c r="N6">
        <v>19</v>
      </c>
      <c r="O6">
        <v>10989.6</v>
      </c>
      <c r="P6">
        <v>23</v>
      </c>
      <c r="Q6">
        <v>13303.199999999999</v>
      </c>
      <c r="R6">
        <v>25</v>
      </c>
      <c r="S6">
        <v>14460</v>
      </c>
      <c r="T6">
        <v>14</v>
      </c>
      <c r="U6">
        <v>8097.5999999999995</v>
      </c>
      <c r="V6">
        <v>25</v>
      </c>
      <c r="W6">
        <v>14460</v>
      </c>
      <c r="X6">
        <v>23</v>
      </c>
      <c r="Y6">
        <v>13303.199999999999</v>
      </c>
      <c r="Z6">
        <v>22</v>
      </c>
      <c r="AA6">
        <v>12724.8</v>
      </c>
      <c r="AB6">
        <v>20</v>
      </c>
      <c r="AC6">
        <v>11568</v>
      </c>
      <c r="AD6">
        <v>19</v>
      </c>
      <c r="AE6">
        <v>10989.6</v>
      </c>
      <c r="AF6">
        <v>21</v>
      </c>
      <c r="AG6">
        <v>12146.4</v>
      </c>
      <c r="AH6">
        <v>30</v>
      </c>
      <c r="AI6">
        <v>17352</v>
      </c>
      <c r="AJ6">
        <v>19</v>
      </c>
      <c r="AK6">
        <v>10989.6</v>
      </c>
      <c r="AL6">
        <v>19</v>
      </c>
      <c r="AM6">
        <v>10989.6</v>
      </c>
      <c r="AN6">
        <v>24</v>
      </c>
      <c r="AO6">
        <v>13881.599999999999</v>
      </c>
      <c r="AP6">
        <v>20</v>
      </c>
      <c r="AQ6">
        <v>11568</v>
      </c>
      <c r="AR6">
        <v>23</v>
      </c>
      <c r="AS6">
        <v>13303.199999999999</v>
      </c>
      <c r="AT6">
        <v>20</v>
      </c>
      <c r="AU6">
        <v>11568</v>
      </c>
      <c r="AV6">
        <v>24</v>
      </c>
      <c r="AW6">
        <v>13881.599999999999</v>
      </c>
      <c r="AX6">
        <v>21</v>
      </c>
      <c r="AY6">
        <v>12146.4</v>
      </c>
      <c r="AZ6">
        <v>22</v>
      </c>
      <c r="BA6">
        <v>12724.8</v>
      </c>
      <c r="BB6">
        <v>23</v>
      </c>
      <c r="BC6">
        <v>13303.199999999999</v>
      </c>
      <c r="BD6">
        <v>28</v>
      </c>
      <c r="BE6">
        <v>16195.199999999999</v>
      </c>
      <c r="BF6">
        <v>30</v>
      </c>
      <c r="BG6">
        <v>17352</v>
      </c>
      <c r="BH6">
        <v>26</v>
      </c>
      <c r="BI6">
        <v>15038.4</v>
      </c>
      <c r="BJ6">
        <v>18</v>
      </c>
      <c r="BK6">
        <v>10411.199999999999</v>
      </c>
      <c r="BL6">
        <v>30</v>
      </c>
      <c r="BM6">
        <v>17352</v>
      </c>
      <c r="BN6">
        <v>29</v>
      </c>
      <c r="BO6">
        <v>16773.599999999999</v>
      </c>
      <c r="BP6">
        <v>24</v>
      </c>
      <c r="BQ6">
        <v>13881.599999999999</v>
      </c>
      <c r="BR6">
        <v>19</v>
      </c>
      <c r="BS6">
        <v>10989.6</v>
      </c>
      <c r="BT6">
        <v>24</v>
      </c>
      <c r="BU6">
        <v>13881.599999999999</v>
      </c>
      <c r="BV6">
        <v>19</v>
      </c>
      <c r="BW6">
        <v>10989.6</v>
      </c>
      <c r="BX6">
        <v>17</v>
      </c>
      <c r="BY6">
        <v>9832.7999999999993</v>
      </c>
      <c r="BZ6">
        <v>24</v>
      </c>
      <c r="CA6">
        <v>13881.599999999999</v>
      </c>
      <c r="CB6">
        <v>25</v>
      </c>
      <c r="CC6">
        <v>14460</v>
      </c>
      <c r="CD6">
        <v>22</v>
      </c>
      <c r="CE6">
        <v>12724.8</v>
      </c>
      <c r="CF6">
        <v>29</v>
      </c>
      <c r="CG6">
        <v>16773.599999999999</v>
      </c>
      <c r="CH6">
        <v>26</v>
      </c>
      <c r="CI6">
        <v>15038.4</v>
      </c>
      <c r="CJ6">
        <v>24</v>
      </c>
      <c r="CK6">
        <v>13881.599999999999</v>
      </c>
      <c r="CL6">
        <v>23</v>
      </c>
      <c r="CM6">
        <v>13303.199999999999</v>
      </c>
      <c r="CN6">
        <v>19</v>
      </c>
      <c r="CO6">
        <v>10989.6</v>
      </c>
      <c r="CP6">
        <v>18</v>
      </c>
      <c r="CQ6">
        <v>10411.199999999999</v>
      </c>
      <c r="CR6">
        <v>23</v>
      </c>
      <c r="CS6">
        <v>13303.199999999999</v>
      </c>
      <c r="CT6">
        <v>23</v>
      </c>
      <c r="CU6">
        <v>13303.199999999999</v>
      </c>
    </row>
    <row r="7" spans="1:99" x14ac:dyDescent="0.2">
      <c r="C7" s="118" t="s">
        <v>173</v>
      </c>
      <c r="D7">
        <v>16</v>
      </c>
      <c r="E7">
        <v>12614.4</v>
      </c>
      <c r="F7">
        <v>18.383439247104143</v>
      </c>
      <c r="G7">
        <v>14493.503502416906</v>
      </c>
      <c r="H7">
        <v>21</v>
      </c>
      <c r="I7">
        <v>16556.399999999998</v>
      </c>
      <c r="J7">
        <v>21.346067426782465</v>
      </c>
      <c r="K7">
        <v>16829.239559275295</v>
      </c>
      <c r="L7">
        <v>20</v>
      </c>
      <c r="M7">
        <v>15768</v>
      </c>
      <c r="N7">
        <v>20</v>
      </c>
      <c r="O7">
        <v>15768</v>
      </c>
      <c r="P7">
        <v>21</v>
      </c>
      <c r="Q7">
        <v>16556.399999999998</v>
      </c>
      <c r="R7">
        <v>24</v>
      </c>
      <c r="S7">
        <v>18921.599999999999</v>
      </c>
      <c r="T7">
        <v>16</v>
      </c>
      <c r="U7">
        <v>12614.4</v>
      </c>
      <c r="V7">
        <v>22</v>
      </c>
      <c r="W7">
        <v>17344.8</v>
      </c>
      <c r="X7">
        <v>22</v>
      </c>
      <c r="Y7">
        <v>17344.8</v>
      </c>
      <c r="Z7">
        <v>24</v>
      </c>
      <c r="AA7">
        <v>18921.599999999999</v>
      </c>
      <c r="AB7">
        <v>23</v>
      </c>
      <c r="AC7">
        <v>18133.2</v>
      </c>
      <c r="AD7">
        <v>17</v>
      </c>
      <c r="AE7">
        <v>13402.8</v>
      </c>
      <c r="AF7">
        <v>20</v>
      </c>
      <c r="AG7">
        <v>15768</v>
      </c>
      <c r="AH7">
        <v>30</v>
      </c>
      <c r="AI7">
        <v>23652</v>
      </c>
      <c r="AJ7">
        <v>20</v>
      </c>
      <c r="AK7">
        <v>15768</v>
      </c>
      <c r="AL7">
        <v>17</v>
      </c>
      <c r="AM7">
        <v>13402.8</v>
      </c>
      <c r="AN7">
        <v>26</v>
      </c>
      <c r="AO7">
        <v>20498.399999999998</v>
      </c>
      <c r="AP7">
        <v>19</v>
      </c>
      <c r="AQ7">
        <v>14979.6</v>
      </c>
      <c r="AR7">
        <v>26</v>
      </c>
      <c r="AS7">
        <v>20498.399999999998</v>
      </c>
      <c r="AT7">
        <v>20</v>
      </c>
      <c r="AU7">
        <v>15768</v>
      </c>
      <c r="AV7">
        <v>23</v>
      </c>
      <c r="AW7">
        <v>18133.2</v>
      </c>
      <c r="AX7">
        <v>22</v>
      </c>
      <c r="AY7">
        <v>17344.8</v>
      </c>
      <c r="AZ7">
        <v>23</v>
      </c>
      <c r="BA7">
        <v>18133.2</v>
      </c>
      <c r="BB7">
        <v>20</v>
      </c>
      <c r="BC7">
        <v>15768</v>
      </c>
      <c r="BD7">
        <v>28</v>
      </c>
      <c r="BE7">
        <v>22075.200000000001</v>
      </c>
      <c r="BF7">
        <v>25</v>
      </c>
      <c r="BG7">
        <v>19710</v>
      </c>
      <c r="BH7">
        <v>24</v>
      </c>
      <c r="BI7">
        <v>18921.599999999999</v>
      </c>
      <c r="BJ7">
        <v>18</v>
      </c>
      <c r="BK7">
        <v>14191.199999999999</v>
      </c>
      <c r="BL7">
        <v>32</v>
      </c>
      <c r="BM7">
        <v>25228.799999999999</v>
      </c>
      <c r="BN7">
        <v>25</v>
      </c>
      <c r="BO7">
        <v>19710</v>
      </c>
      <c r="BP7">
        <v>24</v>
      </c>
      <c r="BQ7">
        <v>18921.599999999999</v>
      </c>
      <c r="BR7">
        <v>19</v>
      </c>
      <c r="BS7">
        <v>14979.6</v>
      </c>
      <c r="BT7">
        <v>26</v>
      </c>
      <c r="BU7">
        <v>20498.399999999998</v>
      </c>
      <c r="BV7">
        <v>19</v>
      </c>
      <c r="BW7">
        <v>14979.6</v>
      </c>
      <c r="BX7">
        <v>17</v>
      </c>
      <c r="BY7">
        <v>13402.8</v>
      </c>
      <c r="BZ7">
        <v>22</v>
      </c>
      <c r="CA7">
        <v>17344.8</v>
      </c>
      <c r="CB7">
        <v>25</v>
      </c>
      <c r="CC7">
        <v>19710</v>
      </c>
      <c r="CD7">
        <v>23</v>
      </c>
      <c r="CE7">
        <v>18133.2</v>
      </c>
      <c r="CF7">
        <v>25</v>
      </c>
      <c r="CG7">
        <v>19710</v>
      </c>
      <c r="CH7">
        <v>24</v>
      </c>
      <c r="CI7">
        <v>18921.599999999999</v>
      </c>
      <c r="CJ7">
        <v>25</v>
      </c>
      <c r="CK7">
        <v>19710</v>
      </c>
      <c r="CL7">
        <v>25</v>
      </c>
      <c r="CM7">
        <v>19710</v>
      </c>
      <c r="CN7">
        <v>18</v>
      </c>
      <c r="CO7">
        <v>14191.199999999999</v>
      </c>
      <c r="CP7">
        <v>18</v>
      </c>
      <c r="CQ7">
        <v>14191.199999999999</v>
      </c>
      <c r="CR7">
        <v>26</v>
      </c>
      <c r="CS7">
        <v>20498.399999999998</v>
      </c>
      <c r="CT7">
        <v>20</v>
      </c>
      <c r="CU7">
        <v>15768</v>
      </c>
    </row>
    <row r="8" spans="1:99" x14ac:dyDescent="0.2">
      <c r="C8" s="118" t="s">
        <v>174</v>
      </c>
      <c r="D8">
        <v>20</v>
      </c>
      <c r="E8">
        <v>6191.9999999999991</v>
      </c>
      <c r="F8">
        <v>22.383439247104143</v>
      </c>
      <c r="G8">
        <v>6929.9127909034414</v>
      </c>
      <c r="H8">
        <v>21</v>
      </c>
      <c r="I8">
        <v>6501.5999999999995</v>
      </c>
      <c r="J8">
        <v>24.346067426782465</v>
      </c>
      <c r="K8">
        <v>7537.5424753318503</v>
      </c>
      <c r="L8">
        <v>18</v>
      </c>
      <c r="M8">
        <v>5572.7999999999993</v>
      </c>
      <c r="N8">
        <v>24</v>
      </c>
      <c r="O8">
        <v>7430.4</v>
      </c>
      <c r="P8">
        <v>24</v>
      </c>
      <c r="Q8">
        <v>7430.4</v>
      </c>
      <c r="R8">
        <v>25</v>
      </c>
      <c r="S8">
        <v>7739.9999999999991</v>
      </c>
      <c r="T8">
        <v>14</v>
      </c>
      <c r="U8">
        <v>4334.3999999999996</v>
      </c>
      <c r="V8">
        <v>26</v>
      </c>
      <c r="W8">
        <v>8049.5999999999995</v>
      </c>
      <c r="X8">
        <v>27</v>
      </c>
      <c r="Y8">
        <v>8359.1999999999989</v>
      </c>
      <c r="Z8">
        <v>27</v>
      </c>
      <c r="AA8">
        <v>8359.1999999999989</v>
      </c>
      <c r="AB8">
        <v>24</v>
      </c>
      <c r="AC8">
        <v>7430.4</v>
      </c>
      <c r="AD8">
        <v>18</v>
      </c>
      <c r="AE8">
        <v>5572.7999999999993</v>
      </c>
      <c r="AF8">
        <v>22</v>
      </c>
      <c r="AG8">
        <v>6811.1999999999989</v>
      </c>
      <c r="AH8">
        <v>33</v>
      </c>
      <c r="AI8">
        <v>10216.799999999999</v>
      </c>
      <c r="AJ8">
        <v>21</v>
      </c>
      <c r="AK8">
        <v>6501.5999999999995</v>
      </c>
      <c r="AL8">
        <v>17</v>
      </c>
      <c r="AM8">
        <v>5263.2</v>
      </c>
      <c r="AN8">
        <v>27</v>
      </c>
      <c r="AO8">
        <v>8359.1999999999989</v>
      </c>
      <c r="AP8">
        <v>18</v>
      </c>
      <c r="AQ8">
        <v>5572.7999999999993</v>
      </c>
      <c r="AR8">
        <v>28</v>
      </c>
      <c r="AS8">
        <v>8668.7999999999993</v>
      </c>
      <c r="AT8">
        <v>19</v>
      </c>
      <c r="AU8">
        <v>5882.4</v>
      </c>
      <c r="AV8">
        <v>21</v>
      </c>
      <c r="AW8">
        <v>6501.5999999999995</v>
      </c>
      <c r="AX8">
        <v>21</v>
      </c>
      <c r="AY8">
        <v>6501.5999999999995</v>
      </c>
      <c r="AZ8">
        <v>25</v>
      </c>
      <c r="BA8">
        <v>7739.9999999999991</v>
      </c>
      <c r="BB8">
        <v>24</v>
      </c>
      <c r="BC8">
        <v>7430.4</v>
      </c>
      <c r="BD8">
        <v>33</v>
      </c>
      <c r="BE8">
        <v>10216.799999999999</v>
      </c>
      <c r="BF8">
        <v>26</v>
      </c>
      <c r="BG8">
        <v>8049.5999999999995</v>
      </c>
      <c r="BH8">
        <v>28</v>
      </c>
      <c r="BI8">
        <v>8668.7999999999993</v>
      </c>
      <c r="BJ8">
        <v>19</v>
      </c>
      <c r="BK8">
        <v>5882.4</v>
      </c>
      <c r="BL8">
        <v>30</v>
      </c>
      <c r="BM8">
        <v>9287.9999999999982</v>
      </c>
      <c r="BN8">
        <v>29</v>
      </c>
      <c r="BO8">
        <v>8978.4</v>
      </c>
      <c r="BP8">
        <v>25</v>
      </c>
      <c r="BQ8">
        <v>7739.9999999999991</v>
      </c>
      <c r="BR8">
        <v>18</v>
      </c>
      <c r="BS8">
        <v>5572.7999999999993</v>
      </c>
      <c r="BT8">
        <v>27</v>
      </c>
      <c r="BU8">
        <v>8359.1999999999989</v>
      </c>
      <c r="BV8">
        <v>20</v>
      </c>
      <c r="BW8">
        <v>6191.9999999999991</v>
      </c>
      <c r="BX8">
        <v>18</v>
      </c>
      <c r="BY8">
        <v>5572.7999999999993</v>
      </c>
      <c r="BZ8">
        <v>27</v>
      </c>
      <c r="CA8">
        <v>8359.1999999999989</v>
      </c>
      <c r="CB8">
        <v>23</v>
      </c>
      <c r="CC8">
        <v>7120.7999999999993</v>
      </c>
      <c r="CD8">
        <v>24</v>
      </c>
      <c r="CE8">
        <v>7430.4</v>
      </c>
      <c r="CF8">
        <v>30</v>
      </c>
      <c r="CG8">
        <v>9287.9999999999982</v>
      </c>
      <c r="CH8">
        <v>25</v>
      </c>
      <c r="CI8">
        <v>7739.9999999999991</v>
      </c>
      <c r="CJ8">
        <v>26</v>
      </c>
      <c r="CK8">
        <v>8049.5999999999995</v>
      </c>
      <c r="CL8">
        <v>25</v>
      </c>
      <c r="CM8">
        <v>7739.9999999999991</v>
      </c>
      <c r="CN8">
        <v>22</v>
      </c>
      <c r="CO8">
        <v>6811.1999999999989</v>
      </c>
      <c r="CP8">
        <v>21</v>
      </c>
      <c r="CQ8">
        <v>6501.5999999999995</v>
      </c>
      <c r="CR8">
        <v>27</v>
      </c>
      <c r="CS8">
        <v>8359.1999999999989</v>
      </c>
      <c r="CT8">
        <v>22</v>
      </c>
      <c r="CU8">
        <v>6811.1999999999989</v>
      </c>
    </row>
    <row r="9" spans="1:99" x14ac:dyDescent="0.2">
      <c r="C9" s="118" t="s">
        <v>175</v>
      </c>
      <c r="D9">
        <v>18</v>
      </c>
      <c r="E9">
        <v>12636</v>
      </c>
      <c r="F9">
        <v>20.383439247104143</v>
      </c>
      <c r="G9">
        <v>14309.174351467109</v>
      </c>
      <c r="H9">
        <v>21</v>
      </c>
      <c r="I9">
        <v>14742</v>
      </c>
      <c r="J9">
        <v>24.346067426782465</v>
      </c>
      <c r="K9">
        <v>17090.939333601291</v>
      </c>
      <c r="L9">
        <v>19</v>
      </c>
      <c r="M9">
        <v>13338</v>
      </c>
      <c r="N9">
        <v>20</v>
      </c>
      <c r="O9">
        <v>14040</v>
      </c>
      <c r="P9">
        <v>25</v>
      </c>
      <c r="Q9">
        <v>17550</v>
      </c>
      <c r="R9">
        <v>27</v>
      </c>
      <c r="S9">
        <v>18954</v>
      </c>
      <c r="T9">
        <v>15</v>
      </c>
      <c r="U9">
        <v>10530</v>
      </c>
      <c r="V9">
        <v>21</v>
      </c>
      <c r="W9">
        <v>14742</v>
      </c>
      <c r="X9">
        <v>22</v>
      </c>
      <c r="Y9">
        <v>15444</v>
      </c>
      <c r="Z9">
        <v>25</v>
      </c>
      <c r="AA9">
        <v>17550</v>
      </c>
      <c r="AB9">
        <v>23</v>
      </c>
      <c r="AC9">
        <v>16146</v>
      </c>
      <c r="AD9">
        <v>16</v>
      </c>
      <c r="AE9">
        <v>11232</v>
      </c>
      <c r="AF9">
        <v>21</v>
      </c>
      <c r="AG9">
        <v>14742</v>
      </c>
      <c r="AH9">
        <v>29</v>
      </c>
      <c r="AI9">
        <v>20358</v>
      </c>
      <c r="AJ9">
        <v>21</v>
      </c>
      <c r="AK9">
        <v>14742</v>
      </c>
      <c r="AL9">
        <v>16</v>
      </c>
      <c r="AM9">
        <v>11232</v>
      </c>
      <c r="AN9">
        <v>23</v>
      </c>
      <c r="AO9">
        <v>16146</v>
      </c>
      <c r="AP9">
        <v>18</v>
      </c>
      <c r="AQ9">
        <v>12636</v>
      </c>
      <c r="AR9">
        <v>25</v>
      </c>
      <c r="AS9">
        <v>17550</v>
      </c>
      <c r="AT9">
        <v>20</v>
      </c>
      <c r="AU9">
        <v>14040</v>
      </c>
      <c r="AV9">
        <v>22</v>
      </c>
      <c r="AW9">
        <v>15444</v>
      </c>
      <c r="AX9">
        <v>21</v>
      </c>
      <c r="AY9">
        <v>14742</v>
      </c>
      <c r="AZ9">
        <v>21</v>
      </c>
      <c r="BA9">
        <v>14742</v>
      </c>
      <c r="BB9">
        <v>23</v>
      </c>
      <c r="BC9">
        <v>16146</v>
      </c>
      <c r="BD9">
        <v>30</v>
      </c>
      <c r="BE9">
        <v>21060</v>
      </c>
      <c r="BF9">
        <v>30</v>
      </c>
      <c r="BG9">
        <v>21060</v>
      </c>
      <c r="BH9">
        <v>26</v>
      </c>
      <c r="BI9">
        <v>18252</v>
      </c>
      <c r="BJ9">
        <v>17</v>
      </c>
      <c r="BK9">
        <v>11934</v>
      </c>
      <c r="BL9">
        <v>32</v>
      </c>
      <c r="BM9">
        <v>22464</v>
      </c>
      <c r="BN9">
        <v>26</v>
      </c>
      <c r="BO9">
        <v>18252</v>
      </c>
      <c r="BP9">
        <v>27</v>
      </c>
      <c r="BQ9">
        <v>18954</v>
      </c>
      <c r="BR9">
        <v>18</v>
      </c>
      <c r="BS9">
        <v>12636</v>
      </c>
      <c r="BT9">
        <v>24</v>
      </c>
      <c r="BU9">
        <v>16848</v>
      </c>
      <c r="BV9">
        <v>19</v>
      </c>
      <c r="BW9">
        <v>13338</v>
      </c>
      <c r="BX9">
        <v>17</v>
      </c>
      <c r="BY9">
        <v>11934</v>
      </c>
      <c r="BZ9">
        <v>24</v>
      </c>
      <c r="CA9">
        <v>16848</v>
      </c>
      <c r="CB9">
        <v>23</v>
      </c>
      <c r="CC9">
        <v>16146</v>
      </c>
      <c r="CD9">
        <v>22</v>
      </c>
      <c r="CE9">
        <v>15444</v>
      </c>
      <c r="CF9">
        <v>31</v>
      </c>
      <c r="CG9">
        <v>21762</v>
      </c>
      <c r="CH9">
        <v>22</v>
      </c>
      <c r="CI9">
        <v>15444</v>
      </c>
      <c r="CJ9">
        <v>25</v>
      </c>
      <c r="CK9">
        <v>17550</v>
      </c>
      <c r="CL9">
        <v>25</v>
      </c>
      <c r="CM9">
        <v>17550</v>
      </c>
      <c r="CN9">
        <v>21</v>
      </c>
      <c r="CO9">
        <v>14742</v>
      </c>
      <c r="CP9">
        <v>20</v>
      </c>
      <c r="CQ9">
        <v>14040</v>
      </c>
      <c r="CR9">
        <v>27</v>
      </c>
      <c r="CS9">
        <v>18954</v>
      </c>
      <c r="CT9">
        <v>24</v>
      </c>
      <c r="CU9">
        <v>16848</v>
      </c>
    </row>
    <row r="10" spans="1:99" x14ac:dyDescent="0.2">
      <c r="C10" s="118" t="s">
        <v>176</v>
      </c>
      <c r="D10">
        <v>19</v>
      </c>
      <c r="E10">
        <v>10351.199999999999</v>
      </c>
      <c r="F10">
        <v>20.383439247104143</v>
      </c>
      <c r="G10">
        <v>11104.897701822336</v>
      </c>
      <c r="H10">
        <v>22</v>
      </c>
      <c r="I10">
        <v>11985.599999999999</v>
      </c>
      <c r="J10">
        <v>21.346067426782465</v>
      </c>
      <c r="K10">
        <v>11629.337534111086</v>
      </c>
      <c r="L10">
        <v>19</v>
      </c>
      <c r="M10">
        <v>10351.199999999999</v>
      </c>
      <c r="N10">
        <v>23</v>
      </c>
      <c r="O10">
        <v>12530.4</v>
      </c>
      <c r="P10">
        <v>24</v>
      </c>
      <c r="Q10">
        <v>13075.199999999999</v>
      </c>
      <c r="R10">
        <v>24</v>
      </c>
      <c r="S10">
        <v>13075.199999999999</v>
      </c>
      <c r="T10">
        <v>14</v>
      </c>
      <c r="U10">
        <v>7627.1999999999989</v>
      </c>
      <c r="V10">
        <v>22</v>
      </c>
      <c r="W10">
        <v>11985.599999999999</v>
      </c>
      <c r="X10">
        <v>25</v>
      </c>
      <c r="Y10">
        <v>13619.999999999998</v>
      </c>
      <c r="Z10">
        <v>25</v>
      </c>
      <c r="AA10">
        <v>13619.999999999998</v>
      </c>
      <c r="AB10">
        <v>21</v>
      </c>
      <c r="AC10">
        <v>11440.8</v>
      </c>
      <c r="AD10">
        <v>16</v>
      </c>
      <c r="AE10">
        <v>8716.7999999999993</v>
      </c>
      <c r="AF10">
        <v>23</v>
      </c>
      <c r="AG10">
        <v>12530.4</v>
      </c>
      <c r="AH10">
        <v>29</v>
      </c>
      <c r="AI10">
        <v>15799.199999999999</v>
      </c>
      <c r="AJ10">
        <v>20</v>
      </c>
      <c r="AK10">
        <v>10896</v>
      </c>
      <c r="AL10">
        <v>20</v>
      </c>
      <c r="AM10">
        <v>10896</v>
      </c>
      <c r="AN10">
        <v>25</v>
      </c>
      <c r="AO10">
        <v>13619.999999999998</v>
      </c>
      <c r="AP10">
        <v>21</v>
      </c>
      <c r="AQ10">
        <v>11440.8</v>
      </c>
      <c r="AR10">
        <v>27</v>
      </c>
      <c r="AS10">
        <v>14709.599999999999</v>
      </c>
      <c r="AT10">
        <v>18</v>
      </c>
      <c r="AU10">
        <v>9806.4</v>
      </c>
      <c r="AV10">
        <v>23</v>
      </c>
      <c r="AW10">
        <v>12530.4</v>
      </c>
      <c r="AX10">
        <v>24</v>
      </c>
      <c r="AY10">
        <v>13075.199999999999</v>
      </c>
      <c r="AZ10">
        <v>21</v>
      </c>
      <c r="BA10">
        <v>11440.8</v>
      </c>
      <c r="BB10">
        <v>22</v>
      </c>
      <c r="BC10">
        <v>11985.599999999999</v>
      </c>
      <c r="BD10">
        <v>30</v>
      </c>
      <c r="BE10">
        <v>16343.999999999998</v>
      </c>
      <c r="BF10">
        <v>28</v>
      </c>
      <c r="BG10">
        <v>15254.399999999998</v>
      </c>
      <c r="BH10">
        <v>26</v>
      </c>
      <c r="BI10">
        <v>14164.8</v>
      </c>
      <c r="BJ10">
        <v>18</v>
      </c>
      <c r="BK10">
        <v>9806.4</v>
      </c>
      <c r="BL10">
        <v>29</v>
      </c>
      <c r="BM10">
        <v>15799.199999999999</v>
      </c>
      <c r="BN10">
        <v>27</v>
      </c>
      <c r="BO10">
        <v>14709.599999999999</v>
      </c>
      <c r="BP10">
        <v>25</v>
      </c>
      <c r="BQ10">
        <v>13619.999999999998</v>
      </c>
      <c r="BR10">
        <v>18</v>
      </c>
      <c r="BS10">
        <v>9806.4</v>
      </c>
      <c r="BT10">
        <v>25</v>
      </c>
      <c r="BU10">
        <v>13619.999999999998</v>
      </c>
      <c r="BV10">
        <v>19</v>
      </c>
      <c r="BW10">
        <v>10351.199999999999</v>
      </c>
      <c r="BX10">
        <v>19</v>
      </c>
      <c r="BY10">
        <v>10351.199999999999</v>
      </c>
      <c r="BZ10">
        <v>22</v>
      </c>
      <c r="CA10">
        <v>11985.599999999999</v>
      </c>
      <c r="CB10">
        <v>25</v>
      </c>
      <c r="CC10">
        <v>13619.999999999998</v>
      </c>
      <c r="CD10">
        <v>23</v>
      </c>
      <c r="CE10">
        <v>12530.4</v>
      </c>
      <c r="CF10">
        <v>31</v>
      </c>
      <c r="CG10">
        <v>16888.8</v>
      </c>
      <c r="CH10">
        <v>26</v>
      </c>
      <c r="CI10">
        <v>14164.8</v>
      </c>
      <c r="CJ10">
        <v>22</v>
      </c>
      <c r="CK10">
        <v>11985.599999999999</v>
      </c>
      <c r="CL10">
        <v>27</v>
      </c>
      <c r="CM10">
        <v>14709.599999999999</v>
      </c>
      <c r="CN10">
        <v>19</v>
      </c>
      <c r="CO10">
        <v>10351.199999999999</v>
      </c>
      <c r="CP10">
        <v>21</v>
      </c>
      <c r="CQ10">
        <v>11440.8</v>
      </c>
      <c r="CR10">
        <v>24</v>
      </c>
      <c r="CS10">
        <v>13075.199999999999</v>
      </c>
      <c r="CT10">
        <v>24</v>
      </c>
      <c r="CU10">
        <v>13075.199999999999</v>
      </c>
    </row>
    <row r="11" spans="1:99" x14ac:dyDescent="0.2">
      <c r="C11" s="118" t="s">
        <v>177</v>
      </c>
      <c r="D11">
        <v>18</v>
      </c>
      <c r="E11">
        <v>9590.4</v>
      </c>
      <c r="F11">
        <v>20.431369152992158</v>
      </c>
      <c r="G11">
        <v>10885.833484714221</v>
      </c>
      <c r="H11">
        <v>22</v>
      </c>
      <c r="I11">
        <v>11721.599999999999</v>
      </c>
      <c r="J11">
        <v>22.346067426782465</v>
      </c>
      <c r="K11">
        <v>11905.984724989696</v>
      </c>
      <c r="L11">
        <v>19</v>
      </c>
      <c r="M11">
        <v>10123.199999999999</v>
      </c>
      <c r="N11">
        <v>22</v>
      </c>
      <c r="O11">
        <v>11721.599999999999</v>
      </c>
      <c r="P11">
        <v>26</v>
      </c>
      <c r="Q11">
        <v>13852.8</v>
      </c>
      <c r="R11">
        <v>24</v>
      </c>
      <c r="S11">
        <v>12787.199999999999</v>
      </c>
      <c r="T11">
        <v>15</v>
      </c>
      <c r="U11">
        <v>7991.9999999999991</v>
      </c>
      <c r="V11">
        <v>25</v>
      </c>
      <c r="W11">
        <v>13319.999999999998</v>
      </c>
      <c r="X11">
        <v>24</v>
      </c>
      <c r="Y11">
        <v>12787.199999999999</v>
      </c>
      <c r="Z11">
        <v>25</v>
      </c>
      <c r="AA11">
        <v>13319.999999999998</v>
      </c>
      <c r="AB11">
        <v>20</v>
      </c>
      <c r="AC11">
        <v>10656</v>
      </c>
      <c r="AD11">
        <v>18</v>
      </c>
      <c r="AE11">
        <v>9590.4</v>
      </c>
      <c r="AF11">
        <v>23</v>
      </c>
      <c r="AG11">
        <v>12254.4</v>
      </c>
      <c r="AH11">
        <v>28</v>
      </c>
      <c r="AI11">
        <v>14918.399999999998</v>
      </c>
      <c r="AJ11">
        <v>20</v>
      </c>
      <c r="AK11">
        <v>10656</v>
      </c>
      <c r="AL11">
        <v>19</v>
      </c>
      <c r="AM11">
        <v>10123.199999999999</v>
      </c>
      <c r="AN11">
        <v>25</v>
      </c>
      <c r="AO11">
        <v>13319.999999999998</v>
      </c>
      <c r="AP11">
        <v>19</v>
      </c>
      <c r="AQ11">
        <v>10123.199999999999</v>
      </c>
      <c r="AR11">
        <v>25</v>
      </c>
      <c r="AS11">
        <v>13319.999999999998</v>
      </c>
      <c r="AT11">
        <v>19</v>
      </c>
      <c r="AU11">
        <v>10123.199999999999</v>
      </c>
      <c r="AV11">
        <v>24</v>
      </c>
      <c r="AW11">
        <v>12787.199999999999</v>
      </c>
      <c r="AX11">
        <v>24</v>
      </c>
      <c r="AY11">
        <v>12787.199999999999</v>
      </c>
      <c r="AZ11">
        <v>23</v>
      </c>
      <c r="BA11">
        <v>12254.4</v>
      </c>
      <c r="BB11">
        <v>24</v>
      </c>
      <c r="BC11">
        <v>12787.199999999999</v>
      </c>
      <c r="BD11">
        <v>31</v>
      </c>
      <c r="BE11">
        <v>16516.8</v>
      </c>
      <c r="BF11">
        <v>28</v>
      </c>
      <c r="BG11">
        <v>14918.399999999998</v>
      </c>
      <c r="BH11">
        <v>26</v>
      </c>
      <c r="BI11">
        <v>13852.8</v>
      </c>
      <c r="BJ11">
        <v>19</v>
      </c>
      <c r="BK11">
        <v>10123.199999999999</v>
      </c>
      <c r="BL11">
        <v>33</v>
      </c>
      <c r="BM11">
        <v>17582.399999999998</v>
      </c>
      <c r="BN11">
        <v>25</v>
      </c>
      <c r="BO11">
        <v>13319.999999999998</v>
      </c>
      <c r="BP11">
        <v>25</v>
      </c>
      <c r="BQ11">
        <v>13319.999999999998</v>
      </c>
      <c r="BR11">
        <v>20</v>
      </c>
      <c r="BS11">
        <v>10656</v>
      </c>
      <c r="BT11">
        <v>25</v>
      </c>
      <c r="BU11">
        <v>13319.999999999998</v>
      </c>
      <c r="BV11">
        <v>19</v>
      </c>
      <c r="BW11">
        <v>10123.199999999999</v>
      </c>
      <c r="BX11">
        <v>17</v>
      </c>
      <c r="BY11">
        <v>9057.5999999999985</v>
      </c>
      <c r="BZ11">
        <v>25</v>
      </c>
      <c r="CA11">
        <v>13319.999999999998</v>
      </c>
      <c r="CB11">
        <v>25</v>
      </c>
      <c r="CC11">
        <v>13319.999999999998</v>
      </c>
      <c r="CD11">
        <v>23</v>
      </c>
      <c r="CE11">
        <v>12254.4</v>
      </c>
      <c r="CF11">
        <v>29</v>
      </c>
      <c r="CG11">
        <v>15451.199999999999</v>
      </c>
      <c r="CH11">
        <v>27</v>
      </c>
      <c r="CI11">
        <v>14385.599999999999</v>
      </c>
      <c r="CJ11">
        <v>24</v>
      </c>
      <c r="CK11">
        <v>12787.199999999999</v>
      </c>
      <c r="CL11">
        <v>27</v>
      </c>
      <c r="CM11">
        <v>14385.599999999999</v>
      </c>
      <c r="CN11">
        <v>18</v>
      </c>
      <c r="CO11">
        <v>9590.4</v>
      </c>
      <c r="CP11">
        <v>21</v>
      </c>
      <c r="CQ11">
        <v>11188.8</v>
      </c>
      <c r="CR11">
        <v>25</v>
      </c>
      <c r="CS11">
        <v>13319.999999999998</v>
      </c>
      <c r="CT11">
        <v>23</v>
      </c>
      <c r="CU11">
        <v>12254.4</v>
      </c>
    </row>
    <row r="12" spans="1:99" x14ac:dyDescent="0.2">
      <c r="C12" s="118" t="s">
        <v>178</v>
      </c>
      <c r="D12">
        <v>19</v>
      </c>
      <c r="E12">
        <v>10693.199999999999</v>
      </c>
      <c r="F12">
        <v>18.431369152992158</v>
      </c>
      <c r="G12">
        <v>10373.174559303985</v>
      </c>
      <c r="H12">
        <v>21</v>
      </c>
      <c r="I12">
        <v>11818.8</v>
      </c>
      <c r="J12">
        <v>22.389325855130274</v>
      </c>
      <c r="K12">
        <v>12600.712591267316</v>
      </c>
      <c r="L12">
        <v>17</v>
      </c>
      <c r="M12">
        <v>9567.5999999999985</v>
      </c>
      <c r="N12">
        <v>23</v>
      </c>
      <c r="O12">
        <v>12944.4</v>
      </c>
      <c r="P12">
        <v>25</v>
      </c>
      <c r="Q12">
        <v>14069.999999999998</v>
      </c>
      <c r="R12">
        <v>27</v>
      </c>
      <c r="S12">
        <v>15195.599999999999</v>
      </c>
      <c r="T12">
        <v>15</v>
      </c>
      <c r="U12">
        <v>8442</v>
      </c>
      <c r="V12">
        <v>25</v>
      </c>
      <c r="W12">
        <v>14069.999999999998</v>
      </c>
      <c r="X12">
        <v>26</v>
      </c>
      <c r="Y12">
        <v>14632.8</v>
      </c>
      <c r="Z12">
        <v>24</v>
      </c>
      <c r="AA12">
        <v>13507.199999999999</v>
      </c>
      <c r="AB12">
        <v>22</v>
      </c>
      <c r="AC12">
        <v>12381.599999999999</v>
      </c>
      <c r="AD12">
        <v>19</v>
      </c>
      <c r="AE12">
        <v>10693.199999999999</v>
      </c>
      <c r="AF12">
        <v>21</v>
      </c>
      <c r="AG12">
        <v>11818.8</v>
      </c>
      <c r="AH12">
        <v>30</v>
      </c>
      <c r="AI12">
        <v>16884</v>
      </c>
      <c r="AJ12">
        <v>18</v>
      </c>
      <c r="AK12">
        <v>10130.4</v>
      </c>
      <c r="AL12">
        <v>20</v>
      </c>
      <c r="AM12">
        <v>11256</v>
      </c>
      <c r="AN12">
        <v>27</v>
      </c>
      <c r="AO12">
        <v>15195.599999999999</v>
      </c>
      <c r="AP12">
        <v>19</v>
      </c>
      <c r="AQ12">
        <v>10693.199999999999</v>
      </c>
      <c r="AR12">
        <v>25</v>
      </c>
      <c r="AS12">
        <v>14069.999999999998</v>
      </c>
      <c r="AT12">
        <v>18</v>
      </c>
      <c r="AU12">
        <v>10130.4</v>
      </c>
      <c r="AV12">
        <v>22</v>
      </c>
      <c r="AW12">
        <v>12381.599999999999</v>
      </c>
      <c r="AX12">
        <v>21</v>
      </c>
      <c r="AY12">
        <v>11818.8</v>
      </c>
      <c r="AZ12">
        <v>23</v>
      </c>
      <c r="BA12">
        <v>12944.4</v>
      </c>
      <c r="BB12">
        <v>24</v>
      </c>
      <c r="BC12">
        <v>13507.199999999999</v>
      </c>
      <c r="BD12">
        <v>30</v>
      </c>
      <c r="BE12">
        <v>16884</v>
      </c>
      <c r="BF12">
        <v>27</v>
      </c>
      <c r="BG12">
        <v>15195.599999999999</v>
      </c>
      <c r="BH12">
        <v>24</v>
      </c>
      <c r="BI12">
        <v>13507.199999999999</v>
      </c>
      <c r="BJ12">
        <v>18</v>
      </c>
      <c r="BK12">
        <v>10130.4</v>
      </c>
      <c r="BL12">
        <v>30</v>
      </c>
      <c r="BM12">
        <v>16884</v>
      </c>
      <c r="BN12">
        <v>25</v>
      </c>
      <c r="BO12">
        <v>14069.999999999998</v>
      </c>
      <c r="BP12">
        <v>26</v>
      </c>
      <c r="BQ12">
        <v>14632.8</v>
      </c>
      <c r="BR12">
        <v>20</v>
      </c>
      <c r="BS12">
        <v>11256</v>
      </c>
      <c r="BT12">
        <v>23</v>
      </c>
      <c r="BU12">
        <v>12944.4</v>
      </c>
      <c r="BV12">
        <v>19</v>
      </c>
      <c r="BW12">
        <v>10693.199999999999</v>
      </c>
      <c r="BX12">
        <v>20</v>
      </c>
      <c r="BY12">
        <v>11256</v>
      </c>
      <c r="BZ12">
        <v>25</v>
      </c>
      <c r="CA12">
        <v>14069.999999999998</v>
      </c>
      <c r="CB12">
        <v>23</v>
      </c>
      <c r="CC12">
        <v>12944.4</v>
      </c>
      <c r="CD12">
        <v>26</v>
      </c>
      <c r="CE12">
        <v>14632.8</v>
      </c>
      <c r="CF12">
        <v>26</v>
      </c>
      <c r="CG12">
        <v>14632.8</v>
      </c>
      <c r="CH12">
        <v>23</v>
      </c>
      <c r="CI12">
        <v>12944.4</v>
      </c>
      <c r="CJ12">
        <v>22</v>
      </c>
      <c r="CK12">
        <v>12381.599999999999</v>
      </c>
      <c r="CL12">
        <v>24</v>
      </c>
      <c r="CM12">
        <v>13507.199999999999</v>
      </c>
      <c r="CN12">
        <v>21</v>
      </c>
      <c r="CO12">
        <v>11818.8</v>
      </c>
      <c r="CP12">
        <v>18</v>
      </c>
      <c r="CQ12">
        <v>10130.4</v>
      </c>
      <c r="CR12">
        <v>25</v>
      </c>
      <c r="CS12">
        <v>14069.999999999998</v>
      </c>
      <c r="CT12">
        <v>24</v>
      </c>
      <c r="CU12">
        <v>13507.199999999999</v>
      </c>
    </row>
    <row r="13" spans="1:99" x14ac:dyDescent="0.2">
      <c r="C13" s="118" t="s">
        <v>179</v>
      </c>
      <c r="D13">
        <v>19</v>
      </c>
      <c r="E13">
        <v>1618.8</v>
      </c>
      <c r="F13">
        <v>21.383439247104143</v>
      </c>
      <c r="G13">
        <v>1821.8690238532731</v>
      </c>
      <c r="H13">
        <v>21</v>
      </c>
      <c r="I13">
        <v>1789.2</v>
      </c>
      <c r="J13">
        <v>26.389325855130274</v>
      </c>
      <c r="K13">
        <v>2248.3705628570992</v>
      </c>
      <c r="L13">
        <v>21</v>
      </c>
      <c r="M13">
        <v>1789.2</v>
      </c>
      <c r="N13">
        <v>22</v>
      </c>
      <c r="O13">
        <v>1874.4</v>
      </c>
      <c r="P13">
        <v>25</v>
      </c>
      <c r="Q13">
        <v>2130</v>
      </c>
      <c r="R13">
        <v>26</v>
      </c>
      <c r="S13">
        <v>2215.2000000000003</v>
      </c>
      <c r="T13">
        <v>16</v>
      </c>
      <c r="U13">
        <v>1363.2</v>
      </c>
      <c r="V13">
        <v>25</v>
      </c>
      <c r="W13">
        <v>2130</v>
      </c>
      <c r="X13">
        <v>27</v>
      </c>
      <c r="Y13">
        <v>2300.4</v>
      </c>
      <c r="Z13">
        <v>24</v>
      </c>
      <c r="AA13">
        <v>2044.8000000000002</v>
      </c>
      <c r="AB13">
        <v>21</v>
      </c>
      <c r="AC13">
        <v>1789.2</v>
      </c>
      <c r="AD13">
        <v>20</v>
      </c>
      <c r="AE13">
        <v>1704</v>
      </c>
      <c r="AF13">
        <v>22</v>
      </c>
      <c r="AG13">
        <v>1874.4</v>
      </c>
      <c r="AH13">
        <v>29</v>
      </c>
      <c r="AI13">
        <v>2470.8000000000002</v>
      </c>
      <c r="AJ13">
        <v>22</v>
      </c>
      <c r="AK13">
        <v>1874.4</v>
      </c>
      <c r="AL13">
        <v>18</v>
      </c>
      <c r="AM13">
        <v>1533.6000000000001</v>
      </c>
      <c r="AN13">
        <v>29</v>
      </c>
      <c r="AO13">
        <v>2470.8000000000002</v>
      </c>
      <c r="AP13">
        <v>22</v>
      </c>
      <c r="AQ13">
        <v>1874.4</v>
      </c>
      <c r="AR13">
        <v>28</v>
      </c>
      <c r="AS13">
        <v>2385.6</v>
      </c>
      <c r="AT13">
        <v>20</v>
      </c>
      <c r="AU13">
        <v>1704</v>
      </c>
      <c r="AV13">
        <v>24</v>
      </c>
      <c r="AW13">
        <v>2044.8000000000002</v>
      </c>
      <c r="AX13">
        <v>26</v>
      </c>
      <c r="AY13">
        <v>2215.2000000000003</v>
      </c>
      <c r="AZ13">
        <v>21</v>
      </c>
      <c r="BA13">
        <v>1789.2</v>
      </c>
      <c r="BB13">
        <v>23</v>
      </c>
      <c r="BC13">
        <v>1959.6000000000001</v>
      </c>
      <c r="BD13">
        <v>31</v>
      </c>
      <c r="BE13">
        <v>2641.2000000000003</v>
      </c>
      <c r="BF13">
        <v>28</v>
      </c>
      <c r="BG13">
        <v>2385.6</v>
      </c>
      <c r="BH13">
        <v>27</v>
      </c>
      <c r="BI13">
        <v>2300.4</v>
      </c>
      <c r="BJ13">
        <v>19</v>
      </c>
      <c r="BK13">
        <v>1618.8</v>
      </c>
      <c r="BL13">
        <v>35</v>
      </c>
      <c r="BM13">
        <v>2982</v>
      </c>
      <c r="BN13">
        <v>29</v>
      </c>
      <c r="BO13">
        <v>2470.8000000000002</v>
      </c>
      <c r="BP13">
        <v>27</v>
      </c>
      <c r="BQ13">
        <v>2300.4</v>
      </c>
      <c r="BR13">
        <v>21</v>
      </c>
      <c r="BS13">
        <v>1789.2</v>
      </c>
      <c r="BT13">
        <v>27</v>
      </c>
      <c r="BU13">
        <v>2300.4</v>
      </c>
      <c r="BV13">
        <v>19</v>
      </c>
      <c r="BW13">
        <v>1618.8</v>
      </c>
      <c r="BX13">
        <v>21</v>
      </c>
      <c r="BY13">
        <v>1789.2</v>
      </c>
      <c r="BZ13">
        <v>26</v>
      </c>
      <c r="CA13">
        <v>2215.2000000000003</v>
      </c>
      <c r="CB13">
        <v>27</v>
      </c>
      <c r="CC13">
        <v>2300.4</v>
      </c>
      <c r="CD13">
        <v>27</v>
      </c>
      <c r="CE13">
        <v>2300.4</v>
      </c>
      <c r="CF13">
        <v>28</v>
      </c>
      <c r="CG13">
        <v>2385.6</v>
      </c>
      <c r="CH13">
        <v>26</v>
      </c>
      <c r="CI13">
        <v>2215.2000000000003</v>
      </c>
      <c r="CJ13">
        <v>23</v>
      </c>
      <c r="CK13">
        <v>1959.6000000000001</v>
      </c>
      <c r="CL13">
        <v>28</v>
      </c>
      <c r="CM13">
        <v>2385.6</v>
      </c>
      <c r="CN13">
        <v>21</v>
      </c>
      <c r="CO13">
        <v>1789.2</v>
      </c>
      <c r="CP13">
        <v>19</v>
      </c>
      <c r="CQ13">
        <v>1618.8</v>
      </c>
      <c r="CR13">
        <v>28</v>
      </c>
      <c r="CS13">
        <v>2385.6</v>
      </c>
      <c r="CT13">
        <v>26</v>
      </c>
      <c r="CU13">
        <v>2215.2000000000003</v>
      </c>
    </row>
    <row r="14" spans="1:99" x14ac:dyDescent="0.2">
      <c r="C14" s="118" t="s">
        <v>180</v>
      </c>
      <c r="D14">
        <v>20</v>
      </c>
      <c r="E14">
        <v>9768</v>
      </c>
      <c r="F14">
        <v>19.431369152992158</v>
      </c>
      <c r="G14">
        <v>9490.2806943213691</v>
      </c>
      <c r="H14">
        <v>21</v>
      </c>
      <c r="I14">
        <v>10256.4</v>
      </c>
      <c r="J14">
        <v>23.389325855130274</v>
      </c>
      <c r="K14">
        <v>11423.346747645624</v>
      </c>
      <c r="L14">
        <v>20</v>
      </c>
      <c r="M14">
        <v>9768</v>
      </c>
      <c r="N14">
        <v>23</v>
      </c>
      <c r="O14">
        <v>11233.199999999999</v>
      </c>
      <c r="P14">
        <v>24</v>
      </c>
      <c r="Q14">
        <v>11721.599999999999</v>
      </c>
      <c r="R14">
        <v>23</v>
      </c>
      <c r="S14">
        <v>11233.199999999999</v>
      </c>
      <c r="T14">
        <v>15</v>
      </c>
      <c r="U14">
        <v>7326</v>
      </c>
      <c r="V14">
        <v>25</v>
      </c>
      <c r="W14">
        <v>12210</v>
      </c>
      <c r="X14">
        <v>26</v>
      </c>
      <c r="Y14">
        <v>12698.4</v>
      </c>
      <c r="Z14">
        <v>22</v>
      </c>
      <c r="AA14">
        <v>10744.8</v>
      </c>
      <c r="AB14">
        <v>21</v>
      </c>
      <c r="AC14">
        <v>10256.4</v>
      </c>
      <c r="AD14">
        <v>17</v>
      </c>
      <c r="AE14">
        <v>8302.7999999999993</v>
      </c>
      <c r="AF14">
        <v>23</v>
      </c>
      <c r="AG14">
        <v>11233.199999999999</v>
      </c>
      <c r="AH14">
        <v>28</v>
      </c>
      <c r="AI14">
        <v>13675.199999999999</v>
      </c>
      <c r="AJ14">
        <v>22</v>
      </c>
      <c r="AK14">
        <v>10744.8</v>
      </c>
      <c r="AL14">
        <v>17</v>
      </c>
      <c r="AM14">
        <v>8302.7999999999993</v>
      </c>
      <c r="AN14">
        <v>25</v>
      </c>
      <c r="AO14">
        <v>12210</v>
      </c>
      <c r="AP14">
        <v>21</v>
      </c>
      <c r="AQ14">
        <v>10256.4</v>
      </c>
      <c r="AR14">
        <v>23</v>
      </c>
      <c r="AS14">
        <v>11233.199999999999</v>
      </c>
      <c r="AT14">
        <v>21</v>
      </c>
      <c r="AU14">
        <v>10256.4</v>
      </c>
      <c r="AV14">
        <v>21</v>
      </c>
      <c r="AW14">
        <v>10256.4</v>
      </c>
      <c r="AX14">
        <v>21</v>
      </c>
      <c r="AY14">
        <v>10256.4</v>
      </c>
      <c r="AZ14">
        <v>20</v>
      </c>
      <c r="BA14">
        <v>9768</v>
      </c>
      <c r="BB14">
        <v>23</v>
      </c>
      <c r="BC14">
        <v>11233.199999999999</v>
      </c>
      <c r="BD14">
        <v>28</v>
      </c>
      <c r="BE14">
        <v>13675.199999999999</v>
      </c>
      <c r="BF14">
        <v>29</v>
      </c>
      <c r="BG14">
        <v>14163.599999999999</v>
      </c>
      <c r="BH14">
        <v>26</v>
      </c>
      <c r="BI14">
        <v>12698.4</v>
      </c>
      <c r="BJ14">
        <v>17</v>
      </c>
      <c r="BK14">
        <v>8302.7999999999993</v>
      </c>
      <c r="BL14">
        <v>32</v>
      </c>
      <c r="BM14">
        <v>15628.8</v>
      </c>
      <c r="BN14">
        <v>27</v>
      </c>
      <c r="BO14">
        <v>13186.8</v>
      </c>
      <c r="BP14">
        <v>24</v>
      </c>
      <c r="BQ14">
        <v>11721.599999999999</v>
      </c>
      <c r="BR14">
        <v>18</v>
      </c>
      <c r="BS14">
        <v>8791.1999999999989</v>
      </c>
      <c r="BT14">
        <v>26</v>
      </c>
      <c r="BU14">
        <v>12698.4</v>
      </c>
      <c r="BV14">
        <v>21</v>
      </c>
      <c r="BW14">
        <v>10256.4</v>
      </c>
      <c r="BX14">
        <v>20</v>
      </c>
      <c r="BY14">
        <v>9768</v>
      </c>
      <c r="BZ14">
        <v>24</v>
      </c>
      <c r="CA14">
        <v>11721.599999999999</v>
      </c>
      <c r="CB14">
        <v>23</v>
      </c>
      <c r="CC14">
        <v>11233.199999999999</v>
      </c>
      <c r="CD14">
        <v>23</v>
      </c>
      <c r="CE14">
        <v>11233.199999999999</v>
      </c>
      <c r="CF14">
        <v>29</v>
      </c>
      <c r="CG14">
        <v>14163.599999999999</v>
      </c>
      <c r="CH14">
        <v>23</v>
      </c>
      <c r="CI14">
        <v>11233.199999999999</v>
      </c>
      <c r="CJ14">
        <v>24</v>
      </c>
      <c r="CK14">
        <v>11721.599999999999</v>
      </c>
      <c r="CL14">
        <v>24</v>
      </c>
      <c r="CM14">
        <v>11721.599999999999</v>
      </c>
      <c r="CN14">
        <v>20</v>
      </c>
      <c r="CO14">
        <v>9768</v>
      </c>
      <c r="CP14">
        <v>19</v>
      </c>
      <c r="CQ14">
        <v>9279.6</v>
      </c>
      <c r="CR14">
        <v>26</v>
      </c>
      <c r="CS14">
        <v>12698.4</v>
      </c>
      <c r="CT14">
        <v>25</v>
      </c>
      <c r="CU14">
        <v>12210</v>
      </c>
    </row>
    <row r="15" spans="1:99" x14ac:dyDescent="0.2">
      <c r="C15" s="118" t="s">
        <v>181</v>
      </c>
      <c r="D15">
        <v>18</v>
      </c>
      <c r="E15">
        <v>13737.599999999999</v>
      </c>
      <c r="F15">
        <v>17.383439247104143</v>
      </c>
      <c r="G15">
        <v>13267.040833389881</v>
      </c>
      <c r="H15">
        <v>21</v>
      </c>
      <c r="I15">
        <v>16027.199999999999</v>
      </c>
      <c r="J15">
        <v>23.346067426782465</v>
      </c>
      <c r="K15">
        <v>17817.718660120376</v>
      </c>
      <c r="L15">
        <v>18</v>
      </c>
      <c r="M15">
        <v>13737.599999999999</v>
      </c>
      <c r="N15">
        <v>22</v>
      </c>
      <c r="O15">
        <v>16790.399999999998</v>
      </c>
      <c r="P15">
        <v>23</v>
      </c>
      <c r="Q15">
        <v>17553.599999999999</v>
      </c>
      <c r="R15">
        <v>25</v>
      </c>
      <c r="S15">
        <v>19080</v>
      </c>
      <c r="T15">
        <v>13</v>
      </c>
      <c r="U15">
        <v>9921.5999999999985</v>
      </c>
      <c r="V15">
        <v>21</v>
      </c>
      <c r="W15">
        <v>16027.199999999999</v>
      </c>
      <c r="X15">
        <v>25</v>
      </c>
      <c r="Y15">
        <v>19080</v>
      </c>
      <c r="Z15">
        <v>25</v>
      </c>
      <c r="AA15">
        <v>19080</v>
      </c>
      <c r="AB15">
        <v>20</v>
      </c>
      <c r="AC15">
        <v>15263.999999999998</v>
      </c>
      <c r="AD15">
        <v>16</v>
      </c>
      <c r="AE15">
        <v>12211.199999999999</v>
      </c>
      <c r="AF15">
        <v>20</v>
      </c>
      <c r="AG15">
        <v>15263.999999999998</v>
      </c>
      <c r="AH15">
        <v>31</v>
      </c>
      <c r="AI15">
        <v>23659.199999999997</v>
      </c>
      <c r="AJ15">
        <v>19</v>
      </c>
      <c r="AK15">
        <v>14500.8</v>
      </c>
      <c r="AL15">
        <v>18</v>
      </c>
      <c r="AM15">
        <v>13737.599999999999</v>
      </c>
      <c r="AN15">
        <v>25</v>
      </c>
      <c r="AO15">
        <v>19080</v>
      </c>
      <c r="AP15">
        <v>20</v>
      </c>
      <c r="AQ15">
        <v>15263.999999999998</v>
      </c>
      <c r="AR15">
        <v>23</v>
      </c>
      <c r="AS15">
        <v>17553.599999999999</v>
      </c>
      <c r="AT15">
        <v>19</v>
      </c>
      <c r="AU15">
        <v>14500.8</v>
      </c>
      <c r="AV15">
        <v>23</v>
      </c>
      <c r="AW15">
        <v>17553.599999999999</v>
      </c>
      <c r="AX15">
        <v>21</v>
      </c>
      <c r="AY15">
        <v>16027.199999999999</v>
      </c>
      <c r="AZ15">
        <v>21</v>
      </c>
      <c r="BA15">
        <v>16027.199999999999</v>
      </c>
      <c r="BB15">
        <v>22</v>
      </c>
      <c r="BC15">
        <v>16790.399999999998</v>
      </c>
      <c r="BD15">
        <v>32</v>
      </c>
      <c r="BE15">
        <v>24422.399999999998</v>
      </c>
      <c r="BF15">
        <v>26</v>
      </c>
      <c r="BG15">
        <v>19843.199999999997</v>
      </c>
      <c r="BH15">
        <v>26</v>
      </c>
      <c r="BI15">
        <v>19843.199999999997</v>
      </c>
      <c r="BJ15">
        <v>17</v>
      </c>
      <c r="BK15">
        <v>12974.4</v>
      </c>
      <c r="BL15">
        <v>31</v>
      </c>
      <c r="BM15">
        <v>23659.199999999997</v>
      </c>
      <c r="BN15">
        <v>27</v>
      </c>
      <c r="BO15">
        <v>20606.399999999998</v>
      </c>
      <c r="BP15">
        <v>22</v>
      </c>
      <c r="BQ15">
        <v>16790.399999999998</v>
      </c>
      <c r="BR15">
        <v>17</v>
      </c>
      <c r="BS15">
        <v>12974.4</v>
      </c>
      <c r="BT15">
        <v>22</v>
      </c>
      <c r="BU15">
        <v>16790.399999999998</v>
      </c>
      <c r="BV15">
        <v>20</v>
      </c>
      <c r="BW15">
        <v>15263.999999999998</v>
      </c>
      <c r="BX15">
        <v>18</v>
      </c>
      <c r="BY15">
        <v>13737.599999999999</v>
      </c>
      <c r="BZ15">
        <v>25</v>
      </c>
      <c r="CA15">
        <v>19080</v>
      </c>
      <c r="CB15">
        <v>24</v>
      </c>
      <c r="CC15">
        <v>18316.8</v>
      </c>
      <c r="CD15">
        <v>22</v>
      </c>
      <c r="CE15">
        <v>16790.399999999998</v>
      </c>
      <c r="CF15">
        <v>30</v>
      </c>
      <c r="CG15">
        <v>22895.999999999996</v>
      </c>
      <c r="CH15">
        <v>25</v>
      </c>
      <c r="CI15">
        <v>19080</v>
      </c>
      <c r="CJ15">
        <v>25</v>
      </c>
      <c r="CK15">
        <v>19080</v>
      </c>
      <c r="CL15">
        <v>25</v>
      </c>
      <c r="CM15">
        <v>19080</v>
      </c>
      <c r="CN15">
        <v>20</v>
      </c>
      <c r="CO15">
        <v>15263.999999999998</v>
      </c>
      <c r="CP15">
        <v>17</v>
      </c>
      <c r="CQ15">
        <v>12974.4</v>
      </c>
      <c r="CR15">
        <v>27</v>
      </c>
      <c r="CS15">
        <v>20606.399999999998</v>
      </c>
      <c r="CT15">
        <v>21</v>
      </c>
      <c r="CU15">
        <v>16027.199999999999</v>
      </c>
    </row>
    <row r="16" spans="1:99" x14ac:dyDescent="0.2">
      <c r="C16" s="118" t="s">
        <v>182</v>
      </c>
      <c r="D16">
        <v>18</v>
      </c>
      <c r="E16">
        <v>6134.4000000000005</v>
      </c>
      <c r="F16">
        <v>21.431369152992158</v>
      </c>
      <c r="G16">
        <v>7303.8106073397275</v>
      </c>
      <c r="H16">
        <v>22</v>
      </c>
      <c r="I16">
        <v>7497.6</v>
      </c>
      <c r="J16">
        <v>24.346067426782465</v>
      </c>
      <c r="K16">
        <v>8297.1397790474639</v>
      </c>
      <c r="L16">
        <v>18</v>
      </c>
      <c r="M16">
        <v>6134.4000000000005</v>
      </c>
      <c r="N16">
        <v>20</v>
      </c>
      <c r="O16">
        <v>6816</v>
      </c>
      <c r="P16">
        <v>23</v>
      </c>
      <c r="Q16">
        <v>7838.4000000000005</v>
      </c>
      <c r="R16">
        <v>27</v>
      </c>
      <c r="S16">
        <v>9201.6</v>
      </c>
      <c r="T16">
        <v>14</v>
      </c>
      <c r="U16">
        <v>4771.2</v>
      </c>
      <c r="V16">
        <v>25</v>
      </c>
      <c r="W16">
        <v>8520</v>
      </c>
      <c r="X16">
        <v>26</v>
      </c>
      <c r="Y16">
        <v>8860.8000000000011</v>
      </c>
      <c r="Z16">
        <v>25</v>
      </c>
      <c r="AA16">
        <v>8520</v>
      </c>
      <c r="AB16">
        <v>23</v>
      </c>
      <c r="AC16">
        <v>7838.4000000000005</v>
      </c>
      <c r="AD16">
        <v>20</v>
      </c>
      <c r="AE16">
        <v>6816</v>
      </c>
      <c r="AF16">
        <v>21</v>
      </c>
      <c r="AG16">
        <v>7156.8</v>
      </c>
      <c r="AH16">
        <v>32</v>
      </c>
      <c r="AI16">
        <v>10905.6</v>
      </c>
      <c r="AJ16">
        <v>22</v>
      </c>
      <c r="AK16">
        <v>7497.6</v>
      </c>
      <c r="AL16">
        <v>21</v>
      </c>
      <c r="AM16">
        <v>7156.8</v>
      </c>
      <c r="AN16">
        <v>25</v>
      </c>
      <c r="AO16">
        <v>8520</v>
      </c>
      <c r="AP16">
        <v>18</v>
      </c>
      <c r="AQ16">
        <v>6134.4000000000005</v>
      </c>
      <c r="AR16">
        <v>26</v>
      </c>
      <c r="AS16">
        <v>8860.8000000000011</v>
      </c>
      <c r="AT16">
        <v>19</v>
      </c>
      <c r="AU16">
        <v>6475.2</v>
      </c>
      <c r="AV16">
        <v>24</v>
      </c>
      <c r="AW16">
        <v>8179.2000000000007</v>
      </c>
      <c r="AX16">
        <v>23</v>
      </c>
      <c r="AY16">
        <v>7838.4000000000005</v>
      </c>
      <c r="AZ16">
        <v>22</v>
      </c>
      <c r="BA16">
        <v>7497.6</v>
      </c>
      <c r="BB16">
        <v>23</v>
      </c>
      <c r="BC16">
        <v>7838.4000000000005</v>
      </c>
      <c r="BD16">
        <v>31</v>
      </c>
      <c r="BE16">
        <v>10564.800000000001</v>
      </c>
      <c r="BF16">
        <v>31</v>
      </c>
      <c r="BG16">
        <v>10564.800000000001</v>
      </c>
      <c r="BH16">
        <v>28</v>
      </c>
      <c r="BI16">
        <v>9542.4</v>
      </c>
      <c r="BJ16">
        <v>17</v>
      </c>
      <c r="BK16">
        <v>5793.6</v>
      </c>
      <c r="BL16">
        <v>30</v>
      </c>
      <c r="BM16">
        <v>10224</v>
      </c>
      <c r="BN16">
        <v>29</v>
      </c>
      <c r="BO16">
        <v>9883.2000000000007</v>
      </c>
      <c r="BP16">
        <v>28</v>
      </c>
      <c r="BQ16">
        <v>9542.4</v>
      </c>
      <c r="BR16">
        <v>19</v>
      </c>
      <c r="BS16">
        <v>6475.2</v>
      </c>
      <c r="BT16">
        <v>24</v>
      </c>
      <c r="BU16">
        <v>8179.2000000000007</v>
      </c>
      <c r="BV16">
        <v>20</v>
      </c>
      <c r="BW16">
        <v>6816</v>
      </c>
      <c r="BX16">
        <v>20</v>
      </c>
      <c r="BY16">
        <v>6816</v>
      </c>
      <c r="BZ16">
        <v>25</v>
      </c>
      <c r="CA16">
        <v>8520</v>
      </c>
      <c r="CB16">
        <v>27</v>
      </c>
      <c r="CC16">
        <v>9201.6</v>
      </c>
      <c r="CD16">
        <v>25</v>
      </c>
      <c r="CE16">
        <v>8520</v>
      </c>
      <c r="CF16">
        <v>29</v>
      </c>
      <c r="CG16">
        <v>9883.2000000000007</v>
      </c>
      <c r="CH16">
        <v>27</v>
      </c>
      <c r="CI16">
        <v>9201.6</v>
      </c>
      <c r="CJ16">
        <v>26</v>
      </c>
      <c r="CK16">
        <v>8860.8000000000011</v>
      </c>
      <c r="CL16">
        <v>27</v>
      </c>
      <c r="CM16">
        <v>9201.6</v>
      </c>
      <c r="CN16">
        <v>20</v>
      </c>
      <c r="CO16">
        <v>6816</v>
      </c>
      <c r="CP16">
        <v>19</v>
      </c>
      <c r="CQ16">
        <v>6475.2</v>
      </c>
      <c r="CR16">
        <v>26</v>
      </c>
      <c r="CS16">
        <v>8860.8000000000011</v>
      </c>
      <c r="CT16">
        <v>21</v>
      </c>
      <c r="CU16">
        <v>7156.8</v>
      </c>
    </row>
    <row r="17" spans="2:99" x14ac:dyDescent="0.2">
      <c r="C17" s="118" t="s">
        <v>183</v>
      </c>
      <c r="D17">
        <v>18</v>
      </c>
      <c r="E17">
        <v>7603.2</v>
      </c>
      <c r="F17">
        <v>21.479299058880176</v>
      </c>
      <c r="G17">
        <v>9072.8559224709861</v>
      </c>
      <c r="H17">
        <v>22</v>
      </c>
      <c r="I17">
        <v>9292.7999999999993</v>
      </c>
      <c r="J17">
        <v>22.389325855130274</v>
      </c>
      <c r="K17">
        <v>9457.2512412070264</v>
      </c>
      <c r="L17">
        <v>19</v>
      </c>
      <c r="M17">
        <v>8025.5999999999995</v>
      </c>
      <c r="N17">
        <v>22</v>
      </c>
      <c r="O17">
        <v>9292.7999999999993</v>
      </c>
      <c r="P17">
        <v>23</v>
      </c>
      <c r="Q17">
        <v>9715.1999999999989</v>
      </c>
      <c r="R17">
        <v>28</v>
      </c>
      <c r="S17">
        <v>11827.199999999999</v>
      </c>
      <c r="T17">
        <v>14</v>
      </c>
      <c r="U17">
        <v>5913.5999999999995</v>
      </c>
      <c r="V17">
        <v>23</v>
      </c>
      <c r="W17">
        <v>9715.1999999999989</v>
      </c>
      <c r="X17">
        <v>23</v>
      </c>
      <c r="Y17">
        <v>9715.1999999999989</v>
      </c>
      <c r="Z17">
        <v>25</v>
      </c>
      <c r="AA17">
        <v>10560</v>
      </c>
      <c r="AB17">
        <v>22</v>
      </c>
      <c r="AC17">
        <v>9292.7999999999993</v>
      </c>
      <c r="AD17">
        <v>17</v>
      </c>
      <c r="AE17">
        <v>7180.7999999999993</v>
      </c>
      <c r="AF17">
        <v>22</v>
      </c>
      <c r="AG17">
        <v>9292.7999999999993</v>
      </c>
      <c r="AH17">
        <v>29</v>
      </c>
      <c r="AI17">
        <v>12249.599999999999</v>
      </c>
      <c r="AJ17">
        <v>20</v>
      </c>
      <c r="AK17">
        <v>8448</v>
      </c>
      <c r="AL17">
        <v>18</v>
      </c>
      <c r="AM17">
        <v>7603.2</v>
      </c>
      <c r="AN17">
        <v>27</v>
      </c>
      <c r="AO17">
        <v>11404.8</v>
      </c>
      <c r="AP17">
        <v>19</v>
      </c>
      <c r="AQ17">
        <v>8025.5999999999995</v>
      </c>
      <c r="AR17">
        <v>26</v>
      </c>
      <c r="AS17">
        <v>10982.4</v>
      </c>
      <c r="AT17">
        <v>20</v>
      </c>
      <c r="AU17">
        <v>8448</v>
      </c>
      <c r="AV17">
        <v>20</v>
      </c>
      <c r="AW17">
        <v>8448</v>
      </c>
      <c r="AX17">
        <v>21</v>
      </c>
      <c r="AY17">
        <v>8870.4</v>
      </c>
      <c r="AZ17">
        <v>23</v>
      </c>
      <c r="BA17">
        <v>9715.1999999999989</v>
      </c>
      <c r="BB17">
        <v>22</v>
      </c>
      <c r="BC17">
        <v>9292.7999999999993</v>
      </c>
      <c r="BD17">
        <v>34</v>
      </c>
      <c r="BE17">
        <v>14361.599999999999</v>
      </c>
      <c r="BF17">
        <v>30</v>
      </c>
      <c r="BG17">
        <v>12672</v>
      </c>
      <c r="BH17">
        <v>24</v>
      </c>
      <c r="BI17">
        <v>10137.599999999999</v>
      </c>
      <c r="BJ17">
        <v>17</v>
      </c>
      <c r="BK17">
        <v>7180.7999999999993</v>
      </c>
      <c r="BL17">
        <v>34</v>
      </c>
      <c r="BM17">
        <v>14361.599999999999</v>
      </c>
      <c r="BN17">
        <v>28</v>
      </c>
      <c r="BO17">
        <v>11827.199999999999</v>
      </c>
      <c r="BP17">
        <v>26</v>
      </c>
      <c r="BQ17">
        <v>10982.4</v>
      </c>
      <c r="BR17">
        <v>19</v>
      </c>
      <c r="BS17">
        <v>8025.5999999999995</v>
      </c>
      <c r="BT17">
        <v>26</v>
      </c>
      <c r="BU17">
        <v>10982.4</v>
      </c>
      <c r="BV17">
        <v>19</v>
      </c>
      <c r="BW17">
        <v>8025.5999999999995</v>
      </c>
      <c r="BX17">
        <v>18</v>
      </c>
      <c r="BY17">
        <v>7603.2</v>
      </c>
      <c r="BZ17">
        <v>26</v>
      </c>
      <c r="CA17">
        <v>10982.4</v>
      </c>
      <c r="CB17">
        <v>26</v>
      </c>
      <c r="CC17">
        <v>10982.4</v>
      </c>
      <c r="CD17">
        <v>25</v>
      </c>
      <c r="CE17">
        <v>10560</v>
      </c>
      <c r="CF17">
        <v>29</v>
      </c>
      <c r="CG17">
        <v>12249.599999999999</v>
      </c>
      <c r="CH17">
        <v>26</v>
      </c>
      <c r="CI17">
        <v>10982.4</v>
      </c>
      <c r="CJ17">
        <v>27</v>
      </c>
      <c r="CK17">
        <v>11404.8</v>
      </c>
      <c r="CL17">
        <v>25</v>
      </c>
      <c r="CM17">
        <v>10560</v>
      </c>
      <c r="CN17">
        <v>20</v>
      </c>
      <c r="CO17">
        <v>8448</v>
      </c>
      <c r="CP17">
        <v>21</v>
      </c>
      <c r="CQ17">
        <v>8870.4</v>
      </c>
      <c r="CR17">
        <v>26</v>
      </c>
      <c r="CS17">
        <v>10982.4</v>
      </c>
      <c r="CT17">
        <v>25</v>
      </c>
      <c r="CU17">
        <v>10560</v>
      </c>
    </row>
    <row r="18" spans="2:99" x14ac:dyDescent="0.2">
      <c r="C18" s="118" t="s">
        <v>184</v>
      </c>
      <c r="D18">
        <v>17</v>
      </c>
      <c r="E18">
        <v>11097.599999999999</v>
      </c>
      <c r="F18">
        <v>19.479299058880176</v>
      </c>
      <c r="G18">
        <v>12716.086425636979</v>
      </c>
      <c r="H18">
        <v>21</v>
      </c>
      <c r="I18">
        <v>13708.8</v>
      </c>
      <c r="J18">
        <v>23.389325855130274</v>
      </c>
      <c r="K18">
        <v>15268.551918229041</v>
      </c>
      <c r="L18">
        <v>19</v>
      </c>
      <c r="M18">
        <v>12403.199999999999</v>
      </c>
      <c r="N18">
        <v>22</v>
      </c>
      <c r="O18">
        <v>14361.599999999999</v>
      </c>
      <c r="P18">
        <v>26</v>
      </c>
      <c r="Q18">
        <v>16972.8</v>
      </c>
      <c r="R18">
        <v>26</v>
      </c>
      <c r="S18">
        <v>16972.8</v>
      </c>
      <c r="T18">
        <v>16</v>
      </c>
      <c r="U18">
        <v>10444.799999999999</v>
      </c>
      <c r="V18">
        <v>22</v>
      </c>
      <c r="W18">
        <v>14361.599999999999</v>
      </c>
      <c r="X18">
        <v>22</v>
      </c>
      <c r="Y18">
        <v>14361.599999999999</v>
      </c>
      <c r="Z18">
        <v>26</v>
      </c>
      <c r="AA18">
        <v>16972.8</v>
      </c>
      <c r="AB18">
        <v>21</v>
      </c>
      <c r="AC18">
        <v>13708.8</v>
      </c>
      <c r="AD18">
        <v>17</v>
      </c>
      <c r="AE18">
        <v>11097.599999999999</v>
      </c>
      <c r="AF18">
        <v>21</v>
      </c>
      <c r="AG18">
        <v>13708.8</v>
      </c>
      <c r="AH18">
        <v>30</v>
      </c>
      <c r="AI18">
        <v>19584</v>
      </c>
      <c r="AJ18">
        <v>21</v>
      </c>
      <c r="AK18">
        <v>13708.8</v>
      </c>
      <c r="AL18">
        <v>20</v>
      </c>
      <c r="AM18">
        <v>13056</v>
      </c>
      <c r="AN18">
        <v>27</v>
      </c>
      <c r="AO18">
        <v>17625.599999999999</v>
      </c>
      <c r="AP18">
        <v>18</v>
      </c>
      <c r="AQ18">
        <v>11750.4</v>
      </c>
      <c r="AR18">
        <v>26</v>
      </c>
      <c r="AS18">
        <v>16972.8</v>
      </c>
      <c r="AT18">
        <v>20</v>
      </c>
      <c r="AU18">
        <v>13056</v>
      </c>
      <c r="AV18">
        <v>22</v>
      </c>
      <c r="AW18">
        <v>14361.599999999999</v>
      </c>
      <c r="AX18">
        <v>20</v>
      </c>
      <c r="AY18">
        <v>13056</v>
      </c>
      <c r="AZ18">
        <v>23</v>
      </c>
      <c r="BA18">
        <v>15014.4</v>
      </c>
      <c r="BB18">
        <v>21</v>
      </c>
      <c r="BC18">
        <v>13708.8</v>
      </c>
      <c r="BD18">
        <v>32</v>
      </c>
      <c r="BE18">
        <v>20889.599999999999</v>
      </c>
      <c r="BF18">
        <v>29</v>
      </c>
      <c r="BG18">
        <v>18931.199999999997</v>
      </c>
      <c r="BH18">
        <v>25</v>
      </c>
      <c r="BI18">
        <v>16319.999999999998</v>
      </c>
      <c r="BJ18">
        <v>18</v>
      </c>
      <c r="BK18">
        <v>11750.4</v>
      </c>
      <c r="BL18">
        <v>29</v>
      </c>
      <c r="BM18">
        <v>18931.199999999997</v>
      </c>
      <c r="BN18">
        <v>25</v>
      </c>
      <c r="BO18">
        <v>16319.999999999998</v>
      </c>
      <c r="BP18">
        <v>27</v>
      </c>
      <c r="BQ18">
        <v>17625.599999999999</v>
      </c>
      <c r="BR18">
        <v>20</v>
      </c>
      <c r="BS18">
        <v>13056</v>
      </c>
      <c r="BT18">
        <v>23</v>
      </c>
      <c r="BU18">
        <v>15014.4</v>
      </c>
      <c r="BV18">
        <v>19</v>
      </c>
      <c r="BW18">
        <v>12403.199999999999</v>
      </c>
      <c r="BX18">
        <v>18</v>
      </c>
      <c r="BY18">
        <v>11750.4</v>
      </c>
      <c r="BZ18">
        <v>22</v>
      </c>
      <c r="CA18">
        <v>14361.599999999999</v>
      </c>
      <c r="CB18">
        <v>23</v>
      </c>
      <c r="CC18">
        <v>15014.4</v>
      </c>
      <c r="CD18">
        <v>22</v>
      </c>
      <c r="CE18">
        <v>14361.599999999999</v>
      </c>
      <c r="CF18">
        <v>28</v>
      </c>
      <c r="CG18">
        <v>18278.399999999998</v>
      </c>
      <c r="CH18">
        <v>25</v>
      </c>
      <c r="CI18">
        <v>16319.999999999998</v>
      </c>
      <c r="CJ18">
        <v>23</v>
      </c>
      <c r="CK18">
        <v>15014.4</v>
      </c>
      <c r="CL18">
        <v>22</v>
      </c>
      <c r="CM18">
        <v>14361.599999999999</v>
      </c>
      <c r="CN18">
        <v>20</v>
      </c>
      <c r="CO18">
        <v>13056</v>
      </c>
      <c r="CP18">
        <v>19</v>
      </c>
      <c r="CQ18">
        <v>12403.199999999999</v>
      </c>
      <c r="CR18">
        <v>26</v>
      </c>
      <c r="CS18">
        <v>16972.8</v>
      </c>
      <c r="CT18">
        <v>20</v>
      </c>
      <c r="CU18">
        <v>13056</v>
      </c>
    </row>
    <row r="19" spans="2:99" x14ac:dyDescent="0.2">
      <c r="C19" s="118" t="s">
        <v>185</v>
      </c>
      <c r="D19">
        <v>19</v>
      </c>
      <c r="E19">
        <v>6270</v>
      </c>
      <c r="F19">
        <v>18.383439247104143</v>
      </c>
      <c r="G19">
        <v>6066.5349515443668</v>
      </c>
      <c r="H19">
        <v>22</v>
      </c>
      <c r="I19">
        <v>7260</v>
      </c>
      <c r="J19">
        <v>25.346067426782465</v>
      </c>
      <c r="K19">
        <v>8364.2022508382142</v>
      </c>
      <c r="L19">
        <v>19</v>
      </c>
      <c r="M19">
        <v>6270</v>
      </c>
      <c r="N19">
        <v>22</v>
      </c>
      <c r="O19">
        <v>7260</v>
      </c>
      <c r="P19">
        <v>27</v>
      </c>
      <c r="Q19">
        <v>8910</v>
      </c>
      <c r="R19">
        <v>28</v>
      </c>
      <c r="S19">
        <v>9240</v>
      </c>
      <c r="T19">
        <v>16</v>
      </c>
      <c r="U19">
        <v>5280</v>
      </c>
      <c r="V19">
        <v>22</v>
      </c>
      <c r="W19">
        <v>7260</v>
      </c>
      <c r="X19">
        <v>25</v>
      </c>
      <c r="Y19">
        <v>8250</v>
      </c>
      <c r="Z19">
        <v>25</v>
      </c>
      <c r="AA19">
        <v>8250</v>
      </c>
      <c r="AB19">
        <v>23</v>
      </c>
      <c r="AC19">
        <v>7590</v>
      </c>
      <c r="AD19">
        <v>18</v>
      </c>
      <c r="AE19">
        <v>5940</v>
      </c>
      <c r="AF19">
        <v>23</v>
      </c>
      <c r="AG19">
        <v>7590</v>
      </c>
      <c r="AH19">
        <v>32</v>
      </c>
      <c r="AI19">
        <v>10560</v>
      </c>
      <c r="AJ19">
        <v>20</v>
      </c>
      <c r="AK19">
        <v>6600</v>
      </c>
      <c r="AL19">
        <v>19</v>
      </c>
      <c r="AM19">
        <v>6270</v>
      </c>
      <c r="AN19">
        <v>27</v>
      </c>
      <c r="AO19">
        <v>8910</v>
      </c>
      <c r="AP19">
        <v>20</v>
      </c>
      <c r="AQ19">
        <v>6600</v>
      </c>
      <c r="AR19">
        <v>25</v>
      </c>
      <c r="AS19">
        <v>8250</v>
      </c>
      <c r="AT19">
        <v>21</v>
      </c>
      <c r="AU19">
        <v>6930</v>
      </c>
      <c r="AV19">
        <v>23</v>
      </c>
      <c r="AW19">
        <v>7590</v>
      </c>
      <c r="AX19">
        <v>22</v>
      </c>
      <c r="AY19">
        <v>7260</v>
      </c>
      <c r="AZ19">
        <v>22</v>
      </c>
      <c r="BA19">
        <v>7260</v>
      </c>
      <c r="BB19">
        <v>24</v>
      </c>
      <c r="BC19">
        <v>7920</v>
      </c>
      <c r="BD19">
        <v>33</v>
      </c>
      <c r="BE19">
        <v>10890</v>
      </c>
      <c r="BF19">
        <v>29</v>
      </c>
      <c r="BG19">
        <v>9570</v>
      </c>
      <c r="BH19">
        <v>28</v>
      </c>
      <c r="BI19">
        <v>9240</v>
      </c>
      <c r="BJ19">
        <v>18</v>
      </c>
      <c r="BK19">
        <v>5940</v>
      </c>
      <c r="BL19">
        <v>29</v>
      </c>
      <c r="BM19">
        <v>9570</v>
      </c>
      <c r="BN19">
        <v>28</v>
      </c>
      <c r="BO19">
        <v>9240</v>
      </c>
      <c r="BP19">
        <v>26</v>
      </c>
      <c r="BQ19">
        <v>8580</v>
      </c>
      <c r="BR19">
        <v>18</v>
      </c>
      <c r="BS19">
        <v>5940</v>
      </c>
      <c r="BT19">
        <v>23</v>
      </c>
      <c r="BU19">
        <v>7590</v>
      </c>
      <c r="BV19">
        <v>20</v>
      </c>
      <c r="BW19">
        <v>6600</v>
      </c>
      <c r="BX19">
        <v>18</v>
      </c>
      <c r="BY19">
        <v>5940</v>
      </c>
      <c r="BZ19">
        <v>25</v>
      </c>
      <c r="CA19">
        <v>8250</v>
      </c>
      <c r="CB19">
        <v>26</v>
      </c>
      <c r="CC19">
        <v>8580</v>
      </c>
      <c r="CD19">
        <v>27</v>
      </c>
      <c r="CE19">
        <v>8910</v>
      </c>
      <c r="CF19">
        <v>29</v>
      </c>
      <c r="CG19">
        <v>9570</v>
      </c>
      <c r="CH19">
        <v>28</v>
      </c>
      <c r="CI19">
        <v>9240</v>
      </c>
      <c r="CJ19">
        <v>25</v>
      </c>
      <c r="CK19">
        <v>8250</v>
      </c>
      <c r="CL19">
        <v>26</v>
      </c>
      <c r="CM19">
        <v>8580</v>
      </c>
      <c r="CN19">
        <v>20</v>
      </c>
      <c r="CO19">
        <v>6600</v>
      </c>
      <c r="CP19">
        <v>20</v>
      </c>
      <c r="CQ19">
        <v>6600</v>
      </c>
      <c r="CR19">
        <v>26</v>
      </c>
      <c r="CS19">
        <v>8580</v>
      </c>
      <c r="CT19">
        <v>22</v>
      </c>
      <c r="CU19">
        <v>7260</v>
      </c>
    </row>
    <row r="20" spans="2:99" x14ac:dyDescent="0.2">
      <c r="B20" s="118" t="s">
        <v>127</v>
      </c>
      <c r="C20" s="118" t="s">
        <v>186</v>
      </c>
      <c r="D20">
        <v>13</v>
      </c>
      <c r="E20">
        <v>3728.4</v>
      </c>
      <c r="F20">
        <v>14</v>
      </c>
      <c r="G20">
        <v>4015.2000000000003</v>
      </c>
      <c r="H20">
        <v>14</v>
      </c>
      <c r="I20">
        <v>4015.2000000000003</v>
      </c>
      <c r="J20">
        <v>15.341011278782057</v>
      </c>
      <c r="K20">
        <v>4399.8020347546944</v>
      </c>
      <c r="L20">
        <v>25</v>
      </c>
      <c r="M20">
        <v>7170</v>
      </c>
      <c r="N20">
        <v>17</v>
      </c>
      <c r="O20">
        <v>4875.6000000000004</v>
      </c>
      <c r="P20">
        <v>15</v>
      </c>
      <c r="Q20">
        <v>4302</v>
      </c>
      <c r="R20">
        <v>19</v>
      </c>
      <c r="S20">
        <v>5449.2</v>
      </c>
      <c r="T20">
        <v>18</v>
      </c>
      <c r="U20">
        <v>5162.4000000000005</v>
      </c>
      <c r="V20">
        <v>20</v>
      </c>
      <c r="W20">
        <v>5736</v>
      </c>
      <c r="X20">
        <v>26</v>
      </c>
      <c r="Y20">
        <v>7456.8</v>
      </c>
      <c r="Z20">
        <v>22</v>
      </c>
      <c r="AA20">
        <v>6309.6</v>
      </c>
      <c r="AB20">
        <v>16</v>
      </c>
      <c r="AC20">
        <v>4588.8</v>
      </c>
      <c r="AD20">
        <v>20</v>
      </c>
      <c r="AE20">
        <v>5736</v>
      </c>
      <c r="AF20">
        <v>16</v>
      </c>
      <c r="AG20">
        <v>4588.8</v>
      </c>
      <c r="AH20">
        <v>19</v>
      </c>
      <c r="AI20">
        <v>5449.2</v>
      </c>
      <c r="AJ20">
        <v>27</v>
      </c>
      <c r="AK20">
        <v>7743.6</v>
      </c>
      <c r="AL20">
        <v>20</v>
      </c>
      <c r="AM20">
        <v>5736</v>
      </c>
      <c r="AN20">
        <v>22</v>
      </c>
      <c r="AO20">
        <v>6309.6</v>
      </c>
      <c r="AP20">
        <v>22</v>
      </c>
      <c r="AQ20">
        <v>6309.6</v>
      </c>
      <c r="AR20">
        <v>14</v>
      </c>
      <c r="AS20">
        <v>4015.2000000000003</v>
      </c>
      <c r="AT20">
        <v>25</v>
      </c>
      <c r="AU20">
        <v>7170</v>
      </c>
      <c r="AV20">
        <v>15</v>
      </c>
      <c r="AW20">
        <v>4302</v>
      </c>
      <c r="AX20">
        <v>18</v>
      </c>
      <c r="AY20">
        <v>5162.4000000000005</v>
      </c>
      <c r="AZ20">
        <v>23</v>
      </c>
      <c r="BA20">
        <v>6596.4000000000005</v>
      </c>
      <c r="BB20">
        <v>20</v>
      </c>
      <c r="BC20">
        <v>5736</v>
      </c>
      <c r="BD20">
        <v>24</v>
      </c>
      <c r="BE20">
        <v>6883.2000000000007</v>
      </c>
      <c r="BF20">
        <v>19</v>
      </c>
      <c r="BG20">
        <v>5449.2</v>
      </c>
      <c r="BH20">
        <v>19</v>
      </c>
      <c r="BI20">
        <v>5449.2</v>
      </c>
      <c r="BJ20">
        <v>15</v>
      </c>
      <c r="BK20">
        <v>4302</v>
      </c>
      <c r="BL20">
        <v>17</v>
      </c>
      <c r="BM20">
        <v>4875.6000000000004</v>
      </c>
      <c r="BN20">
        <v>17</v>
      </c>
      <c r="BO20">
        <v>4875.6000000000004</v>
      </c>
      <c r="BP20">
        <v>22</v>
      </c>
      <c r="BQ20">
        <v>6309.6</v>
      </c>
      <c r="BR20">
        <v>18</v>
      </c>
      <c r="BS20">
        <v>5162.4000000000005</v>
      </c>
      <c r="BT20">
        <v>24</v>
      </c>
      <c r="BU20">
        <v>6883.2000000000007</v>
      </c>
      <c r="BV20">
        <v>16</v>
      </c>
      <c r="BW20">
        <v>4588.8</v>
      </c>
      <c r="BX20">
        <v>18</v>
      </c>
      <c r="BY20">
        <v>5162.4000000000005</v>
      </c>
      <c r="BZ20">
        <v>20</v>
      </c>
      <c r="CA20">
        <v>5736</v>
      </c>
      <c r="CB20">
        <v>19</v>
      </c>
      <c r="CC20">
        <v>5449.2</v>
      </c>
      <c r="CD20">
        <v>23</v>
      </c>
      <c r="CE20">
        <v>6596.4000000000005</v>
      </c>
      <c r="CF20">
        <v>28</v>
      </c>
      <c r="CG20">
        <v>8030.4000000000005</v>
      </c>
      <c r="CH20">
        <v>20</v>
      </c>
      <c r="CI20">
        <v>5736</v>
      </c>
      <c r="CJ20">
        <v>19</v>
      </c>
      <c r="CK20">
        <v>5449.2</v>
      </c>
      <c r="CL20">
        <v>18</v>
      </c>
      <c r="CM20">
        <v>5162.4000000000005</v>
      </c>
      <c r="CN20">
        <v>26</v>
      </c>
      <c r="CO20">
        <v>7456.8</v>
      </c>
      <c r="CP20">
        <v>15</v>
      </c>
      <c r="CQ20">
        <v>4302</v>
      </c>
      <c r="CR20">
        <v>18</v>
      </c>
      <c r="CS20">
        <v>5162.4000000000005</v>
      </c>
      <c r="CT20">
        <v>26</v>
      </c>
      <c r="CU20">
        <v>7456.8</v>
      </c>
    </row>
    <row r="21" spans="2:99" x14ac:dyDescent="0.2">
      <c r="C21" s="118" t="s">
        <v>187</v>
      </c>
      <c r="D21">
        <v>13</v>
      </c>
      <c r="E21">
        <v>811.19999999999993</v>
      </c>
      <c r="F21">
        <v>16</v>
      </c>
      <c r="G21">
        <v>998.4</v>
      </c>
      <c r="H21">
        <v>16</v>
      </c>
      <c r="I21">
        <v>998.4</v>
      </c>
      <c r="J21">
        <v>15.427528135477674</v>
      </c>
      <c r="K21">
        <v>962.6777556538068</v>
      </c>
      <c r="L21">
        <v>27</v>
      </c>
      <c r="M21">
        <v>1684.8</v>
      </c>
      <c r="N21">
        <v>17</v>
      </c>
      <c r="O21">
        <v>1060.8</v>
      </c>
      <c r="P21">
        <v>17</v>
      </c>
      <c r="Q21">
        <v>1060.8</v>
      </c>
      <c r="R21">
        <v>23</v>
      </c>
      <c r="S21">
        <v>1435.2</v>
      </c>
      <c r="T21">
        <v>19</v>
      </c>
      <c r="U21">
        <v>1185.5999999999999</v>
      </c>
      <c r="V21">
        <v>24</v>
      </c>
      <c r="W21">
        <v>1497.6</v>
      </c>
      <c r="X21">
        <v>27</v>
      </c>
      <c r="Y21">
        <v>1684.8</v>
      </c>
      <c r="Z21">
        <v>24</v>
      </c>
      <c r="AA21">
        <v>1497.6</v>
      </c>
      <c r="AB21">
        <v>19</v>
      </c>
      <c r="AC21">
        <v>1185.5999999999999</v>
      </c>
      <c r="AD21">
        <v>21</v>
      </c>
      <c r="AE21">
        <v>1310.3999999999999</v>
      </c>
      <c r="AF21">
        <v>18</v>
      </c>
      <c r="AG21">
        <v>1123.2</v>
      </c>
      <c r="AH21">
        <v>20</v>
      </c>
      <c r="AI21">
        <v>1248</v>
      </c>
      <c r="AJ21">
        <v>25</v>
      </c>
      <c r="AK21">
        <v>1560</v>
      </c>
      <c r="AL21">
        <v>23</v>
      </c>
      <c r="AM21">
        <v>1435.2</v>
      </c>
      <c r="AN21">
        <v>19</v>
      </c>
      <c r="AO21">
        <v>1185.5999999999999</v>
      </c>
      <c r="AP21">
        <v>21</v>
      </c>
      <c r="AQ21">
        <v>1310.3999999999999</v>
      </c>
      <c r="AR21">
        <v>15</v>
      </c>
      <c r="AS21">
        <v>936</v>
      </c>
      <c r="AT21">
        <v>27</v>
      </c>
      <c r="AU21">
        <v>1684.8</v>
      </c>
      <c r="AV21">
        <v>15</v>
      </c>
      <c r="AW21">
        <v>936</v>
      </c>
      <c r="AX21">
        <v>18</v>
      </c>
      <c r="AY21">
        <v>1123.2</v>
      </c>
      <c r="AZ21">
        <v>25</v>
      </c>
      <c r="BA21">
        <v>1560</v>
      </c>
      <c r="BB21">
        <v>19</v>
      </c>
      <c r="BC21">
        <v>1185.5999999999999</v>
      </c>
      <c r="BD21">
        <v>23</v>
      </c>
      <c r="BE21">
        <v>1435.2</v>
      </c>
      <c r="BF21">
        <v>17</v>
      </c>
      <c r="BG21">
        <v>1060.8</v>
      </c>
      <c r="BH21">
        <v>19</v>
      </c>
      <c r="BI21">
        <v>1185.5999999999999</v>
      </c>
      <c r="BJ21">
        <v>15</v>
      </c>
      <c r="BK21">
        <v>936</v>
      </c>
      <c r="BL21">
        <v>18</v>
      </c>
      <c r="BM21">
        <v>1123.2</v>
      </c>
      <c r="BN21">
        <v>16</v>
      </c>
      <c r="BO21">
        <v>998.4</v>
      </c>
      <c r="BP21">
        <v>21</v>
      </c>
      <c r="BQ21">
        <v>1310.3999999999999</v>
      </c>
      <c r="BR21">
        <v>18</v>
      </c>
      <c r="BS21">
        <v>1123.2</v>
      </c>
      <c r="BT21">
        <v>28</v>
      </c>
      <c r="BU21">
        <v>1747.2</v>
      </c>
      <c r="BV21">
        <v>18</v>
      </c>
      <c r="BW21">
        <v>1123.2</v>
      </c>
      <c r="BX21">
        <v>17</v>
      </c>
      <c r="BY21">
        <v>1060.8</v>
      </c>
      <c r="BZ21">
        <v>23</v>
      </c>
      <c r="CA21">
        <v>1435.2</v>
      </c>
      <c r="CB21">
        <v>19</v>
      </c>
      <c r="CC21">
        <v>1185.5999999999999</v>
      </c>
      <c r="CD21">
        <v>24</v>
      </c>
      <c r="CE21">
        <v>1497.6</v>
      </c>
      <c r="CF21">
        <v>26</v>
      </c>
      <c r="CG21">
        <v>1622.3999999999999</v>
      </c>
      <c r="CH21">
        <v>19</v>
      </c>
      <c r="CI21">
        <v>1185.5999999999999</v>
      </c>
      <c r="CJ21">
        <v>20</v>
      </c>
      <c r="CK21">
        <v>1248</v>
      </c>
      <c r="CL21">
        <v>21</v>
      </c>
      <c r="CM21">
        <v>1310.3999999999999</v>
      </c>
      <c r="CN21">
        <v>29</v>
      </c>
      <c r="CO21">
        <v>1809.6</v>
      </c>
      <c r="CP21">
        <v>17</v>
      </c>
      <c r="CQ21">
        <v>1060.8</v>
      </c>
      <c r="CR21">
        <v>19</v>
      </c>
      <c r="CS21">
        <v>1185.5999999999999</v>
      </c>
      <c r="CT21">
        <v>25</v>
      </c>
      <c r="CU21">
        <v>1560</v>
      </c>
    </row>
    <row r="22" spans="2:99" x14ac:dyDescent="0.2">
      <c r="C22" s="118" t="s">
        <v>188</v>
      </c>
      <c r="D22">
        <v>13</v>
      </c>
      <c r="E22">
        <v>2433.6</v>
      </c>
      <c r="F22">
        <v>17</v>
      </c>
      <c r="G22">
        <v>3182.3999999999996</v>
      </c>
      <c r="H22">
        <v>14</v>
      </c>
      <c r="I22">
        <v>2620.7999999999997</v>
      </c>
      <c r="J22">
        <v>14.341011278782057</v>
      </c>
      <c r="K22">
        <v>2684.6373113880009</v>
      </c>
      <c r="L22">
        <v>24</v>
      </c>
      <c r="M22">
        <v>4492.7999999999993</v>
      </c>
      <c r="N22">
        <v>16</v>
      </c>
      <c r="O22">
        <v>2995.2</v>
      </c>
      <c r="P22">
        <v>17</v>
      </c>
      <c r="Q22">
        <v>3182.3999999999996</v>
      </c>
      <c r="R22">
        <v>19</v>
      </c>
      <c r="S22">
        <v>3556.7999999999997</v>
      </c>
      <c r="T22">
        <v>16</v>
      </c>
      <c r="U22">
        <v>2995.2</v>
      </c>
      <c r="V22">
        <v>23</v>
      </c>
      <c r="W22">
        <v>4305.5999999999995</v>
      </c>
      <c r="X22">
        <v>24</v>
      </c>
      <c r="Y22">
        <v>4492.7999999999993</v>
      </c>
      <c r="Z22">
        <v>25</v>
      </c>
      <c r="AA22">
        <v>4680</v>
      </c>
      <c r="AB22">
        <v>17</v>
      </c>
      <c r="AC22">
        <v>3182.3999999999996</v>
      </c>
      <c r="AD22">
        <v>21</v>
      </c>
      <c r="AE22">
        <v>3931.2</v>
      </c>
      <c r="AF22">
        <v>17</v>
      </c>
      <c r="AG22">
        <v>3182.3999999999996</v>
      </c>
      <c r="AH22">
        <v>22</v>
      </c>
      <c r="AI22">
        <v>4118.3999999999996</v>
      </c>
      <c r="AJ22">
        <v>26</v>
      </c>
      <c r="AK22">
        <v>4867.2</v>
      </c>
      <c r="AL22">
        <v>19</v>
      </c>
      <c r="AM22">
        <v>3556.7999999999997</v>
      </c>
      <c r="AN22">
        <v>21</v>
      </c>
      <c r="AO22">
        <v>3931.2</v>
      </c>
      <c r="AP22">
        <v>25</v>
      </c>
      <c r="AQ22">
        <v>4680</v>
      </c>
      <c r="AR22">
        <v>14</v>
      </c>
      <c r="AS22">
        <v>2620.7999999999997</v>
      </c>
      <c r="AT22">
        <v>23</v>
      </c>
      <c r="AU22">
        <v>4305.5999999999995</v>
      </c>
      <c r="AV22">
        <v>16</v>
      </c>
      <c r="AW22">
        <v>2995.2</v>
      </c>
      <c r="AX22">
        <v>17</v>
      </c>
      <c r="AY22">
        <v>3182.3999999999996</v>
      </c>
      <c r="AZ22">
        <v>21</v>
      </c>
      <c r="BA22">
        <v>3931.2</v>
      </c>
      <c r="BB22">
        <v>19</v>
      </c>
      <c r="BC22">
        <v>3556.7999999999997</v>
      </c>
      <c r="BD22">
        <v>23</v>
      </c>
      <c r="BE22">
        <v>4305.5999999999995</v>
      </c>
      <c r="BF22">
        <v>18</v>
      </c>
      <c r="BG22">
        <v>3369.6</v>
      </c>
      <c r="BH22">
        <v>20</v>
      </c>
      <c r="BI22">
        <v>3744</v>
      </c>
      <c r="BJ22">
        <v>15</v>
      </c>
      <c r="BK22">
        <v>2808</v>
      </c>
      <c r="BL22">
        <v>19</v>
      </c>
      <c r="BM22">
        <v>3556.7999999999997</v>
      </c>
      <c r="BN22">
        <v>16</v>
      </c>
      <c r="BO22">
        <v>2995.2</v>
      </c>
      <c r="BP22">
        <v>21</v>
      </c>
      <c r="BQ22">
        <v>3931.2</v>
      </c>
      <c r="BR22">
        <v>20</v>
      </c>
      <c r="BS22">
        <v>3744</v>
      </c>
      <c r="BT22">
        <v>23</v>
      </c>
      <c r="BU22">
        <v>4305.5999999999995</v>
      </c>
      <c r="BV22">
        <v>15</v>
      </c>
      <c r="BW22">
        <v>2808</v>
      </c>
      <c r="BX22">
        <v>16</v>
      </c>
      <c r="BY22">
        <v>2995.2</v>
      </c>
      <c r="BZ22">
        <v>21</v>
      </c>
      <c r="CA22">
        <v>3931.2</v>
      </c>
      <c r="CB22">
        <v>19</v>
      </c>
      <c r="CC22">
        <v>3556.7999999999997</v>
      </c>
      <c r="CD22">
        <v>25</v>
      </c>
      <c r="CE22">
        <v>4680</v>
      </c>
      <c r="CF22">
        <v>27</v>
      </c>
      <c r="CG22">
        <v>5054.3999999999996</v>
      </c>
      <c r="CH22">
        <v>18</v>
      </c>
      <c r="CI22">
        <v>3369.6</v>
      </c>
      <c r="CJ22">
        <v>19</v>
      </c>
      <c r="CK22">
        <v>3556.7999999999997</v>
      </c>
      <c r="CL22">
        <v>22</v>
      </c>
      <c r="CM22">
        <v>4118.3999999999996</v>
      </c>
      <c r="CN22">
        <v>26</v>
      </c>
      <c r="CO22">
        <v>4867.2</v>
      </c>
      <c r="CP22">
        <v>16</v>
      </c>
      <c r="CQ22">
        <v>2995.2</v>
      </c>
      <c r="CR22">
        <v>18</v>
      </c>
      <c r="CS22">
        <v>3369.6</v>
      </c>
      <c r="CT22">
        <v>22</v>
      </c>
      <c r="CU22">
        <v>4118.3999999999996</v>
      </c>
    </row>
    <row r="23" spans="2:99" x14ac:dyDescent="0.2">
      <c r="C23" s="118" t="s">
        <v>189</v>
      </c>
      <c r="D23">
        <v>11</v>
      </c>
      <c r="E23">
        <v>3234</v>
      </c>
      <c r="F23">
        <v>15</v>
      </c>
      <c r="G23">
        <v>4410</v>
      </c>
      <c r="H23">
        <v>15</v>
      </c>
      <c r="I23">
        <v>4410</v>
      </c>
      <c r="J23">
        <v>14.29775285043425</v>
      </c>
      <c r="K23">
        <v>4203.5393380276691</v>
      </c>
      <c r="L23">
        <v>24</v>
      </c>
      <c r="M23">
        <v>7056</v>
      </c>
      <c r="N23">
        <v>15</v>
      </c>
      <c r="O23">
        <v>4410</v>
      </c>
      <c r="P23">
        <v>15</v>
      </c>
      <c r="Q23">
        <v>4410</v>
      </c>
      <c r="R23">
        <v>20</v>
      </c>
      <c r="S23">
        <v>5880</v>
      </c>
      <c r="T23">
        <v>18</v>
      </c>
      <c r="U23">
        <v>5292</v>
      </c>
      <c r="V23">
        <v>21</v>
      </c>
      <c r="W23">
        <v>6174</v>
      </c>
      <c r="X23">
        <v>22</v>
      </c>
      <c r="Y23">
        <v>6468</v>
      </c>
      <c r="Z23">
        <v>23</v>
      </c>
      <c r="AA23">
        <v>6762</v>
      </c>
      <c r="AB23">
        <v>17</v>
      </c>
      <c r="AC23">
        <v>4998</v>
      </c>
      <c r="AD23">
        <v>19</v>
      </c>
      <c r="AE23">
        <v>5586</v>
      </c>
      <c r="AF23">
        <v>17</v>
      </c>
      <c r="AG23">
        <v>4998</v>
      </c>
      <c r="AH23">
        <v>20</v>
      </c>
      <c r="AI23">
        <v>5880</v>
      </c>
      <c r="AJ23">
        <v>23</v>
      </c>
      <c r="AK23">
        <v>6762</v>
      </c>
      <c r="AL23">
        <v>22</v>
      </c>
      <c r="AM23">
        <v>6468</v>
      </c>
      <c r="AN23">
        <v>21</v>
      </c>
      <c r="AO23">
        <v>6174</v>
      </c>
      <c r="AP23">
        <v>23</v>
      </c>
      <c r="AQ23">
        <v>6762</v>
      </c>
      <c r="AR23">
        <v>14</v>
      </c>
      <c r="AS23">
        <v>4116</v>
      </c>
      <c r="AT23">
        <v>22</v>
      </c>
      <c r="AU23">
        <v>6468</v>
      </c>
      <c r="AV23">
        <v>15</v>
      </c>
      <c r="AW23">
        <v>4410</v>
      </c>
      <c r="AX23">
        <v>16</v>
      </c>
      <c r="AY23">
        <v>4704</v>
      </c>
      <c r="AZ23">
        <v>21</v>
      </c>
      <c r="BA23">
        <v>6174</v>
      </c>
      <c r="BB23">
        <v>17</v>
      </c>
      <c r="BC23">
        <v>4998</v>
      </c>
      <c r="BD23">
        <v>26</v>
      </c>
      <c r="BE23">
        <v>7644</v>
      </c>
      <c r="BF23">
        <v>17</v>
      </c>
      <c r="BG23">
        <v>4998</v>
      </c>
      <c r="BH23">
        <v>20</v>
      </c>
      <c r="BI23">
        <v>5880</v>
      </c>
      <c r="BJ23">
        <v>14</v>
      </c>
      <c r="BK23">
        <v>4116</v>
      </c>
      <c r="BL23">
        <v>18</v>
      </c>
      <c r="BM23">
        <v>5292</v>
      </c>
      <c r="BN23">
        <v>16</v>
      </c>
      <c r="BO23">
        <v>4704</v>
      </c>
      <c r="BP23">
        <v>21</v>
      </c>
      <c r="BQ23">
        <v>6174</v>
      </c>
      <c r="BR23">
        <v>21</v>
      </c>
      <c r="BS23">
        <v>6174</v>
      </c>
      <c r="BT23">
        <v>27</v>
      </c>
      <c r="BU23">
        <v>7938</v>
      </c>
      <c r="BV23">
        <v>16</v>
      </c>
      <c r="BW23">
        <v>4704</v>
      </c>
      <c r="BX23">
        <v>19</v>
      </c>
      <c r="BY23">
        <v>5586</v>
      </c>
      <c r="BZ23">
        <v>23</v>
      </c>
      <c r="CA23">
        <v>6762</v>
      </c>
      <c r="CB23">
        <v>17</v>
      </c>
      <c r="CC23">
        <v>4998</v>
      </c>
      <c r="CD23">
        <v>26</v>
      </c>
      <c r="CE23">
        <v>7644</v>
      </c>
      <c r="CF23">
        <v>26</v>
      </c>
      <c r="CG23">
        <v>7644</v>
      </c>
      <c r="CH23">
        <v>20</v>
      </c>
      <c r="CI23">
        <v>5880</v>
      </c>
      <c r="CJ23">
        <v>17</v>
      </c>
      <c r="CK23">
        <v>4998</v>
      </c>
      <c r="CL23">
        <v>20</v>
      </c>
      <c r="CM23">
        <v>5880</v>
      </c>
      <c r="CN23">
        <v>24</v>
      </c>
      <c r="CO23">
        <v>7056</v>
      </c>
      <c r="CP23">
        <v>15</v>
      </c>
      <c r="CQ23">
        <v>4410</v>
      </c>
      <c r="CR23">
        <v>20</v>
      </c>
      <c r="CS23">
        <v>5880</v>
      </c>
      <c r="CT23">
        <v>23</v>
      </c>
      <c r="CU23">
        <v>6762</v>
      </c>
    </row>
    <row r="24" spans="2:99" x14ac:dyDescent="0.2">
      <c r="C24" s="118" t="s">
        <v>190</v>
      </c>
      <c r="D24">
        <v>12</v>
      </c>
      <c r="E24">
        <v>4406.3999999999996</v>
      </c>
      <c r="F24">
        <v>14</v>
      </c>
      <c r="G24">
        <v>5140.8</v>
      </c>
      <c r="H24">
        <v>14</v>
      </c>
      <c r="I24">
        <v>5140.8</v>
      </c>
      <c r="J24">
        <v>15.427528135477674</v>
      </c>
      <c r="K24">
        <v>5664.988331347402</v>
      </c>
      <c r="L24">
        <v>22</v>
      </c>
      <c r="M24">
        <v>8078.4</v>
      </c>
      <c r="N24">
        <v>16</v>
      </c>
      <c r="O24">
        <v>5875.2</v>
      </c>
      <c r="P24">
        <v>16</v>
      </c>
      <c r="Q24">
        <v>5875.2</v>
      </c>
      <c r="R24">
        <v>20</v>
      </c>
      <c r="S24">
        <v>7344</v>
      </c>
      <c r="T24">
        <v>16</v>
      </c>
      <c r="U24">
        <v>5875.2</v>
      </c>
      <c r="V24">
        <v>23</v>
      </c>
      <c r="W24">
        <v>8445.6</v>
      </c>
      <c r="X24">
        <v>22</v>
      </c>
      <c r="Y24">
        <v>8078.4</v>
      </c>
      <c r="Z24">
        <v>22</v>
      </c>
      <c r="AA24">
        <v>8078.4</v>
      </c>
      <c r="AB24">
        <v>16</v>
      </c>
      <c r="AC24">
        <v>5875.2</v>
      </c>
      <c r="AD24">
        <v>21</v>
      </c>
      <c r="AE24">
        <v>7711.2</v>
      </c>
      <c r="AF24">
        <v>17</v>
      </c>
      <c r="AG24">
        <v>6242.4</v>
      </c>
      <c r="AH24">
        <v>20</v>
      </c>
      <c r="AI24">
        <v>7344</v>
      </c>
      <c r="AJ24">
        <v>24</v>
      </c>
      <c r="AK24">
        <v>8812.7999999999993</v>
      </c>
      <c r="AL24">
        <v>19</v>
      </c>
      <c r="AM24">
        <v>6976.8</v>
      </c>
      <c r="AN24">
        <v>21</v>
      </c>
      <c r="AO24">
        <v>7711.2</v>
      </c>
      <c r="AP24">
        <v>24</v>
      </c>
      <c r="AQ24">
        <v>8812.7999999999993</v>
      </c>
      <c r="AR24">
        <v>14</v>
      </c>
      <c r="AS24">
        <v>5140.8</v>
      </c>
      <c r="AT24">
        <v>25</v>
      </c>
      <c r="AU24">
        <v>9180</v>
      </c>
      <c r="AV24">
        <v>16</v>
      </c>
      <c r="AW24">
        <v>5875.2</v>
      </c>
      <c r="AX24">
        <v>18</v>
      </c>
      <c r="AY24">
        <v>6609.5999999999995</v>
      </c>
      <c r="AZ24">
        <v>21</v>
      </c>
      <c r="BA24">
        <v>7711.2</v>
      </c>
      <c r="BB24">
        <v>17</v>
      </c>
      <c r="BC24">
        <v>6242.4</v>
      </c>
      <c r="BD24">
        <v>24</v>
      </c>
      <c r="BE24">
        <v>8812.7999999999993</v>
      </c>
      <c r="BF24">
        <v>18</v>
      </c>
      <c r="BG24">
        <v>6609.5999999999995</v>
      </c>
      <c r="BH24">
        <v>17</v>
      </c>
      <c r="BI24">
        <v>6242.4</v>
      </c>
      <c r="BJ24">
        <v>14</v>
      </c>
      <c r="BK24">
        <v>5140.8</v>
      </c>
      <c r="BL24">
        <v>19</v>
      </c>
      <c r="BM24">
        <v>6976.8</v>
      </c>
      <c r="BN24">
        <v>18</v>
      </c>
      <c r="BO24">
        <v>6609.5999999999995</v>
      </c>
      <c r="BP24">
        <v>20</v>
      </c>
      <c r="BQ24">
        <v>7344</v>
      </c>
      <c r="BR24">
        <v>21</v>
      </c>
      <c r="BS24">
        <v>7711.2</v>
      </c>
      <c r="BT24">
        <v>24</v>
      </c>
      <c r="BU24">
        <v>8812.7999999999993</v>
      </c>
      <c r="BV24">
        <v>17</v>
      </c>
      <c r="BW24">
        <v>6242.4</v>
      </c>
      <c r="BX24">
        <v>17</v>
      </c>
      <c r="BY24">
        <v>6242.4</v>
      </c>
      <c r="BZ24">
        <v>23</v>
      </c>
      <c r="CA24">
        <v>8445.6</v>
      </c>
      <c r="CB24">
        <v>19</v>
      </c>
      <c r="CC24">
        <v>6976.8</v>
      </c>
      <c r="CD24">
        <v>26</v>
      </c>
      <c r="CE24">
        <v>9547.1999999999989</v>
      </c>
      <c r="CF24">
        <v>28</v>
      </c>
      <c r="CG24">
        <v>10281.6</v>
      </c>
      <c r="CH24">
        <v>17</v>
      </c>
      <c r="CI24">
        <v>6242.4</v>
      </c>
      <c r="CJ24">
        <v>18</v>
      </c>
      <c r="CK24">
        <v>6609.5999999999995</v>
      </c>
      <c r="CL24">
        <v>21</v>
      </c>
      <c r="CM24">
        <v>7711.2</v>
      </c>
      <c r="CN24">
        <v>25</v>
      </c>
      <c r="CO24">
        <v>9180</v>
      </c>
      <c r="CP24">
        <v>15</v>
      </c>
      <c r="CQ24">
        <v>5508</v>
      </c>
      <c r="CR24">
        <v>20</v>
      </c>
      <c r="CS24">
        <v>7344</v>
      </c>
      <c r="CT24">
        <v>23</v>
      </c>
      <c r="CU24">
        <v>8445.6</v>
      </c>
    </row>
    <row r="25" spans="2:99" x14ac:dyDescent="0.2">
      <c r="C25" s="118" t="s">
        <v>191</v>
      </c>
      <c r="D25">
        <v>11</v>
      </c>
      <c r="E25">
        <v>5834.4</v>
      </c>
      <c r="F25">
        <v>15</v>
      </c>
      <c r="G25">
        <v>7956</v>
      </c>
      <c r="H25">
        <v>15</v>
      </c>
      <c r="I25">
        <v>7956</v>
      </c>
      <c r="J25">
        <v>14.384269707129866</v>
      </c>
      <c r="K25">
        <v>7629.41665266168</v>
      </c>
      <c r="L25">
        <v>22</v>
      </c>
      <c r="M25">
        <v>11668.8</v>
      </c>
      <c r="N25">
        <v>15</v>
      </c>
      <c r="O25">
        <v>7956</v>
      </c>
      <c r="P25">
        <v>16</v>
      </c>
      <c r="Q25">
        <v>8486.4</v>
      </c>
      <c r="R25">
        <v>20</v>
      </c>
      <c r="S25">
        <v>10608</v>
      </c>
      <c r="T25">
        <v>17</v>
      </c>
      <c r="U25">
        <v>9016.7999999999993</v>
      </c>
      <c r="V25">
        <v>22</v>
      </c>
      <c r="W25">
        <v>11668.8</v>
      </c>
      <c r="X25">
        <v>23</v>
      </c>
      <c r="Y25">
        <v>12199.199999999999</v>
      </c>
      <c r="Z25">
        <v>20</v>
      </c>
      <c r="AA25">
        <v>10608</v>
      </c>
      <c r="AB25">
        <v>19</v>
      </c>
      <c r="AC25">
        <v>10077.6</v>
      </c>
      <c r="AD25">
        <v>21</v>
      </c>
      <c r="AE25">
        <v>11138.4</v>
      </c>
      <c r="AF25">
        <v>16</v>
      </c>
      <c r="AG25">
        <v>8486.4</v>
      </c>
      <c r="AH25">
        <v>20</v>
      </c>
      <c r="AI25">
        <v>10608</v>
      </c>
      <c r="AJ25">
        <v>23</v>
      </c>
      <c r="AK25">
        <v>12199.199999999999</v>
      </c>
      <c r="AL25">
        <v>19</v>
      </c>
      <c r="AM25">
        <v>10077.6</v>
      </c>
      <c r="AN25">
        <v>19</v>
      </c>
      <c r="AO25">
        <v>10077.6</v>
      </c>
      <c r="AP25">
        <v>24</v>
      </c>
      <c r="AQ25">
        <v>12729.599999999999</v>
      </c>
      <c r="AR25">
        <v>15</v>
      </c>
      <c r="AS25">
        <v>7956</v>
      </c>
      <c r="AT25">
        <v>22</v>
      </c>
      <c r="AU25">
        <v>11668.8</v>
      </c>
      <c r="AV25">
        <v>13</v>
      </c>
      <c r="AW25">
        <v>6895.2</v>
      </c>
      <c r="AX25">
        <v>16</v>
      </c>
      <c r="AY25">
        <v>8486.4</v>
      </c>
      <c r="AZ25">
        <v>20</v>
      </c>
      <c r="BA25">
        <v>10608</v>
      </c>
      <c r="BB25">
        <v>19</v>
      </c>
      <c r="BC25">
        <v>10077.6</v>
      </c>
      <c r="BD25">
        <v>26</v>
      </c>
      <c r="BE25">
        <v>13790.4</v>
      </c>
      <c r="BF25">
        <v>17</v>
      </c>
      <c r="BG25">
        <v>9016.7999999999993</v>
      </c>
      <c r="BH25">
        <v>18</v>
      </c>
      <c r="BI25">
        <v>9547.1999999999989</v>
      </c>
      <c r="BJ25">
        <v>14</v>
      </c>
      <c r="BK25">
        <v>7425.5999999999995</v>
      </c>
      <c r="BL25">
        <v>19</v>
      </c>
      <c r="BM25">
        <v>10077.6</v>
      </c>
      <c r="BN25">
        <v>15</v>
      </c>
      <c r="BO25">
        <v>7956</v>
      </c>
      <c r="BP25">
        <v>18</v>
      </c>
      <c r="BQ25">
        <v>9547.1999999999989</v>
      </c>
      <c r="BR25">
        <v>19</v>
      </c>
      <c r="BS25">
        <v>10077.6</v>
      </c>
      <c r="BT25">
        <v>24</v>
      </c>
      <c r="BU25">
        <v>12729.599999999999</v>
      </c>
      <c r="BV25">
        <v>17</v>
      </c>
      <c r="BW25">
        <v>9016.7999999999993</v>
      </c>
      <c r="BX25">
        <v>18</v>
      </c>
      <c r="BY25">
        <v>9547.1999999999989</v>
      </c>
      <c r="BZ25">
        <v>21</v>
      </c>
      <c r="CA25">
        <v>11138.4</v>
      </c>
      <c r="CB25">
        <v>17</v>
      </c>
      <c r="CC25">
        <v>9016.7999999999993</v>
      </c>
      <c r="CD25">
        <v>24</v>
      </c>
      <c r="CE25">
        <v>12729.599999999999</v>
      </c>
      <c r="CF25">
        <v>24</v>
      </c>
      <c r="CG25">
        <v>12729.599999999999</v>
      </c>
      <c r="CH25">
        <v>16</v>
      </c>
      <c r="CI25">
        <v>8486.4</v>
      </c>
      <c r="CJ25">
        <v>17</v>
      </c>
      <c r="CK25">
        <v>9016.7999999999993</v>
      </c>
      <c r="CL25">
        <v>20</v>
      </c>
      <c r="CM25">
        <v>10608</v>
      </c>
      <c r="CN25">
        <v>26</v>
      </c>
      <c r="CO25">
        <v>13790.4</v>
      </c>
      <c r="CP25">
        <v>15</v>
      </c>
      <c r="CQ25">
        <v>7956</v>
      </c>
      <c r="CR25">
        <v>20</v>
      </c>
      <c r="CS25">
        <v>10608</v>
      </c>
      <c r="CT25">
        <v>23</v>
      </c>
      <c r="CU25">
        <v>12199.199999999999</v>
      </c>
    </row>
    <row r="26" spans="2:99" x14ac:dyDescent="0.2">
      <c r="C26" s="118" t="s">
        <v>192</v>
      </c>
      <c r="D26">
        <v>11</v>
      </c>
      <c r="E26">
        <v>5346</v>
      </c>
      <c r="F26">
        <v>16</v>
      </c>
      <c r="G26">
        <v>7776</v>
      </c>
      <c r="H26">
        <v>15</v>
      </c>
      <c r="I26">
        <v>7290</v>
      </c>
      <c r="J26">
        <v>15.254494422086442</v>
      </c>
      <c r="K26">
        <v>7413.6842891340102</v>
      </c>
      <c r="L26">
        <v>21</v>
      </c>
      <c r="M26">
        <v>10206</v>
      </c>
      <c r="N26">
        <v>16</v>
      </c>
      <c r="O26">
        <v>7776</v>
      </c>
      <c r="P26">
        <v>17</v>
      </c>
      <c r="Q26">
        <v>8262</v>
      </c>
      <c r="R26">
        <v>18</v>
      </c>
      <c r="S26">
        <v>8748</v>
      </c>
      <c r="T26">
        <v>16</v>
      </c>
      <c r="U26">
        <v>7776</v>
      </c>
      <c r="V26">
        <v>21</v>
      </c>
      <c r="W26">
        <v>10206</v>
      </c>
      <c r="X26">
        <v>24</v>
      </c>
      <c r="Y26">
        <v>11664</v>
      </c>
      <c r="Z26">
        <v>22</v>
      </c>
      <c r="AA26">
        <v>10692</v>
      </c>
      <c r="AB26">
        <v>16</v>
      </c>
      <c r="AC26">
        <v>7776</v>
      </c>
      <c r="AD26">
        <v>19</v>
      </c>
      <c r="AE26">
        <v>9234</v>
      </c>
      <c r="AF26">
        <v>15</v>
      </c>
      <c r="AG26">
        <v>7290</v>
      </c>
      <c r="AH26">
        <v>22</v>
      </c>
      <c r="AI26">
        <v>10692</v>
      </c>
      <c r="AJ26">
        <v>27</v>
      </c>
      <c r="AK26">
        <v>13122</v>
      </c>
      <c r="AL26">
        <v>21</v>
      </c>
      <c r="AM26">
        <v>10206</v>
      </c>
      <c r="AN26">
        <v>22</v>
      </c>
      <c r="AO26">
        <v>10692</v>
      </c>
      <c r="AP26">
        <v>23</v>
      </c>
      <c r="AQ26">
        <v>11178</v>
      </c>
      <c r="AR26">
        <v>15</v>
      </c>
      <c r="AS26">
        <v>7290</v>
      </c>
      <c r="AT26">
        <v>25</v>
      </c>
      <c r="AU26">
        <v>12150</v>
      </c>
      <c r="AV26">
        <v>15</v>
      </c>
      <c r="AW26">
        <v>7290</v>
      </c>
      <c r="AX26">
        <v>17</v>
      </c>
      <c r="AY26">
        <v>8262</v>
      </c>
      <c r="AZ26">
        <v>20</v>
      </c>
      <c r="BA26">
        <v>9720</v>
      </c>
      <c r="BB26">
        <v>17</v>
      </c>
      <c r="BC26">
        <v>8262</v>
      </c>
      <c r="BD26">
        <v>25</v>
      </c>
      <c r="BE26">
        <v>12150</v>
      </c>
      <c r="BF26">
        <v>17</v>
      </c>
      <c r="BG26">
        <v>8262</v>
      </c>
      <c r="BH26">
        <v>20</v>
      </c>
      <c r="BI26">
        <v>9720</v>
      </c>
      <c r="BJ26">
        <v>15</v>
      </c>
      <c r="BK26">
        <v>7290</v>
      </c>
      <c r="BL26">
        <v>19</v>
      </c>
      <c r="BM26">
        <v>9234</v>
      </c>
      <c r="BN26">
        <v>16</v>
      </c>
      <c r="BO26">
        <v>7776</v>
      </c>
      <c r="BP26">
        <v>21</v>
      </c>
      <c r="BQ26">
        <v>10206</v>
      </c>
      <c r="BR26">
        <v>18</v>
      </c>
      <c r="BS26">
        <v>8748</v>
      </c>
      <c r="BT26">
        <v>23</v>
      </c>
      <c r="BU26">
        <v>11178</v>
      </c>
      <c r="BV26">
        <v>15</v>
      </c>
      <c r="BW26">
        <v>7290</v>
      </c>
      <c r="BX26">
        <v>16</v>
      </c>
      <c r="BY26">
        <v>7776</v>
      </c>
      <c r="BZ26">
        <v>20</v>
      </c>
      <c r="CA26">
        <v>9720</v>
      </c>
      <c r="CB26">
        <v>17</v>
      </c>
      <c r="CC26">
        <v>8262</v>
      </c>
      <c r="CD26">
        <v>26</v>
      </c>
      <c r="CE26">
        <v>12636</v>
      </c>
      <c r="CF26">
        <v>26</v>
      </c>
      <c r="CG26">
        <v>12636</v>
      </c>
      <c r="CH26">
        <v>16</v>
      </c>
      <c r="CI26">
        <v>7776</v>
      </c>
      <c r="CJ26">
        <v>18</v>
      </c>
      <c r="CK26">
        <v>8748</v>
      </c>
      <c r="CL26">
        <v>20</v>
      </c>
      <c r="CM26">
        <v>9720</v>
      </c>
      <c r="CN26">
        <v>26</v>
      </c>
      <c r="CO26">
        <v>12636</v>
      </c>
      <c r="CP26">
        <v>14</v>
      </c>
      <c r="CQ26">
        <v>6804</v>
      </c>
      <c r="CR26">
        <v>17</v>
      </c>
      <c r="CS26">
        <v>8262</v>
      </c>
      <c r="CT26">
        <v>23</v>
      </c>
      <c r="CU26">
        <v>11178</v>
      </c>
    </row>
    <row r="27" spans="2:99" x14ac:dyDescent="0.2">
      <c r="C27" s="118" t="s">
        <v>193</v>
      </c>
      <c r="D27">
        <v>11</v>
      </c>
      <c r="E27">
        <v>4699.2</v>
      </c>
      <c r="F27">
        <v>16.773406517856653</v>
      </c>
      <c r="G27">
        <v>7165.5992644283624</v>
      </c>
      <c r="H27">
        <v>14</v>
      </c>
      <c r="I27">
        <v>5980.8</v>
      </c>
      <c r="J27">
        <v>14.514044992173291</v>
      </c>
      <c r="K27">
        <v>6200.4000206564297</v>
      </c>
      <c r="L27">
        <v>23</v>
      </c>
      <c r="M27">
        <v>9825.6</v>
      </c>
      <c r="N27">
        <v>15</v>
      </c>
      <c r="O27">
        <v>6408</v>
      </c>
      <c r="P27">
        <v>15</v>
      </c>
      <c r="Q27">
        <v>6408</v>
      </c>
      <c r="R27">
        <v>22</v>
      </c>
      <c r="S27">
        <v>9398.4</v>
      </c>
      <c r="T27">
        <v>16</v>
      </c>
      <c r="U27">
        <v>6835.2</v>
      </c>
      <c r="V27">
        <v>23</v>
      </c>
      <c r="W27">
        <v>9825.6</v>
      </c>
      <c r="X27">
        <v>25</v>
      </c>
      <c r="Y27">
        <v>10680</v>
      </c>
      <c r="Z27">
        <v>22</v>
      </c>
      <c r="AA27">
        <v>9398.4</v>
      </c>
      <c r="AB27">
        <v>17</v>
      </c>
      <c r="AC27">
        <v>7262.4</v>
      </c>
      <c r="AD27">
        <v>21</v>
      </c>
      <c r="AE27">
        <v>8971.1999999999989</v>
      </c>
      <c r="AF27">
        <v>16</v>
      </c>
      <c r="AG27">
        <v>6835.2</v>
      </c>
      <c r="AH27">
        <v>22</v>
      </c>
      <c r="AI27">
        <v>9398.4</v>
      </c>
      <c r="AJ27">
        <v>24</v>
      </c>
      <c r="AK27">
        <v>10252.799999999999</v>
      </c>
      <c r="AL27">
        <v>19</v>
      </c>
      <c r="AM27">
        <v>8116.8</v>
      </c>
      <c r="AN27">
        <v>21</v>
      </c>
      <c r="AO27">
        <v>8971.1999999999989</v>
      </c>
      <c r="AP27">
        <v>21</v>
      </c>
      <c r="AQ27">
        <v>8971.1999999999989</v>
      </c>
      <c r="AR27">
        <v>16</v>
      </c>
      <c r="AS27">
        <v>6835.2</v>
      </c>
      <c r="AT27">
        <v>23</v>
      </c>
      <c r="AU27">
        <v>9825.6</v>
      </c>
      <c r="AV27">
        <v>13</v>
      </c>
      <c r="AW27">
        <v>5553.5999999999995</v>
      </c>
      <c r="AX27">
        <v>18</v>
      </c>
      <c r="AY27">
        <v>7689.5999999999995</v>
      </c>
      <c r="AZ27">
        <v>20</v>
      </c>
      <c r="BA27">
        <v>8544</v>
      </c>
      <c r="BB27">
        <v>18</v>
      </c>
      <c r="BC27">
        <v>7689.5999999999995</v>
      </c>
      <c r="BD27">
        <v>21</v>
      </c>
      <c r="BE27">
        <v>8971.1999999999989</v>
      </c>
      <c r="BF27">
        <v>20</v>
      </c>
      <c r="BG27">
        <v>8544</v>
      </c>
      <c r="BH27">
        <v>18</v>
      </c>
      <c r="BI27">
        <v>7689.5999999999995</v>
      </c>
      <c r="BJ27">
        <v>14</v>
      </c>
      <c r="BK27">
        <v>5980.8</v>
      </c>
      <c r="BL27">
        <v>17</v>
      </c>
      <c r="BM27">
        <v>7262.4</v>
      </c>
      <c r="BN27">
        <v>17</v>
      </c>
      <c r="BO27">
        <v>7262.4</v>
      </c>
      <c r="BP27">
        <v>19</v>
      </c>
      <c r="BQ27">
        <v>8116.8</v>
      </c>
      <c r="BR27">
        <v>19</v>
      </c>
      <c r="BS27">
        <v>8116.8</v>
      </c>
      <c r="BT27">
        <v>27</v>
      </c>
      <c r="BU27">
        <v>11534.4</v>
      </c>
      <c r="BV27">
        <v>16</v>
      </c>
      <c r="BW27">
        <v>6835.2</v>
      </c>
      <c r="BX27">
        <v>17</v>
      </c>
      <c r="BY27">
        <v>7262.4</v>
      </c>
      <c r="BZ27">
        <v>24</v>
      </c>
      <c r="CA27">
        <v>10252.799999999999</v>
      </c>
      <c r="CB27">
        <v>18</v>
      </c>
      <c r="CC27">
        <v>7689.5999999999995</v>
      </c>
      <c r="CD27">
        <v>23</v>
      </c>
      <c r="CE27">
        <v>9825.6</v>
      </c>
      <c r="CF27">
        <v>24</v>
      </c>
      <c r="CG27">
        <v>10252.799999999999</v>
      </c>
      <c r="CH27">
        <v>18</v>
      </c>
      <c r="CI27">
        <v>7689.5999999999995</v>
      </c>
      <c r="CJ27">
        <v>16</v>
      </c>
      <c r="CK27">
        <v>6835.2</v>
      </c>
      <c r="CL27">
        <v>18</v>
      </c>
      <c r="CM27">
        <v>7689.5999999999995</v>
      </c>
      <c r="CN27">
        <v>24</v>
      </c>
      <c r="CO27">
        <v>10252.799999999999</v>
      </c>
      <c r="CP27">
        <v>15</v>
      </c>
      <c r="CQ27">
        <v>6408</v>
      </c>
      <c r="CR27">
        <v>20</v>
      </c>
      <c r="CS27">
        <v>8544</v>
      </c>
      <c r="CT27">
        <v>22</v>
      </c>
      <c r="CU27">
        <v>9398.4</v>
      </c>
    </row>
    <row r="28" spans="2:99" x14ac:dyDescent="0.2">
      <c r="C28" s="118" t="s">
        <v>194</v>
      </c>
      <c r="D28">
        <v>12</v>
      </c>
      <c r="E28">
        <v>8856</v>
      </c>
      <c r="F28">
        <v>14</v>
      </c>
      <c r="G28">
        <v>10332</v>
      </c>
      <c r="H28">
        <v>14</v>
      </c>
      <c r="I28">
        <v>10332</v>
      </c>
      <c r="J28">
        <v>14.254494422086442</v>
      </c>
      <c r="K28">
        <v>10519.816883499794</v>
      </c>
      <c r="L28">
        <v>21</v>
      </c>
      <c r="M28">
        <v>15498</v>
      </c>
      <c r="N28">
        <v>14</v>
      </c>
      <c r="O28">
        <v>10332</v>
      </c>
      <c r="P28">
        <v>14</v>
      </c>
      <c r="Q28">
        <v>10332</v>
      </c>
      <c r="R28">
        <v>20</v>
      </c>
      <c r="S28">
        <v>14760</v>
      </c>
      <c r="T28">
        <v>15</v>
      </c>
      <c r="U28">
        <v>11070</v>
      </c>
      <c r="V28">
        <v>19</v>
      </c>
      <c r="W28">
        <v>14022</v>
      </c>
      <c r="X28">
        <v>23</v>
      </c>
      <c r="Y28">
        <v>16974</v>
      </c>
      <c r="Z28">
        <v>23</v>
      </c>
      <c r="AA28">
        <v>16974</v>
      </c>
      <c r="AB28">
        <v>16</v>
      </c>
      <c r="AC28">
        <v>11808</v>
      </c>
      <c r="AD28">
        <v>18</v>
      </c>
      <c r="AE28">
        <v>13284</v>
      </c>
      <c r="AF28">
        <v>14</v>
      </c>
      <c r="AG28">
        <v>10332</v>
      </c>
      <c r="AH28">
        <v>20</v>
      </c>
      <c r="AI28">
        <v>14760</v>
      </c>
      <c r="AJ28">
        <v>23</v>
      </c>
      <c r="AK28">
        <v>16974</v>
      </c>
      <c r="AL28">
        <v>21</v>
      </c>
      <c r="AM28">
        <v>15498</v>
      </c>
      <c r="AN28">
        <v>19</v>
      </c>
      <c r="AO28">
        <v>14022</v>
      </c>
      <c r="AP28">
        <v>20</v>
      </c>
      <c r="AQ28">
        <v>14760</v>
      </c>
      <c r="AR28">
        <v>13</v>
      </c>
      <c r="AS28">
        <v>9594</v>
      </c>
      <c r="AT28">
        <v>24</v>
      </c>
      <c r="AU28">
        <v>17712</v>
      </c>
      <c r="AV28">
        <v>14</v>
      </c>
      <c r="AW28">
        <v>10332</v>
      </c>
      <c r="AX28">
        <v>15</v>
      </c>
      <c r="AY28">
        <v>11070</v>
      </c>
      <c r="AZ28">
        <v>22</v>
      </c>
      <c r="BA28">
        <v>16236</v>
      </c>
      <c r="BB28">
        <v>18</v>
      </c>
      <c r="BC28">
        <v>13284</v>
      </c>
      <c r="BD28">
        <v>22</v>
      </c>
      <c r="BE28">
        <v>16236</v>
      </c>
      <c r="BF28">
        <v>17</v>
      </c>
      <c r="BG28">
        <v>12546</v>
      </c>
      <c r="BH28">
        <v>17</v>
      </c>
      <c r="BI28">
        <v>12546</v>
      </c>
      <c r="BJ28">
        <v>13</v>
      </c>
      <c r="BK28">
        <v>9594</v>
      </c>
      <c r="BL28">
        <v>17</v>
      </c>
      <c r="BM28">
        <v>12546</v>
      </c>
      <c r="BN28">
        <v>16</v>
      </c>
      <c r="BO28">
        <v>11808</v>
      </c>
      <c r="BP28">
        <v>20</v>
      </c>
      <c r="BQ28">
        <v>14760</v>
      </c>
      <c r="BR28">
        <v>19</v>
      </c>
      <c r="BS28">
        <v>14022</v>
      </c>
      <c r="BT28">
        <v>21</v>
      </c>
      <c r="BU28">
        <v>15498</v>
      </c>
      <c r="BV28">
        <v>16</v>
      </c>
      <c r="BW28">
        <v>11808</v>
      </c>
      <c r="BX28">
        <v>17</v>
      </c>
      <c r="BY28">
        <v>12546</v>
      </c>
      <c r="BZ28">
        <v>21</v>
      </c>
      <c r="CA28">
        <v>15498</v>
      </c>
      <c r="CB28">
        <v>19</v>
      </c>
      <c r="CC28">
        <v>14022</v>
      </c>
      <c r="CD28">
        <v>23</v>
      </c>
      <c r="CE28">
        <v>16974</v>
      </c>
      <c r="CF28">
        <v>23</v>
      </c>
      <c r="CG28">
        <v>16974</v>
      </c>
      <c r="CH28">
        <v>18</v>
      </c>
      <c r="CI28">
        <v>13284</v>
      </c>
      <c r="CJ28">
        <v>15</v>
      </c>
      <c r="CK28">
        <v>11070</v>
      </c>
      <c r="CL28">
        <v>19</v>
      </c>
      <c r="CM28">
        <v>14022</v>
      </c>
      <c r="CN28">
        <v>26</v>
      </c>
      <c r="CO28">
        <v>19188</v>
      </c>
      <c r="CP28">
        <v>16</v>
      </c>
      <c r="CQ28">
        <v>11808</v>
      </c>
      <c r="CR28">
        <v>17</v>
      </c>
      <c r="CS28">
        <v>12546</v>
      </c>
      <c r="CT28">
        <v>23</v>
      </c>
      <c r="CU28">
        <v>16974</v>
      </c>
    </row>
    <row r="29" spans="2:99" x14ac:dyDescent="0.2">
      <c r="C29" s="118" t="s">
        <v>195</v>
      </c>
      <c r="D29">
        <v>12</v>
      </c>
      <c r="E29">
        <v>4060.7999999999997</v>
      </c>
      <c r="F29">
        <v>14</v>
      </c>
      <c r="G29">
        <v>4737.5999999999995</v>
      </c>
      <c r="H29">
        <v>14</v>
      </c>
      <c r="I29">
        <v>4737.5999999999995</v>
      </c>
      <c r="J29">
        <v>15.427528135477674</v>
      </c>
      <c r="K29">
        <v>5220.6755210456449</v>
      </c>
      <c r="L29">
        <v>23</v>
      </c>
      <c r="M29">
        <v>7783.2</v>
      </c>
      <c r="N29">
        <v>16</v>
      </c>
      <c r="O29">
        <v>5414.4</v>
      </c>
      <c r="P29">
        <v>15</v>
      </c>
      <c r="Q29">
        <v>5076</v>
      </c>
      <c r="R29">
        <v>22</v>
      </c>
      <c r="S29">
        <v>7444.7999999999993</v>
      </c>
      <c r="T29">
        <v>18</v>
      </c>
      <c r="U29">
        <v>6091.2</v>
      </c>
      <c r="V29">
        <v>21</v>
      </c>
      <c r="W29">
        <v>7106.4</v>
      </c>
      <c r="X29">
        <v>23</v>
      </c>
      <c r="Y29">
        <v>7783.2</v>
      </c>
      <c r="Z29">
        <v>22</v>
      </c>
      <c r="AA29">
        <v>7444.7999999999993</v>
      </c>
      <c r="AB29">
        <v>17</v>
      </c>
      <c r="AC29">
        <v>5752.7999999999993</v>
      </c>
      <c r="AD29">
        <v>20</v>
      </c>
      <c r="AE29">
        <v>6768</v>
      </c>
      <c r="AF29">
        <v>16</v>
      </c>
      <c r="AG29">
        <v>5414.4</v>
      </c>
      <c r="AH29">
        <v>23</v>
      </c>
      <c r="AI29">
        <v>7783.2</v>
      </c>
      <c r="AJ29">
        <v>26</v>
      </c>
      <c r="AK29">
        <v>8798.4</v>
      </c>
      <c r="AL29">
        <v>21</v>
      </c>
      <c r="AM29">
        <v>7106.4</v>
      </c>
      <c r="AN29">
        <v>20</v>
      </c>
      <c r="AO29">
        <v>6768</v>
      </c>
      <c r="AP29">
        <v>25</v>
      </c>
      <c r="AQ29">
        <v>8460</v>
      </c>
      <c r="AR29">
        <v>15</v>
      </c>
      <c r="AS29">
        <v>5076</v>
      </c>
      <c r="AT29">
        <v>22</v>
      </c>
      <c r="AU29">
        <v>7444.7999999999993</v>
      </c>
      <c r="AV29">
        <v>15</v>
      </c>
      <c r="AW29">
        <v>5076</v>
      </c>
      <c r="AX29">
        <v>17</v>
      </c>
      <c r="AY29">
        <v>5752.7999999999993</v>
      </c>
      <c r="AZ29">
        <v>23</v>
      </c>
      <c r="BA29">
        <v>7783.2</v>
      </c>
      <c r="BB29">
        <v>19</v>
      </c>
      <c r="BC29">
        <v>6429.5999999999995</v>
      </c>
      <c r="BD29">
        <v>24</v>
      </c>
      <c r="BE29">
        <v>8121.5999999999995</v>
      </c>
      <c r="BF29">
        <v>18</v>
      </c>
      <c r="BG29">
        <v>6091.2</v>
      </c>
      <c r="BH29">
        <v>20</v>
      </c>
      <c r="BI29">
        <v>6768</v>
      </c>
      <c r="BJ29">
        <v>14</v>
      </c>
      <c r="BK29">
        <v>4737.5999999999995</v>
      </c>
      <c r="BL29">
        <v>18</v>
      </c>
      <c r="BM29">
        <v>6091.2</v>
      </c>
      <c r="BN29">
        <v>17</v>
      </c>
      <c r="BO29">
        <v>5752.7999999999993</v>
      </c>
      <c r="BP29">
        <v>22</v>
      </c>
      <c r="BQ29">
        <v>7444.7999999999993</v>
      </c>
      <c r="BR29">
        <v>20</v>
      </c>
      <c r="BS29">
        <v>6768</v>
      </c>
      <c r="BT29">
        <v>24</v>
      </c>
      <c r="BU29">
        <v>8121.5999999999995</v>
      </c>
      <c r="BV29">
        <v>17</v>
      </c>
      <c r="BW29">
        <v>5752.7999999999993</v>
      </c>
      <c r="BX29">
        <v>18</v>
      </c>
      <c r="BY29">
        <v>6091.2</v>
      </c>
      <c r="BZ29">
        <v>21</v>
      </c>
      <c r="CA29">
        <v>7106.4</v>
      </c>
      <c r="CB29">
        <v>17</v>
      </c>
      <c r="CC29">
        <v>5752.7999999999993</v>
      </c>
      <c r="CD29">
        <v>25</v>
      </c>
      <c r="CE29">
        <v>8460</v>
      </c>
      <c r="CF29">
        <v>28</v>
      </c>
      <c r="CG29">
        <v>9475.1999999999989</v>
      </c>
      <c r="CH29">
        <v>16</v>
      </c>
      <c r="CI29">
        <v>5414.4</v>
      </c>
      <c r="CJ29">
        <v>17</v>
      </c>
      <c r="CK29">
        <v>5752.7999999999993</v>
      </c>
      <c r="CL29">
        <v>18</v>
      </c>
      <c r="CM29">
        <v>6091.2</v>
      </c>
      <c r="CN29">
        <v>23</v>
      </c>
      <c r="CO29">
        <v>7783.2</v>
      </c>
      <c r="CP29">
        <v>15</v>
      </c>
      <c r="CQ29">
        <v>5076</v>
      </c>
      <c r="CR29">
        <v>19</v>
      </c>
      <c r="CS29">
        <v>6429.5999999999995</v>
      </c>
      <c r="CT29">
        <v>26</v>
      </c>
      <c r="CU29">
        <v>8798.4</v>
      </c>
    </row>
    <row r="30" spans="2:99" x14ac:dyDescent="0.2">
      <c r="C30" s="118" t="s">
        <v>196</v>
      </c>
      <c r="D30">
        <v>12</v>
      </c>
      <c r="E30">
        <v>1670.3999999999999</v>
      </c>
      <c r="F30">
        <v>15</v>
      </c>
      <c r="G30">
        <v>2088</v>
      </c>
      <c r="H30">
        <v>16</v>
      </c>
      <c r="I30">
        <v>2227.1999999999998</v>
      </c>
      <c r="J30">
        <v>15.427528135477674</v>
      </c>
      <c r="K30">
        <v>2147.5119164584921</v>
      </c>
      <c r="L30">
        <v>23</v>
      </c>
      <c r="M30">
        <v>3201.6</v>
      </c>
      <c r="N30">
        <v>16</v>
      </c>
      <c r="O30">
        <v>2227.1999999999998</v>
      </c>
      <c r="P30">
        <v>16</v>
      </c>
      <c r="Q30">
        <v>2227.1999999999998</v>
      </c>
      <c r="R30">
        <v>20</v>
      </c>
      <c r="S30">
        <v>2784</v>
      </c>
      <c r="T30">
        <v>18</v>
      </c>
      <c r="U30">
        <v>2505.6</v>
      </c>
      <c r="V30">
        <v>23</v>
      </c>
      <c r="W30">
        <v>3201.6</v>
      </c>
      <c r="X30">
        <v>25</v>
      </c>
      <c r="Y30">
        <v>3479.9999999999995</v>
      </c>
      <c r="Z30">
        <v>24</v>
      </c>
      <c r="AA30">
        <v>3340.7999999999997</v>
      </c>
      <c r="AB30">
        <v>16</v>
      </c>
      <c r="AC30">
        <v>2227.1999999999998</v>
      </c>
      <c r="AD30">
        <v>22</v>
      </c>
      <c r="AE30">
        <v>3062.3999999999996</v>
      </c>
      <c r="AF30">
        <v>15</v>
      </c>
      <c r="AG30">
        <v>2088</v>
      </c>
      <c r="AH30">
        <v>21</v>
      </c>
      <c r="AI30">
        <v>2923.2</v>
      </c>
      <c r="AJ30">
        <v>25</v>
      </c>
      <c r="AK30">
        <v>3479.9999999999995</v>
      </c>
      <c r="AL30">
        <v>22</v>
      </c>
      <c r="AM30">
        <v>3062.3999999999996</v>
      </c>
      <c r="AN30">
        <v>21</v>
      </c>
      <c r="AO30">
        <v>2923.2</v>
      </c>
      <c r="AP30">
        <v>25</v>
      </c>
      <c r="AQ30">
        <v>3479.9999999999995</v>
      </c>
      <c r="AR30">
        <v>15</v>
      </c>
      <c r="AS30">
        <v>2088</v>
      </c>
      <c r="AT30">
        <v>26</v>
      </c>
      <c r="AU30">
        <v>3619.2</v>
      </c>
      <c r="AV30">
        <v>15</v>
      </c>
      <c r="AW30">
        <v>2088</v>
      </c>
      <c r="AX30">
        <v>17</v>
      </c>
      <c r="AY30">
        <v>2366.3999999999996</v>
      </c>
      <c r="AZ30">
        <v>23</v>
      </c>
      <c r="BA30">
        <v>3201.6</v>
      </c>
      <c r="BB30">
        <v>18</v>
      </c>
      <c r="BC30">
        <v>2505.6</v>
      </c>
      <c r="BD30">
        <v>26</v>
      </c>
      <c r="BE30">
        <v>3619.2</v>
      </c>
      <c r="BF30">
        <v>19</v>
      </c>
      <c r="BG30">
        <v>2644.7999999999997</v>
      </c>
      <c r="BH30">
        <v>21</v>
      </c>
      <c r="BI30">
        <v>2923.2</v>
      </c>
      <c r="BJ30">
        <v>14</v>
      </c>
      <c r="BK30">
        <v>1948.7999999999997</v>
      </c>
      <c r="BL30">
        <v>20</v>
      </c>
      <c r="BM30">
        <v>2784</v>
      </c>
      <c r="BN30">
        <v>16</v>
      </c>
      <c r="BO30">
        <v>2227.1999999999998</v>
      </c>
      <c r="BP30">
        <v>19</v>
      </c>
      <c r="BQ30">
        <v>2644.7999999999997</v>
      </c>
      <c r="BR30">
        <v>21</v>
      </c>
      <c r="BS30">
        <v>2923.2</v>
      </c>
      <c r="BT30">
        <v>28</v>
      </c>
      <c r="BU30">
        <v>3897.5999999999995</v>
      </c>
      <c r="BV30">
        <v>15</v>
      </c>
      <c r="BW30">
        <v>2088</v>
      </c>
      <c r="BX30">
        <v>20</v>
      </c>
      <c r="BY30">
        <v>2784</v>
      </c>
      <c r="BZ30">
        <v>24</v>
      </c>
      <c r="CA30">
        <v>3340.7999999999997</v>
      </c>
      <c r="CB30">
        <v>18</v>
      </c>
      <c r="CC30">
        <v>2505.6</v>
      </c>
      <c r="CD30">
        <v>27</v>
      </c>
      <c r="CE30">
        <v>3758.3999999999996</v>
      </c>
      <c r="CF30">
        <v>29</v>
      </c>
      <c r="CG30">
        <v>4036.7999999999997</v>
      </c>
      <c r="CH30">
        <v>19</v>
      </c>
      <c r="CI30">
        <v>2644.7999999999997</v>
      </c>
      <c r="CJ30">
        <v>17</v>
      </c>
      <c r="CK30">
        <v>2366.3999999999996</v>
      </c>
      <c r="CL30">
        <v>19</v>
      </c>
      <c r="CM30">
        <v>2644.7999999999997</v>
      </c>
      <c r="CN30">
        <v>24</v>
      </c>
      <c r="CO30">
        <v>3340.7999999999997</v>
      </c>
      <c r="CP30">
        <v>17</v>
      </c>
      <c r="CQ30">
        <v>2366.3999999999996</v>
      </c>
      <c r="CR30">
        <v>19</v>
      </c>
      <c r="CS30">
        <v>2644.7999999999997</v>
      </c>
      <c r="CT30">
        <v>23</v>
      </c>
      <c r="CU30">
        <v>3201.6</v>
      </c>
    </row>
    <row r="31" spans="2:99" x14ac:dyDescent="0.2">
      <c r="C31" s="118" t="s">
        <v>197</v>
      </c>
      <c r="D31">
        <v>12</v>
      </c>
      <c r="E31">
        <v>4089.6000000000004</v>
      </c>
      <c r="F31">
        <v>14</v>
      </c>
      <c r="G31">
        <v>4771.2</v>
      </c>
      <c r="H31">
        <v>14</v>
      </c>
      <c r="I31">
        <v>4771.2</v>
      </c>
      <c r="J31">
        <v>16.384269707129867</v>
      </c>
      <c r="K31">
        <v>5583.759116189859</v>
      </c>
      <c r="L31">
        <v>22</v>
      </c>
      <c r="M31">
        <v>7497.6</v>
      </c>
      <c r="N31">
        <v>16</v>
      </c>
      <c r="O31">
        <v>5452.8</v>
      </c>
      <c r="P31">
        <v>15</v>
      </c>
      <c r="Q31">
        <v>5112</v>
      </c>
      <c r="R31">
        <v>20</v>
      </c>
      <c r="S31">
        <v>6816</v>
      </c>
      <c r="T31">
        <v>19</v>
      </c>
      <c r="U31">
        <v>6475.2</v>
      </c>
      <c r="V31">
        <v>20</v>
      </c>
      <c r="W31">
        <v>6816</v>
      </c>
      <c r="X31">
        <v>26</v>
      </c>
      <c r="Y31">
        <v>8860.8000000000011</v>
      </c>
      <c r="Z31">
        <v>21</v>
      </c>
      <c r="AA31">
        <v>7156.8</v>
      </c>
      <c r="AB31">
        <v>19</v>
      </c>
      <c r="AC31">
        <v>6475.2</v>
      </c>
      <c r="AD31">
        <v>20</v>
      </c>
      <c r="AE31">
        <v>6816</v>
      </c>
      <c r="AF31">
        <v>16</v>
      </c>
      <c r="AG31">
        <v>5452.8</v>
      </c>
      <c r="AH31">
        <v>22</v>
      </c>
      <c r="AI31">
        <v>7497.6</v>
      </c>
      <c r="AJ31">
        <v>23</v>
      </c>
      <c r="AK31">
        <v>7838.4000000000005</v>
      </c>
      <c r="AL31">
        <v>22</v>
      </c>
      <c r="AM31">
        <v>7497.6</v>
      </c>
      <c r="AN31">
        <v>19</v>
      </c>
      <c r="AO31">
        <v>6475.2</v>
      </c>
      <c r="AP31">
        <v>20</v>
      </c>
      <c r="AQ31">
        <v>6816</v>
      </c>
      <c r="AR31">
        <v>14</v>
      </c>
      <c r="AS31">
        <v>4771.2</v>
      </c>
      <c r="AT31">
        <v>24</v>
      </c>
      <c r="AU31">
        <v>8179.2000000000007</v>
      </c>
      <c r="AV31">
        <v>16</v>
      </c>
      <c r="AW31">
        <v>5452.8</v>
      </c>
      <c r="AX31">
        <v>16</v>
      </c>
      <c r="AY31">
        <v>5452.8</v>
      </c>
      <c r="AZ31">
        <v>23</v>
      </c>
      <c r="BA31">
        <v>7838.4000000000005</v>
      </c>
      <c r="BB31">
        <v>20</v>
      </c>
      <c r="BC31">
        <v>6816</v>
      </c>
      <c r="BD31">
        <v>24</v>
      </c>
      <c r="BE31">
        <v>8179.2000000000007</v>
      </c>
      <c r="BF31">
        <v>17</v>
      </c>
      <c r="BG31">
        <v>5793.6</v>
      </c>
      <c r="BH31">
        <v>18</v>
      </c>
      <c r="BI31">
        <v>6134.4000000000005</v>
      </c>
      <c r="BJ31">
        <v>14</v>
      </c>
      <c r="BK31">
        <v>4771.2</v>
      </c>
      <c r="BL31">
        <v>19</v>
      </c>
      <c r="BM31">
        <v>6475.2</v>
      </c>
      <c r="BN31">
        <v>18</v>
      </c>
      <c r="BO31">
        <v>6134.4000000000005</v>
      </c>
      <c r="BP31">
        <v>22</v>
      </c>
      <c r="BQ31">
        <v>7497.6</v>
      </c>
      <c r="BR31">
        <v>21</v>
      </c>
      <c r="BS31">
        <v>7156.8</v>
      </c>
      <c r="BT31">
        <v>26</v>
      </c>
      <c r="BU31">
        <v>8860.8000000000011</v>
      </c>
      <c r="BV31">
        <v>16</v>
      </c>
      <c r="BW31">
        <v>5452.8</v>
      </c>
      <c r="BX31">
        <v>19</v>
      </c>
      <c r="BY31">
        <v>6475.2</v>
      </c>
      <c r="BZ31">
        <v>22</v>
      </c>
      <c r="CA31">
        <v>7497.6</v>
      </c>
      <c r="CB31">
        <v>19</v>
      </c>
      <c r="CC31">
        <v>6475.2</v>
      </c>
      <c r="CD31">
        <v>25</v>
      </c>
      <c r="CE31">
        <v>8520</v>
      </c>
      <c r="CF31">
        <v>24</v>
      </c>
      <c r="CG31">
        <v>8179.2000000000007</v>
      </c>
      <c r="CH31">
        <v>17</v>
      </c>
      <c r="CI31">
        <v>5793.6</v>
      </c>
      <c r="CJ31">
        <v>17</v>
      </c>
      <c r="CK31">
        <v>5793.6</v>
      </c>
      <c r="CL31">
        <v>18</v>
      </c>
      <c r="CM31">
        <v>6134.4000000000005</v>
      </c>
      <c r="CN31">
        <v>27</v>
      </c>
      <c r="CO31">
        <v>9201.6</v>
      </c>
      <c r="CP31">
        <v>16</v>
      </c>
      <c r="CQ31">
        <v>5452.8</v>
      </c>
      <c r="CR31">
        <v>20</v>
      </c>
      <c r="CS31">
        <v>6816</v>
      </c>
      <c r="CT31">
        <v>24</v>
      </c>
      <c r="CU31">
        <v>8179.2000000000007</v>
      </c>
    </row>
    <row r="32" spans="2:99" x14ac:dyDescent="0.2">
      <c r="C32" s="118" t="s">
        <v>198</v>
      </c>
      <c r="D32">
        <v>12</v>
      </c>
      <c r="E32">
        <v>10080</v>
      </c>
      <c r="F32">
        <v>13</v>
      </c>
      <c r="G32">
        <v>10920</v>
      </c>
      <c r="H32">
        <v>13</v>
      </c>
      <c r="I32">
        <v>10920</v>
      </c>
      <c r="J32">
        <v>13.211235993738633</v>
      </c>
      <c r="K32">
        <v>11097.438234740452</v>
      </c>
      <c r="L32">
        <v>23</v>
      </c>
      <c r="M32">
        <v>19320</v>
      </c>
      <c r="N32">
        <v>16</v>
      </c>
      <c r="O32">
        <v>13440</v>
      </c>
      <c r="P32">
        <v>14</v>
      </c>
      <c r="Q32">
        <v>11760</v>
      </c>
      <c r="R32">
        <v>17</v>
      </c>
      <c r="S32">
        <v>14280</v>
      </c>
      <c r="T32">
        <v>17</v>
      </c>
      <c r="U32">
        <v>14280</v>
      </c>
      <c r="V32">
        <v>22</v>
      </c>
      <c r="W32">
        <v>18480</v>
      </c>
      <c r="X32">
        <v>21</v>
      </c>
      <c r="Y32">
        <v>17640</v>
      </c>
      <c r="Z32">
        <v>21</v>
      </c>
      <c r="AA32">
        <v>17640</v>
      </c>
      <c r="AB32">
        <v>17</v>
      </c>
      <c r="AC32">
        <v>14280</v>
      </c>
      <c r="AD32">
        <v>17</v>
      </c>
      <c r="AE32">
        <v>14280</v>
      </c>
      <c r="AF32">
        <v>17</v>
      </c>
      <c r="AG32">
        <v>14280</v>
      </c>
      <c r="AH32">
        <v>22</v>
      </c>
      <c r="AI32">
        <v>18480</v>
      </c>
      <c r="AJ32">
        <v>24</v>
      </c>
      <c r="AK32">
        <v>20160</v>
      </c>
      <c r="AL32">
        <v>18</v>
      </c>
      <c r="AM32">
        <v>15120</v>
      </c>
      <c r="AN32">
        <v>20</v>
      </c>
      <c r="AO32">
        <v>16800</v>
      </c>
      <c r="AP32">
        <v>20</v>
      </c>
      <c r="AQ32">
        <v>16800</v>
      </c>
      <c r="AR32">
        <v>13</v>
      </c>
      <c r="AS32">
        <v>10920</v>
      </c>
      <c r="AT32">
        <v>23</v>
      </c>
      <c r="AU32">
        <v>19320</v>
      </c>
      <c r="AV32">
        <v>14</v>
      </c>
      <c r="AW32">
        <v>11760</v>
      </c>
      <c r="AX32">
        <v>16</v>
      </c>
      <c r="AY32">
        <v>13440</v>
      </c>
      <c r="AZ32">
        <v>21</v>
      </c>
      <c r="BA32">
        <v>17640</v>
      </c>
      <c r="BB32">
        <v>19</v>
      </c>
      <c r="BC32">
        <v>15960</v>
      </c>
      <c r="BD32">
        <v>21</v>
      </c>
      <c r="BE32">
        <v>17640</v>
      </c>
      <c r="BF32">
        <v>16</v>
      </c>
      <c r="BG32">
        <v>13440</v>
      </c>
      <c r="BH32">
        <v>16</v>
      </c>
      <c r="BI32">
        <v>13440</v>
      </c>
      <c r="BJ32">
        <v>14</v>
      </c>
      <c r="BK32">
        <v>11760</v>
      </c>
      <c r="BL32">
        <v>16</v>
      </c>
      <c r="BM32">
        <v>13440</v>
      </c>
      <c r="BN32">
        <v>17</v>
      </c>
      <c r="BO32">
        <v>14280</v>
      </c>
      <c r="BP32">
        <v>17</v>
      </c>
      <c r="BQ32">
        <v>14280</v>
      </c>
      <c r="BR32">
        <v>17</v>
      </c>
      <c r="BS32">
        <v>14280</v>
      </c>
      <c r="BT32">
        <v>23</v>
      </c>
      <c r="BU32">
        <v>19320</v>
      </c>
      <c r="BV32">
        <v>16</v>
      </c>
      <c r="BW32">
        <v>13440</v>
      </c>
      <c r="BX32">
        <v>16</v>
      </c>
      <c r="BY32">
        <v>13440</v>
      </c>
      <c r="BZ32">
        <v>20</v>
      </c>
      <c r="CA32">
        <v>16800</v>
      </c>
      <c r="CB32">
        <v>16</v>
      </c>
      <c r="CC32">
        <v>13440</v>
      </c>
      <c r="CD32">
        <v>21</v>
      </c>
      <c r="CE32">
        <v>17640</v>
      </c>
      <c r="CF32">
        <v>26</v>
      </c>
      <c r="CG32">
        <v>21840</v>
      </c>
      <c r="CH32">
        <v>16</v>
      </c>
      <c r="CI32">
        <v>13440</v>
      </c>
      <c r="CJ32">
        <v>18</v>
      </c>
      <c r="CK32">
        <v>15120</v>
      </c>
      <c r="CL32">
        <v>17</v>
      </c>
      <c r="CM32">
        <v>14280</v>
      </c>
      <c r="CN32">
        <v>26</v>
      </c>
      <c r="CO32">
        <v>21840</v>
      </c>
      <c r="CP32">
        <v>13</v>
      </c>
      <c r="CQ32">
        <v>10920</v>
      </c>
      <c r="CR32">
        <v>19</v>
      </c>
      <c r="CS32">
        <v>15960</v>
      </c>
      <c r="CT32">
        <v>25</v>
      </c>
      <c r="CU32">
        <v>21000</v>
      </c>
    </row>
    <row r="33" spans="2:99" x14ac:dyDescent="0.2">
      <c r="C33" s="118" t="s">
        <v>199</v>
      </c>
      <c r="D33">
        <v>11</v>
      </c>
      <c r="E33">
        <v>5214</v>
      </c>
      <c r="F33">
        <v>14</v>
      </c>
      <c r="G33">
        <v>6636</v>
      </c>
      <c r="H33">
        <v>13</v>
      </c>
      <c r="I33">
        <v>6162</v>
      </c>
      <c r="J33">
        <v>13.29775285043425</v>
      </c>
      <c r="K33">
        <v>6303.134851105835</v>
      </c>
      <c r="L33">
        <v>25</v>
      </c>
      <c r="M33">
        <v>11850</v>
      </c>
      <c r="N33">
        <v>15</v>
      </c>
      <c r="O33">
        <v>7110</v>
      </c>
      <c r="P33">
        <v>15</v>
      </c>
      <c r="Q33">
        <v>7110</v>
      </c>
      <c r="R33">
        <v>18</v>
      </c>
      <c r="S33">
        <v>8532</v>
      </c>
      <c r="T33">
        <v>17</v>
      </c>
      <c r="U33">
        <v>8058</v>
      </c>
      <c r="V33">
        <v>20</v>
      </c>
      <c r="W33">
        <v>9480</v>
      </c>
      <c r="X33">
        <v>22</v>
      </c>
      <c r="Y33">
        <v>10428</v>
      </c>
      <c r="Z33">
        <v>24</v>
      </c>
      <c r="AA33">
        <v>11376</v>
      </c>
      <c r="AB33">
        <v>18</v>
      </c>
      <c r="AC33">
        <v>8532</v>
      </c>
      <c r="AD33">
        <v>19</v>
      </c>
      <c r="AE33">
        <v>9006</v>
      </c>
      <c r="AF33">
        <v>16</v>
      </c>
      <c r="AG33">
        <v>7584</v>
      </c>
      <c r="AH33">
        <v>20</v>
      </c>
      <c r="AI33">
        <v>9480</v>
      </c>
      <c r="AJ33">
        <v>23</v>
      </c>
      <c r="AK33">
        <v>10902</v>
      </c>
      <c r="AL33">
        <v>19</v>
      </c>
      <c r="AM33">
        <v>9006</v>
      </c>
      <c r="AN33">
        <v>19</v>
      </c>
      <c r="AO33">
        <v>9006</v>
      </c>
      <c r="AP33">
        <v>21</v>
      </c>
      <c r="AQ33">
        <v>9954</v>
      </c>
      <c r="AR33">
        <v>15</v>
      </c>
      <c r="AS33">
        <v>7110</v>
      </c>
      <c r="AT33">
        <v>24</v>
      </c>
      <c r="AU33">
        <v>11376</v>
      </c>
      <c r="AV33">
        <v>13</v>
      </c>
      <c r="AW33">
        <v>6162</v>
      </c>
      <c r="AX33">
        <v>16</v>
      </c>
      <c r="AY33">
        <v>7584</v>
      </c>
      <c r="AZ33">
        <v>21</v>
      </c>
      <c r="BA33">
        <v>9954</v>
      </c>
      <c r="BB33">
        <v>16</v>
      </c>
      <c r="BC33">
        <v>7584</v>
      </c>
      <c r="BD33">
        <v>22</v>
      </c>
      <c r="BE33">
        <v>10428</v>
      </c>
      <c r="BF33">
        <v>18</v>
      </c>
      <c r="BG33">
        <v>8532</v>
      </c>
      <c r="BH33">
        <v>19</v>
      </c>
      <c r="BI33">
        <v>9006</v>
      </c>
      <c r="BJ33">
        <v>13</v>
      </c>
      <c r="BK33">
        <v>6162</v>
      </c>
      <c r="BL33">
        <v>18</v>
      </c>
      <c r="BM33">
        <v>8532</v>
      </c>
      <c r="BN33">
        <v>17</v>
      </c>
      <c r="BO33">
        <v>8058</v>
      </c>
      <c r="BP33">
        <v>21</v>
      </c>
      <c r="BQ33">
        <v>9954</v>
      </c>
      <c r="BR33">
        <v>18</v>
      </c>
      <c r="BS33">
        <v>8532</v>
      </c>
      <c r="BT33">
        <v>27</v>
      </c>
      <c r="BU33">
        <v>12798</v>
      </c>
      <c r="BV33">
        <v>17</v>
      </c>
      <c r="BW33">
        <v>8058</v>
      </c>
      <c r="BX33">
        <v>15</v>
      </c>
      <c r="BY33">
        <v>7110</v>
      </c>
      <c r="BZ33">
        <v>23</v>
      </c>
      <c r="CA33">
        <v>10902</v>
      </c>
      <c r="CB33">
        <v>18</v>
      </c>
      <c r="CC33">
        <v>8532</v>
      </c>
      <c r="CD33">
        <v>23</v>
      </c>
      <c r="CE33">
        <v>10902</v>
      </c>
      <c r="CF33">
        <v>26</v>
      </c>
      <c r="CG33">
        <v>12324</v>
      </c>
      <c r="CH33">
        <v>18</v>
      </c>
      <c r="CI33">
        <v>8532</v>
      </c>
      <c r="CJ33">
        <v>16</v>
      </c>
      <c r="CK33">
        <v>7584</v>
      </c>
      <c r="CL33">
        <v>19</v>
      </c>
      <c r="CM33">
        <v>9006</v>
      </c>
      <c r="CN33">
        <v>24</v>
      </c>
      <c r="CO33">
        <v>11376</v>
      </c>
      <c r="CP33">
        <v>14</v>
      </c>
      <c r="CQ33">
        <v>6636</v>
      </c>
      <c r="CR33">
        <v>18</v>
      </c>
      <c r="CS33">
        <v>8532</v>
      </c>
      <c r="CT33">
        <v>24</v>
      </c>
      <c r="CU33">
        <v>11376</v>
      </c>
    </row>
    <row r="34" spans="2:99" x14ac:dyDescent="0.2">
      <c r="C34" s="118" t="s">
        <v>200</v>
      </c>
      <c r="D34">
        <v>11</v>
      </c>
      <c r="E34">
        <v>6032.4</v>
      </c>
      <c r="F34">
        <v>17</v>
      </c>
      <c r="G34">
        <v>9322.7999999999993</v>
      </c>
      <c r="H34">
        <v>13</v>
      </c>
      <c r="I34">
        <v>7129.2</v>
      </c>
      <c r="J34">
        <v>15.341011278782057</v>
      </c>
      <c r="K34">
        <v>8413.0105852840788</v>
      </c>
      <c r="L34">
        <v>21</v>
      </c>
      <c r="M34">
        <v>11516.4</v>
      </c>
      <c r="N34">
        <v>14</v>
      </c>
      <c r="O34">
        <v>7677.5999999999995</v>
      </c>
      <c r="P34">
        <v>16</v>
      </c>
      <c r="Q34">
        <v>8774.4</v>
      </c>
      <c r="R34">
        <v>21</v>
      </c>
      <c r="S34">
        <v>11516.4</v>
      </c>
      <c r="T34">
        <v>18</v>
      </c>
      <c r="U34">
        <v>9871.1999999999989</v>
      </c>
      <c r="V34">
        <v>20</v>
      </c>
      <c r="W34">
        <v>10968</v>
      </c>
      <c r="X34">
        <v>22</v>
      </c>
      <c r="Y34">
        <v>12064.8</v>
      </c>
      <c r="Z34">
        <v>20</v>
      </c>
      <c r="AA34">
        <v>10968</v>
      </c>
      <c r="AB34">
        <v>18</v>
      </c>
      <c r="AC34">
        <v>9871.1999999999989</v>
      </c>
      <c r="AD34">
        <v>20</v>
      </c>
      <c r="AE34">
        <v>10968</v>
      </c>
      <c r="AF34">
        <v>16</v>
      </c>
      <c r="AG34">
        <v>8774.4</v>
      </c>
      <c r="AH34">
        <v>22</v>
      </c>
      <c r="AI34">
        <v>12064.8</v>
      </c>
      <c r="AJ34">
        <v>23</v>
      </c>
      <c r="AK34">
        <v>12613.199999999999</v>
      </c>
      <c r="AL34">
        <v>21</v>
      </c>
      <c r="AM34">
        <v>11516.4</v>
      </c>
      <c r="AN34">
        <v>21</v>
      </c>
      <c r="AO34">
        <v>11516.4</v>
      </c>
      <c r="AP34">
        <v>22</v>
      </c>
      <c r="AQ34">
        <v>12064.8</v>
      </c>
      <c r="AR34">
        <v>16</v>
      </c>
      <c r="AS34">
        <v>8774.4</v>
      </c>
      <c r="AT34">
        <v>24</v>
      </c>
      <c r="AU34">
        <v>13161.599999999999</v>
      </c>
      <c r="AV34">
        <v>14</v>
      </c>
      <c r="AW34">
        <v>7677.5999999999995</v>
      </c>
      <c r="AX34">
        <v>18</v>
      </c>
      <c r="AY34">
        <v>9871.1999999999989</v>
      </c>
      <c r="AZ34">
        <v>22</v>
      </c>
      <c r="BA34">
        <v>12064.8</v>
      </c>
      <c r="BB34">
        <v>18</v>
      </c>
      <c r="BC34">
        <v>9871.1999999999989</v>
      </c>
      <c r="BD34">
        <v>22</v>
      </c>
      <c r="BE34">
        <v>12064.8</v>
      </c>
      <c r="BF34">
        <v>18</v>
      </c>
      <c r="BG34">
        <v>9871.1999999999989</v>
      </c>
      <c r="BH34">
        <v>20</v>
      </c>
      <c r="BI34">
        <v>10968</v>
      </c>
      <c r="BJ34">
        <v>14</v>
      </c>
      <c r="BK34">
        <v>7677.5999999999995</v>
      </c>
      <c r="BL34">
        <v>19</v>
      </c>
      <c r="BM34">
        <v>10419.6</v>
      </c>
      <c r="BN34">
        <v>15</v>
      </c>
      <c r="BO34">
        <v>8226</v>
      </c>
      <c r="BP34">
        <v>21</v>
      </c>
      <c r="BQ34">
        <v>11516.4</v>
      </c>
      <c r="BR34">
        <v>19</v>
      </c>
      <c r="BS34">
        <v>10419.6</v>
      </c>
      <c r="BT34">
        <v>25</v>
      </c>
      <c r="BU34">
        <v>13710</v>
      </c>
      <c r="BV34">
        <v>15</v>
      </c>
      <c r="BW34">
        <v>8226</v>
      </c>
      <c r="BX34">
        <v>17</v>
      </c>
      <c r="BY34">
        <v>9322.7999999999993</v>
      </c>
      <c r="BZ34">
        <v>24</v>
      </c>
      <c r="CA34">
        <v>13161.599999999999</v>
      </c>
      <c r="CB34">
        <v>16</v>
      </c>
      <c r="CC34">
        <v>8774.4</v>
      </c>
      <c r="CD34">
        <v>25</v>
      </c>
      <c r="CE34">
        <v>13710</v>
      </c>
      <c r="CF34">
        <v>24</v>
      </c>
      <c r="CG34">
        <v>13161.599999999999</v>
      </c>
      <c r="CH34">
        <v>18</v>
      </c>
      <c r="CI34">
        <v>9871.1999999999989</v>
      </c>
      <c r="CJ34">
        <v>17</v>
      </c>
      <c r="CK34">
        <v>9322.7999999999993</v>
      </c>
      <c r="CL34">
        <v>21</v>
      </c>
      <c r="CM34">
        <v>11516.4</v>
      </c>
      <c r="CN34">
        <v>23</v>
      </c>
      <c r="CO34">
        <v>12613.199999999999</v>
      </c>
      <c r="CP34">
        <v>16</v>
      </c>
      <c r="CQ34">
        <v>8774.4</v>
      </c>
      <c r="CR34">
        <v>19</v>
      </c>
      <c r="CS34">
        <v>10419.6</v>
      </c>
      <c r="CT34">
        <v>23</v>
      </c>
      <c r="CU34">
        <v>12613.199999999999</v>
      </c>
    </row>
    <row r="35" spans="2:99" x14ac:dyDescent="0.2">
      <c r="C35" s="118" t="s">
        <v>201</v>
      </c>
      <c r="D35">
        <v>11</v>
      </c>
      <c r="E35">
        <v>5530.7999999999993</v>
      </c>
      <c r="F35">
        <v>16</v>
      </c>
      <c r="G35">
        <v>8044.7999999999984</v>
      </c>
      <c r="H35">
        <v>15</v>
      </c>
      <c r="I35">
        <v>7541.9999999999982</v>
      </c>
      <c r="J35">
        <v>13.254494422086442</v>
      </c>
      <c r="K35">
        <v>6664.3597954250617</v>
      </c>
      <c r="L35">
        <v>22</v>
      </c>
      <c r="M35">
        <v>11061.599999999999</v>
      </c>
      <c r="N35">
        <v>15</v>
      </c>
      <c r="O35">
        <v>7541.9999999999982</v>
      </c>
      <c r="P35">
        <v>15</v>
      </c>
      <c r="Q35">
        <v>7541.9999999999982</v>
      </c>
      <c r="R35">
        <v>22</v>
      </c>
      <c r="S35">
        <v>11061.599999999999</v>
      </c>
      <c r="T35">
        <v>15</v>
      </c>
      <c r="U35">
        <v>7541.9999999999982</v>
      </c>
      <c r="V35">
        <v>20</v>
      </c>
      <c r="W35">
        <v>10055.999999999998</v>
      </c>
      <c r="X35">
        <v>24</v>
      </c>
      <c r="Y35">
        <v>12067.199999999997</v>
      </c>
      <c r="Z35">
        <v>23</v>
      </c>
      <c r="AA35">
        <v>11564.399999999998</v>
      </c>
      <c r="AB35">
        <v>18</v>
      </c>
      <c r="AC35">
        <v>9050.3999999999978</v>
      </c>
      <c r="AD35">
        <v>19</v>
      </c>
      <c r="AE35">
        <v>9553.1999999999989</v>
      </c>
      <c r="AF35">
        <v>18</v>
      </c>
      <c r="AG35">
        <v>9050.3999999999978</v>
      </c>
      <c r="AH35">
        <v>19</v>
      </c>
      <c r="AI35">
        <v>9553.1999999999989</v>
      </c>
      <c r="AJ35">
        <v>26</v>
      </c>
      <c r="AK35">
        <v>13072.799999999997</v>
      </c>
      <c r="AL35">
        <v>20</v>
      </c>
      <c r="AM35">
        <v>10055.999999999998</v>
      </c>
      <c r="AN35">
        <v>21</v>
      </c>
      <c r="AO35">
        <v>10558.799999999997</v>
      </c>
      <c r="AP35">
        <v>22</v>
      </c>
      <c r="AQ35">
        <v>11061.599999999999</v>
      </c>
      <c r="AR35">
        <v>15</v>
      </c>
      <c r="AS35">
        <v>7541.9999999999982</v>
      </c>
      <c r="AT35">
        <v>23</v>
      </c>
      <c r="AU35">
        <v>11564.399999999998</v>
      </c>
      <c r="AV35">
        <v>15</v>
      </c>
      <c r="AW35">
        <v>7541.9999999999982</v>
      </c>
      <c r="AX35">
        <v>16</v>
      </c>
      <c r="AY35">
        <v>8044.7999999999984</v>
      </c>
      <c r="AZ35">
        <v>21</v>
      </c>
      <c r="BA35">
        <v>10558.799999999997</v>
      </c>
      <c r="BB35">
        <v>18</v>
      </c>
      <c r="BC35">
        <v>9050.3999999999978</v>
      </c>
      <c r="BD35">
        <v>23</v>
      </c>
      <c r="BE35">
        <v>11564.399999999998</v>
      </c>
      <c r="BF35">
        <v>16</v>
      </c>
      <c r="BG35">
        <v>8044.7999999999984</v>
      </c>
      <c r="BH35">
        <v>19</v>
      </c>
      <c r="BI35">
        <v>9553.1999999999989</v>
      </c>
      <c r="BJ35">
        <v>14</v>
      </c>
      <c r="BK35">
        <v>7039.1999999999989</v>
      </c>
      <c r="BL35">
        <v>19</v>
      </c>
      <c r="BM35">
        <v>9553.1999999999989</v>
      </c>
      <c r="BN35">
        <v>18</v>
      </c>
      <c r="BO35">
        <v>9050.3999999999978</v>
      </c>
      <c r="BP35">
        <v>21</v>
      </c>
      <c r="BQ35">
        <v>10558.799999999997</v>
      </c>
      <c r="BR35">
        <v>19</v>
      </c>
      <c r="BS35">
        <v>9553.1999999999989</v>
      </c>
      <c r="BT35">
        <v>26</v>
      </c>
      <c r="BU35">
        <v>13072.799999999997</v>
      </c>
      <c r="BV35">
        <v>16</v>
      </c>
      <c r="BW35">
        <v>8044.7999999999984</v>
      </c>
      <c r="BX35">
        <v>18</v>
      </c>
      <c r="BY35">
        <v>9050.3999999999978</v>
      </c>
      <c r="BZ35">
        <v>23</v>
      </c>
      <c r="CA35">
        <v>11564.399999999998</v>
      </c>
      <c r="CB35">
        <v>19</v>
      </c>
      <c r="CC35">
        <v>9553.1999999999989</v>
      </c>
      <c r="CD35">
        <v>22</v>
      </c>
      <c r="CE35">
        <v>11061.599999999999</v>
      </c>
      <c r="CF35">
        <v>28</v>
      </c>
      <c r="CG35">
        <v>14078.399999999998</v>
      </c>
      <c r="CH35">
        <v>17</v>
      </c>
      <c r="CI35">
        <v>8547.5999999999985</v>
      </c>
      <c r="CJ35">
        <v>15</v>
      </c>
      <c r="CK35">
        <v>7541.9999999999982</v>
      </c>
      <c r="CL35">
        <v>19</v>
      </c>
      <c r="CM35">
        <v>9553.1999999999989</v>
      </c>
      <c r="CN35">
        <v>25</v>
      </c>
      <c r="CO35">
        <v>12569.999999999998</v>
      </c>
      <c r="CP35">
        <v>15</v>
      </c>
      <c r="CQ35">
        <v>7541.9999999999982</v>
      </c>
      <c r="CR35">
        <v>18</v>
      </c>
      <c r="CS35">
        <v>9050.3999999999978</v>
      </c>
      <c r="CT35">
        <v>22</v>
      </c>
      <c r="CU35">
        <v>11061.599999999999</v>
      </c>
    </row>
    <row r="36" spans="2:99" x14ac:dyDescent="0.2">
      <c r="C36" s="118" t="s">
        <v>202</v>
      </c>
      <c r="D36">
        <v>11</v>
      </c>
      <c r="E36">
        <v>8368.7999999999993</v>
      </c>
      <c r="F36">
        <v>14</v>
      </c>
      <c r="G36">
        <v>10651.199999999999</v>
      </c>
      <c r="H36">
        <v>14</v>
      </c>
      <c r="I36">
        <v>10651.199999999999</v>
      </c>
      <c r="J36">
        <v>14.341011278782057</v>
      </c>
      <c r="K36">
        <v>10910.641380897388</v>
      </c>
      <c r="L36">
        <v>23</v>
      </c>
      <c r="M36">
        <v>17498.399999999998</v>
      </c>
      <c r="N36">
        <v>14</v>
      </c>
      <c r="O36">
        <v>10651.199999999999</v>
      </c>
      <c r="P36">
        <v>16</v>
      </c>
      <c r="Q36">
        <v>12172.8</v>
      </c>
      <c r="R36">
        <v>21</v>
      </c>
      <c r="S36">
        <v>15976.8</v>
      </c>
      <c r="T36">
        <v>18</v>
      </c>
      <c r="U36">
        <v>13694.4</v>
      </c>
      <c r="V36">
        <v>20</v>
      </c>
      <c r="W36">
        <v>15216</v>
      </c>
      <c r="X36">
        <v>20</v>
      </c>
      <c r="Y36">
        <v>15216</v>
      </c>
      <c r="Z36">
        <v>22</v>
      </c>
      <c r="AA36">
        <v>16737.599999999999</v>
      </c>
      <c r="AB36">
        <v>16</v>
      </c>
      <c r="AC36">
        <v>12172.8</v>
      </c>
      <c r="AD36">
        <v>21</v>
      </c>
      <c r="AE36">
        <v>15976.8</v>
      </c>
      <c r="AF36">
        <v>16</v>
      </c>
      <c r="AG36">
        <v>12172.8</v>
      </c>
      <c r="AH36">
        <v>20</v>
      </c>
      <c r="AI36">
        <v>15216</v>
      </c>
      <c r="AJ36">
        <v>23</v>
      </c>
      <c r="AK36">
        <v>17498.399999999998</v>
      </c>
      <c r="AL36">
        <v>20</v>
      </c>
      <c r="AM36">
        <v>15216</v>
      </c>
      <c r="AN36">
        <v>19</v>
      </c>
      <c r="AO36">
        <v>14455.199999999999</v>
      </c>
      <c r="AP36">
        <v>20</v>
      </c>
      <c r="AQ36">
        <v>15216</v>
      </c>
      <c r="AR36">
        <v>14</v>
      </c>
      <c r="AS36">
        <v>10651.199999999999</v>
      </c>
      <c r="AT36">
        <v>22</v>
      </c>
      <c r="AU36">
        <v>16737.599999999999</v>
      </c>
      <c r="AV36">
        <v>14</v>
      </c>
      <c r="AW36">
        <v>10651.199999999999</v>
      </c>
      <c r="AX36">
        <v>17</v>
      </c>
      <c r="AY36">
        <v>12933.599999999999</v>
      </c>
      <c r="AZ36">
        <v>21</v>
      </c>
      <c r="BA36">
        <v>15976.8</v>
      </c>
      <c r="BB36">
        <v>16</v>
      </c>
      <c r="BC36">
        <v>12172.8</v>
      </c>
      <c r="BD36">
        <v>21</v>
      </c>
      <c r="BE36">
        <v>15976.8</v>
      </c>
      <c r="BF36">
        <v>16</v>
      </c>
      <c r="BG36">
        <v>12172.8</v>
      </c>
      <c r="BH36">
        <v>18</v>
      </c>
      <c r="BI36">
        <v>13694.4</v>
      </c>
      <c r="BJ36">
        <v>13</v>
      </c>
      <c r="BK36">
        <v>9890.4</v>
      </c>
      <c r="BL36">
        <v>18</v>
      </c>
      <c r="BM36">
        <v>13694.4</v>
      </c>
      <c r="BN36">
        <v>15</v>
      </c>
      <c r="BO36">
        <v>11412</v>
      </c>
      <c r="BP36">
        <v>20</v>
      </c>
      <c r="BQ36">
        <v>15216</v>
      </c>
      <c r="BR36">
        <v>20</v>
      </c>
      <c r="BS36">
        <v>15216</v>
      </c>
      <c r="BT36">
        <v>24</v>
      </c>
      <c r="BU36">
        <v>18259.199999999997</v>
      </c>
      <c r="BV36">
        <v>16</v>
      </c>
      <c r="BW36">
        <v>12172.8</v>
      </c>
      <c r="BX36">
        <v>17</v>
      </c>
      <c r="BY36">
        <v>12933.599999999999</v>
      </c>
      <c r="BZ36">
        <v>22</v>
      </c>
      <c r="CA36">
        <v>16737.599999999999</v>
      </c>
      <c r="CB36">
        <v>18</v>
      </c>
      <c r="CC36">
        <v>13694.4</v>
      </c>
      <c r="CD36">
        <v>22</v>
      </c>
      <c r="CE36">
        <v>16737.599999999999</v>
      </c>
      <c r="CF36">
        <v>26</v>
      </c>
      <c r="CG36">
        <v>19780.8</v>
      </c>
      <c r="CH36">
        <v>18</v>
      </c>
      <c r="CI36">
        <v>13694.4</v>
      </c>
      <c r="CJ36">
        <v>15</v>
      </c>
      <c r="CK36">
        <v>11412</v>
      </c>
      <c r="CL36">
        <v>19</v>
      </c>
      <c r="CM36">
        <v>14455.199999999999</v>
      </c>
      <c r="CN36">
        <v>26</v>
      </c>
      <c r="CO36">
        <v>19780.8</v>
      </c>
      <c r="CP36">
        <v>16</v>
      </c>
      <c r="CQ36">
        <v>12172.8</v>
      </c>
      <c r="CR36">
        <v>17</v>
      </c>
      <c r="CS36">
        <v>12933.599999999999</v>
      </c>
      <c r="CT36">
        <v>21</v>
      </c>
      <c r="CU36">
        <v>15976.8</v>
      </c>
    </row>
    <row r="37" spans="2:99" x14ac:dyDescent="0.2">
      <c r="B37" s="118" t="s">
        <v>128</v>
      </c>
      <c r="C37" s="118" t="s">
        <v>203</v>
      </c>
      <c r="D37">
        <v>31</v>
      </c>
      <c r="E37">
        <v>26672.399999999998</v>
      </c>
      <c r="F37">
        <v>19</v>
      </c>
      <c r="G37">
        <v>16347.6</v>
      </c>
      <c r="H37">
        <v>18</v>
      </c>
      <c r="I37">
        <v>15487.199999999999</v>
      </c>
      <c r="J37">
        <v>32.514044992173289</v>
      </c>
      <c r="K37">
        <v>27975.084311265899</v>
      </c>
      <c r="L37">
        <v>21</v>
      </c>
      <c r="M37">
        <v>18068.399999999998</v>
      </c>
      <c r="N37">
        <v>26</v>
      </c>
      <c r="O37">
        <v>22370.399999999998</v>
      </c>
      <c r="P37">
        <v>22</v>
      </c>
      <c r="Q37">
        <v>18928.8</v>
      </c>
      <c r="R37">
        <v>20</v>
      </c>
      <c r="S37">
        <v>17208</v>
      </c>
      <c r="T37">
        <v>31</v>
      </c>
      <c r="U37">
        <v>26672.399999999998</v>
      </c>
      <c r="V37">
        <v>21</v>
      </c>
      <c r="W37">
        <v>18068.399999999998</v>
      </c>
      <c r="X37">
        <v>22</v>
      </c>
      <c r="Y37">
        <v>18928.8</v>
      </c>
      <c r="Z37">
        <v>30</v>
      </c>
      <c r="AA37">
        <v>25812</v>
      </c>
      <c r="AB37">
        <v>23</v>
      </c>
      <c r="AC37">
        <v>19789.2</v>
      </c>
      <c r="AD37">
        <v>21</v>
      </c>
      <c r="AE37">
        <v>18068.399999999998</v>
      </c>
      <c r="AF37">
        <v>16</v>
      </c>
      <c r="AG37">
        <v>13766.4</v>
      </c>
      <c r="AH37">
        <v>22</v>
      </c>
      <c r="AI37">
        <v>18928.8</v>
      </c>
      <c r="AJ37">
        <v>17</v>
      </c>
      <c r="AK37">
        <v>14626.8</v>
      </c>
      <c r="AL37">
        <v>22</v>
      </c>
      <c r="AM37">
        <v>18928.8</v>
      </c>
      <c r="AN37">
        <v>23</v>
      </c>
      <c r="AO37">
        <v>19789.2</v>
      </c>
      <c r="AP37">
        <v>18</v>
      </c>
      <c r="AQ37">
        <v>15487.199999999999</v>
      </c>
      <c r="AR37">
        <v>20</v>
      </c>
      <c r="AS37">
        <v>17208</v>
      </c>
      <c r="AT37">
        <v>22</v>
      </c>
      <c r="AU37">
        <v>18928.8</v>
      </c>
      <c r="AV37">
        <v>20</v>
      </c>
      <c r="AW37">
        <v>17208</v>
      </c>
      <c r="AX37">
        <v>22</v>
      </c>
      <c r="AY37">
        <v>18928.8</v>
      </c>
      <c r="AZ37">
        <v>27</v>
      </c>
      <c r="BA37">
        <v>23230.799999999999</v>
      </c>
      <c r="BB37">
        <v>19</v>
      </c>
      <c r="BC37">
        <v>16347.6</v>
      </c>
      <c r="BD37">
        <v>27</v>
      </c>
      <c r="BE37">
        <v>23230.799999999999</v>
      </c>
      <c r="BF37">
        <v>20</v>
      </c>
      <c r="BG37">
        <v>17208</v>
      </c>
      <c r="BH37">
        <v>21</v>
      </c>
      <c r="BI37">
        <v>18068.399999999998</v>
      </c>
      <c r="BJ37">
        <v>29</v>
      </c>
      <c r="BK37">
        <v>24951.599999999999</v>
      </c>
      <c r="BL37">
        <v>26</v>
      </c>
      <c r="BM37">
        <v>22370.399999999998</v>
      </c>
      <c r="BN37">
        <v>24</v>
      </c>
      <c r="BO37">
        <v>20649.599999999999</v>
      </c>
      <c r="BP37">
        <v>29</v>
      </c>
      <c r="BQ37">
        <v>24951.599999999999</v>
      </c>
      <c r="BR37">
        <v>19</v>
      </c>
      <c r="BS37">
        <v>16347.6</v>
      </c>
      <c r="BT37">
        <v>22</v>
      </c>
      <c r="BU37">
        <v>18928.8</v>
      </c>
      <c r="BV37">
        <v>27</v>
      </c>
      <c r="BW37">
        <v>23230.799999999999</v>
      </c>
      <c r="BX37">
        <v>27</v>
      </c>
      <c r="BY37">
        <v>23230.799999999999</v>
      </c>
      <c r="BZ37">
        <v>26</v>
      </c>
      <c r="CA37">
        <v>22370.399999999998</v>
      </c>
      <c r="CB37">
        <v>33</v>
      </c>
      <c r="CC37">
        <v>28393.200000000001</v>
      </c>
      <c r="CD37">
        <v>20</v>
      </c>
      <c r="CE37">
        <v>17208</v>
      </c>
      <c r="CF37">
        <v>25</v>
      </c>
      <c r="CG37">
        <v>21510</v>
      </c>
      <c r="CH37">
        <v>20</v>
      </c>
      <c r="CI37">
        <v>17208</v>
      </c>
      <c r="CJ37">
        <v>20</v>
      </c>
      <c r="CK37">
        <v>17208</v>
      </c>
      <c r="CL37">
        <v>21</v>
      </c>
      <c r="CM37">
        <v>18068.399999999998</v>
      </c>
      <c r="CN37">
        <v>31</v>
      </c>
      <c r="CO37">
        <v>26672.399999999998</v>
      </c>
      <c r="CP37">
        <v>18</v>
      </c>
      <c r="CQ37">
        <v>15487.199999999999</v>
      </c>
      <c r="CR37">
        <v>25</v>
      </c>
      <c r="CS37">
        <v>21510</v>
      </c>
      <c r="CT37">
        <v>22</v>
      </c>
      <c r="CU37">
        <v>18928.8</v>
      </c>
    </row>
    <row r="38" spans="2:99" x14ac:dyDescent="0.2">
      <c r="C38" s="118" t="s">
        <v>204</v>
      </c>
      <c r="D38">
        <v>27</v>
      </c>
      <c r="E38">
        <v>33534</v>
      </c>
      <c r="F38">
        <v>17</v>
      </c>
      <c r="G38">
        <v>21114</v>
      </c>
      <c r="H38">
        <v>17</v>
      </c>
      <c r="I38">
        <v>21114</v>
      </c>
      <c r="J38">
        <v>31.29775285043425</v>
      </c>
      <c r="K38">
        <v>38871.809040239335</v>
      </c>
      <c r="L38">
        <v>23</v>
      </c>
      <c r="M38">
        <v>28566</v>
      </c>
      <c r="N38">
        <v>29</v>
      </c>
      <c r="O38">
        <v>36018</v>
      </c>
      <c r="P38">
        <v>19</v>
      </c>
      <c r="Q38">
        <v>23598</v>
      </c>
      <c r="R38">
        <v>22</v>
      </c>
      <c r="S38">
        <v>27324</v>
      </c>
      <c r="T38">
        <v>29</v>
      </c>
      <c r="U38">
        <v>36018</v>
      </c>
      <c r="V38">
        <v>20</v>
      </c>
      <c r="W38">
        <v>24840</v>
      </c>
      <c r="X38">
        <v>18</v>
      </c>
      <c r="Y38">
        <v>22356</v>
      </c>
      <c r="Z38">
        <v>24</v>
      </c>
      <c r="AA38">
        <v>29808</v>
      </c>
      <c r="AB38">
        <v>24</v>
      </c>
      <c r="AC38">
        <v>29808</v>
      </c>
      <c r="AD38">
        <v>19</v>
      </c>
      <c r="AE38">
        <v>23598</v>
      </c>
      <c r="AF38">
        <v>18</v>
      </c>
      <c r="AG38">
        <v>22356</v>
      </c>
      <c r="AH38">
        <v>23</v>
      </c>
      <c r="AI38">
        <v>28566</v>
      </c>
      <c r="AJ38">
        <v>17</v>
      </c>
      <c r="AK38">
        <v>21114</v>
      </c>
      <c r="AL38">
        <v>20</v>
      </c>
      <c r="AM38">
        <v>24840</v>
      </c>
      <c r="AN38">
        <v>22</v>
      </c>
      <c r="AO38">
        <v>27324</v>
      </c>
      <c r="AP38">
        <v>16</v>
      </c>
      <c r="AQ38">
        <v>19872</v>
      </c>
      <c r="AR38">
        <v>18</v>
      </c>
      <c r="AS38">
        <v>22356</v>
      </c>
      <c r="AT38">
        <v>20</v>
      </c>
      <c r="AU38">
        <v>24840</v>
      </c>
      <c r="AV38">
        <v>18</v>
      </c>
      <c r="AW38">
        <v>22356</v>
      </c>
      <c r="AX38">
        <v>20</v>
      </c>
      <c r="AY38">
        <v>24840</v>
      </c>
      <c r="AZ38">
        <v>28</v>
      </c>
      <c r="BA38">
        <v>34776</v>
      </c>
      <c r="BB38">
        <v>17</v>
      </c>
      <c r="BC38">
        <v>21114</v>
      </c>
      <c r="BD38">
        <v>28</v>
      </c>
      <c r="BE38">
        <v>34776</v>
      </c>
      <c r="BF38">
        <v>20</v>
      </c>
      <c r="BG38">
        <v>24840</v>
      </c>
      <c r="BH38">
        <v>20</v>
      </c>
      <c r="BI38">
        <v>24840</v>
      </c>
      <c r="BJ38">
        <v>27</v>
      </c>
      <c r="BK38">
        <v>33534</v>
      </c>
      <c r="BL38">
        <v>29</v>
      </c>
      <c r="BM38">
        <v>36018</v>
      </c>
      <c r="BN38">
        <v>22</v>
      </c>
      <c r="BO38">
        <v>27324</v>
      </c>
      <c r="BP38">
        <v>28</v>
      </c>
      <c r="BQ38">
        <v>34776</v>
      </c>
      <c r="BR38">
        <v>16</v>
      </c>
      <c r="BS38">
        <v>19872</v>
      </c>
      <c r="BT38">
        <v>25</v>
      </c>
      <c r="BU38">
        <v>31050</v>
      </c>
      <c r="BV38">
        <v>23</v>
      </c>
      <c r="BW38">
        <v>28566</v>
      </c>
      <c r="BX38">
        <v>26</v>
      </c>
      <c r="BY38">
        <v>32292</v>
      </c>
      <c r="BZ38">
        <v>30</v>
      </c>
      <c r="CA38">
        <v>37260</v>
      </c>
      <c r="CB38">
        <v>27</v>
      </c>
      <c r="CC38">
        <v>33534</v>
      </c>
      <c r="CD38">
        <v>21</v>
      </c>
      <c r="CE38">
        <v>26082</v>
      </c>
      <c r="CF38">
        <v>23</v>
      </c>
      <c r="CG38">
        <v>28566</v>
      </c>
      <c r="CH38">
        <v>21</v>
      </c>
      <c r="CI38">
        <v>26082</v>
      </c>
      <c r="CJ38">
        <v>20</v>
      </c>
      <c r="CK38">
        <v>24840</v>
      </c>
      <c r="CL38">
        <v>22</v>
      </c>
      <c r="CM38">
        <v>27324</v>
      </c>
      <c r="CN38">
        <v>32</v>
      </c>
      <c r="CO38">
        <v>39744</v>
      </c>
      <c r="CP38">
        <v>17</v>
      </c>
      <c r="CQ38">
        <v>21114</v>
      </c>
      <c r="CR38">
        <v>24</v>
      </c>
      <c r="CS38">
        <v>29808</v>
      </c>
      <c r="CT38">
        <v>24</v>
      </c>
      <c r="CU38">
        <v>29808</v>
      </c>
    </row>
    <row r="39" spans="2:99" x14ac:dyDescent="0.2">
      <c r="C39" s="118" t="s">
        <v>205</v>
      </c>
      <c r="D39">
        <v>25</v>
      </c>
      <c r="E39">
        <v>35580</v>
      </c>
      <c r="F39">
        <v>17</v>
      </c>
      <c r="G39">
        <v>24194.400000000001</v>
      </c>
      <c r="H39">
        <v>18</v>
      </c>
      <c r="I39">
        <v>25617.600000000002</v>
      </c>
      <c r="J39">
        <v>30.29775285043425</v>
      </c>
      <c r="K39">
        <v>43119.761856738027</v>
      </c>
      <c r="L39">
        <v>21</v>
      </c>
      <c r="M39">
        <v>29887.200000000001</v>
      </c>
      <c r="N39">
        <v>28</v>
      </c>
      <c r="O39">
        <v>39849.599999999999</v>
      </c>
      <c r="P39">
        <v>21</v>
      </c>
      <c r="Q39">
        <v>29887.200000000001</v>
      </c>
      <c r="R39">
        <v>21</v>
      </c>
      <c r="S39">
        <v>29887.200000000001</v>
      </c>
      <c r="T39">
        <v>26</v>
      </c>
      <c r="U39">
        <v>37003.200000000004</v>
      </c>
      <c r="V39">
        <v>19</v>
      </c>
      <c r="W39">
        <v>27040.799999999999</v>
      </c>
      <c r="X39">
        <v>20</v>
      </c>
      <c r="Y39">
        <v>28464</v>
      </c>
      <c r="Z39">
        <v>26</v>
      </c>
      <c r="AA39">
        <v>37003.200000000004</v>
      </c>
      <c r="AB39">
        <v>21</v>
      </c>
      <c r="AC39">
        <v>29887.200000000001</v>
      </c>
      <c r="AD39">
        <v>20</v>
      </c>
      <c r="AE39">
        <v>28464</v>
      </c>
      <c r="AF39">
        <v>16</v>
      </c>
      <c r="AG39">
        <v>22771.200000000001</v>
      </c>
      <c r="AH39">
        <v>23</v>
      </c>
      <c r="AI39">
        <v>32733.600000000002</v>
      </c>
      <c r="AJ39">
        <v>15</v>
      </c>
      <c r="AK39">
        <v>21348</v>
      </c>
      <c r="AL39">
        <v>19</v>
      </c>
      <c r="AM39">
        <v>27040.799999999999</v>
      </c>
      <c r="AN39">
        <v>19</v>
      </c>
      <c r="AO39">
        <v>27040.799999999999</v>
      </c>
      <c r="AP39">
        <v>15</v>
      </c>
      <c r="AQ39">
        <v>21348</v>
      </c>
      <c r="AR39">
        <v>19</v>
      </c>
      <c r="AS39">
        <v>27040.799999999999</v>
      </c>
      <c r="AT39">
        <v>20</v>
      </c>
      <c r="AU39">
        <v>28464</v>
      </c>
      <c r="AV39">
        <v>18</v>
      </c>
      <c r="AW39">
        <v>25617.600000000002</v>
      </c>
      <c r="AX39">
        <v>21</v>
      </c>
      <c r="AY39">
        <v>29887.200000000001</v>
      </c>
      <c r="AZ39">
        <v>25</v>
      </c>
      <c r="BA39">
        <v>35580</v>
      </c>
      <c r="BB39">
        <v>16</v>
      </c>
      <c r="BC39">
        <v>22771.200000000001</v>
      </c>
      <c r="BD39">
        <v>29</v>
      </c>
      <c r="BE39">
        <v>41272.800000000003</v>
      </c>
      <c r="BF39">
        <v>20</v>
      </c>
      <c r="BG39">
        <v>28464</v>
      </c>
      <c r="BH39">
        <v>20</v>
      </c>
      <c r="BI39">
        <v>28464</v>
      </c>
      <c r="BJ39">
        <v>28</v>
      </c>
      <c r="BK39">
        <v>39849.599999999999</v>
      </c>
      <c r="BL39">
        <v>24</v>
      </c>
      <c r="BM39">
        <v>34156.800000000003</v>
      </c>
      <c r="BN39">
        <v>23</v>
      </c>
      <c r="BO39">
        <v>32733.600000000002</v>
      </c>
      <c r="BP39">
        <v>31</v>
      </c>
      <c r="BQ39">
        <v>44119.200000000004</v>
      </c>
      <c r="BR39">
        <v>16</v>
      </c>
      <c r="BS39">
        <v>22771.200000000001</v>
      </c>
      <c r="BT39">
        <v>24</v>
      </c>
      <c r="BU39">
        <v>34156.800000000003</v>
      </c>
      <c r="BV39">
        <v>25</v>
      </c>
      <c r="BW39">
        <v>35580</v>
      </c>
      <c r="BX39">
        <v>24</v>
      </c>
      <c r="BY39">
        <v>34156.800000000003</v>
      </c>
      <c r="BZ39">
        <v>27</v>
      </c>
      <c r="CA39">
        <v>38426.400000000001</v>
      </c>
      <c r="CB39">
        <v>29</v>
      </c>
      <c r="CC39">
        <v>41272.800000000003</v>
      </c>
      <c r="CD39">
        <v>19</v>
      </c>
      <c r="CE39">
        <v>27040.799999999999</v>
      </c>
      <c r="CF39">
        <v>23</v>
      </c>
      <c r="CG39">
        <v>32733.600000000002</v>
      </c>
      <c r="CH39">
        <v>17</v>
      </c>
      <c r="CI39">
        <v>24194.400000000001</v>
      </c>
      <c r="CJ39">
        <v>20</v>
      </c>
      <c r="CK39">
        <v>28464</v>
      </c>
      <c r="CL39">
        <v>23</v>
      </c>
      <c r="CM39">
        <v>32733.600000000002</v>
      </c>
      <c r="CN39">
        <v>27</v>
      </c>
      <c r="CO39">
        <v>38426.400000000001</v>
      </c>
      <c r="CP39">
        <v>16</v>
      </c>
      <c r="CQ39">
        <v>22771.200000000001</v>
      </c>
      <c r="CR39">
        <v>21</v>
      </c>
      <c r="CS39">
        <v>29887.200000000001</v>
      </c>
      <c r="CT39">
        <v>23</v>
      </c>
      <c r="CU39">
        <v>32733.600000000002</v>
      </c>
    </row>
    <row r="40" spans="2:99" x14ac:dyDescent="0.2">
      <c r="C40" s="118" t="s">
        <v>206</v>
      </c>
      <c r="D40">
        <v>27</v>
      </c>
      <c r="E40">
        <v>19569.599999999999</v>
      </c>
      <c r="F40">
        <v>19</v>
      </c>
      <c r="G40">
        <v>13771.199999999999</v>
      </c>
      <c r="H40">
        <v>19</v>
      </c>
      <c r="I40">
        <v>13771.199999999999</v>
      </c>
      <c r="J40">
        <v>30.470786563825484</v>
      </c>
      <c r="K40">
        <v>22085.22610146071</v>
      </c>
      <c r="L40">
        <v>25</v>
      </c>
      <c r="M40">
        <v>18120</v>
      </c>
      <c r="N40">
        <v>27</v>
      </c>
      <c r="O40">
        <v>19569.599999999999</v>
      </c>
      <c r="P40">
        <v>21</v>
      </c>
      <c r="Q40">
        <v>15220.8</v>
      </c>
      <c r="R40">
        <v>21</v>
      </c>
      <c r="S40">
        <v>15220.8</v>
      </c>
      <c r="T40">
        <v>29</v>
      </c>
      <c r="U40">
        <v>21019.199999999997</v>
      </c>
      <c r="V40">
        <v>20</v>
      </c>
      <c r="W40">
        <v>14496</v>
      </c>
      <c r="X40">
        <v>20</v>
      </c>
      <c r="Y40">
        <v>14496</v>
      </c>
      <c r="Z40">
        <v>28</v>
      </c>
      <c r="AA40">
        <v>20294.399999999998</v>
      </c>
      <c r="AB40">
        <v>26</v>
      </c>
      <c r="AC40">
        <v>18844.8</v>
      </c>
      <c r="AD40">
        <v>20</v>
      </c>
      <c r="AE40">
        <v>14496</v>
      </c>
      <c r="AF40">
        <v>18</v>
      </c>
      <c r="AG40">
        <v>13046.4</v>
      </c>
      <c r="AH40">
        <v>24</v>
      </c>
      <c r="AI40">
        <v>17395.199999999997</v>
      </c>
      <c r="AJ40">
        <v>18</v>
      </c>
      <c r="AK40">
        <v>13046.4</v>
      </c>
      <c r="AL40">
        <v>23</v>
      </c>
      <c r="AM40">
        <v>16670.399999999998</v>
      </c>
      <c r="AN40">
        <v>22</v>
      </c>
      <c r="AO40">
        <v>15945.599999999999</v>
      </c>
      <c r="AP40">
        <v>18</v>
      </c>
      <c r="AQ40">
        <v>13046.4</v>
      </c>
      <c r="AR40">
        <v>21</v>
      </c>
      <c r="AS40">
        <v>15220.8</v>
      </c>
      <c r="AT40">
        <v>21</v>
      </c>
      <c r="AU40">
        <v>15220.8</v>
      </c>
      <c r="AV40">
        <v>20</v>
      </c>
      <c r="AW40">
        <v>14496</v>
      </c>
      <c r="AX40">
        <v>22</v>
      </c>
      <c r="AY40">
        <v>15945.599999999999</v>
      </c>
      <c r="AZ40">
        <v>29</v>
      </c>
      <c r="BA40">
        <v>21019.199999999997</v>
      </c>
      <c r="BB40">
        <v>20</v>
      </c>
      <c r="BC40">
        <v>14496</v>
      </c>
      <c r="BD40">
        <v>32</v>
      </c>
      <c r="BE40">
        <v>23193.599999999999</v>
      </c>
      <c r="BF40">
        <v>22</v>
      </c>
      <c r="BG40">
        <v>15945.599999999999</v>
      </c>
      <c r="BH40">
        <v>25</v>
      </c>
      <c r="BI40">
        <v>18120</v>
      </c>
      <c r="BJ40">
        <v>29</v>
      </c>
      <c r="BK40">
        <v>21019.199999999997</v>
      </c>
      <c r="BL40">
        <v>28</v>
      </c>
      <c r="BM40">
        <v>20294.399999999998</v>
      </c>
      <c r="BN40">
        <v>27</v>
      </c>
      <c r="BO40">
        <v>19569.599999999999</v>
      </c>
      <c r="BP40">
        <v>31</v>
      </c>
      <c r="BQ40">
        <v>22468.799999999999</v>
      </c>
      <c r="BR40">
        <v>19</v>
      </c>
      <c r="BS40">
        <v>13771.199999999999</v>
      </c>
      <c r="BT40">
        <v>27</v>
      </c>
      <c r="BU40">
        <v>19569.599999999999</v>
      </c>
      <c r="BV40">
        <v>23</v>
      </c>
      <c r="BW40">
        <v>16670.399999999998</v>
      </c>
      <c r="BX40">
        <v>27</v>
      </c>
      <c r="BY40">
        <v>19569.599999999999</v>
      </c>
      <c r="BZ40">
        <v>32</v>
      </c>
      <c r="CA40">
        <v>23193.599999999999</v>
      </c>
      <c r="CB40">
        <v>33</v>
      </c>
      <c r="CC40">
        <v>23918.399999999998</v>
      </c>
      <c r="CD40">
        <v>20</v>
      </c>
      <c r="CE40">
        <v>14496</v>
      </c>
      <c r="CF40">
        <v>28</v>
      </c>
      <c r="CG40">
        <v>20294.399999999998</v>
      </c>
      <c r="CH40">
        <v>19</v>
      </c>
      <c r="CI40">
        <v>13771.199999999999</v>
      </c>
      <c r="CJ40">
        <v>23</v>
      </c>
      <c r="CK40">
        <v>16670.399999999998</v>
      </c>
      <c r="CL40">
        <v>23</v>
      </c>
      <c r="CM40">
        <v>16670.399999999998</v>
      </c>
      <c r="CN40">
        <v>32</v>
      </c>
      <c r="CO40">
        <v>23193.599999999999</v>
      </c>
      <c r="CP40">
        <v>18</v>
      </c>
      <c r="CQ40">
        <v>13046.4</v>
      </c>
      <c r="CR40">
        <v>26</v>
      </c>
      <c r="CS40">
        <v>18844.8</v>
      </c>
      <c r="CT40">
        <v>26</v>
      </c>
      <c r="CU40">
        <v>18844.8</v>
      </c>
    </row>
    <row r="41" spans="2:99" x14ac:dyDescent="0.2">
      <c r="C41" s="118" t="s">
        <v>207</v>
      </c>
      <c r="D41">
        <v>27</v>
      </c>
      <c r="E41">
        <v>17820</v>
      </c>
      <c r="F41">
        <v>20</v>
      </c>
      <c r="G41">
        <v>13200</v>
      </c>
      <c r="H41">
        <v>22</v>
      </c>
      <c r="I41">
        <v>14520</v>
      </c>
      <c r="J41">
        <v>33.557303420521102</v>
      </c>
      <c r="K41">
        <v>22147.820257543928</v>
      </c>
      <c r="L41">
        <v>24</v>
      </c>
      <c r="M41">
        <v>15840</v>
      </c>
      <c r="N41">
        <v>29</v>
      </c>
      <c r="O41">
        <v>19140</v>
      </c>
      <c r="P41">
        <v>24</v>
      </c>
      <c r="Q41">
        <v>15840</v>
      </c>
      <c r="R41">
        <v>21</v>
      </c>
      <c r="S41">
        <v>13860</v>
      </c>
      <c r="T41">
        <v>29</v>
      </c>
      <c r="U41">
        <v>19140</v>
      </c>
      <c r="V41">
        <v>21</v>
      </c>
      <c r="W41">
        <v>13860</v>
      </c>
      <c r="X41">
        <v>22</v>
      </c>
      <c r="Y41">
        <v>14520</v>
      </c>
      <c r="Z41">
        <v>28</v>
      </c>
      <c r="AA41">
        <v>18480</v>
      </c>
      <c r="AB41">
        <v>27</v>
      </c>
      <c r="AC41">
        <v>17820</v>
      </c>
      <c r="AD41">
        <v>21</v>
      </c>
      <c r="AE41">
        <v>13860</v>
      </c>
      <c r="AF41">
        <v>19</v>
      </c>
      <c r="AG41">
        <v>12540</v>
      </c>
      <c r="AH41">
        <v>25</v>
      </c>
      <c r="AI41">
        <v>16500</v>
      </c>
      <c r="AJ41">
        <v>19</v>
      </c>
      <c r="AK41">
        <v>12540</v>
      </c>
      <c r="AL41">
        <v>21</v>
      </c>
      <c r="AM41">
        <v>13860</v>
      </c>
      <c r="AN41">
        <v>21</v>
      </c>
      <c r="AO41">
        <v>13860</v>
      </c>
      <c r="AP41">
        <v>18</v>
      </c>
      <c r="AQ41">
        <v>11880</v>
      </c>
      <c r="AR41">
        <v>21</v>
      </c>
      <c r="AS41">
        <v>13860</v>
      </c>
      <c r="AT41">
        <v>19</v>
      </c>
      <c r="AU41">
        <v>12540</v>
      </c>
      <c r="AV41">
        <v>19</v>
      </c>
      <c r="AW41">
        <v>12540</v>
      </c>
      <c r="AX41">
        <v>20</v>
      </c>
      <c r="AY41">
        <v>13200</v>
      </c>
      <c r="AZ41">
        <v>26</v>
      </c>
      <c r="BA41">
        <v>17160</v>
      </c>
      <c r="BB41">
        <v>20</v>
      </c>
      <c r="BC41">
        <v>13200</v>
      </c>
      <c r="BD41">
        <v>29</v>
      </c>
      <c r="BE41">
        <v>19140</v>
      </c>
      <c r="BF41">
        <v>21</v>
      </c>
      <c r="BG41">
        <v>13860</v>
      </c>
      <c r="BH41">
        <v>24</v>
      </c>
      <c r="BI41">
        <v>15840</v>
      </c>
      <c r="BJ41">
        <v>29</v>
      </c>
      <c r="BK41">
        <v>19140</v>
      </c>
      <c r="BL41">
        <v>27</v>
      </c>
      <c r="BM41">
        <v>17820</v>
      </c>
      <c r="BN41">
        <v>23</v>
      </c>
      <c r="BO41">
        <v>15180</v>
      </c>
      <c r="BP41">
        <v>31</v>
      </c>
      <c r="BQ41">
        <v>20460</v>
      </c>
      <c r="BR41">
        <v>18</v>
      </c>
      <c r="BS41">
        <v>11880</v>
      </c>
      <c r="BT41">
        <v>26</v>
      </c>
      <c r="BU41">
        <v>17160</v>
      </c>
      <c r="BV41">
        <v>27</v>
      </c>
      <c r="BW41">
        <v>17820</v>
      </c>
      <c r="BX41">
        <v>28</v>
      </c>
      <c r="BY41">
        <v>18480</v>
      </c>
      <c r="BZ41">
        <v>27</v>
      </c>
      <c r="CA41">
        <v>17820</v>
      </c>
      <c r="CB41">
        <v>29</v>
      </c>
      <c r="CC41">
        <v>19140</v>
      </c>
      <c r="CD41">
        <v>19</v>
      </c>
      <c r="CE41">
        <v>12540</v>
      </c>
      <c r="CF41">
        <v>25</v>
      </c>
      <c r="CG41">
        <v>16500</v>
      </c>
      <c r="CH41">
        <v>20</v>
      </c>
      <c r="CI41">
        <v>13200</v>
      </c>
      <c r="CJ41">
        <v>22</v>
      </c>
      <c r="CK41">
        <v>14520</v>
      </c>
      <c r="CL41">
        <v>25</v>
      </c>
      <c r="CM41">
        <v>16500</v>
      </c>
      <c r="CN41">
        <v>33</v>
      </c>
      <c r="CO41">
        <v>21780</v>
      </c>
      <c r="CP41">
        <v>18</v>
      </c>
      <c r="CQ41">
        <v>11880</v>
      </c>
      <c r="CR41">
        <v>25</v>
      </c>
      <c r="CS41">
        <v>16500</v>
      </c>
      <c r="CT41">
        <v>26</v>
      </c>
      <c r="CU41">
        <v>17160</v>
      </c>
    </row>
    <row r="42" spans="2:99" x14ac:dyDescent="0.2">
      <c r="C42" s="118" t="s">
        <v>208</v>
      </c>
      <c r="D42">
        <v>26</v>
      </c>
      <c r="E42">
        <v>21996</v>
      </c>
      <c r="F42">
        <v>20</v>
      </c>
      <c r="G42">
        <v>16920</v>
      </c>
      <c r="H42">
        <v>18</v>
      </c>
      <c r="I42">
        <v>15228</v>
      </c>
      <c r="J42">
        <v>30.341011278782059</v>
      </c>
      <c r="K42">
        <v>25668.495541849621</v>
      </c>
      <c r="L42">
        <v>23</v>
      </c>
      <c r="M42">
        <v>19458</v>
      </c>
      <c r="N42">
        <v>29</v>
      </c>
      <c r="O42">
        <v>24534</v>
      </c>
      <c r="P42">
        <v>21</v>
      </c>
      <c r="Q42">
        <v>17766</v>
      </c>
      <c r="R42">
        <v>21</v>
      </c>
      <c r="S42">
        <v>17766</v>
      </c>
      <c r="T42">
        <v>28</v>
      </c>
      <c r="U42">
        <v>23688</v>
      </c>
      <c r="V42">
        <v>18</v>
      </c>
      <c r="W42">
        <v>15228</v>
      </c>
      <c r="X42">
        <v>19</v>
      </c>
      <c r="Y42">
        <v>16074</v>
      </c>
      <c r="Z42">
        <v>28</v>
      </c>
      <c r="AA42">
        <v>23688</v>
      </c>
      <c r="AB42">
        <v>23</v>
      </c>
      <c r="AC42">
        <v>19458</v>
      </c>
      <c r="AD42">
        <v>21</v>
      </c>
      <c r="AE42">
        <v>17766</v>
      </c>
      <c r="AF42">
        <v>17</v>
      </c>
      <c r="AG42">
        <v>14382</v>
      </c>
      <c r="AH42">
        <v>21</v>
      </c>
      <c r="AI42">
        <v>17766</v>
      </c>
      <c r="AJ42">
        <v>16</v>
      </c>
      <c r="AK42">
        <v>13536</v>
      </c>
      <c r="AL42">
        <v>24</v>
      </c>
      <c r="AM42">
        <v>20304</v>
      </c>
      <c r="AN42">
        <v>22</v>
      </c>
      <c r="AO42">
        <v>18612</v>
      </c>
      <c r="AP42">
        <v>15</v>
      </c>
      <c r="AQ42">
        <v>12690</v>
      </c>
      <c r="AR42">
        <v>19</v>
      </c>
      <c r="AS42">
        <v>16074</v>
      </c>
      <c r="AT42">
        <v>19</v>
      </c>
      <c r="AU42">
        <v>16074</v>
      </c>
      <c r="AV42">
        <v>20</v>
      </c>
      <c r="AW42">
        <v>16920</v>
      </c>
      <c r="AX42">
        <v>22</v>
      </c>
      <c r="AY42">
        <v>18612</v>
      </c>
      <c r="AZ42">
        <v>26</v>
      </c>
      <c r="BA42">
        <v>21996</v>
      </c>
      <c r="BB42">
        <v>17</v>
      </c>
      <c r="BC42">
        <v>14382</v>
      </c>
      <c r="BD42">
        <v>30</v>
      </c>
      <c r="BE42">
        <v>25380</v>
      </c>
      <c r="BF42">
        <v>19</v>
      </c>
      <c r="BG42">
        <v>16074</v>
      </c>
      <c r="BH42">
        <v>24</v>
      </c>
      <c r="BI42">
        <v>20304</v>
      </c>
      <c r="BJ42">
        <v>32</v>
      </c>
      <c r="BK42">
        <v>27072</v>
      </c>
      <c r="BL42">
        <v>30</v>
      </c>
      <c r="BM42">
        <v>25380</v>
      </c>
      <c r="BN42">
        <v>23</v>
      </c>
      <c r="BO42">
        <v>19458</v>
      </c>
      <c r="BP42">
        <v>32</v>
      </c>
      <c r="BQ42">
        <v>27072</v>
      </c>
      <c r="BR42">
        <v>20</v>
      </c>
      <c r="BS42">
        <v>16920</v>
      </c>
      <c r="BT42">
        <v>24</v>
      </c>
      <c r="BU42">
        <v>20304</v>
      </c>
      <c r="BV42">
        <v>25</v>
      </c>
      <c r="BW42">
        <v>21150</v>
      </c>
      <c r="BX42">
        <v>28</v>
      </c>
      <c r="BY42">
        <v>23688</v>
      </c>
      <c r="BZ42">
        <v>31</v>
      </c>
      <c r="CA42">
        <v>26226</v>
      </c>
      <c r="CB42">
        <v>30</v>
      </c>
      <c r="CC42">
        <v>25380</v>
      </c>
      <c r="CD42">
        <v>22</v>
      </c>
      <c r="CE42">
        <v>18612</v>
      </c>
      <c r="CF42">
        <v>27</v>
      </c>
      <c r="CG42">
        <v>22842</v>
      </c>
      <c r="CH42">
        <v>21</v>
      </c>
      <c r="CI42">
        <v>17766</v>
      </c>
      <c r="CJ42">
        <v>19</v>
      </c>
      <c r="CK42">
        <v>16074</v>
      </c>
      <c r="CL42">
        <v>24</v>
      </c>
      <c r="CM42">
        <v>20304</v>
      </c>
      <c r="CN42">
        <v>29</v>
      </c>
      <c r="CO42">
        <v>24534</v>
      </c>
      <c r="CP42">
        <v>17</v>
      </c>
      <c r="CQ42">
        <v>14382</v>
      </c>
      <c r="CR42">
        <v>24</v>
      </c>
      <c r="CS42">
        <v>20304</v>
      </c>
      <c r="CT42">
        <v>23</v>
      </c>
      <c r="CU42">
        <v>19458</v>
      </c>
    </row>
    <row r="43" spans="2:99" x14ac:dyDescent="0.2">
      <c r="C43" s="118" t="s">
        <v>209</v>
      </c>
      <c r="D43">
        <v>29</v>
      </c>
      <c r="E43">
        <v>29649.599999999999</v>
      </c>
      <c r="F43">
        <v>20</v>
      </c>
      <c r="G43">
        <v>20448</v>
      </c>
      <c r="H43">
        <v>20</v>
      </c>
      <c r="I43">
        <v>20448</v>
      </c>
      <c r="J43">
        <v>32.384269707129867</v>
      </c>
      <c r="K43">
        <v>33109.677348569574</v>
      </c>
      <c r="L43">
        <v>22</v>
      </c>
      <c r="M43">
        <v>22492.799999999999</v>
      </c>
      <c r="N43">
        <v>27</v>
      </c>
      <c r="O43">
        <v>27604.799999999999</v>
      </c>
      <c r="P43">
        <v>22</v>
      </c>
      <c r="Q43">
        <v>22492.799999999999</v>
      </c>
      <c r="R43">
        <v>20</v>
      </c>
      <c r="S43">
        <v>20448</v>
      </c>
      <c r="T43">
        <v>30</v>
      </c>
      <c r="U43">
        <v>30672</v>
      </c>
      <c r="V43">
        <v>21</v>
      </c>
      <c r="W43">
        <v>21470.399999999998</v>
      </c>
      <c r="X43">
        <v>20</v>
      </c>
      <c r="Y43">
        <v>20448</v>
      </c>
      <c r="Z43">
        <v>27</v>
      </c>
      <c r="AA43">
        <v>27604.799999999999</v>
      </c>
      <c r="AB43">
        <v>26</v>
      </c>
      <c r="AC43">
        <v>26582.399999999998</v>
      </c>
      <c r="AD43">
        <v>21</v>
      </c>
      <c r="AE43">
        <v>21470.399999999998</v>
      </c>
      <c r="AF43">
        <v>17</v>
      </c>
      <c r="AG43">
        <v>17380.8</v>
      </c>
      <c r="AH43">
        <v>22</v>
      </c>
      <c r="AI43">
        <v>22492.799999999999</v>
      </c>
      <c r="AJ43">
        <v>18</v>
      </c>
      <c r="AK43">
        <v>18403.2</v>
      </c>
      <c r="AL43">
        <v>20</v>
      </c>
      <c r="AM43">
        <v>20448</v>
      </c>
      <c r="AN43">
        <v>22</v>
      </c>
      <c r="AO43">
        <v>22492.799999999999</v>
      </c>
      <c r="AP43">
        <v>17</v>
      </c>
      <c r="AQ43">
        <v>17380.8</v>
      </c>
      <c r="AR43">
        <v>18</v>
      </c>
      <c r="AS43">
        <v>18403.2</v>
      </c>
      <c r="AT43">
        <v>21</v>
      </c>
      <c r="AU43">
        <v>21470.399999999998</v>
      </c>
      <c r="AV43">
        <v>20</v>
      </c>
      <c r="AW43">
        <v>20448</v>
      </c>
      <c r="AX43">
        <v>20</v>
      </c>
      <c r="AY43">
        <v>20448</v>
      </c>
      <c r="AZ43">
        <v>28</v>
      </c>
      <c r="BA43">
        <v>28627.200000000001</v>
      </c>
      <c r="BB43">
        <v>19</v>
      </c>
      <c r="BC43">
        <v>19425.599999999999</v>
      </c>
      <c r="BD43">
        <v>30</v>
      </c>
      <c r="BE43">
        <v>30672</v>
      </c>
      <c r="BF43">
        <v>21</v>
      </c>
      <c r="BG43">
        <v>21470.399999999998</v>
      </c>
      <c r="BH43">
        <v>25</v>
      </c>
      <c r="BI43">
        <v>25560</v>
      </c>
      <c r="BJ43">
        <v>27</v>
      </c>
      <c r="BK43">
        <v>27604.799999999999</v>
      </c>
      <c r="BL43">
        <v>26</v>
      </c>
      <c r="BM43">
        <v>26582.399999999998</v>
      </c>
      <c r="BN43">
        <v>25</v>
      </c>
      <c r="BO43">
        <v>25560</v>
      </c>
      <c r="BP43">
        <v>34</v>
      </c>
      <c r="BQ43">
        <v>34761.599999999999</v>
      </c>
      <c r="BR43">
        <v>19</v>
      </c>
      <c r="BS43">
        <v>19425.599999999999</v>
      </c>
      <c r="BT43">
        <v>22</v>
      </c>
      <c r="BU43">
        <v>22492.799999999999</v>
      </c>
      <c r="BV43">
        <v>22</v>
      </c>
      <c r="BW43">
        <v>22492.799999999999</v>
      </c>
      <c r="BX43">
        <v>24</v>
      </c>
      <c r="BY43">
        <v>24537.599999999999</v>
      </c>
      <c r="BZ43">
        <v>29</v>
      </c>
      <c r="CA43">
        <v>29649.599999999999</v>
      </c>
      <c r="CB43">
        <v>29</v>
      </c>
      <c r="CC43">
        <v>29649.599999999999</v>
      </c>
      <c r="CD43">
        <v>19</v>
      </c>
      <c r="CE43">
        <v>19425.599999999999</v>
      </c>
      <c r="CF43">
        <v>25</v>
      </c>
      <c r="CG43">
        <v>25560</v>
      </c>
      <c r="CH43">
        <v>21</v>
      </c>
      <c r="CI43">
        <v>21470.399999999998</v>
      </c>
      <c r="CJ43">
        <v>20</v>
      </c>
      <c r="CK43">
        <v>20448</v>
      </c>
      <c r="CL43">
        <v>22</v>
      </c>
      <c r="CM43">
        <v>22492.799999999999</v>
      </c>
      <c r="CN43">
        <v>32</v>
      </c>
      <c r="CO43">
        <v>32716.799999999999</v>
      </c>
      <c r="CP43">
        <v>15</v>
      </c>
      <c r="CQ43">
        <v>15336</v>
      </c>
      <c r="CR43">
        <v>26</v>
      </c>
      <c r="CS43">
        <v>26582.399999999998</v>
      </c>
      <c r="CT43">
        <v>23</v>
      </c>
      <c r="CU43">
        <v>23515.200000000001</v>
      </c>
    </row>
    <row r="44" spans="2:99" x14ac:dyDescent="0.2">
      <c r="C44" s="118" t="s">
        <v>210</v>
      </c>
      <c r="D44">
        <v>29</v>
      </c>
      <c r="E44">
        <v>29649.599999999999</v>
      </c>
      <c r="F44">
        <v>19</v>
      </c>
      <c r="G44">
        <v>19425.599999999999</v>
      </c>
      <c r="H44">
        <v>21</v>
      </c>
      <c r="I44">
        <v>21470.399999999998</v>
      </c>
      <c r="J44">
        <v>27.384269707129867</v>
      </c>
      <c r="K44">
        <v>27997.677348569574</v>
      </c>
      <c r="L44">
        <v>20</v>
      </c>
      <c r="M44">
        <v>20448</v>
      </c>
      <c r="N44">
        <v>28</v>
      </c>
      <c r="O44">
        <v>28627.200000000001</v>
      </c>
      <c r="P44">
        <v>22</v>
      </c>
      <c r="Q44">
        <v>22492.799999999999</v>
      </c>
      <c r="R44">
        <v>20</v>
      </c>
      <c r="S44">
        <v>20448</v>
      </c>
      <c r="T44">
        <v>29</v>
      </c>
      <c r="U44">
        <v>29649.599999999999</v>
      </c>
      <c r="V44">
        <v>20</v>
      </c>
      <c r="W44">
        <v>20448</v>
      </c>
      <c r="X44">
        <v>21</v>
      </c>
      <c r="Y44">
        <v>21470.399999999998</v>
      </c>
      <c r="Z44">
        <v>24</v>
      </c>
      <c r="AA44">
        <v>24537.599999999999</v>
      </c>
      <c r="AB44">
        <v>22</v>
      </c>
      <c r="AC44">
        <v>22492.799999999999</v>
      </c>
      <c r="AD44">
        <v>21</v>
      </c>
      <c r="AE44">
        <v>21470.399999999998</v>
      </c>
      <c r="AF44">
        <v>17</v>
      </c>
      <c r="AG44">
        <v>17380.8</v>
      </c>
      <c r="AH44">
        <v>22</v>
      </c>
      <c r="AI44">
        <v>22492.799999999999</v>
      </c>
      <c r="AJ44">
        <v>17</v>
      </c>
      <c r="AK44">
        <v>17380.8</v>
      </c>
      <c r="AL44">
        <v>21</v>
      </c>
      <c r="AM44">
        <v>21470.399999999998</v>
      </c>
      <c r="AN44">
        <v>23</v>
      </c>
      <c r="AO44">
        <v>23515.200000000001</v>
      </c>
      <c r="AP44">
        <v>16</v>
      </c>
      <c r="AQ44">
        <v>16358.4</v>
      </c>
      <c r="AR44">
        <v>17</v>
      </c>
      <c r="AS44">
        <v>17380.8</v>
      </c>
      <c r="AT44">
        <v>20</v>
      </c>
      <c r="AU44">
        <v>20448</v>
      </c>
      <c r="AV44">
        <v>19</v>
      </c>
      <c r="AW44">
        <v>19425.599999999999</v>
      </c>
      <c r="AX44">
        <v>22</v>
      </c>
      <c r="AY44">
        <v>22492.799999999999</v>
      </c>
      <c r="AZ44">
        <v>25</v>
      </c>
      <c r="BA44">
        <v>25560</v>
      </c>
      <c r="BB44">
        <v>17</v>
      </c>
      <c r="BC44">
        <v>17380.8</v>
      </c>
      <c r="BD44">
        <v>26</v>
      </c>
      <c r="BE44">
        <v>26582.399999999998</v>
      </c>
      <c r="BF44">
        <v>21</v>
      </c>
      <c r="BG44">
        <v>21470.399999999998</v>
      </c>
      <c r="BH44">
        <v>23</v>
      </c>
      <c r="BI44">
        <v>23515.200000000001</v>
      </c>
      <c r="BJ44">
        <v>28</v>
      </c>
      <c r="BK44">
        <v>28627.200000000001</v>
      </c>
      <c r="BL44">
        <v>30</v>
      </c>
      <c r="BM44">
        <v>30672</v>
      </c>
      <c r="BN44">
        <v>25</v>
      </c>
      <c r="BO44">
        <v>25560</v>
      </c>
      <c r="BP44">
        <v>34</v>
      </c>
      <c r="BQ44">
        <v>34761.599999999999</v>
      </c>
      <c r="BR44">
        <v>18</v>
      </c>
      <c r="BS44">
        <v>18403.2</v>
      </c>
      <c r="BT44">
        <v>24</v>
      </c>
      <c r="BU44">
        <v>24537.599999999999</v>
      </c>
      <c r="BV44">
        <v>26</v>
      </c>
      <c r="BW44">
        <v>26582.399999999998</v>
      </c>
      <c r="BX44">
        <v>28</v>
      </c>
      <c r="BY44">
        <v>28627.200000000001</v>
      </c>
      <c r="BZ44">
        <v>26</v>
      </c>
      <c r="CA44">
        <v>26582.399999999998</v>
      </c>
      <c r="CB44">
        <v>32</v>
      </c>
      <c r="CC44">
        <v>32716.799999999999</v>
      </c>
      <c r="CD44">
        <v>22</v>
      </c>
      <c r="CE44">
        <v>22492.799999999999</v>
      </c>
      <c r="CF44">
        <v>26</v>
      </c>
      <c r="CG44">
        <v>26582.399999999998</v>
      </c>
      <c r="CH44">
        <v>20</v>
      </c>
      <c r="CI44">
        <v>20448</v>
      </c>
      <c r="CJ44">
        <v>23</v>
      </c>
      <c r="CK44">
        <v>23515.200000000001</v>
      </c>
      <c r="CL44">
        <v>20</v>
      </c>
      <c r="CM44">
        <v>20448</v>
      </c>
      <c r="CN44">
        <v>31</v>
      </c>
      <c r="CO44">
        <v>31694.399999999998</v>
      </c>
      <c r="CP44">
        <v>17</v>
      </c>
      <c r="CQ44">
        <v>17380.8</v>
      </c>
      <c r="CR44">
        <v>26</v>
      </c>
      <c r="CS44">
        <v>26582.399999999998</v>
      </c>
      <c r="CT44">
        <v>24</v>
      </c>
      <c r="CU44">
        <v>24537.599999999999</v>
      </c>
    </row>
    <row r="45" spans="2:99" x14ac:dyDescent="0.2">
      <c r="C45" s="118" t="s">
        <v>211</v>
      </c>
      <c r="D45">
        <v>28</v>
      </c>
      <c r="E45">
        <v>34977.599999999999</v>
      </c>
      <c r="F45">
        <v>20</v>
      </c>
      <c r="G45">
        <v>24984</v>
      </c>
      <c r="H45">
        <v>17</v>
      </c>
      <c r="I45">
        <v>21236.400000000001</v>
      </c>
      <c r="J45">
        <v>29.384269707129867</v>
      </c>
      <c r="K45">
        <v>36706.829718146633</v>
      </c>
      <c r="L45">
        <v>23</v>
      </c>
      <c r="M45">
        <v>28731.600000000002</v>
      </c>
      <c r="N45">
        <v>26</v>
      </c>
      <c r="O45">
        <v>32479.200000000001</v>
      </c>
      <c r="P45">
        <v>22</v>
      </c>
      <c r="Q45">
        <v>27482.400000000001</v>
      </c>
      <c r="R45">
        <v>21</v>
      </c>
      <c r="S45">
        <v>26233.200000000001</v>
      </c>
      <c r="T45">
        <v>27</v>
      </c>
      <c r="U45">
        <v>33728.400000000001</v>
      </c>
      <c r="V45">
        <v>19</v>
      </c>
      <c r="W45">
        <v>23734.799999999999</v>
      </c>
      <c r="X45">
        <v>18</v>
      </c>
      <c r="Y45">
        <v>22485.600000000002</v>
      </c>
      <c r="Z45">
        <v>29</v>
      </c>
      <c r="AA45">
        <v>36226.800000000003</v>
      </c>
      <c r="AB45">
        <v>24</v>
      </c>
      <c r="AC45">
        <v>29980.800000000003</v>
      </c>
      <c r="AD45">
        <v>21</v>
      </c>
      <c r="AE45">
        <v>26233.200000000001</v>
      </c>
      <c r="AF45">
        <v>15</v>
      </c>
      <c r="AG45">
        <v>18738</v>
      </c>
      <c r="AH45">
        <v>22</v>
      </c>
      <c r="AI45">
        <v>27482.400000000001</v>
      </c>
      <c r="AJ45">
        <v>15</v>
      </c>
      <c r="AK45">
        <v>18738</v>
      </c>
      <c r="AL45">
        <v>22</v>
      </c>
      <c r="AM45">
        <v>27482.400000000001</v>
      </c>
      <c r="AN45">
        <v>21</v>
      </c>
      <c r="AO45">
        <v>26233.200000000001</v>
      </c>
      <c r="AP45">
        <v>15</v>
      </c>
      <c r="AQ45">
        <v>18738</v>
      </c>
      <c r="AR45">
        <v>17</v>
      </c>
      <c r="AS45">
        <v>21236.400000000001</v>
      </c>
      <c r="AT45">
        <v>21</v>
      </c>
      <c r="AU45">
        <v>26233.200000000001</v>
      </c>
      <c r="AV45">
        <v>17</v>
      </c>
      <c r="AW45">
        <v>21236.400000000001</v>
      </c>
      <c r="AX45">
        <v>20</v>
      </c>
      <c r="AY45">
        <v>24984</v>
      </c>
      <c r="AZ45">
        <v>26</v>
      </c>
      <c r="BA45">
        <v>32479.200000000001</v>
      </c>
      <c r="BB45">
        <v>19</v>
      </c>
      <c r="BC45">
        <v>23734.799999999999</v>
      </c>
      <c r="BD45">
        <v>28</v>
      </c>
      <c r="BE45">
        <v>34977.599999999999</v>
      </c>
      <c r="BF45">
        <v>22</v>
      </c>
      <c r="BG45">
        <v>27482.400000000001</v>
      </c>
      <c r="BH45">
        <v>22</v>
      </c>
      <c r="BI45">
        <v>27482.400000000001</v>
      </c>
      <c r="BJ45">
        <v>26</v>
      </c>
      <c r="BK45">
        <v>32479.200000000001</v>
      </c>
      <c r="BL45">
        <v>26</v>
      </c>
      <c r="BM45">
        <v>32479.200000000001</v>
      </c>
      <c r="BN45">
        <v>23</v>
      </c>
      <c r="BO45">
        <v>28731.600000000002</v>
      </c>
      <c r="BP45">
        <v>33</v>
      </c>
      <c r="BQ45">
        <v>41223.599999999999</v>
      </c>
      <c r="BR45">
        <v>18</v>
      </c>
      <c r="BS45">
        <v>22485.600000000002</v>
      </c>
      <c r="BT45">
        <v>24</v>
      </c>
      <c r="BU45">
        <v>29980.800000000003</v>
      </c>
      <c r="BV45">
        <v>25</v>
      </c>
      <c r="BW45">
        <v>31230</v>
      </c>
      <c r="BX45">
        <v>23</v>
      </c>
      <c r="BY45">
        <v>28731.600000000002</v>
      </c>
      <c r="BZ45">
        <v>25</v>
      </c>
      <c r="CA45">
        <v>31230</v>
      </c>
      <c r="CB45">
        <v>32</v>
      </c>
      <c r="CC45">
        <v>39974.400000000001</v>
      </c>
      <c r="CD45">
        <v>19</v>
      </c>
      <c r="CE45">
        <v>23734.799999999999</v>
      </c>
      <c r="CF45">
        <v>23</v>
      </c>
      <c r="CG45">
        <v>28731.600000000002</v>
      </c>
      <c r="CH45">
        <v>20</v>
      </c>
      <c r="CI45">
        <v>24984</v>
      </c>
      <c r="CJ45">
        <v>20</v>
      </c>
      <c r="CK45">
        <v>24984</v>
      </c>
      <c r="CL45">
        <v>23</v>
      </c>
      <c r="CM45">
        <v>28731.600000000002</v>
      </c>
      <c r="CN45">
        <v>29</v>
      </c>
      <c r="CO45">
        <v>36226.800000000003</v>
      </c>
      <c r="CP45">
        <v>14</v>
      </c>
      <c r="CQ45">
        <v>17488.8</v>
      </c>
      <c r="CR45">
        <v>23</v>
      </c>
      <c r="CS45">
        <v>28731.600000000002</v>
      </c>
      <c r="CT45">
        <v>20</v>
      </c>
      <c r="CU45">
        <v>24984</v>
      </c>
    </row>
    <row r="46" spans="2:99" x14ac:dyDescent="0.2">
      <c r="C46" s="118" t="s">
        <v>212</v>
      </c>
      <c r="D46">
        <v>30</v>
      </c>
      <c r="E46">
        <v>36360</v>
      </c>
      <c r="F46">
        <v>20</v>
      </c>
      <c r="G46">
        <v>24240</v>
      </c>
      <c r="H46">
        <v>19</v>
      </c>
      <c r="I46">
        <v>23028</v>
      </c>
      <c r="J46">
        <v>27.427528135477676</v>
      </c>
      <c r="K46">
        <v>33242.164100198941</v>
      </c>
      <c r="L46">
        <v>20</v>
      </c>
      <c r="M46">
        <v>24240</v>
      </c>
      <c r="N46">
        <v>27</v>
      </c>
      <c r="O46">
        <v>32724</v>
      </c>
      <c r="P46">
        <v>20</v>
      </c>
      <c r="Q46">
        <v>24240</v>
      </c>
      <c r="R46">
        <v>21</v>
      </c>
      <c r="S46">
        <v>25452</v>
      </c>
      <c r="T46">
        <v>27</v>
      </c>
      <c r="U46">
        <v>32724</v>
      </c>
      <c r="V46">
        <v>20</v>
      </c>
      <c r="W46">
        <v>24240</v>
      </c>
      <c r="X46">
        <v>20</v>
      </c>
      <c r="Y46">
        <v>24240</v>
      </c>
      <c r="Z46">
        <v>27</v>
      </c>
      <c r="AA46">
        <v>32724</v>
      </c>
      <c r="AB46">
        <v>24</v>
      </c>
      <c r="AC46">
        <v>29088</v>
      </c>
      <c r="AD46">
        <v>19</v>
      </c>
      <c r="AE46">
        <v>23028</v>
      </c>
      <c r="AF46">
        <v>17</v>
      </c>
      <c r="AG46">
        <v>20604</v>
      </c>
      <c r="AH46">
        <v>24</v>
      </c>
      <c r="AI46">
        <v>29088</v>
      </c>
      <c r="AJ46">
        <v>16</v>
      </c>
      <c r="AK46">
        <v>19392</v>
      </c>
      <c r="AL46">
        <v>19</v>
      </c>
      <c r="AM46">
        <v>23028</v>
      </c>
      <c r="AN46">
        <v>19</v>
      </c>
      <c r="AO46">
        <v>23028</v>
      </c>
      <c r="AP46">
        <v>17</v>
      </c>
      <c r="AQ46">
        <v>20604</v>
      </c>
      <c r="AR46">
        <v>18</v>
      </c>
      <c r="AS46">
        <v>21816</v>
      </c>
      <c r="AT46">
        <v>19</v>
      </c>
      <c r="AU46">
        <v>23028</v>
      </c>
      <c r="AV46">
        <v>17</v>
      </c>
      <c r="AW46">
        <v>20604</v>
      </c>
      <c r="AX46">
        <v>20</v>
      </c>
      <c r="AY46">
        <v>24240</v>
      </c>
      <c r="AZ46">
        <v>26</v>
      </c>
      <c r="BA46">
        <v>31512</v>
      </c>
      <c r="BB46">
        <v>17</v>
      </c>
      <c r="BC46">
        <v>20604</v>
      </c>
      <c r="BD46">
        <v>26</v>
      </c>
      <c r="BE46">
        <v>31512</v>
      </c>
      <c r="BF46">
        <v>21</v>
      </c>
      <c r="BG46">
        <v>25452</v>
      </c>
      <c r="BH46">
        <v>23</v>
      </c>
      <c r="BI46">
        <v>27876</v>
      </c>
      <c r="BJ46">
        <v>30</v>
      </c>
      <c r="BK46">
        <v>36360</v>
      </c>
      <c r="BL46">
        <v>27</v>
      </c>
      <c r="BM46">
        <v>32724</v>
      </c>
      <c r="BN46">
        <v>21</v>
      </c>
      <c r="BO46">
        <v>25452</v>
      </c>
      <c r="BP46">
        <v>29</v>
      </c>
      <c r="BQ46">
        <v>35148</v>
      </c>
      <c r="BR46">
        <v>18</v>
      </c>
      <c r="BS46">
        <v>21816</v>
      </c>
      <c r="BT46">
        <v>24</v>
      </c>
      <c r="BU46">
        <v>29088</v>
      </c>
      <c r="BV46">
        <v>23</v>
      </c>
      <c r="BW46">
        <v>27876</v>
      </c>
      <c r="BX46">
        <v>26</v>
      </c>
      <c r="BY46">
        <v>31512</v>
      </c>
      <c r="BZ46">
        <v>27</v>
      </c>
      <c r="CA46">
        <v>32724</v>
      </c>
      <c r="CB46">
        <v>29</v>
      </c>
      <c r="CC46">
        <v>35148</v>
      </c>
      <c r="CD46">
        <v>22</v>
      </c>
      <c r="CE46">
        <v>26664</v>
      </c>
      <c r="CF46">
        <v>25</v>
      </c>
      <c r="CG46">
        <v>30300</v>
      </c>
      <c r="CH46">
        <v>21</v>
      </c>
      <c r="CI46">
        <v>25452</v>
      </c>
      <c r="CJ46">
        <v>21</v>
      </c>
      <c r="CK46">
        <v>25452</v>
      </c>
      <c r="CL46">
        <v>22</v>
      </c>
      <c r="CM46">
        <v>26664</v>
      </c>
      <c r="CN46">
        <v>33</v>
      </c>
      <c r="CO46">
        <v>39996</v>
      </c>
      <c r="CP46">
        <v>16</v>
      </c>
      <c r="CQ46">
        <v>19392</v>
      </c>
      <c r="CR46">
        <v>25</v>
      </c>
      <c r="CS46">
        <v>30300</v>
      </c>
      <c r="CT46">
        <v>24</v>
      </c>
      <c r="CU46">
        <v>29088</v>
      </c>
    </row>
    <row r="47" spans="2:99" x14ac:dyDescent="0.2">
      <c r="C47" s="118" t="s">
        <v>213</v>
      </c>
      <c r="D47">
        <v>28</v>
      </c>
      <c r="E47">
        <v>42772.799999999996</v>
      </c>
      <c r="F47">
        <v>17</v>
      </c>
      <c r="G47">
        <v>25969.199999999997</v>
      </c>
      <c r="H47">
        <v>20</v>
      </c>
      <c r="I47">
        <v>30552</v>
      </c>
      <c r="J47">
        <v>26.470786563825484</v>
      </c>
      <c r="K47">
        <v>40436.77355489981</v>
      </c>
      <c r="L47">
        <v>21</v>
      </c>
      <c r="M47">
        <v>32079.599999999999</v>
      </c>
      <c r="N47">
        <v>26</v>
      </c>
      <c r="O47">
        <v>39717.599999999999</v>
      </c>
      <c r="P47">
        <v>21</v>
      </c>
      <c r="Q47">
        <v>32079.599999999999</v>
      </c>
      <c r="R47">
        <v>22</v>
      </c>
      <c r="S47">
        <v>33607.199999999997</v>
      </c>
      <c r="T47">
        <v>27</v>
      </c>
      <c r="U47">
        <v>41245.199999999997</v>
      </c>
      <c r="V47">
        <v>20</v>
      </c>
      <c r="W47">
        <v>30552</v>
      </c>
      <c r="X47">
        <v>21</v>
      </c>
      <c r="Y47">
        <v>32079.599999999999</v>
      </c>
      <c r="Z47">
        <v>26</v>
      </c>
      <c r="AA47">
        <v>39717.599999999999</v>
      </c>
      <c r="AB47">
        <v>21</v>
      </c>
      <c r="AC47">
        <v>32079.599999999999</v>
      </c>
      <c r="AD47">
        <v>21</v>
      </c>
      <c r="AE47">
        <v>32079.599999999999</v>
      </c>
      <c r="AF47">
        <v>15</v>
      </c>
      <c r="AG47">
        <v>22914</v>
      </c>
      <c r="AH47">
        <v>22</v>
      </c>
      <c r="AI47">
        <v>33607.199999999997</v>
      </c>
      <c r="AJ47">
        <v>15</v>
      </c>
      <c r="AK47">
        <v>22914</v>
      </c>
      <c r="AL47">
        <v>19</v>
      </c>
      <c r="AM47">
        <v>29024.399999999998</v>
      </c>
      <c r="AN47">
        <v>20</v>
      </c>
      <c r="AO47">
        <v>30552</v>
      </c>
      <c r="AP47">
        <v>15</v>
      </c>
      <c r="AQ47">
        <v>22914</v>
      </c>
      <c r="AR47">
        <v>16</v>
      </c>
      <c r="AS47">
        <v>24441.599999999999</v>
      </c>
      <c r="AT47">
        <v>19</v>
      </c>
      <c r="AU47">
        <v>29024.399999999998</v>
      </c>
      <c r="AV47">
        <v>18</v>
      </c>
      <c r="AW47">
        <v>27496.799999999999</v>
      </c>
      <c r="AX47">
        <v>22</v>
      </c>
      <c r="AY47">
        <v>33607.199999999997</v>
      </c>
      <c r="AZ47">
        <v>23</v>
      </c>
      <c r="BA47">
        <v>35134.799999999996</v>
      </c>
      <c r="BB47">
        <v>17</v>
      </c>
      <c r="BC47">
        <v>25969.199999999997</v>
      </c>
      <c r="BD47">
        <v>28</v>
      </c>
      <c r="BE47">
        <v>42772.799999999996</v>
      </c>
      <c r="BF47">
        <v>18</v>
      </c>
      <c r="BG47">
        <v>27496.799999999999</v>
      </c>
      <c r="BH47">
        <v>23</v>
      </c>
      <c r="BI47">
        <v>35134.799999999996</v>
      </c>
      <c r="BJ47">
        <v>26</v>
      </c>
      <c r="BK47">
        <v>39717.599999999999</v>
      </c>
      <c r="BL47">
        <v>25</v>
      </c>
      <c r="BM47">
        <v>38190</v>
      </c>
      <c r="BN47">
        <v>23</v>
      </c>
      <c r="BO47">
        <v>35134.799999999996</v>
      </c>
      <c r="BP47">
        <v>31</v>
      </c>
      <c r="BQ47">
        <v>47355.6</v>
      </c>
      <c r="BR47">
        <v>19</v>
      </c>
      <c r="BS47">
        <v>29024.399999999998</v>
      </c>
      <c r="BT47">
        <v>21</v>
      </c>
      <c r="BU47">
        <v>32079.599999999999</v>
      </c>
      <c r="BV47">
        <v>25</v>
      </c>
      <c r="BW47">
        <v>38190</v>
      </c>
      <c r="BX47">
        <v>23</v>
      </c>
      <c r="BY47">
        <v>35134.799999999996</v>
      </c>
      <c r="BZ47">
        <v>27</v>
      </c>
      <c r="CA47">
        <v>41245.199999999997</v>
      </c>
      <c r="CB47">
        <v>26</v>
      </c>
      <c r="CC47">
        <v>39717.599999999999</v>
      </c>
      <c r="CD47">
        <v>17</v>
      </c>
      <c r="CE47">
        <v>25969.199999999997</v>
      </c>
      <c r="CF47">
        <v>23</v>
      </c>
      <c r="CG47">
        <v>35134.799999999996</v>
      </c>
      <c r="CH47">
        <v>18</v>
      </c>
      <c r="CI47">
        <v>27496.799999999999</v>
      </c>
      <c r="CJ47">
        <v>20</v>
      </c>
      <c r="CK47">
        <v>30552</v>
      </c>
      <c r="CL47">
        <v>20</v>
      </c>
      <c r="CM47">
        <v>30552</v>
      </c>
      <c r="CN47">
        <v>27</v>
      </c>
      <c r="CO47">
        <v>41245.199999999997</v>
      </c>
      <c r="CP47">
        <v>15</v>
      </c>
      <c r="CQ47">
        <v>22914</v>
      </c>
      <c r="CR47">
        <v>22</v>
      </c>
      <c r="CS47">
        <v>33607.199999999997</v>
      </c>
      <c r="CT47">
        <v>23</v>
      </c>
      <c r="CU47">
        <v>35134.799999999996</v>
      </c>
    </row>
    <row r="48" spans="2:99" x14ac:dyDescent="0.2">
      <c r="C48" s="118" t="s">
        <v>214</v>
      </c>
      <c r="D48">
        <v>26</v>
      </c>
      <c r="E48">
        <v>22557.600000000002</v>
      </c>
      <c r="F48">
        <v>21</v>
      </c>
      <c r="G48">
        <v>18219.600000000002</v>
      </c>
      <c r="H48">
        <v>18</v>
      </c>
      <c r="I48">
        <v>15616.800000000001</v>
      </c>
      <c r="J48">
        <v>32.600561848868907</v>
      </c>
      <c r="K48">
        <v>28284.247460078663</v>
      </c>
      <c r="L48">
        <v>21</v>
      </c>
      <c r="M48">
        <v>18219.600000000002</v>
      </c>
      <c r="N48">
        <v>29</v>
      </c>
      <c r="O48">
        <v>25160.400000000001</v>
      </c>
      <c r="P48">
        <v>24</v>
      </c>
      <c r="Q48">
        <v>20822.400000000001</v>
      </c>
      <c r="R48">
        <v>22</v>
      </c>
      <c r="S48">
        <v>19087.2</v>
      </c>
      <c r="T48">
        <v>26</v>
      </c>
      <c r="U48">
        <v>22557.600000000002</v>
      </c>
      <c r="V48">
        <v>19</v>
      </c>
      <c r="W48">
        <v>16484.400000000001</v>
      </c>
      <c r="X48">
        <v>20</v>
      </c>
      <c r="Y48">
        <v>17352</v>
      </c>
      <c r="Z48">
        <v>27</v>
      </c>
      <c r="AA48">
        <v>23425.200000000001</v>
      </c>
      <c r="AB48">
        <v>23</v>
      </c>
      <c r="AC48">
        <v>19954.8</v>
      </c>
      <c r="AD48">
        <v>21</v>
      </c>
      <c r="AE48">
        <v>18219.600000000002</v>
      </c>
      <c r="AF48">
        <v>17</v>
      </c>
      <c r="AG48">
        <v>14749.2</v>
      </c>
      <c r="AH48">
        <v>23</v>
      </c>
      <c r="AI48">
        <v>19954.8</v>
      </c>
      <c r="AJ48">
        <v>16</v>
      </c>
      <c r="AK48">
        <v>13881.6</v>
      </c>
      <c r="AL48">
        <v>23</v>
      </c>
      <c r="AM48">
        <v>19954.8</v>
      </c>
      <c r="AN48">
        <v>22</v>
      </c>
      <c r="AO48">
        <v>19087.2</v>
      </c>
      <c r="AP48">
        <v>16</v>
      </c>
      <c r="AQ48">
        <v>13881.6</v>
      </c>
      <c r="AR48">
        <v>17</v>
      </c>
      <c r="AS48">
        <v>14749.2</v>
      </c>
      <c r="AT48">
        <v>21</v>
      </c>
      <c r="AU48">
        <v>18219.600000000002</v>
      </c>
      <c r="AV48">
        <v>18</v>
      </c>
      <c r="AW48">
        <v>15616.800000000001</v>
      </c>
      <c r="AX48">
        <v>23</v>
      </c>
      <c r="AY48">
        <v>19954.8</v>
      </c>
      <c r="AZ48">
        <v>29</v>
      </c>
      <c r="BA48">
        <v>25160.400000000001</v>
      </c>
      <c r="BB48">
        <v>19</v>
      </c>
      <c r="BC48">
        <v>16484.400000000001</v>
      </c>
      <c r="BD48">
        <v>28</v>
      </c>
      <c r="BE48">
        <v>24292.799999999999</v>
      </c>
      <c r="BF48">
        <v>22</v>
      </c>
      <c r="BG48">
        <v>19087.2</v>
      </c>
      <c r="BH48">
        <v>25</v>
      </c>
      <c r="BI48">
        <v>21690</v>
      </c>
      <c r="BJ48">
        <v>31</v>
      </c>
      <c r="BK48">
        <v>26895.600000000002</v>
      </c>
      <c r="BL48">
        <v>30</v>
      </c>
      <c r="BM48">
        <v>26028</v>
      </c>
      <c r="BN48">
        <v>26</v>
      </c>
      <c r="BO48">
        <v>22557.600000000002</v>
      </c>
      <c r="BP48">
        <v>32</v>
      </c>
      <c r="BQ48">
        <v>27763.200000000001</v>
      </c>
      <c r="BR48">
        <v>19</v>
      </c>
      <c r="BS48">
        <v>16484.400000000001</v>
      </c>
      <c r="BT48">
        <v>22</v>
      </c>
      <c r="BU48">
        <v>19087.2</v>
      </c>
      <c r="BV48">
        <v>25</v>
      </c>
      <c r="BW48">
        <v>21690</v>
      </c>
      <c r="BX48">
        <v>25</v>
      </c>
      <c r="BY48">
        <v>21690</v>
      </c>
      <c r="BZ48">
        <v>28</v>
      </c>
      <c r="CA48">
        <v>24292.799999999999</v>
      </c>
      <c r="CB48">
        <v>33</v>
      </c>
      <c r="CC48">
        <v>28630.799999999999</v>
      </c>
      <c r="CD48">
        <v>21</v>
      </c>
      <c r="CE48">
        <v>18219.600000000002</v>
      </c>
      <c r="CF48">
        <v>29</v>
      </c>
      <c r="CG48">
        <v>25160.400000000001</v>
      </c>
      <c r="CH48">
        <v>22</v>
      </c>
      <c r="CI48">
        <v>19087.2</v>
      </c>
      <c r="CJ48">
        <v>22</v>
      </c>
      <c r="CK48">
        <v>19087.2</v>
      </c>
      <c r="CL48">
        <v>20</v>
      </c>
      <c r="CM48">
        <v>17352</v>
      </c>
      <c r="CN48">
        <v>34</v>
      </c>
      <c r="CO48">
        <v>29498.400000000001</v>
      </c>
      <c r="CP48">
        <v>17</v>
      </c>
      <c r="CQ48">
        <v>14749.2</v>
      </c>
      <c r="CR48">
        <v>26</v>
      </c>
      <c r="CS48">
        <v>22557.600000000002</v>
      </c>
      <c r="CT48">
        <v>25</v>
      </c>
      <c r="CU48">
        <v>21690</v>
      </c>
    </row>
    <row r="49" spans="2:99" x14ac:dyDescent="0.2">
      <c r="B49" s="118" t="s">
        <v>129</v>
      </c>
      <c r="C49" s="118" t="s">
        <v>215</v>
      </c>
      <c r="D49">
        <v>13</v>
      </c>
      <c r="E49">
        <v>12807.599999999999</v>
      </c>
      <c r="F49">
        <v>18</v>
      </c>
      <c r="G49">
        <v>17733.599999999999</v>
      </c>
      <c r="H49">
        <v>16</v>
      </c>
      <c r="I49">
        <v>15763.199999999999</v>
      </c>
      <c r="J49">
        <v>14</v>
      </c>
      <c r="K49">
        <v>13792.8</v>
      </c>
      <c r="L49">
        <v>18</v>
      </c>
      <c r="M49">
        <v>17733.599999999999</v>
      </c>
      <c r="N49">
        <v>13.848439793469169</v>
      </c>
      <c r="O49">
        <v>13643.482884525823</v>
      </c>
      <c r="P49">
        <v>18.308675509422731</v>
      </c>
      <c r="Q49">
        <v>18037.707111883272</v>
      </c>
      <c r="R49">
        <v>14.867521836963965</v>
      </c>
      <c r="S49">
        <v>14647.482513776897</v>
      </c>
      <c r="T49">
        <v>10.408259911892088</v>
      </c>
      <c r="U49">
        <v>10254.217665196085</v>
      </c>
      <c r="V49">
        <v>17.82308407592901</v>
      </c>
      <c r="W49">
        <v>17559.302431605262</v>
      </c>
      <c r="X49">
        <v>20.766338783899375</v>
      </c>
      <c r="Y49">
        <v>20458.996969897664</v>
      </c>
      <c r="Z49">
        <v>17.765064933591326</v>
      </c>
      <c r="AA49">
        <v>17502.141972574173</v>
      </c>
      <c r="AB49">
        <v>13.539334187488606</v>
      </c>
      <c r="AC49">
        <v>13338.952041513774</v>
      </c>
      <c r="AD49">
        <v>13.494155207489168</v>
      </c>
      <c r="AE49">
        <v>13294.441710418327</v>
      </c>
      <c r="AF49">
        <v>14.086348739178128</v>
      </c>
      <c r="AG49">
        <v>13877.87077783829</v>
      </c>
      <c r="AH49">
        <v>16.800943444605029</v>
      </c>
      <c r="AI49">
        <v>16552.289481624874</v>
      </c>
      <c r="AJ49">
        <v>12</v>
      </c>
      <c r="AK49">
        <v>11822.4</v>
      </c>
      <c r="AL49">
        <v>15.828374466216403</v>
      </c>
      <c r="AM49">
        <v>15594.114524116399</v>
      </c>
      <c r="AN49">
        <v>18.898234791943295</v>
      </c>
      <c r="AO49">
        <v>18618.540917022532</v>
      </c>
      <c r="AP49">
        <v>16.466507979466186</v>
      </c>
      <c r="AQ49">
        <v>16222.803661370086</v>
      </c>
      <c r="AR49">
        <v>16.318503708821304</v>
      </c>
      <c r="AS49">
        <v>16076.989853930747</v>
      </c>
      <c r="AT49">
        <v>11.822717125039041</v>
      </c>
      <c r="AU49">
        <v>11647.740911588462</v>
      </c>
      <c r="AV49">
        <v>14.631326412964516</v>
      </c>
      <c r="AW49">
        <v>14414.78278205264</v>
      </c>
      <c r="AX49">
        <v>16.477604343903216</v>
      </c>
      <c r="AY49">
        <v>16233.735799613447</v>
      </c>
      <c r="AZ49">
        <v>19.374720917208855</v>
      </c>
      <c r="BA49">
        <v>19087.975047634161</v>
      </c>
      <c r="BB49">
        <v>21.826395600082865</v>
      </c>
      <c r="BC49">
        <v>21503.364945201636</v>
      </c>
      <c r="BD49">
        <v>12.597375929467043</v>
      </c>
      <c r="BE49">
        <v>12410.93476571093</v>
      </c>
      <c r="BF49">
        <v>10</v>
      </c>
      <c r="BG49">
        <v>9852</v>
      </c>
      <c r="BH49">
        <v>12.854705528739782</v>
      </c>
      <c r="BI49">
        <v>12664.455886914433</v>
      </c>
      <c r="BJ49">
        <v>13.606812021875024</v>
      </c>
      <c r="BK49">
        <v>13405.431203951273</v>
      </c>
      <c r="BL49">
        <v>13.644433195623368</v>
      </c>
      <c r="BM49">
        <v>13442.49558432814</v>
      </c>
      <c r="BN49">
        <v>16.82373737415584</v>
      </c>
      <c r="BO49">
        <v>16574.746061018333</v>
      </c>
      <c r="BP49">
        <v>11.86000707540774</v>
      </c>
      <c r="BQ49">
        <v>11684.478970691705</v>
      </c>
      <c r="BR49">
        <v>13.858692452245462</v>
      </c>
      <c r="BS49">
        <v>13653.583803952228</v>
      </c>
      <c r="BT49">
        <v>16.054168738378358</v>
      </c>
      <c r="BU49">
        <v>15816.567041050357</v>
      </c>
      <c r="BV49">
        <v>14.738921465615302</v>
      </c>
      <c r="BW49">
        <v>14520.785427924195</v>
      </c>
      <c r="BX49">
        <v>11.216257880685546</v>
      </c>
      <c r="BY49">
        <v>11050.257264051399</v>
      </c>
      <c r="BZ49">
        <v>16.982372537203918</v>
      </c>
      <c r="CA49">
        <v>16731.033423653298</v>
      </c>
      <c r="CB49">
        <v>12.477013068762236</v>
      </c>
      <c r="CC49">
        <v>12292.353275344554</v>
      </c>
      <c r="CD49">
        <v>15.680062456427923</v>
      </c>
      <c r="CE49">
        <v>15447.997532072788</v>
      </c>
      <c r="CF49">
        <v>14.881908972365574</v>
      </c>
      <c r="CG49">
        <v>14661.656719574563</v>
      </c>
      <c r="CH49">
        <v>13.679538336321533</v>
      </c>
      <c r="CI49">
        <v>13477.081168943974</v>
      </c>
      <c r="CJ49">
        <v>13.383567931211658</v>
      </c>
      <c r="CK49">
        <v>13185.491125829725</v>
      </c>
      <c r="CL49">
        <v>17.866161857107073</v>
      </c>
      <c r="CM49">
        <v>17601.742661621887</v>
      </c>
      <c r="CN49">
        <v>15.845964585293144</v>
      </c>
      <c r="CO49">
        <v>15611.444309430804</v>
      </c>
      <c r="CP49">
        <v>17.640010375121307</v>
      </c>
      <c r="CQ49">
        <v>17378.938221569511</v>
      </c>
      <c r="CR49">
        <v>15.185974394145408</v>
      </c>
      <c r="CS49">
        <v>14961.221973112055</v>
      </c>
      <c r="CT49">
        <v>10.979336676059459</v>
      </c>
      <c r="CU49">
        <v>10816.842493253778</v>
      </c>
    </row>
    <row r="50" spans="2:99" x14ac:dyDescent="0.2">
      <c r="C50" s="118" t="s">
        <v>216</v>
      </c>
      <c r="D50">
        <v>14</v>
      </c>
      <c r="E50">
        <v>3948</v>
      </c>
      <c r="F50">
        <v>17</v>
      </c>
      <c r="G50">
        <v>4794</v>
      </c>
      <c r="H50">
        <v>16</v>
      </c>
      <c r="I50">
        <v>4512</v>
      </c>
      <c r="J50">
        <v>17.038202280347399</v>
      </c>
      <c r="K50">
        <v>4804.7730430579668</v>
      </c>
      <c r="L50">
        <v>21</v>
      </c>
      <c r="M50">
        <v>5922</v>
      </c>
      <c r="N50">
        <v>14</v>
      </c>
      <c r="O50">
        <v>3948</v>
      </c>
      <c r="P50">
        <v>19</v>
      </c>
      <c r="Q50">
        <v>5358</v>
      </c>
      <c r="R50">
        <v>18</v>
      </c>
      <c r="S50">
        <v>5076</v>
      </c>
      <c r="T50">
        <v>11</v>
      </c>
      <c r="U50">
        <v>3102</v>
      </c>
      <c r="V50">
        <v>15</v>
      </c>
      <c r="W50">
        <v>4230</v>
      </c>
      <c r="X50">
        <v>21</v>
      </c>
      <c r="Y50">
        <v>5922</v>
      </c>
      <c r="Z50">
        <v>20</v>
      </c>
      <c r="AA50">
        <v>5640</v>
      </c>
      <c r="AB50">
        <v>14</v>
      </c>
      <c r="AC50">
        <v>3948</v>
      </c>
      <c r="AD50">
        <v>16</v>
      </c>
      <c r="AE50">
        <v>4512</v>
      </c>
      <c r="AF50">
        <v>13</v>
      </c>
      <c r="AG50">
        <v>3666</v>
      </c>
      <c r="AH50">
        <v>16</v>
      </c>
      <c r="AI50">
        <v>4512</v>
      </c>
      <c r="AJ50">
        <v>14</v>
      </c>
      <c r="AK50">
        <v>3948</v>
      </c>
      <c r="AL50">
        <v>15</v>
      </c>
      <c r="AM50">
        <v>4230</v>
      </c>
      <c r="AN50">
        <v>19</v>
      </c>
      <c r="AO50">
        <v>5358</v>
      </c>
      <c r="AP50">
        <v>16</v>
      </c>
      <c r="AQ50">
        <v>4512</v>
      </c>
      <c r="AR50">
        <v>16</v>
      </c>
      <c r="AS50">
        <v>4512</v>
      </c>
      <c r="AT50">
        <v>13</v>
      </c>
      <c r="AU50">
        <v>3666</v>
      </c>
      <c r="AV50">
        <v>14</v>
      </c>
      <c r="AW50">
        <v>3948</v>
      </c>
      <c r="AX50">
        <v>19</v>
      </c>
      <c r="AY50">
        <v>5358</v>
      </c>
      <c r="AZ50">
        <v>19</v>
      </c>
      <c r="BA50">
        <v>5358</v>
      </c>
      <c r="BB50">
        <v>22</v>
      </c>
      <c r="BC50">
        <v>6204</v>
      </c>
      <c r="BD50">
        <v>12</v>
      </c>
      <c r="BE50">
        <v>3384</v>
      </c>
      <c r="BF50">
        <v>11</v>
      </c>
      <c r="BG50">
        <v>3102</v>
      </c>
      <c r="BH50">
        <v>12</v>
      </c>
      <c r="BI50">
        <v>3384</v>
      </c>
      <c r="BJ50">
        <v>14</v>
      </c>
      <c r="BK50">
        <v>3948</v>
      </c>
      <c r="BL50">
        <v>16</v>
      </c>
      <c r="BM50">
        <v>4512</v>
      </c>
      <c r="BN50">
        <v>17</v>
      </c>
      <c r="BO50">
        <v>4794</v>
      </c>
      <c r="BP50">
        <v>12</v>
      </c>
      <c r="BQ50">
        <v>3384</v>
      </c>
      <c r="BR50">
        <v>14</v>
      </c>
      <c r="BS50">
        <v>3948</v>
      </c>
      <c r="BT50">
        <v>17</v>
      </c>
      <c r="BU50">
        <v>4794</v>
      </c>
      <c r="BV50">
        <v>15</v>
      </c>
      <c r="BW50">
        <v>4230</v>
      </c>
      <c r="BX50">
        <v>13</v>
      </c>
      <c r="BY50">
        <v>3666</v>
      </c>
      <c r="BZ50">
        <v>15</v>
      </c>
      <c r="CA50">
        <v>4230</v>
      </c>
      <c r="CB50">
        <v>13</v>
      </c>
      <c r="CC50">
        <v>3666</v>
      </c>
      <c r="CD50">
        <v>15</v>
      </c>
      <c r="CE50">
        <v>4230</v>
      </c>
      <c r="CF50">
        <v>14</v>
      </c>
      <c r="CG50">
        <v>3948</v>
      </c>
      <c r="CH50">
        <v>12</v>
      </c>
      <c r="CI50">
        <v>3384</v>
      </c>
      <c r="CJ50">
        <v>13</v>
      </c>
      <c r="CK50">
        <v>3666</v>
      </c>
      <c r="CL50">
        <v>20</v>
      </c>
      <c r="CM50">
        <v>5640</v>
      </c>
      <c r="CN50">
        <v>18</v>
      </c>
      <c r="CO50">
        <v>5076</v>
      </c>
      <c r="CP50">
        <v>19</v>
      </c>
      <c r="CQ50">
        <v>5358</v>
      </c>
      <c r="CR50">
        <v>17</v>
      </c>
      <c r="CS50">
        <v>4794</v>
      </c>
      <c r="CT50">
        <v>11</v>
      </c>
      <c r="CU50">
        <v>3102</v>
      </c>
    </row>
    <row r="51" spans="2:99" x14ac:dyDescent="0.2">
      <c r="C51" s="118" t="s">
        <v>217</v>
      </c>
      <c r="D51">
        <v>13</v>
      </c>
      <c r="E51">
        <v>11107.199999999999</v>
      </c>
      <c r="F51">
        <v>17</v>
      </c>
      <c r="G51">
        <v>14524.8</v>
      </c>
      <c r="H51">
        <v>15</v>
      </c>
      <c r="I51">
        <v>12816</v>
      </c>
      <c r="J51">
        <v>14.994943851999592</v>
      </c>
      <c r="K51">
        <v>12811.680027148452</v>
      </c>
      <c r="L51">
        <v>19</v>
      </c>
      <c r="M51">
        <v>16233.6</v>
      </c>
      <c r="N51">
        <v>13</v>
      </c>
      <c r="O51">
        <v>11107.199999999999</v>
      </c>
      <c r="P51">
        <v>16</v>
      </c>
      <c r="Q51">
        <v>13670.4</v>
      </c>
      <c r="R51">
        <v>16</v>
      </c>
      <c r="S51">
        <v>13670.4</v>
      </c>
      <c r="T51">
        <v>11</v>
      </c>
      <c r="U51">
        <v>9398.4</v>
      </c>
      <c r="V51">
        <v>14</v>
      </c>
      <c r="W51">
        <v>11961.6</v>
      </c>
      <c r="X51">
        <v>21</v>
      </c>
      <c r="Y51">
        <v>17942.399999999998</v>
      </c>
      <c r="Z51">
        <v>17</v>
      </c>
      <c r="AA51">
        <v>14524.8</v>
      </c>
      <c r="AB51">
        <v>14</v>
      </c>
      <c r="AC51">
        <v>11961.6</v>
      </c>
      <c r="AD51">
        <v>16</v>
      </c>
      <c r="AE51">
        <v>13670.4</v>
      </c>
      <c r="AF51">
        <v>12</v>
      </c>
      <c r="AG51">
        <v>10252.799999999999</v>
      </c>
      <c r="AH51">
        <v>17</v>
      </c>
      <c r="AI51">
        <v>14524.8</v>
      </c>
      <c r="AJ51">
        <v>13</v>
      </c>
      <c r="AK51">
        <v>11107.199999999999</v>
      </c>
      <c r="AL51">
        <v>13</v>
      </c>
      <c r="AM51">
        <v>11107.199999999999</v>
      </c>
      <c r="AN51">
        <v>20</v>
      </c>
      <c r="AO51">
        <v>17088</v>
      </c>
      <c r="AP51">
        <v>14</v>
      </c>
      <c r="AQ51">
        <v>11961.6</v>
      </c>
      <c r="AR51">
        <v>16</v>
      </c>
      <c r="AS51">
        <v>13670.4</v>
      </c>
      <c r="AT51">
        <v>12</v>
      </c>
      <c r="AU51">
        <v>10252.799999999999</v>
      </c>
      <c r="AV51">
        <v>16</v>
      </c>
      <c r="AW51">
        <v>13670.4</v>
      </c>
      <c r="AX51">
        <v>17</v>
      </c>
      <c r="AY51">
        <v>14524.8</v>
      </c>
      <c r="AZ51">
        <v>18</v>
      </c>
      <c r="BA51">
        <v>15379.199999999999</v>
      </c>
      <c r="BB51">
        <v>20</v>
      </c>
      <c r="BC51">
        <v>17088</v>
      </c>
      <c r="BD51">
        <v>11</v>
      </c>
      <c r="BE51">
        <v>9398.4</v>
      </c>
      <c r="BF51">
        <v>12</v>
      </c>
      <c r="BG51">
        <v>10252.799999999999</v>
      </c>
      <c r="BH51">
        <v>10</v>
      </c>
      <c r="BI51">
        <v>8544</v>
      </c>
      <c r="BJ51">
        <v>13</v>
      </c>
      <c r="BK51">
        <v>11107.199999999999</v>
      </c>
      <c r="BL51">
        <v>15</v>
      </c>
      <c r="BM51">
        <v>12816</v>
      </c>
      <c r="BN51">
        <v>15</v>
      </c>
      <c r="BO51">
        <v>12816</v>
      </c>
      <c r="BP51">
        <v>11</v>
      </c>
      <c r="BQ51">
        <v>9398.4</v>
      </c>
      <c r="BR51">
        <v>13</v>
      </c>
      <c r="BS51">
        <v>11107.199999999999</v>
      </c>
      <c r="BT51">
        <v>15</v>
      </c>
      <c r="BU51">
        <v>12816</v>
      </c>
      <c r="BV51">
        <v>15</v>
      </c>
      <c r="BW51">
        <v>12816</v>
      </c>
      <c r="BX51">
        <v>12</v>
      </c>
      <c r="BY51">
        <v>10252.799999999999</v>
      </c>
      <c r="BZ51">
        <v>14</v>
      </c>
      <c r="CA51">
        <v>11961.6</v>
      </c>
      <c r="CB51">
        <v>12</v>
      </c>
      <c r="CC51">
        <v>10252.799999999999</v>
      </c>
      <c r="CD51">
        <v>14</v>
      </c>
      <c r="CE51">
        <v>11961.6</v>
      </c>
      <c r="CF51">
        <v>12</v>
      </c>
      <c r="CG51">
        <v>10252.799999999999</v>
      </c>
      <c r="CH51">
        <v>13</v>
      </c>
      <c r="CI51">
        <v>11107.199999999999</v>
      </c>
      <c r="CJ51">
        <v>13</v>
      </c>
      <c r="CK51">
        <v>11107.199999999999</v>
      </c>
      <c r="CL51">
        <v>16</v>
      </c>
      <c r="CM51">
        <v>13670.4</v>
      </c>
      <c r="CN51">
        <v>17</v>
      </c>
      <c r="CO51">
        <v>14524.8</v>
      </c>
      <c r="CP51">
        <v>19</v>
      </c>
      <c r="CQ51">
        <v>16233.6</v>
      </c>
      <c r="CR51">
        <v>17</v>
      </c>
      <c r="CS51">
        <v>14524.8</v>
      </c>
      <c r="CT51">
        <v>12</v>
      </c>
      <c r="CU51">
        <v>10252.799999999999</v>
      </c>
    </row>
    <row r="52" spans="2:99" x14ac:dyDescent="0.2">
      <c r="C52" s="118" t="s">
        <v>218</v>
      </c>
      <c r="D52">
        <v>15</v>
      </c>
      <c r="E52">
        <v>8100</v>
      </c>
      <c r="F52">
        <v>18</v>
      </c>
      <c r="G52">
        <v>9720</v>
      </c>
      <c r="H52">
        <v>14</v>
      </c>
      <c r="I52">
        <v>7560</v>
      </c>
      <c r="J52">
        <v>17.081460708695207</v>
      </c>
      <c r="K52">
        <v>9223.9887826954127</v>
      </c>
      <c r="L52">
        <v>20</v>
      </c>
      <c r="M52">
        <v>10800</v>
      </c>
      <c r="N52">
        <v>14</v>
      </c>
      <c r="O52">
        <v>7560</v>
      </c>
      <c r="P52">
        <v>18</v>
      </c>
      <c r="Q52">
        <v>9720</v>
      </c>
      <c r="R52">
        <v>18</v>
      </c>
      <c r="S52">
        <v>9720</v>
      </c>
      <c r="T52">
        <v>11</v>
      </c>
      <c r="U52">
        <v>5940</v>
      </c>
      <c r="V52">
        <v>18</v>
      </c>
      <c r="W52">
        <v>9720</v>
      </c>
      <c r="X52">
        <v>22</v>
      </c>
      <c r="Y52">
        <v>11880</v>
      </c>
      <c r="Z52">
        <v>20</v>
      </c>
      <c r="AA52">
        <v>10800</v>
      </c>
      <c r="AB52">
        <v>15</v>
      </c>
      <c r="AC52">
        <v>8100</v>
      </c>
      <c r="AD52">
        <v>13</v>
      </c>
      <c r="AE52">
        <v>7020</v>
      </c>
      <c r="AF52">
        <v>14</v>
      </c>
      <c r="AG52">
        <v>7560</v>
      </c>
      <c r="AH52">
        <v>18</v>
      </c>
      <c r="AI52">
        <v>9720</v>
      </c>
      <c r="AJ52">
        <v>14</v>
      </c>
      <c r="AK52">
        <v>7560</v>
      </c>
      <c r="AL52">
        <v>15</v>
      </c>
      <c r="AM52">
        <v>8100</v>
      </c>
      <c r="AN52">
        <v>20</v>
      </c>
      <c r="AO52">
        <v>10800</v>
      </c>
      <c r="AP52">
        <v>14</v>
      </c>
      <c r="AQ52">
        <v>7560</v>
      </c>
      <c r="AR52">
        <v>16</v>
      </c>
      <c r="AS52">
        <v>8640</v>
      </c>
      <c r="AT52">
        <v>11</v>
      </c>
      <c r="AU52">
        <v>5940</v>
      </c>
      <c r="AV52">
        <v>16</v>
      </c>
      <c r="AW52">
        <v>8640</v>
      </c>
      <c r="AX52">
        <v>16</v>
      </c>
      <c r="AY52">
        <v>8640</v>
      </c>
      <c r="AZ52">
        <v>21</v>
      </c>
      <c r="BA52">
        <v>11340</v>
      </c>
      <c r="BB52">
        <v>21</v>
      </c>
      <c r="BC52">
        <v>11340</v>
      </c>
      <c r="BD52">
        <v>12</v>
      </c>
      <c r="BE52">
        <v>6480</v>
      </c>
      <c r="BF52">
        <v>11</v>
      </c>
      <c r="BG52">
        <v>5940</v>
      </c>
      <c r="BH52">
        <v>11</v>
      </c>
      <c r="BI52">
        <v>5940</v>
      </c>
      <c r="BJ52">
        <v>13</v>
      </c>
      <c r="BK52">
        <v>7020</v>
      </c>
      <c r="BL52">
        <v>16</v>
      </c>
      <c r="BM52">
        <v>8640</v>
      </c>
      <c r="BN52">
        <v>15</v>
      </c>
      <c r="BO52">
        <v>8100</v>
      </c>
      <c r="BP52">
        <v>12</v>
      </c>
      <c r="BQ52">
        <v>6480</v>
      </c>
      <c r="BR52">
        <v>13</v>
      </c>
      <c r="BS52">
        <v>7020</v>
      </c>
      <c r="BT52">
        <v>16</v>
      </c>
      <c r="BU52">
        <v>8640</v>
      </c>
      <c r="BV52">
        <v>14</v>
      </c>
      <c r="BW52">
        <v>7560</v>
      </c>
      <c r="BX52">
        <v>13</v>
      </c>
      <c r="BY52">
        <v>7020</v>
      </c>
      <c r="BZ52">
        <v>17</v>
      </c>
      <c r="CA52">
        <v>9180</v>
      </c>
      <c r="CB52">
        <v>13</v>
      </c>
      <c r="CC52">
        <v>7020</v>
      </c>
      <c r="CD52">
        <v>15</v>
      </c>
      <c r="CE52">
        <v>8100</v>
      </c>
      <c r="CF52">
        <v>13</v>
      </c>
      <c r="CG52">
        <v>7020</v>
      </c>
      <c r="CH52">
        <v>11</v>
      </c>
      <c r="CI52">
        <v>5940</v>
      </c>
      <c r="CJ52">
        <v>13</v>
      </c>
      <c r="CK52">
        <v>7020</v>
      </c>
      <c r="CL52">
        <v>17</v>
      </c>
      <c r="CM52">
        <v>9180</v>
      </c>
      <c r="CN52">
        <v>17</v>
      </c>
      <c r="CO52">
        <v>9180</v>
      </c>
      <c r="CP52">
        <v>19</v>
      </c>
      <c r="CQ52">
        <v>10260</v>
      </c>
      <c r="CR52">
        <v>16</v>
      </c>
      <c r="CS52">
        <v>8640</v>
      </c>
      <c r="CT52">
        <v>11</v>
      </c>
      <c r="CU52">
        <v>5940</v>
      </c>
    </row>
    <row r="53" spans="2:99" x14ac:dyDescent="0.2">
      <c r="C53" s="118" t="s">
        <v>219</v>
      </c>
      <c r="D53">
        <v>14</v>
      </c>
      <c r="E53">
        <v>5695.2</v>
      </c>
      <c r="F53">
        <v>18</v>
      </c>
      <c r="G53">
        <v>7322.4000000000005</v>
      </c>
      <c r="H53">
        <v>16</v>
      </c>
      <c r="I53">
        <v>6508.8</v>
      </c>
      <c r="J53">
        <v>15.167977565390824</v>
      </c>
      <c r="K53">
        <v>6170.3332736009879</v>
      </c>
      <c r="L53">
        <v>20</v>
      </c>
      <c r="M53">
        <v>8136</v>
      </c>
      <c r="N53">
        <v>15</v>
      </c>
      <c r="O53">
        <v>6102</v>
      </c>
      <c r="P53">
        <v>18</v>
      </c>
      <c r="Q53">
        <v>7322.4000000000005</v>
      </c>
      <c r="R53">
        <v>17</v>
      </c>
      <c r="S53">
        <v>6915.6</v>
      </c>
      <c r="T53">
        <v>12</v>
      </c>
      <c r="U53">
        <v>4881.6000000000004</v>
      </c>
      <c r="V53">
        <v>16</v>
      </c>
      <c r="W53">
        <v>6508.8</v>
      </c>
      <c r="X53">
        <v>22</v>
      </c>
      <c r="Y53">
        <v>8949.6</v>
      </c>
      <c r="Z53">
        <v>19</v>
      </c>
      <c r="AA53">
        <v>7729.2</v>
      </c>
      <c r="AB53">
        <v>14</v>
      </c>
      <c r="AC53">
        <v>5695.2</v>
      </c>
      <c r="AD53">
        <v>14</v>
      </c>
      <c r="AE53">
        <v>5695.2</v>
      </c>
      <c r="AF53">
        <v>12</v>
      </c>
      <c r="AG53">
        <v>4881.6000000000004</v>
      </c>
      <c r="AH53">
        <v>16</v>
      </c>
      <c r="AI53">
        <v>6508.8</v>
      </c>
      <c r="AJ53">
        <v>12</v>
      </c>
      <c r="AK53">
        <v>4881.6000000000004</v>
      </c>
      <c r="AL53">
        <v>15</v>
      </c>
      <c r="AM53">
        <v>6102</v>
      </c>
      <c r="AN53">
        <v>22</v>
      </c>
      <c r="AO53">
        <v>8949.6</v>
      </c>
      <c r="AP53">
        <v>16</v>
      </c>
      <c r="AQ53">
        <v>6508.8</v>
      </c>
      <c r="AR53">
        <v>18</v>
      </c>
      <c r="AS53">
        <v>7322.4000000000005</v>
      </c>
      <c r="AT53">
        <v>12</v>
      </c>
      <c r="AU53">
        <v>4881.6000000000004</v>
      </c>
      <c r="AV53">
        <v>14</v>
      </c>
      <c r="AW53">
        <v>5695.2</v>
      </c>
      <c r="AX53">
        <v>15</v>
      </c>
      <c r="AY53">
        <v>6102</v>
      </c>
      <c r="AZ53">
        <v>18</v>
      </c>
      <c r="BA53">
        <v>7322.4000000000005</v>
      </c>
      <c r="BB53">
        <v>21</v>
      </c>
      <c r="BC53">
        <v>8542.8000000000011</v>
      </c>
      <c r="BD53">
        <v>12</v>
      </c>
      <c r="BE53">
        <v>4881.6000000000004</v>
      </c>
      <c r="BF53">
        <v>12</v>
      </c>
      <c r="BG53">
        <v>4881.6000000000004</v>
      </c>
      <c r="BH53">
        <v>13</v>
      </c>
      <c r="BI53">
        <v>5288.4000000000005</v>
      </c>
      <c r="BJ53">
        <v>13</v>
      </c>
      <c r="BK53">
        <v>5288.4000000000005</v>
      </c>
      <c r="BL53">
        <v>14</v>
      </c>
      <c r="BM53">
        <v>5695.2</v>
      </c>
      <c r="BN53">
        <v>16</v>
      </c>
      <c r="BO53">
        <v>6508.8</v>
      </c>
      <c r="BP53">
        <v>12</v>
      </c>
      <c r="BQ53">
        <v>4881.6000000000004</v>
      </c>
      <c r="BR53">
        <v>14</v>
      </c>
      <c r="BS53">
        <v>5695.2</v>
      </c>
      <c r="BT53">
        <v>18</v>
      </c>
      <c r="BU53">
        <v>7322.4000000000005</v>
      </c>
      <c r="BV53">
        <v>16</v>
      </c>
      <c r="BW53">
        <v>6508.8</v>
      </c>
      <c r="BX53">
        <v>13</v>
      </c>
      <c r="BY53">
        <v>5288.4000000000005</v>
      </c>
      <c r="BZ53">
        <v>16</v>
      </c>
      <c r="CA53">
        <v>6508.8</v>
      </c>
      <c r="CB53">
        <v>13</v>
      </c>
      <c r="CC53">
        <v>5288.4000000000005</v>
      </c>
      <c r="CD53">
        <v>15</v>
      </c>
      <c r="CE53">
        <v>6102</v>
      </c>
      <c r="CF53">
        <v>15</v>
      </c>
      <c r="CG53">
        <v>6102</v>
      </c>
      <c r="CH53">
        <v>12</v>
      </c>
      <c r="CI53">
        <v>4881.6000000000004</v>
      </c>
      <c r="CJ53">
        <v>14</v>
      </c>
      <c r="CK53">
        <v>5695.2</v>
      </c>
      <c r="CL53">
        <v>19</v>
      </c>
      <c r="CM53">
        <v>7729.2</v>
      </c>
      <c r="CN53">
        <v>18</v>
      </c>
      <c r="CO53">
        <v>7322.4000000000005</v>
      </c>
      <c r="CP53">
        <v>16</v>
      </c>
      <c r="CQ53">
        <v>6508.8</v>
      </c>
      <c r="CR53">
        <v>16</v>
      </c>
      <c r="CS53">
        <v>6508.8</v>
      </c>
      <c r="CT53">
        <v>12</v>
      </c>
      <c r="CU53">
        <v>4881.6000000000004</v>
      </c>
    </row>
    <row r="54" spans="2:99" x14ac:dyDescent="0.2">
      <c r="C54" s="118" t="s">
        <v>220</v>
      </c>
      <c r="D54">
        <v>14</v>
      </c>
      <c r="E54">
        <v>4687.2</v>
      </c>
      <c r="F54">
        <v>18.054457929536387</v>
      </c>
      <c r="G54">
        <v>6044.6325148087826</v>
      </c>
      <c r="H54">
        <v>16</v>
      </c>
      <c r="I54">
        <v>5356.8</v>
      </c>
      <c r="J54">
        <v>15.994943851999592</v>
      </c>
      <c r="K54">
        <v>5355.1072016494636</v>
      </c>
      <c r="L54">
        <v>20</v>
      </c>
      <c r="M54">
        <v>6696</v>
      </c>
      <c r="N54">
        <v>15</v>
      </c>
      <c r="O54">
        <v>5022</v>
      </c>
      <c r="P54">
        <v>17</v>
      </c>
      <c r="Q54">
        <v>5691.6</v>
      </c>
      <c r="R54">
        <v>17</v>
      </c>
      <c r="S54">
        <v>5691.6</v>
      </c>
      <c r="T54">
        <v>13</v>
      </c>
      <c r="U54">
        <v>4352.4000000000005</v>
      </c>
      <c r="V54">
        <v>17</v>
      </c>
      <c r="W54">
        <v>5691.6</v>
      </c>
      <c r="X54">
        <v>22</v>
      </c>
      <c r="Y54">
        <v>7365.6</v>
      </c>
      <c r="Z54">
        <v>21</v>
      </c>
      <c r="AA54">
        <v>7030.8</v>
      </c>
      <c r="AB54">
        <v>15</v>
      </c>
      <c r="AC54">
        <v>5022</v>
      </c>
      <c r="AD54">
        <v>16</v>
      </c>
      <c r="AE54">
        <v>5356.8</v>
      </c>
      <c r="AF54">
        <v>13</v>
      </c>
      <c r="AG54">
        <v>4352.4000000000005</v>
      </c>
      <c r="AH54">
        <v>18</v>
      </c>
      <c r="AI54">
        <v>6026.4000000000005</v>
      </c>
      <c r="AJ54">
        <v>13</v>
      </c>
      <c r="AK54">
        <v>4352.4000000000005</v>
      </c>
      <c r="AL54">
        <v>13</v>
      </c>
      <c r="AM54">
        <v>4352.4000000000005</v>
      </c>
      <c r="AN54">
        <v>19</v>
      </c>
      <c r="AO54">
        <v>6361.2</v>
      </c>
      <c r="AP54">
        <v>16</v>
      </c>
      <c r="AQ54">
        <v>5356.8</v>
      </c>
      <c r="AR54">
        <v>16</v>
      </c>
      <c r="AS54">
        <v>5356.8</v>
      </c>
      <c r="AT54">
        <v>11</v>
      </c>
      <c r="AU54">
        <v>3682.8</v>
      </c>
      <c r="AV54">
        <v>17</v>
      </c>
      <c r="AW54">
        <v>5691.6</v>
      </c>
      <c r="AX54">
        <v>18</v>
      </c>
      <c r="AY54">
        <v>6026.4000000000005</v>
      </c>
      <c r="AZ54">
        <v>20</v>
      </c>
      <c r="BA54">
        <v>6696</v>
      </c>
      <c r="BB54">
        <v>19</v>
      </c>
      <c r="BC54">
        <v>6361.2</v>
      </c>
      <c r="BD54">
        <v>13</v>
      </c>
      <c r="BE54">
        <v>4352.4000000000005</v>
      </c>
      <c r="BF54">
        <v>12</v>
      </c>
      <c r="BG54">
        <v>4017.6000000000004</v>
      </c>
      <c r="BH54">
        <v>13</v>
      </c>
      <c r="BI54">
        <v>4352.4000000000005</v>
      </c>
      <c r="BJ54">
        <v>15</v>
      </c>
      <c r="BK54">
        <v>5022</v>
      </c>
      <c r="BL54">
        <v>16</v>
      </c>
      <c r="BM54">
        <v>5356.8</v>
      </c>
      <c r="BN54">
        <v>19</v>
      </c>
      <c r="BO54">
        <v>6361.2</v>
      </c>
      <c r="BP54">
        <v>11</v>
      </c>
      <c r="BQ54">
        <v>3682.8</v>
      </c>
      <c r="BR54">
        <v>14</v>
      </c>
      <c r="BS54">
        <v>4687.2</v>
      </c>
      <c r="BT54">
        <v>16</v>
      </c>
      <c r="BU54">
        <v>5356.8</v>
      </c>
      <c r="BV54">
        <v>14</v>
      </c>
      <c r="BW54">
        <v>4687.2</v>
      </c>
      <c r="BX54">
        <v>13</v>
      </c>
      <c r="BY54">
        <v>4352.4000000000005</v>
      </c>
      <c r="BZ54">
        <v>15</v>
      </c>
      <c r="CA54">
        <v>5022</v>
      </c>
      <c r="CB54">
        <v>13</v>
      </c>
      <c r="CC54">
        <v>4352.4000000000005</v>
      </c>
      <c r="CD54">
        <v>14</v>
      </c>
      <c r="CE54">
        <v>4687.2</v>
      </c>
      <c r="CF54">
        <v>14</v>
      </c>
      <c r="CG54">
        <v>4687.2</v>
      </c>
      <c r="CH54">
        <v>12</v>
      </c>
      <c r="CI54">
        <v>4017.6000000000004</v>
      </c>
      <c r="CJ54">
        <v>14</v>
      </c>
      <c r="CK54">
        <v>4687.2</v>
      </c>
      <c r="CL54">
        <v>18</v>
      </c>
      <c r="CM54">
        <v>6026.4000000000005</v>
      </c>
      <c r="CN54">
        <v>17</v>
      </c>
      <c r="CO54">
        <v>5691.6</v>
      </c>
      <c r="CP54">
        <v>19</v>
      </c>
      <c r="CQ54">
        <v>6361.2</v>
      </c>
      <c r="CR54">
        <v>15</v>
      </c>
      <c r="CS54">
        <v>5022</v>
      </c>
      <c r="CT54">
        <v>11</v>
      </c>
      <c r="CU54">
        <v>3682.8</v>
      </c>
    </row>
    <row r="55" spans="2:99" x14ac:dyDescent="0.2">
      <c r="C55" s="118" t="s">
        <v>221</v>
      </c>
      <c r="D55">
        <v>13</v>
      </c>
      <c r="E55">
        <v>8626.8000000000011</v>
      </c>
      <c r="F55">
        <v>18</v>
      </c>
      <c r="G55">
        <v>11944.800000000001</v>
      </c>
      <c r="H55">
        <v>15</v>
      </c>
      <c r="I55">
        <v>9954</v>
      </c>
      <c r="J55">
        <v>16.081460708695207</v>
      </c>
      <c r="K55">
        <v>10671.65732629014</v>
      </c>
      <c r="L55">
        <v>18</v>
      </c>
      <c r="M55">
        <v>11944.800000000001</v>
      </c>
      <c r="N55">
        <v>13</v>
      </c>
      <c r="O55">
        <v>8626.8000000000011</v>
      </c>
      <c r="P55">
        <v>18</v>
      </c>
      <c r="Q55">
        <v>11944.800000000001</v>
      </c>
      <c r="R55">
        <v>15</v>
      </c>
      <c r="S55">
        <v>9954</v>
      </c>
      <c r="T55">
        <v>12</v>
      </c>
      <c r="U55">
        <v>7963.2000000000007</v>
      </c>
      <c r="V55">
        <v>15</v>
      </c>
      <c r="W55">
        <v>9954</v>
      </c>
      <c r="X55">
        <v>20</v>
      </c>
      <c r="Y55">
        <v>13272</v>
      </c>
      <c r="Z55">
        <v>20</v>
      </c>
      <c r="AA55">
        <v>13272</v>
      </c>
      <c r="AB55">
        <v>16</v>
      </c>
      <c r="AC55">
        <v>10617.6</v>
      </c>
      <c r="AD55">
        <v>15</v>
      </c>
      <c r="AE55">
        <v>9954</v>
      </c>
      <c r="AF55">
        <v>12</v>
      </c>
      <c r="AG55">
        <v>7963.2000000000007</v>
      </c>
      <c r="AH55">
        <v>17</v>
      </c>
      <c r="AI55">
        <v>11281.2</v>
      </c>
      <c r="AJ55">
        <v>13</v>
      </c>
      <c r="AK55">
        <v>8626.8000000000011</v>
      </c>
      <c r="AL55">
        <v>15</v>
      </c>
      <c r="AM55">
        <v>9954</v>
      </c>
      <c r="AN55">
        <v>21</v>
      </c>
      <c r="AO55">
        <v>13935.6</v>
      </c>
      <c r="AP55">
        <v>14</v>
      </c>
      <c r="AQ55">
        <v>9290.4</v>
      </c>
      <c r="AR55">
        <v>16</v>
      </c>
      <c r="AS55">
        <v>10617.6</v>
      </c>
      <c r="AT55">
        <v>11</v>
      </c>
      <c r="AU55">
        <v>7299.6</v>
      </c>
      <c r="AV55">
        <v>16</v>
      </c>
      <c r="AW55">
        <v>10617.6</v>
      </c>
      <c r="AX55">
        <v>16</v>
      </c>
      <c r="AY55">
        <v>10617.6</v>
      </c>
      <c r="AZ55">
        <v>18</v>
      </c>
      <c r="BA55">
        <v>11944.800000000001</v>
      </c>
      <c r="BB55">
        <v>20</v>
      </c>
      <c r="BC55">
        <v>13272</v>
      </c>
      <c r="BD55">
        <v>12</v>
      </c>
      <c r="BE55">
        <v>7963.2000000000007</v>
      </c>
      <c r="BF55">
        <v>11</v>
      </c>
      <c r="BG55">
        <v>7299.6</v>
      </c>
      <c r="BH55">
        <v>12</v>
      </c>
      <c r="BI55">
        <v>7963.2000000000007</v>
      </c>
      <c r="BJ55">
        <v>12</v>
      </c>
      <c r="BK55">
        <v>7963.2000000000007</v>
      </c>
      <c r="BL55">
        <v>14</v>
      </c>
      <c r="BM55">
        <v>9290.4</v>
      </c>
      <c r="BN55">
        <v>17</v>
      </c>
      <c r="BO55">
        <v>11281.2</v>
      </c>
      <c r="BP55">
        <v>11</v>
      </c>
      <c r="BQ55">
        <v>7299.6</v>
      </c>
      <c r="BR55">
        <v>15</v>
      </c>
      <c r="BS55">
        <v>9954</v>
      </c>
      <c r="BT55">
        <v>15</v>
      </c>
      <c r="BU55">
        <v>9954</v>
      </c>
      <c r="BV55">
        <v>13</v>
      </c>
      <c r="BW55">
        <v>8626.8000000000011</v>
      </c>
      <c r="BX55">
        <v>13</v>
      </c>
      <c r="BY55">
        <v>8626.8000000000011</v>
      </c>
      <c r="BZ55">
        <v>14</v>
      </c>
      <c r="CA55">
        <v>9290.4</v>
      </c>
      <c r="CB55">
        <v>13</v>
      </c>
      <c r="CC55">
        <v>8626.8000000000011</v>
      </c>
      <c r="CD55">
        <v>14</v>
      </c>
      <c r="CE55">
        <v>9290.4</v>
      </c>
      <c r="CF55">
        <v>15</v>
      </c>
      <c r="CG55">
        <v>9954</v>
      </c>
      <c r="CH55">
        <v>12</v>
      </c>
      <c r="CI55">
        <v>7963.2000000000007</v>
      </c>
      <c r="CJ55">
        <v>13</v>
      </c>
      <c r="CK55">
        <v>8626.8000000000011</v>
      </c>
      <c r="CL55">
        <v>18</v>
      </c>
      <c r="CM55">
        <v>11944.800000000001</v>
      </c>
      <c r="CN55">
        <v>16</v>
      </c>
      <c r="CO55">
        <v>10617.6</v>
      </c>
      <c r="CP55">
        <v>19</v>
      </c>
      <c r="CQ55">
        <v>12608.4</v>
      </c>
      <c r="CR55">
        <v>15</v>
      </c>
      <c r="CS55">
        <v>9954</v>
      </c>
      <c r="CT55">
        <v>11</v>
      </c>
      <c r="CU55">
        <v>7299.6</v>
      </c>
    </row>
    <row r="56" spans="2:99" x14ac:dyDescent="0.2">
      <c r="C56" s="118" t="s">
        <v>222</v>
      </c>
      <c r="D56">
        <v>14</v>
      </c>
      <c r="E56">
        <v>16111.199999999999</v>
      </c>
      <c r="F56">
        <v>15</v>
      </c>
      <c r="G56">
        <v>17262</v>
      </c>
      <c r="H56">
        <v>15</v>
      </c>
      <c r="I56">
        <v>17262</v>
      </c>
      <c r="J56">
        <v>14</v>
      </c>
      <c r="K56">
        <v>16111.199999999999</v>
      </c>
      <c r="L56">
        <v>18</v>
      </c>
      <c r="M56">
        <v>20714.399999999998</v>
      </c>
      <c r="N56">
        <v>13.946336692715612</v>
      </c>
      <c r="O56">
        <v>16049.444265977125</v>
      </c>
      <c r="P56">
        <v>19.293241733951593</v>
      </c>
      <c r="Q56">
        <v>22202.662587431492</v>
      </c>
      <c r="R56">
        <v>15.942958518439092</v>
      </c>
      <c r="S56">
        <v>18347.156663019705</v>
      </c>
      <c r="T56">
        <v>10.408259911892088</v>
      </c>
      <c r="U56">
        <v>11977.825506605415</v>
      </c>
      <c r="V56">
        <v>16.731630289714676</v>
      </c>
      <c r="W56">
        <v>19254.760137403649</v>
      </c>
      <c r="X56">
        <v>20.689704905509437</v>
      </c>
      <c r="Y56">
        <v>23809.712405260259</v>
      </c>
      <c r="Z56">
        <v>18.765064933591326</v>
      </c>
      <c r="AA56">
        <v>21594.836725576897</v>
      </c>
      <c r="AB56">
        <v>15.500810316953705</v>
      </c>
      <c r="AC56">
        <v>17838.332512750323</v>
      </c>
      <c r="AD56">
        <v>13.517686407845796</v>
      </c>
      <c r="AE56">
        <v>15556.153518148942</v>
      </c>
      <c r="AF56">
        <v>14.086348739178128</v>
      </c>
      <c r="AG56">
        <v>16210.570129046189</v>
      </c>
      <c r="AH56">
        <v>16.840990616835278</v>
      </c>
      <c r="AI56">
        <v>19380.612001854035</v>
      </c>
      <c r="AJ56">
        <v>11</v>
      </c>
      <c r="AK56">
        <v>12658.8</v>
      </c>
      <c r="AL56">
        <v>13.828374466216403</v>
      </c>
      <c r="AM56">
        <v>15913.693335721835</v>
      </c>
      <c r="AN56">
        <v>19.898234791943295</v>
      </c>
      <c r="AO56">
        <v>22898.888598568345</v>
      </c>
      <c r="AP56">
        <v>13.404306915537363</v>
      </c>
      <c r="AQ56">
        <v>15425.676398400397</v>
      </c>
      <c r="AR56">
        <v>16.304026267511247</v>
      </c>
      <c r="AS56">
        <v>18762.673428651942</v>
      </c>
      <c r="AT56">
        <v>10.731304111145814</v>
      </c>
      <c r="AU56">
        <v>12349.584771106602</v>
      </c>
      <c r="AV56">
        <v>15.594189565143074</v>
      </c>
      <c r="AW56">
        <v>17945.793351566648</v>
      </c>
      <c r="AX56">
        <v>16.477604343903216</v>
      </c>
      <c r="AY56">
        <v>18962.427078963821</v>
      </c>
      <c r="AZ56">
        <v>17.374720917208855</v>
      </c>
      <c r="BA56">
        <v>19994.828831523948</v>
      </c>
      <c r="BB56">
        <v>18.743756040074576</v>
      </c>
      <c r="BC56">
        <v>21570.31445091782</v>
      </c>
      <c r="BD56">
        <v>12.620351926754237</v>
      </c>
      <c r="BE56">
        <v>14523.500997308776</v>
      </c>
      <c r="BF56">
        <v>11</v>
      </c>
      <c r="BG56">
        <v>12658.8</v>
      </c>
      <c r="BH56">
        <v>12.957270192188556</v>
      </c>
      <c r="BI56">
        <v>14911.226537170589</v>
      </c>
      <c r="BJ56">
        <v>13.579229657244341</v>
      </c>
      <c r="BK56">
        <v>15626.977489556786</v>
      </c>
      <c r="BL56">
        <v>13.6065253605867</v>
      </c>
      <c r="BM56">
        <v>15658.389384963173</v>
      </c>
      <c r="BN56">
        <v>16.922585859054543</v>
      </c>
      <c r="BO56">
        <v>19474.511806599967</v>
      </c>
      <c r="BP56">
        <v>10.732598619791778</v>
      </c>
      <c r="BQ56">
        <v>12351.074491656378</v>
      </c>
      <c r="BR56">
        <v>14.821357997800007</v>
      </c>
      <c r="BS56">
        <v>17056.418783868248</v>
      </c>
      <c r="BT56">
        <v>16.048751864540524</v>
      </c>
      <c r="BU56">
        <v>18468.903645713235</v>
      </c>
      <c r="BV56">
        <v>13.738921465615302</v>
      </c>
      <c r="BW56">
        <v>15810.750822630089</v>
      </c>
      <c r="BX56">
        <v>12.231704872163085</v>
      </c>
      <c r="BY56">
        <v>14076.245966885279</v>
      </c>
      <c r="BZ56">
        <v>16.893065942912653</v>
      </c>
      <c r="CA56">
        <v>19440.540287103879</v>
      </c>
      <c r="CB56">
        <v>12.39283429192184</v>
      </c>
      <c r="CC56">
        <v>14261.673703143653</v>
      </c>
      <c r="CD56">
        <v>15.720066130335448</v>
      </c>
      <c r="CE56">
        <v>18090.652102790034</v>
      </c>
      <c r="CF56">
        <v>14.881908972365574</v>
      </c>
      <c r="CG56">
        <v>17126.100845398301</v>
      </c>
      <c r="CH56">
        <v>11.751068687513275</v>
      </c>
      <c r="CI56">
        <v>13523.129845590276</v>
      </c>
      <c r="CJ56">
        <v>13.407540926912386</v>
      </c>
      <c r="CK56">
        <v>15429.398098690774</v>
      </c>
      <c r="CL56">
        <v>17.830071779727614</v>
      </c>
      <c r="CM56">
        <v>20518.846604110538</v>
      </c>
      <c r="CN56">
        <v>17.735621378515777</v>
      </c>
      <c r="CO56">
        <v>20410.153082395955</v>
      </c>
      <c r="CP56">
        <v>18.723489989267566</v>
      </c>
      <c r="CQ56">
        <v>21546.992279649116</v>
      </c>
      <c r="CR56">
        <v>14.185974394145408</v>
      </c>
      <c r="CS56">
        <v>16325.219332782535</v>
      </c>
      <c r="CT56">
        <v>10.979336676059459</v>
      </c>
      <c r="CU56">
        <v>12635.020646809226</v>
      </c>
    </row>
    <row r="57" spans="2:99" x14ac:dyDescent="0.2">
      <c r="C57" s="118" t="s">
        <v>223</v>
      </c>
      <c r="D57">
        <v>14</v>
      </c>
      <c r="E57">
        <v>19756.8</v>
      </c>
      <c r="F57">
        <v>15</v>
      </c>
      <c r="G57">
        <v>21168</v>
      </c>
      <c r="H57">
        <v>13</v>
      </c>
      <c r="I57">
        <v>18345.600000000002</v>
      </c>
      <c r="J57">
        <v>14.908426995303975</v>
      </c>
      <c r="K57">
        <v>21038.772175772971</v>
      </c>
      <c r="L57">
        <v>16</v>
      </c>
      <c r="M57">
        <v>22579.200000000001</v>
      </c>
      <c r="N57">
        <v>13</v>
      </c>
      <c r="O57">
        <v>18345.600000000002</v>
      </c>
      <c r="P57">
        <v>16</v>
      </c>
      <c r="Q57">
        <v>22579.200000000001</v>
      </c>
      <c r="R57">
        <v>15</v>
      </c>
      <c r="S57">
        <v>21168</v>
      </c>
      <c r="T57">
        <v>10</v>
      </c>
      <c r="U57">
        <v>14112</v>
      </c>
      <c r="V57">
        <v>16</v>
      </c>
      <c r="W57">
        <v>22579.200000000001</v>
      </c>
      <c r="X57">
        <v>19</v>
      </c>
      <c r="Y57">
        <v>26812.799999999999</v>
      </c>
      <c r="Z57">
        <v>16</v>
      </c>
      <c r="AA57">
        <v>22579.200000000001</v>
      </c>
      <c r="AB57">
        <v>13</v>
      </c>
      <c r="AC57">
        <v>18345.600000000002</v>
      </c>
      <c r="AD57">
        <v>12</v>
      </c>
      <c r="AE57">
        <v>16934.400000000001</v>
      </c>
      <c r="AF57">
        <v>11</v>
      </c>
      <c r="AG57">
        <v>15523.2</v>
      </c>
      <c r="AH57">
        <v>16</v>
      </c>
      <c r="AI57">
        <v>22579.200000000001</v>
      </c>
      <c r="AJ57">
        <v>13</v>
      </c>
      <c r="AK57">
        <v>18345.600000000002</v>
      </c>
      <c r="AL57">
        <v>12</v>
      </c>
      <c r="AM57">
        <v>16934.400000000001</v>
      </c>
      <c r="AN57">
        <v>19</v>
      </c>
      <c r="AO57">
        <v>26812.799999999999</v>
      </c>
      <c r="AP57">
        <v>13</v>
      </c>
      <c r="AQ57">
        <v>18345.600000000002</v>
      </c>
      <c r="AR57">
        <v>16</v>
      </c>
      <c r="AS57">
        <v>22579.200000000001</v>
      </c>
      <c r="AT57">
        <v>11</v>
      </c>
      <c r="AU57">
        <v>15523.2</v>
      </c>
      <c r="AV57">
        <v>15</v>
      </c>
      <c r="AW57">
        <v>21168</v>
      </c>
      <c r="AX57">
        <v>16</v>
      </c>
      <c r="AY57">
        <v>22579.200000000001</v>
      </c>
      <c r="AZ57">
        <v>18</v>
      </c>
      <c r="BA57">
        <v>25401.600000000002</v>
      </c>
      <c r="BB57">
        <v>18</v>
      </c>
      <c r="BC57">
        <v>25401.600000000002</v>
      </c>
      <c r="BD57">
        <v>10</v>
      </c>
      <c r="BE57">
        <v>14112</v>
      </c>
      <c r="BF57">
        <v>11</v>
      </c>
      <c r="BG57">
        <v>15523.2</v>
      </c>
      <c r="BH57">
        <v>11</v>
      </c>
      <c r="BI57">
        <v>15523.2</v>
      </c>
      <c r="BJ57">
        <v>13</v>
      </c>
      <c r="BK57">
        <v>18345.600000000002</v>
      </c>
      <c r="BL57">
        <v>14</v>
      </c>
      <c r="BM57">
        <v>19756.8</v>
      </c>
      <c r="BN57">
        <v>15</v>
      </c>
      <c r="BO57">
        <v>21168</v>
      </c>
      <c r="BP57">
        <v>9</v>
      </c>
      <c r="BQ57">
        <v>12700.800000000001</v>
      </c>
      <c r="BR57">
        <v>12</v>
      </c>
      <c r="BS57">
        <v>16934.400000000001</v>
      </c>
      <c r="BT57">
        <v>14</v>
      </c>
      <c r="BU57">
        <v>19756.8</v>
      </c>
      <c r="BV57">
        <v>13</v>
      </c>
      <c r="BW57">
        <v>18345.600000000002</v>
      </c>
      <c r="BX57">
        <v>11</v>
      </c>
      <c r="BY57">
        <v>15523.2</v>
      </c>
      <c r="BZ57">
        <v>15</v>
      </c>
      <c r="CA57">
        <v>21168</v>
      </c>
      <c r="CB57">
        <v>11</v>
      </c>
      <c r="CC57">
        <v>15523.2</v>
      </c>
      <c r="CD57">
        <v>14</v>
      </c>
      <c r="CE57">
        <v>19756.8</v>
      </c>
      <c r="CF57">
        <v>12</v>
      </c>
      <c r="CG57">
        <v>16934.400000000001</v>
      </c>
      <c r="CH57">
        <v>11</v>
      </c>
      <c r="CI57">
        <v>15523.2</v>
      </c>
      <c r="CJ57">
        <v>12</v>
      </c>
      <c r="CK57">
        <v>16934.400000000001</v>
      </c>
      <c r="CL57">
        <v>15</v>
      </c>
      <c r="CM57">
        <v>21168</v>
      </c>
      <c r="CN57">
        <v>16</v>
      </c>
      <c r="CO57">
        <v>22579.200000000001</v>
      </c>
      <c r="CP57">
        <v>17</v>
      </c>
      <c r="CQ57">
        <v>23990.400000000001</v>
      </c>
      <c r="CR57">
        <v>14</v>
      </c>
      <c r="CS57">
        <v>19756.8</v>
      </c>
      <c r="CT57">
        <v>11</v>
      </c>
      <c r="CU57">
        <v>15523.2</v>
      </c>
    </row>
    <row r="58" spans="2:99" x14ac:dyDescent="0.2">
      <c r="C58" s="118" t="s">
        <v>224</v>
      </c>
      <c r="D58">
        <v>14</v>
      </c>
      <c r="E58">
        <v>16480.8</v>
      </c>
      <c r="F58">
        <v>16</v>
      </c>
      <c r="G58">
        <v>18835.2</v>
      </c>
      <c r="H58">
        <v>13</v>
      </c>
      <c r="I58">
        <v>15303.6</v>
      </c>
      <c r="J58">
        <v>13</v>
      </c>
      <c r="K58">
        <v>15303.6</v>
      </c>
      <c r="L58">
        <v>18</v>
      </c>
      <c r="M58">
        <v>21189.600000000002</v>
      </c>
      <c r="N58">
        <v>12.913704392966798</v>
      </c>
      <c r="O58">
        <v>15202.012811400515</v>
      </c>
      <c r="P58">
        <v>18.277807958480459</v>
      </c>
      <c r="Q58">
        <v>21516.635528723196</v>
      </c>
      <c r="R58">
        <v>15.8298034962264</v>
      </c>
      <c r="S58">
        <v>18634.844675757719</v>
      </c>
      <c r="T58">
        <v>10.408259911892088</v>
      </c>
      <c r="U58">
        <v>12252.603568279366</v>
      </c>
      <c r="V58">
        <v>15.82308407592901</v>
      </c>
      <c r="W58">
        <v>18626.934574183633</v>
      </c>
      <c r="X58">
        <v>18.689704905509437</v>
      </c>
      <c r="Y58">
        <v>22001.520614765712</v>
      </c>
      <c r="Z58">
        <v>18.72479835813915</v>
      </c>
      <c r="AA58">
        <v>22042.832627201409</v>
      </c>
      <c r="AB58">
        <v>12.577858058023507</v>
      </c>
      <c r="AC58">
        <v>14806.654505905273</v>
      </c>
      <c r="AD58">
        <v>14.494155207489168</v>
      </c>
      <c r="AE58">
        <v>17062.51951025625</v>
      </c>
      <c r="AF58">
        <v>12.04108420837904</v>
      </c>
      <c r="AG58">
        <v>14174.764330103806</v>
      </c>
      <c r="AH58">
        <v>16.840990616835278</v>
      </c>
      <c r="AI58">
        <v>19825.214154138488</v>
      </c>
      <c r="AJ58">
        <v>12</v>
      </c>
      <c r="AK58">
        <v>14126.400000000001</v>
      </c>
      <c r="AL58">
        <v>13.861509444865058</v>
      </c>
      <c r="AM58">
        <v>16317.768918495147</v>
      </c>
      <c r="AN58">
        <v>19.94551030730873</v>
      </c>
      <c r="AO58">
        <v>23479.854733763837</v>
      </c>
      <c r="AP58">
        <v>15.466507979466188</v>
      </c>
      <c r="AQ58">
        <v>18207.173193427596</v>
      </c>
      <c r="AR58">
        <v>16.318503708821304</v>
      </c>
      <c r="AS58">
        <v>19210.142566024439</v>
      </c>
      <c r="AT58">
        <v>11.822717125039041</v>
      </c>
      <c r="AU58">
        <v>13917.702599595959</v>
      </c>
      <c r="AV58">
        <v>13.594189565143074</v>
      </c>
      <c r="AW58">
        <v>16003.079956086427</v>
      </c>
      <c r="AX58">
        <v>15.511718939896305</v>
      </c>
      <c r="AY58">
        <v>18260.395536045929</v>
      </c>
      <c r="AZ58">
        <v>19.33527661013424</v>
      </c>
      <c r="BA58">
        <v>22761.487625450027</v>
      </c>
      <c r="BB58">
        <v>17.661116480066291</v>
      </c>
      <c r="BC58">
        <v>20790.666320334039</v>
      </c>
      <c r="BD58">
        <v>10.620351926754237</v>
      </c>
      <c r="BE58">
        <v>12502.278288175088</v>
      </c>
      <c r="BF58">
        <v>11</v>
      </c>
      <c r="BG58">
        <v>12949.2</v>
      </c>
      <c r="BH58">
        <v>12.923081971038965</v>
      </c>
      <c r="BI58">
        <v>15213.05209630707</v>
      </c>
      <c r="BJ58">
        <v>11.66197675113639</v>
      </c>
      <c r="BK58">
        <v>13728.479031437759</v>
      </c>
      <c r="BL58">
        <v>15.6065253605867</v>
      </c>
      <c r="BM58">
        <v>18372.001654482665</v>
      </c>
      <c r="BN58">
        <v>15.790787879189606</v>
      </c>
      <c r="BO58">
        <v>18588.915491382006</v>
      </c>
      <c r="BP58">
        <v>11.700746505887789</v>
      </c>
      <c r="BQ58">
        <v>13774.118786731106</v>
      </c>
      <c r="BR58">
        <v>13.746689088909099</v>
      </c>
      <c r="BS58">
        <v>16182.602395463791</v>
      </c>
      <c r="BT58">
        <v>15.048751864540524</v>
      </c>
      <c r="BU58">
        <v>17715.390694937105</v>
      </c>
      <c r="BV58">
        <v>12.651989528484089</v>
      </c>
      <c r="BW58">
        <v>14893.922072931469</v>
      </c>
      <c r="BX58">
        <v>12.200810889208007</v>
      </c>
      <c r="BY58">
        <v>14362.794578775667</v>
      </c>
      <c r="BZ58">
        <v>15.937719240058287</v>
      </c>
      <c r="CA58">
        <v>18761.883089396615</v>
      </c>
      <c r="CB58">
        <v>12.420893884201973</v>
      </c>
      <c r="CC58">
        <v>14621.876280482564</v>
      </c>
      <c r="CD58">
        <v>13.760069804242972</v>
      </c>
      <c r="CE58">
        <v>16198.354173554828</v>
      </c>
      <c r="CF58">
        <v>12.780150244784931</v>
      </c>
      <c r="CG58">
        <v>15044.792868160821</v>
      </c>
      <c r="CH58">
        <v>11.751068687513275</v>
      </c>
      <c r="CI58">
        <v>13833.358058940628</v>
      </c>
      <c r="CJ58">
        <v>12.431513922613115</v>
      </c>
      <c r="CK58">
        <v>14634.378189700161</v>
      </c>
      <c r="CL58">
        <v>15.974432089245459</v>
      </c>
      <c r="CM58">
        <v>18805.101455459757</v>
      </c>
      <c r="CN58">
        <v>16.845964585293142</v>
      </c>
      <c r="CO58">
        <v>19831.069509807086</v>
      </c>
      <c r="CP58">
        <v>15.640010375121307</v>
      </c>
      <c r="CQ58">
        <v>18411.420213592803</v>
      </c>
      <c r="CR58">
        <v>15.199258279441509</v>
      </c>
      <c r="CS58">
        <v>17892.566846558544</v>
      </c>
      <c r="CT58">
        <v>11.979336676059459</v>
      </c>
      <c r="CU58">
        <v>14102.075135057195</v>
      </c>
    </row>
    <row r="59" spans="2:99" x14ac:dyDescent="0.2">
      <c r="C59" s="118" t="s">
        <v>225</v>
      </c>
      <c r="D59">
        <v>14</v>
      </c>
      <c r="E59">
        <v>4250.3999999999996</v>
      </c>
      <c r="F59">
        <v>17</v>
      </c>
      <c r="G59">
        <v>5161.2</v>
      </c>
      <c r="H59">
        <v>16</v>
      </c>
      <c r="I59">
        <v>4857.5999999999995</v>
      </c>
      <c r="J59">
        <v>16.081460708695207</v>
      </c>
      <c r="K59">
        <v>4882.3314711598641</v>
      </c>
      <c r="L59">
        <v>19</v>
      </c>
      <c r="M59">
        <v>5768.4</v>
      </c>
      <c r="N59">
        <v>16</v>
      </c>
      <c r="O59">
        <v>4857.5999999999995</v>
      </c>
      <c r="P59">
        <v>18</v>
      </c>
      <c r="Q59">
        <v>5464.7999999999993</v>
      </c>
      <c r="R59">
        <v>16</v>
      </c>
      <c r="S59">
        <v>4857.5999999999995</v>
      </c>
      <c r="T59">
        <v>11</v>
      </c>
      <c r="U59">
        <v>3339.5999999999995</v>
      </c>
      <c r="V59">
        <v>17</v>
      </c>
      <c r="W59">
        <v>5161.2</v>
      </c>
      <c r="X59">
        <v>20</v>
      </c>
      <c r="Y59">
        <v>6071.9999999999991</v>
      </c>
      <c r="Z59">
        <v>21</v>
      </c>
      <c r="AA59">
        <v>6375.5999999999995</v>
      </c>
      <c r="AB59">
        <v>15</v>
      </c>
      <c r="AC59">
        <v>4553.9999999999991</v>
      </c>
      <c r="AD59">
        <v>17</v>
      </c>
      <c r="AE59">
        <v>5161.2</v>
      </c>
      <c r="AF59">
        <v>14</v>
      </c>
      <c r="AG59">
        <v>4250.3999999999996</v>
      </c>
      <c r="AH59">
        <v>18</v>
      </c>
      <c r="AI59">
        <v>5464.7999999999993</v>
      </c>
      <c r="AJ59">
        <v>12</v>
      </c>
      <c r="AK59">
        <v>3643.2</v>
      </c>
      <c r="AL59">
        <v>14</v>
      </c>
      <c r="AM59">
        <v>4250.3999999999996</v>
      </c>
      <c r="AN59">
        <v>21</v>
      </c>
      <c r="AO59">
        <v>6375.5999999999995</v>
      </c>
      <c r="AP59">
        <v>16</v>
      </c>
      <c r="AQ59">
        <v>4857.5999999999995</v>
      </c>
      <c r="AR59">
        <v>18</v>
      </c>
      <c r="AS59">
        <v>5464.7999999999993</v>
      </c>
      <c r="AT59">
        <v>12</v>
      </c>
      <c r="AU59">
        <v>3643.2</v>
      </c>
      <c r="AV59">
        <v>17</v>
      </c>
      <c r="AW59">
        <v>5161.2</v>
      </c>
      <c r="AX59">
        <v>16</v>
      </c>
      <c r="AY59">
        <v>4857.5999999999995</v>
      </c>
      <c r="AZ59">
        <v>19</v>
      </c>
      <c r="BA59">
        <v>5768.4</v>
      </c>
      <c r="BB59">
        <v>23</v>
      </c>
      <c r="BC59">
        <v>6982.7999999999993</v>
      </c>
      <c r="BD59">
        <v>11</v>
      </c>
      <c r="BE59">
        <v>3339.5999999999995</v>
      </c>
      <c r="BF59">
        <v>11</v>
      </c>
      <c r="BG59">
        <v>3339.5999999999995</v>
      </c>
      <c r="BH59">
        <v>11</v>
      </c>
      <c r="BI59">
        <v>3339.5999999999995</v>
      </c>
      <c r="BJ59">
        <v>14</v>
      </c>
      <c r="BK59">
        <v>4250.3999999999996</v>
      </c>
      <c r="BL59">
        <v>15</v>
      </c>
      <c r="BM59">
        <v>4553.9999999999991</v>
      </c>
      <c r="BN59">
        <v>16</v>
      </c>
      <c r="BO59">
        <v>4857.5999999999995</v>
      </c>
      <c r="BP59">
        <v>11</v>
      </c>
      <c r="BQ59">
        <v>3339.5999999999995</v>
      </c>
      <c r="BR59">
        <v>16</v>
      </c>
      <c r="BS59">
        <v>4857.5999999999995</v>
      </c>
      <c r="BT59">
        <v>17</v>
      </c>
      <c r="BU59">
        <v>5161.2</v>
      </c>
      <c r="BV59">
        <v>14</v>
      </c>
      <c r="BW59">
        <v>4250.3999999999996</v>
      </c>
      <c r="BX59">
        <v>12</v>
      </c>
      <c r="BY59">
        <v>3643.2</v>
      </c>
      <c r="BZ59">
        <v>16</v>
      </c>
      <c r="CA59">
        <v>4857.5999999999995</v>
      </c>
      <c r="CB59">
        <v>14</v>
      </c>
      <c r="CC59">
        <v>4250.3999999999996</v>
      </c>
      <c r="CD59">
        <v>15</v>
      </c>
      <c r="CE59">
        <v>4553.9999999999991</v>
      </c>
      <c r="CF59">
        <v>15</v>
      </c>
      <c r="CG59">
        <v>4553.9999999999991</v>
      </c>
      <c r="CH59">
        <v>12</v>
      </c>
      <c r="CI59">
        <v>3643.2</v>
      </c>
      <c r="CJ59">
        <v>14</v>
      </c>
      <c r="CK59">
        <v>4250.3999999999996</v>
      </c>
      <c r="CL59">
        <v>19</v>
      </c>
      <c r="CM59">
        <v>5768.4</v>
      </c>
      <c r="CN59">
        <v>17</v>
      </c>
      <c r="CO59">
        <v>5161.2</v>
      </c>
      <c r="CP59">
        <v>19</v>
      </c>
      <c r="CQ59">
        <v>5768.4</v>
      </c>
      <c r="CR59">
        <v>18</v>
      </c>
      <c r="CS59">
        <v>5464.7999999999993</v>
      </c>
      <c r="CT59">
        <v>12</v>
      </c>
      <c r="CU59">
        <v>3643.2</v>
      </c>
    </row>
    <row r="60" spans="2:99" x14ac:dyDescent="0.2">
      <c r="C60" s="118" t="s">
        <v>226</v>
      </c>
      <c r="D60">
        <v>13</v>
      </c>
      <c r="E60">
        <v>8470.8000000000011</v>
      </c>
      <c r="F60">
        <v>16.958598117760353</v>
      </c>
      <c r="G60">
        <v>11050.222533532646</v>
      </c>
      <c r="H60">
        <v>16</v>
      </c>
      <c r="I60">
        <v>10425.6</v>
      </c>
      <c r="J60">
        <v>14.124719137043016</v>
      </c>
      <c r="K60">
        <v>9203.6669896972289</v>
      </c>
      <c r="L60">
        <v>21</v>
      </c>
      <c r="M60">
        <v>13683.6</v>
      </c>
      <c r="N60">
        <v>14</v>
      </c>
      <c r="O60">
        <v>9122.4</v>
      </c>
      <c r="P60">
        <v>19</v>
      </c>
      <c r="Q60">
        <v>12380.4</v>
      </c>
      <c r="R60">
        <v>16</v>
      </c>
      <c r="S60">
        <v>10425.6</v>
      </c>
      <c r="T60">
        <v>11</v>
      </c>
      <c r="U60">
        <v>7167.6</v>
      </c>
      <c r="V60">
        <v>15</v>
      </c>
      <c r="W60">
        <v>9774</v>
      </c>
      <c r="X60">
        <v>22</v>
      </c>
      <c r="Y60">
        <v>14335.2</v>
      </c>
      <c r="Z60">
        <v>18</v>
      </c>
      <c r="AA60">
        <v>11728.800000000001</v>
      </c>
      <c r="AB60">
        <v>14</v>
      </c>
      <c r="AC60">
        <v>9122.4</v>
      </c>
      <c r="AD60">
        <v>14</v>
      </c>
      <c r="AE60">
        <v>9122.4</v>
      </c>
      <c r="AF60">
        <v>14</v>
      </c>
      <c r="AG60">
        <v>9122.4</v>
      </c>
      <c r="AH60">
        <v>18</v>
      </c>
      <c r="AI60">
        <v>11728.800000000001</v>
      </c>
      <c r="AJ60">
        <v>14</v>
      </c>
      <c r="AK60">
        <v>9122.4</v>
      </c>
      <c r="AL60">
        <v>15</v>
      </c>
      <c r="AM60">
        <v>9774</v>
      </c>
      <c r="AN60">
        <v>19</v>
      </c>
      <c r="AO60">
        <v>12380.4</v>
      </c>
      <c r="AP60">
        <v>16</v>
      </c>
      <c r="AQ60">
        <v>10425.6</v>
      </c>
      <c r="AR60">
        <v>15</v>
      </c>
      <c r="AS60">
        <v>9774</v>
      </c>
      <c r="AT60">
        <v>12</v>
      </c>
      <c r="AU60">
        <v>7819.2000000000007</v>
      </c>
      <c r="AV60">
        <v>14</v>
      </c>
      <c r="AW60">
        <v>9122.4</v>
      </c>
      <c r="AX60">
        <v>15</v>
      </c>
      <c r="AY60">
        <v>9774</v>
      </c>
      <c r="AZ60">
        <v>19</v>
      </c>
      <c r="BA60">
        <v>12380.4</v>
      </c>
      <c r="BB60">
        <v>19</v>
      </c>
      <c r="BC60">
        <v>12380.4</v>
      </c>
      <c r="BD60">
        <v>11</v>
      </c>
      <c r="BE60">
        <v>7167.6</v>
      </c>
      <c r="BF60">
        <v>12</v>
      </c>
      <c r="BG60">
        <v>7819.2000000000007</v>
      </c>
      <c r="BH60">
        <v>12</v>
      </c>
      <c r="BI60">
        <v>7819.2000000000007</v>
      </c>
      <c r="BJ60">
        <v>14</v>
      </c>
      <c r="BK60">
        <v>9122.4</v>
      </c>
      <c r="BL60">
        <v>14</v>
      </c>
      <c r="BM60">
        <v>9122.4</v>
      </c>
      <c r="BN60">
        <v>17</v>
      </c>
      <c r="BO60">
        <v>11077.2</v>
      </c>
      <c r="BP60">
        <v>11</v>
      </c>
      <c r="BQ60">
        <v>7167.6</v>
      </c>
      <c r="BR60">
        <v>14</v>
      </c>
      <c r="BS60">
        <v>9122.4</v>
      </c>
      <c r="BT60">
        <v>15</v>
      </c>
      <c r="BU60">
        <v>9774</v>
      </c>
      <c r="BV60">
        <v>15</v>
      </c>
      <c r="BW60">
        <v>9774</v>
      </c>
      <c r="BX60">
        <v>13</v>
      </c>
      <c r="BY60">
        <v>8470.8000000000011</v>
      </c>
      <c r="BZ60">
        <v>16</v>
      </c>
      <c r="CA60">
        <v>10425.6</v>
      </c>
      <c r="CB60">
        <v>14</v>
      </c>
      <c r="CC60">
        <v>9122.4</v>
      </c>
      <c r="CD60">
        <v>16</v>
      </c>
      <c r="CE60">
        <v>10425.6</v>
      </c>
      <c r="CF60">
        <v>14</v>
      </c>
      <c r="CG60">
        <v>9122.4</v>
      </c>
      <c r="CH60">
        <v>11</v>
      </c>
      <c r="CI60">
        <v>7167.6</v>
      </c>
      <c r="CJ60">
        <v>14</v>
      </c>
      <c r="CK60">
        <v>9122.4</v>
      </c>
      <c r="CL60">
        <v>17</v>
      </c>
      <c r="CM60">
        <v>11077.2</v>
      </c>
      <c r="CN60">
        <v>15</v>
      </c>
      <c r="CO60">
        <v>9774</v>
      </c>
      <c r="CP60">
        <v>17</v>
      </c>
      <c r="CQ60">
        <v>11077.2</v>
      </c>
      <c r="CR60">
        <v>17</v>
      </c>
      <c r="CS60">
        <v>11077.2</v>
      </c>
      <c r="CT60">
        <v>12</v>
      </c>
      <c r="CU60">
        <v>7819.2000000000007</v>
      </c>
    </row>
    <row r="61" spans="2:99" x14ac:dyDescent="0.2">
      <c r="C61" s="118" t="s">
        <v>227</v>
      </c>
      <c r="D61">
        <v>14</v>
      </c>
      <c r="E61">
        <v>13322.399999999998</v>
      </c>
      <c r="F61">
        <v>17</v>
      </c>
      <c r="G61">
        <v>16177.199999999999</v>
      </c>
      <c r="H61">
        <v>15</v>
      </c>
      <c r="I61">
        <v>14273.999999999998</v>
      </c>
      <c r="J61">
        <v>16.081460708695207</v>
      </c>
      <c r="K61">
        <v>15303.118010394357</v>
      </c>
      <c r="L61">
        <v>20</v>
      </c>
      <c r="M61">
        <v>19032</v>
      </c>
      <c r="N61">
        <v>13</v>
      </c>
      <c r="O61">
        <v>12370.8</v>
      </c>
      <c r="P61">
        <v>17</v>
      </c>
      <c r="Q61">
        <v>16177.199999999999</v>
      </c>
      <c r="R61">
        <v>14</v>
      </c>
      <c r="S61">
        <v>13322.399999999998</v>
      </c>
      <c r="T61">
        <v>11</v>
      </c>
      <c r="U61">
        <v>10467.599999999999</v>
      </c>
      <c r="V61">
        <v>15</v>
      </c>
      <c r="W61">
        <v>14273.999999999998</v>
      </c>
      <c r="X61">
        <v>19</v>
      </c>
      <c r="Y61">
        <v>18080.399999999998</v>
      </c>
      <c r="Z61">
        <v>18</v>
      </c>
      <c r="AA61">
        <v>17128.8</v>
      </c>
      <c r="AB61">
        <v>13</v>
      </c>
      <c r="AC61">
        <v>12370.8</v>
      </c>
      <c r="AD61">
        <v>14</v>
      </c>
      <c r="AE61">
        <v>13322.399999999998</v>
      </c>
      <c r="AF61">
        <v>13</v>
      </c>
      <c r="AG61">
        <v>12370.8</v>
      </c>
      <c r="AH61">
        <v>16</v>
      </c>
      <c r="AI61">
        <v>15225.599999999999</v>
      </c>
      <c r="AJ61">
        <v>11</v>
      </c>
      <c r="AK61">
        <v>10467.599999999999</v>
      </c>
      <c r="AL61">
        <v>15</v>
      </c>
      <c r="AM61">
        <v>14273.999999999998</v>
      </c>
      <c r="AN61">
        <v>19</v>
      </c>
      <c r="AO61">
        <v>18080.399999999998</v>
      </c>
      <c r="AP61">
        <v>15</v>
      </c>
      <c r="AQ61">
        <v>14273.999999999998</v>
      </c>
      <c r="AR61">
        <v>15</v>
      </c>
      <c r="AS61">
        <v>14273.999999999998</v>
      </c>
      <c r="AT61">
        <v>12</v>
      </c>
      <c r="AU61">
        <v>11419.199999999999</v>
      </c>
      <c r="AV61">
        <v>16</v>
      </c>
      <c r="AW61">
        <v>15225.599999999999</v>
      </c>
      <c r="AX61">
        <v>16</v>
      </c>
      <c r="AY61">
        <v>15225.599999999999</v>
      </c>
      <c r="AZ61">
        <v>18</v>
      </c>
      <c r="BA61">
        <v>17128.8</v>
      </c>
      <c r="BB61">
        <v>18</v>
      </c>
      <c r="BC61">
        <v>17128.8</v>
      </c>
      <c r="BD61">
        <v>10</v>
      </c>
      <c r="BE61">
        <v>9516</v>
      </c>
      <c r="BF61">
        <v>10</v>
      </c>
      <c r="BG61">
        <v>9516</v>
      </c>
      <c r="BH61">
        <v>10</v>
      </c>
      <c r="BI61">
        <v>9516</v>
      </c>
      <c r="BJ61">
        <v>12</v>
      </c>
      <c r="BK61">
        <v>11419.199999999999</v>
      </c>
      <c r="BL61">
        <v>16</v>
      </c>
      <c r="BM61">
        <v>15225.599999999999</v>
      </c>
      <c r="BN61">
        <v>17</v>
      </c>
      <c r="BO61">
        <v>16177.199999999999</v>
      </c>
      <c r="BP61">
        <v>12</v>
      </c>
      <c r="BQ61">
        <v>11419.199999999999</v>
      </c>
      <c r="BR61">
        <v>14</v>
      </c>
      <c r="BS61">
        <v>13322.399999999998</v>
      </c>
      <c r="BT61">
        <v>15</v>
      </c>
      <c r="BU61">
        <v>14273.999999999998</v>
      </c>
      <c r="BV61">
        <v>13</v>
      </c>
      <c r="BW61">
        <v>12370.8</v>
      </c>
      <c r="BX61">
        <v>13</v>
      </c>
      <c r="BY61">
        <v>12370.8</v>
      </c>
      <c r="BZ61">
        <v>15</v>
      </c>
      <c r="CA61">
        <v>14273.999999999998</v>
      </c>
      <c r="CB61">
        <v>13</v>
      </c>
      <c r="CC61">
        <v>12370.8</v>
      </c>
      <c r="CD61">
        <v>15</v>
      </c>
      <c r="CE61">
        <v>14273.999999999998</v>
      </c>
      <c r="CF61">
        <v>12</v>
      </c>
      <c r="CG61">
        <v>11419.199999999999</v>
      </c>
      <c r="CH61">
        <v>11</v>
      </c>
      <c r="CI61">
        <v>10467.599999999999</v>
      </c>
      <c r="CJ61">
        <v>12</v>
      </c>
      <c r="CK61">
        <v>11419.199999999999</v>
      </c>
      <c r="CL61">
        <v>16</v>
      </c>
      <c r="CM61">
        <v>15225.599999999999</v>
      </c>
      <c r="CN61">
        <v>16</v>
      </c>
      <c r="CO61">
        <v>15225.599999999999</v>
      </c>
      <c r="CP61">
        <v>17</v>
      </c>
      <c r="CQ61">
        <v>16177.199999999999</v>
      </c>
      <c r="CR61">
        <v>15</v>
      </c>
      <c r="CS61">
        <v>14273.999999999998</v>
      </c>
      <c r="CT61">
        <v>11</v>
      </c>
      <c r="CU61">
        <v>10467.599999999999</v>
      </c>
    </row>
    <row r="62" spans="2:99" x14ac:dyDescent="0.2">
      <c r="C62" s="118" t="s">
        <v>228</v>
      </c>
      <c r="D62">
        <v>14</v>
      </c>
      <c r="E62">
        <v>23872.799999999999</v>
      </c>
      <c r="F62">
        <v>15</v>
      </c>
      <c r="G62">
        <v>25578</v>
      </c>
      <c r="H62">
        <v>12</v>
      </c>
      <c r="I62">
        <v>20462.400000000001</v>
      </c>
      <c r="J62">
        <v>14.038202280347399</v>
      </c>
      <c r="K62">
        <v>23937.942528448384</v>
      </c>
      <c r="L62">
        <v>17</v>
      </c>
      <c r="M62">
        <v>28988.400000000001</v>
      </c>
      <c r="N62">
        <v>13</v>
      </c>
      <c r="O62">
        <v>22167.600000000002</v>
      </c>
      <c r="P62">
        <v>15</v>
      </c>
      <c r="Q62">
        <v>25578</v>
      </c>
      <c r="R62">
        <v>15</v>
      </c>
      <c r="S62">
        <v>25578</v>
      </c>
      <c r="T62">
        <v>9</v>
      </c>
      <c r="U62">
        <v>15346.800000000001</v>
      </c>
      <c r="V62">
        <v>16</v>
      </c>
      <c r="W62">
        <v>27283.200000000001</v>
      </c>
      <c r="X62">
        <v>17</v>
      </c>
      <c r="Y62">
        <v>28988.400000000001</v>
      </c>
      <c r="Z62">
        <v>16</v>
      </c>
      <c r="AA62">
        <v>27283.200000000001</v>
      </c>
      <c r="AB62">
        <v>12</v>
      </c>
      <c r="AC62">
        <v>20462.400000000001</v>
      </c>
      <c r="AD62">
        <v>12</v>
      </c>
      <c r="AE62">
        <v>20462.400000000001</v>
      </c>
      <c r="AF62">
        <v>12</v>
      </c>
      <c r="AG62">
        <v>20462.400000000001</v>
      </c>
      <c r="AH62">
        <v>16</v>
      </c>
      <c r="AI62">
        <v>27283.200000000001</v>
      </c>
      <c r="AJ62">
        <v>12</v>
      </c>
      <c r="AK62">
        <v>20462.400000000001</v>
      </c>
      <c r="AL62">
        <v>13</v>
      </c>
      <c r="AM62">
        <v>22167.600000000002</v>
      </c>
      <c r="AN62">
        <v>17</v>
      </c>
      <c r="AO62">
        <v>28988.400000000001</v>
      </c>
      <c r="AP62">
        <v>12</v>
      </c>
      <c r="AQ62">
        <v>20462.400000000001</v>
      </c>
      <c r="AR62">
        <v>14</v>
      </c>
      <c r="AS62">
        <v>23872.799999999999</v>
      </c>
      <c r="AT62">
        <v>11</v>
      </c>
      <c r="AU62">
        <v>18757.2</v>
      </c>
      <c r="AV62">
        <v>13</v>
      </c>
      <c r="AW62">
        <v>22167.600000000002</v>
      </c>
      <c r="AX62">
        <v>14</v>
      </c>
      <c r="AY62">
        <v>23872.799999999999</v>
      </c>
      <c r="AZ62">
        <v>19</v>
      </c>
      <c r="BA62">
        <v>32398.799999999999</v>
      </c>
      <c r="BB62">
        <v>18</v>
      </c>
      <c r="BC62">
        <v>30693.600000000002</v>
      </c>
      <c r="BD62">
        <v>11</v>
      </c>
      <c r="BE62">
        <v>18757.2</v>
      </c>
      <c r="BF62">
        <v>9</v>
      </c>
      <c r="BG62">
        <v>15346.800000000001</v>
      </c>
      <c r="BH62">
        <v>10</v>
      </c>
      <c r="BI62">
        <v>17052</v>
      </c>
      <c r="BJ62">
        <v>11</v>
      </c>
      <c r="BK62">
        <v>18757.2</v>
      </c>
      <c r="BL62">
        <v>12</v>
      </c>
      <c r="BM62">
        <v>20462.400000000001</v>
      </c>
      <c r="BN62">
        <v>16</v>
      </c>
      <c r="BO62">
        <v>27283.200000000001</v>
      </c>
      <c r="BP62">
        <v>10</v>
      </c>
      <c r="BQ62">
        <v>17052</v>
      </c>
      <c r="BR62">
        <v>12</v>
      </c>
      <c r="BS62">
        <v>20462.400000000001</v>
      </c>
      <c r="BT62">
        <v>15</v>
      </c>
      <c r="BU62">
        <v>25578</v>
      </c>
      <c r="BV62">
        <v>12</v>
      </c>
      <c r="BW62">
        <v>20462.400000000001</v>
      </c>
      <c r="BX62">
        <v>10</v>
      </c>
      <c r="BY62">
        <v>17052</v>
      </c>
      <c r="BZ62">
        <v>15</v>
      </c>
      <c r="CA62">
        <v>25578</v>
      </c>
      <c r="CB62">
        <v>11</v>
      </c>
      <c r="CC62">
        <v>18757.2</v>
      </c>
      <c r="CD62">
        <v>12</v>
      </c>
      <c r="CE62">
        <v>20462.400000000001</v>
      </c>
      <c r="CF62">
        <v>12</v>
      </c>
      <c r="CG62">
        <v>20462.400000000001</v>
      </c>
      <c r="CH62">
        <v>10</v>
      </c>
      <c r="CI62">
        <v>17052</v>
      </c>
      <c r="CJ62">
        <v>12</v>
      </c>
      <c r="CK62">
        <v>20462.400000000001</v>
      </c>
      <c r="CL62">
        <v>17</v>
      </c>
      <c r="CM62">
        <v>28988.400000000001</v>
      </c>
      <c r="CN62">
        <v>15</v>
      </c>
      <c r="CO62">
        <v>25578</v>
      </c>
      <c r="CP62">
        <v>14</v>
      </c>
      <c r="CQ62">
        <v>23872.799999999999</v>
      </c>
      <c r="CR62">
        <v>14</v>
      </c>
      <c r="CS62">
        <v>23872.799999999999</v>
      </c>
      <c r="CT62">
        <v>11</v>
      </c>
      <c r="CU62">
        <v>18757.2</v>
      </c>
    </row>
    <row r="63" spans="2:99" x14ac:dyDescent="0.2">
      <c r="C63" s="118" t="s">
        <v>229</v>
      </c>
      <c r="D63">
        <v>15</v>
      </c>
      <c r="E63">
        <v>11934</v>
      </c>
      <c r="F63">
        <v>17</v>
      </c>
      <c r="G63">
        <v>13525.2</v>
      </c>
      <c r="H63">
        <v>14</v>
      </c>
      <c r="I63">
        <v>11138.4</v>
      </c>
      <c r="J63">
        <v>16.124719137043016</v>
      </c>
      <c r="K63">
        <v>12828.826545431424</v>
      </c>
      <c r="L63">
        <v>17</v>
      </c>
      <c r="M63">
        <v>13525.2</v>
      </c>
      <c r="N63">
        <v>14</v>
      </c>
      <c r="O63">
        <v>11138.4</v>
      </c>
      <c r="P63">
        <v>17</v>
      </c>
      <c r="Q63">
        <v>13525.2</v>
      </c>
      <c r="R63">
        <v>17</v>
      </c>
      <c r="S63">
        <v>13525.2</v>
      </c>
      <c r="T63">
        <v>10</v>
      </c>
      <c r="U63">
        <v>7956</v>
      </c>
      <c r="V63">
        <v>17</v>
      </c>
      <c r="W63">
        <v>13525.2</v>
      </c>
      <c r="X63">
        <v>20</v>
      </c>
      <c r="Y63">
        <v>15912</v>
      </c>
      <c r="Z63">
        <v>19</v>
      </c>
      <c r="AA63">
        <v>15116.4</v>
      </c>
      <c r="AB63">
        <v>13</v>
      </c>
      <c r="AC63">
        <v>10342.800000000001</v>
      </c>
      <c r="AD63">
        <v>13</v>
      </c>
      <c r="AE63">
        <v>10342.800000000001</v>
      </c>
      <c r="AF63">
        <v>13</v>
      </c>
      <c r="AG63">
        <v>10342.800000000001</v>
      </c>
      <c r="AH63">
        <v>18</v>
      </c>
      <c r="AI63">
        <v>14320.800000000001</v>
      </c>
      <c r="AJ63">
        <v>12</v>
      </c>
      <c r="AK63">
        <v>9547.2000000000007</v>
      </c>
      <c r="AL63">
        <v>14</v>
      </c>
      <c r="AM63">
        <v>11138.4</v>
      </c>
      <c r="AN63">
        <v>21</v>
      </c>
      <c r="AO63">
        <v>16707.600000000002</v>
      </c>
      <c r="AP63">
        <v>14</v>
      </c>
      <c r="AQ63">
        <v>11138.4</v>
      </c>
      <c r="AR63">
        <v>17</v>
      </c>
      <c r="AS63">
        <v>13525.2</v>
      </c>
      <c r="AT63">
        <v>12</v>
      </c>
      <c r="AU63">
        <v>9547.2000000000007</v>
      </c>
      <c r="AV63">
        <v>14</v>
      </c>
      <c r="AW63">
        <v>11138.4</v>
      </c>
      <c r="AX63">
        <v>16</v>
      </c>
      <c r="AY63">
        <v>12729.6</v>
      </c>
      <c r="AZ63">
        <v>20</v>
      </c>
      <c r="BA63">
        <v>15912</v>
      </c>
      <c r="BB63">
        <v>18</v>
      </c>
      <c r="BC63">
        <v>14320.800000000001</v>
      </c>
      <c r="BD63">
        <v>10</v>
      </c>
      <c r="BE63">
        <v>7956</v>
      </c>
      <c r="BF63">
        <v>11</v>
      </c>
      <c r="BG63">
        <v>8751.6</v>
      </c>
      <c r="BH63">
        <v>10</v>
      </c>
      <c r="BI63">
        <v>7956</v>
      </c>
      <c r="BJ63">
        <v>13</v>
      </c>
      <c r="BK63">
        <v>10342.800000000001</v>
      </c>
      <c r="BL63">
        <v>16</v>
      </c>
      <c r="BM63">
        <v>12729.6</v>
      </c>
      <c r="BN63">
        <v>17</v>
      </c>
      <c r="BO63">
        <v>13525.2</v>
      </c>
      <c r="BP63">
        <v>11</v>
      </c>
      <c r="BQ63">
        <v>8751.6</v>
      </c>
      <c r="BR63">
        <v>15</v>
      </c>
      <c r="BS63">
        <v>11934</v>
      </c>
      <c r="BT63">
        <v>16</v>
      </c>
      <c r="BU63">
        <v>12729.6</v>
      </c>
      <c r="BV63">
        <v>16</v>
      </c>
      <c r="BW63">
        <v>12729.6</v>
      </c>
      <c r="BX63">
        <v>12</v>
      </c>
      <c r="BY63">
        <v>9547.2000000000007</v>
      </c>
      <c r="BZ63">
        <v>15</v>
      </c>
      <c r="CA63">
        <v>11934</v>
      </c>
      <c r="CB63">
        <v>14</v>
      </c>
      <c r="CC63">
        <v>11138.4</v>
      </c>
      <c r="CD63">
        <v>14</v>
      </c>
      <c r="CE63">
        <v>11138.4</v>
      </c>
      <c r="CF63">
        <v>13</v>
      </c>
      <c r="CG63">
        <v>10342.800000000001</v>
      </c>
      <c r="CH63">
        <v>13</v>
      </c>
      <c r="CI63">
        <v>10342.800000000001</v>
      </c>
      <c r="CJ63">
        <v>14</v>
      </c>
      <c r="CK63">
        <v>11138.4</v>
      </c>
      <c r="CL63">
        <v>17</v>
      </c>
      <c r="CM63">
        <v>13525.2</v>
      </c>
      <c r="CN63">
        <v>17</v>
      </c>
      <c r="CO63">
        <v>13525.2</v>
      </c>
      <c r="CP63">
        <v>17</v>
      </c>
      <c r="CQ63">
        <v>13525.2</v>
      </c>
      <c r="CR63">
        <v>14</v>
      </c>
      <c r="CS63">
        <v>11138.4</v>
      </c>
      <c r="CT63">
        <v>10</v>
      </c>
      <c r="CU63">
        <v>7956</v>
      </c>
    </row>
    <row r="64" spans="2:99" x14ac:dyDescent="0.2">
      <c r="C64" s="118" t="s">
        <v>230</v>
      </c>
      <c r="D64">
        <v>15</v>
      </c>
      <c r="E64">
        <v>15137.999999999996</v>
      </c>
      <c r="F64">
        <v>17</v>
      </c>
      <c r="G64">
        <v>17156.399999999998</v>
      </c>
      <c r="H64">
        <v>15</v>
      </c>
      <c r="I64">
        <v>15137.999999999996</v>
      </c>
      <c r="J64">
        <v>15.038202280347399</v>
      </c>
      <c r="K64">
        <v>15176.553741326592</v>
      </c>
      <c r="L64">
        <v>17</v>
      </c>
      <c r="M64">
        <v>17156.399999999998</v>
      </c>
      <c r="N64">
        <v>12</v>
      </c>
      <c r="O64">
        <v>12110.399999999998</v>
      </c>
      <c r="P64">
        <v>17</v>
      </c>
      <c r="Q64">
        <v>17156.399999999998</v>
      </c>
      <c r="R64">
        <v>15</v>
      </c>
      <c r="S64">
        <v>15137.999999999996</v>
      </c>
      <c r="T64">
        <v>11</v>
      </c>
      <c r="U64">
        <v>11101.199999999997</v>
      </c>
      <c r="V64">
        <v>16</v>
      </c>
      <c r="W64">
        <v>16147.199999999997</v>
      </c>
      <c r="X64">
        <v>18</v>
      </c>
      <c r="Y64">
        <v>18165.599999999999</v>
      </c>
      <c r="Z64">
        <v>19</v>
      </c>
      <c r="AA64">
        <v>19174.799999999996</v>
      </c>
      <c r="AB64">
        <v>12</v>
      </c>
      <c r="AC64">
        <v>12110.399999999998</v>
      </c>
      <c r="AD64">
        <v>14</v>
      </c>
      <c r="AE64">
        <v>14128.799999999997</v>
      </c>
      <c r="AF64">
        <v>13</v>
      </c>
      <c r="AG64">
        <v>13119.599999999999</v>
      </c>
      <c r="AH64">
        <v>16</v>
      </c>
      <c r="AI64">
        <v>16147.199999999997</v>
      </c>
      <c r="AJ64">
        <v>12</v>
      </c>
      <c r="AK64">
        <v>12110.399999999998</v>
      </c>
      <c r="AL64">
        <v>14</v>
      </c>
      <c r="AM64">
        <v>14128.799999999997</v>
      </c>
      <c r="AN64">
        <v>19</v>
      </c>
      <c r="AO64">
        <v>19174.799999999996</v>
      </c>
      <c r="AP64">
        <v>14</v>
      </c>
      <c r="AQ64">
        <v>14128.799999999997</v>
      </c>
      <c r="AR64">
        <v>16</v>
      </c>
      <c r="AS64">
        <v>16147.199999999997</v>
      </c>
      <c r="AT64">
        <v>12</v>
      </c>
      <c r="AU64">
        <v>12110.399999999998</v>
      </c>
      <c r="AV64">
        <v>14</v>
      </c>
      <c r="AW64">
        <v>14128.799999999997</v>
      </c>
      <c r="AX64">
        <v>16</v>
      </c>
      <c r="AY64">
        <v>16147.199999999997</v>
      </c>
      <c r="AZ64">
        <v>18</v>
      </c>
      <c r="BA64">
        <v>18165.599999999999</v>
      </c>
      <c r="BB64">
        <v>18</v>
      </c>
      <c r="BC64">
        <v>18165.599999999999</v>
      </c>
      <c r="BD64">
        <v>11</v>
      </c>
      <c r="BE64">
        <v>11101.199999999997</v>
      </c>
      <c r="BF64">
        <v>11</v>
      </c>
      <c r="BG64">
        <v>11101.199999999997</v>
      </c>
      <c r="BH64">
        <v>10</v>
      </c>
      <c r="BI64">
        <v>10091.999999999998</v>
      </c>
      <c r="BJ64">
        <v>13</v>
      </c>
      <c r="BK64">
        <v>13119.599999999999</v>
      </c>
      <c r="BL64">
        <v>13</v>
      </c>
      <c r="BM64">
        <v>13119.599999999999</v>
      </c>
      <c r="BN64">
        <v>17</v>
      </c>
      <c r="BO64">
        <v>17156.399999999998</v>
      </c>
      <c r="BP64">
        <v>10</v>
      </c>
      <c r="BQ64">
        <v>10091.999999999998</v>
      </c>
      <c r="BR64">
        <v>14</v>
      </c>
      <c r="BS64">
        <v>14128.799999999997</v>
      </c>
      <c r="BT64">
        <v>14</v>
      </c>
      <c r="BU64">
        <v>14128.799999999997</v>
      </c>
      <c r="BV64">
        <v>13</v>
      </c>
      <c r="BW64">
        <v>13119.599999999999</v>
      </c>
      <c r="BX64">
        <v>13</v>
      </c>
      <c r="BY64">
        <v>13119.599999999999</v>
      </c>
      <c r="BZ64">
        <v>14</v>
      </c>
      <c r="CA64">
        <v>14128.799999999997</v>
      </c>
      <c r="CB64">
        <v>12</v>
      </c>
      <c r="CC64">
        <v>12110.399999999998</v>
      </c>
      <c r="CD64">
        <v>14</v>
      </c>
      <c r="CE64">
        <v>14128.799999999997</v>
      </c>
      <c r="CF64">
        <v>13</v>
      </c>
      <c r="CG64">
        <v>13119.599999999999</v>
      </c>
      <c r="CH64">
        <v>13</v>
      </c>
      <c r="CI64">
        <v>13119.599999999999</v>
      </c>
      <c r="CJ64">
        <v>13</v>
      </c>
      <c r="CK64">
        <v>13119.599999999999</v>
      </c>
      <c r="CL64">
        <v>18</v>
      </c>
      <c r="CM64">
        <v>18165.599999999999</v>
      </c>
      <c r="CN64">
        <v>15</v>
      </c>
      <c r="CO64">
        <v>15137.999999999996</v>
      </c>
      <c r="CP64">
        <v>18</v>
      </c>
      <c r="CQ64">
        <v>18165.599999999999</v>
      </c>
      <c r="CR64">
        <v>14</v>
      </c>
      <c r="CS64">
        <v>14128.799999999997</v>
      </c>
      <c r="CT64">
        <v>11</v>
      </c>
      <c r="CU64">
        <v>11101.199999999997</v>
      </c>
    </row>
    <row r="65" spans="2:99" x14ac:dyDescent="0.2">
      <c r="C65" s="118" t="s">
        <v>231</v>
      </c>
      <c r="D65">
        <v>12</v>
      </c>
      <c r="E65">
        <v>12312</v>
      </c>
      <c r="F65">
        <v>18</v>
      </c>
      <c r="G65">
        <v>18468</v>
      </c>
      <c r="H65">
        <v>13</v>
      </c>
      <c r="I65">
        <v>13338</v>
      </c>
      <c r="J65">
        <v>14.038202280347399</v>
      </c>
      <c r="K65">
        <v>14403.195539636432</v>
      </c>
      <c r="L65">
        <v>18</v>
      </c>
      <c r="M65">
        <v>18468</v>
      </c>
      <c r="N65">
        <v>13</v>
      </c>
      <c r="O65">
        <v>13338</v>
      </c>
      <c r="P65">
        <v>17</v>
      </c>
      <c r="Q65">
        <v>17442</v>
      </c>
      <c r="R65">
        <v>14</v>
      </c>
      <c r="S65">
        <v>14364</v>
      </c>
      <c r="T65">
        <v>11</v>
      </c>
      <c r="U65">
        <v>11286</v>
      </c>
      <c r="V65">
        <v>15</v>
      </c>
      <c r="W65">
        <v>15390</v>
      </c>
      <c r="X65">
        <v>18</v>
      </c>
      <c r="Y65">
        <v>18468</v>
      </c>
      <c r="Z65">
        <v>19</v>
      </c>
      <c r="AA65">
        <v>19494</v>
      </c>
      <c r="AB65">
        <v>13</v>
      </c>
      <c r="AC65">
        <v>13338</v>
      </c>
      <c r="AD65">
        <v>13</v>
      </c>
      <c r="AE65">
        <v>13338</v>
      </c>
      <c r="AF65">
        <v>12</v>
      </c>
      <c r="AG65">
        <v>12312</v>
      </c>
      <c r="AH65">
        <v>15</v>
      </c>
      <c r="AI65">
        <v>15390</v>
      </c>
      <c r="AJ65">
        <v>13</v>
      </c>
      <c r="AK65">
        <v>13338</v>
      </c>
      <c r="AL65">
        <v>14</v>
      </c>
      <c r="AM65">
        <v>14364</v>
      </c>
      <c r="AN65">
        <v>20</v>
      </c>
      <c r="AO65">
        <v>20520</v>
      </c>
      <c r="AP65">
        <v>14</v>
      </c>
      <c r="AQ65">
        <v>14364</v>
      </c>
      <c r="AR65">
        <v>15</v>
      </c>
      <c r="AS65">
        <v>15390</v>
      </c>
      <c r="AT65">
        <v>11</v>
      </c>
      <c r="AU65">
        <v>11286</v>
      </c>
      <c r="AV65">
        <v>14</v>
      </c>
      <c r="AW65">
        <v>14364</v>
      </c>
      <c r="AX65">
        <v>17</v>
      </c>
      <c r="AY65">
        <v>17442</v>
      </c>
      <c r="AZ65">
        <v>20</v>
      </c>
      <c r="BA65">
        <v>20520</v>
      </c>
      <c r="BB65">
        <v>18</v>
      </c>
      <c r="BC65">
        <v>18468</v>
      </c>
      <c r="BD65">
        <v>10</v>
      </c>
      <c r="BE65">
        <v>10260</v>
      </c>
      <c r="BF65">
        <v>11</v>
      </c>
      <c r="BG65">
        <v>11286</v>
      </c>
      <c r="BH65">
        <v>11</v>
      </c>
      <c r="BI65">
        <v>11286</v>
      </c>
      <c r="BJ65">
        <v>12</v>
      </c>
      <c r="BK65">
        <v>12312</v>
      </c>
      <c r="BL65">
        <v>14</v>
      </c>
      <c r="BM65">
        <v>14364</v>
      </c>
      <c r="BN65">
        <v>16</v>
      </c>
      <c r="BO65">
        <v>16416</v>
      </c>
      <c r="BP65">
        <v>11</v>
      </c>
      <c r="BQ65">
        <v>11286</v>
      </c>
      <c r="BR65">
        <v>14</v>
      </c>
      <c r="BS65">
        <v>14364</v>
      </c>
      <c r="BT65">
        <v>15</v>
      </c>
      <c r="BU65">
        <v>15390</v>
      </c>
      <c r="BV65">
        <v>15</v>
      </c>
      <c r="BW65">
        <v>15390</v>
      </c>
      <c r="BX65">
        <v>12</v>
      </c>
      <c r="BY65">
        <v>12312</v>
      </c>
      <c r="BZ65">
        <v>16</v>
      </c>
      <c r="CA65">
        <v>16416</v>
      </c>
      <c r="CB65">
        <v>11</v>
      </c>
      <c r="CC65">
        <v>11286</v>
      </c>
      <c r="CD65">
        <v>13</v>
      </c>
      <c r="CE65">
        <v>13338</v>
      </c>
      <c r="CF65">
        <v>12</v>
      </c>
      <c r="CG65">
        <v>12312</v>
      </c>
      <c r="CH65">
        <v>11</v>
      </c>
      <c r="CI65">
        <v>11286</v>
      </c>
      <c r="CJ65">
        <v>13</v>
      </c>
      <c r="CK65">
        <v>13338</v>
      </c>
      <c r="CL65">
        <v>18</v>
      </c>
      <c r="CM65">
        <v>18468</v>
      </c>
      <c r="CN65">
        <v>15</v>
      </c>
      <c r="CO65">
        <v>15390</v>
      </c>
      <c r="CP65">
        <v>17</v>
      </c>
      <c r="CQ65">
        <v>17442</v>
      </c>
      <c r="CR65">
        <v>15</v>
      </c>
      <c r="CS65">
        <v>15390</v>
      </c>
      <c r="CT65">
        <v>11</v>
      </c>
      <c r="CU65">
        <v>11286</v>
      </c>
    </row>
    <row r="66" spans="2:99" x14ac:dyDescent="0.2">
      <c r="C66" s="118" t="s">
        <v>232</v>
      </c>
      <c r="D66">
        <v>13</v>
      </c>
      <c r="E66">
        <v>15475.199999999999</v>
      </c>
      <c r="F66">
        <v>15.910668211872334</v>
      </c>
      <c r="G66">
        <v>18940.059439412824</v>
      </c>
      <c r="H66">
        <v>14</v>
      </c>
      <c r="I66">
        <v>16665.599999999999</v>
      </c>
      <c r="J66">
        <v>15.951685423651783</v>
      </c>
      <c r="K66">
        <v>18988.886328315082</v>
      </c>
      <c r="L66">
        <v>19</v>
      </c>
      <c r="M66">
        <v>22617.599999999999</v>
      </c>
      <c r="N66">
        <v>14</v>
      </c>
      <c r="O66">
        <v>16665.599999999999</v>
      </c>
      <c r="P66">
        <v>19</v>
      </c>
      <c r="Q66">
        <v>22617.599999999999</v>
      </c>
      <c r="R66">
        <v>16</v>
      </c>
      <c r="S66">
        <v>19046.399999999998</v>
      </c>
      <c r="T66">
        <v>10</v>
      </c>
      <c r="U66">
        <v>11903.999999999998</v>
      </c>
      <c r="V66">
        <v>16</v>
      </c>
      <c r="W66">
        <v>19046.399999999998</v>
      </c>
      <c r="X66">
        <v>18</v>
      </c>
      <c r="Y66">
        <v>21427.199999999997</v>
      </c>
      <c r="Z66">
        <v>16</v>
      </c>
      <c r="AA66">
        <v>19046.399999999998</v>
      </c>
      <c r="AB66">
        <v>13</v>
      </c>
      <c r="AC66">
        <v>15475.199999999999</v>
      </c>
      <c r="AD66">
        <v>14</v>
      </c>
      <c r="AE66">
        <v>16665.599999999999</v>
      </c>
      <c r="AF66">
        <v>12</v>
      </c>
      <c r="AG66">
        <v>14284.8</v>
      </c>
      <c r="AH66">
        <v>15</v>
      </c>
      <c r="AI66">
        <v>17855.999999999996</v>
      </c>
      <c r="AJ66">
        <v>11</v>
      </c>
      <c r="AK66">
        <v>13094.399999999998</v>
      </c>
      <c r="AL66">
        <v>12</v>
      </c>
      <c r="AM66">
        <v>14284.8</v>
      </c>
      <c r="AN66">
        <v>18</v>
      </c>
      <c r="AO66">
        <v>21427.199999999997</v>
      </c>
      <c r="AP66">
        <v>15</v>
      </c>
      <c r="AQ66">
        <v>17855.999999999996</v>
      </c>
      <c r="AR66">
        <v>16</v>
      </c>
      <c r="AS66">
        <v>19046.399999999998</v>
      </c>
      <c r="AT66">
        <v>11</v>
      </c>
      <c r="AU66">
        <v>13094.399999999998</v>
      </c>
      <c r="AV66">
        <v>16</v>
      </c>
      <c r="AW66">
        <v>19046.399999999998</v>
      </c>
      <c r="AX66">
        <v>15</v>
      </c>
      <c r="AY66">
        <v>17855.999999999996</v>
      </c>
      <c r="AZ66">
        <v>20</v>
      </c>
      <c r="BA66">
        <v>23807.999999999996</v>
      </c>
      <c r="BB66">
        <v>18</v>
      </c>
      <c r="BC66">
        <v>21427.199999999997</v>
      </c>
      <c r="BD66">
        <v>12</v>
      </c>
      <c r="BE66">
        <v>14284.8</v>
      </c>
      <c r="BF66">
        <v>11</v>
      </c>
      <c r="BG66">
        <v>13094.399999999998</v>
      </c>
      <c r="BH66">
        <v>10</v>
      </c>
      <c r="BI66">
        <v>11903.999999999998</v>
      </c>
      <c r="BJ66">
        <v>11</v>
      </c>
      <c r="BK66">
        <v>13094.399999999998</v>
      </c>
      <c r="BL66">
        <v>13</v>
      </c>
      <c r="BM66">
        <v>15475.199999999999</v>
      </c>
      <c r="BN66">
        <v>14</v>
      </c>
      <c r="BO66">
        <v>16665.599999999999</v>
      </c>
      <c r="BP66">
        <v>10</v>
      </c>
      <c r="BQ66">
        <v>11903.999999999998</v>
      </c>
      <c r="BR66">
        <v>14</v>
      </c>
      <c r="BS66">
        <v>16665.599999999999</v>
      </c>
      <c r="BT66">
        <v>16</v>
      </c>
      <c r="BU66">
        <v>19046.399999999998</v>
      </c>
      <c r="BV66">
        <v>13</v>
      </c>
      <c r="BW66">
        <v>15475.199999999999</v>
      </c>
      <c r="BX66">
        <v>13</v>
      </c>
      <c r="BY66">
        <v>15475.199999999999</v>
      </c>
      <c r="BZ66">
        <v>14</v>
      </c>
      <c r="CA66">
        <v>16665.599999999999</v>
      </c>
      <c r="CB66">
        <v>12</v>
      </c>
      <c r="CC66">
        <v>14284.8</v>
      </c>
      <c r="CD66">
        <v>13</v>
      </c>
      <c r="CE66">
        <v>15475.199999999999</v>
      </c>
      <c r="CF66">
        <v>13</v>
      </c>
      <c r="CG66">
        <v>15475.199999999999</v>
      </c>
      <c r="CH66">
        <v>11</v>
      </c>
      <c r="CI66">
        <v>13094.399999999998</v>
      </c>
      <c r="CJ66">
        <v>13</v>
      </c>
      <c r="CK66">
        <v>15475.199999999999</v>
      </c>
      <c r="CL66">
        <v>17</v>
      </c>
      <c r="CM66">
        <v>20236.8</v>
      </c>
      <c r="CN66">
        <v>16</v>
      </c>
      <c r="CO66">
        <v>19046.399999999998</v>
      </c>
      <c r="CP66">
        <v>17</v>
      </c>
      <c r="CQ66">
        <v>20236.8</v>
      </c>
      <c r="CR66">
        <v>14</v>
      </c>
      <c r="CS66">
        <v>16665.599999999999</v>
      </c>
      <c r="CT66">
        <v>10</v>
      </c>
      <c r="CU66">
        <v>11903.999999999998</v>
      </c>
    </row>
    <row r="67" spans="2:99" x14ac:dyDescent="0.2">
      <c r="C67" s="118" t="s">
        <v>233</v>
      </c>
      <c r="D67">
        <v>13</v>
      </c>
      <c r="E67">
        <v>14601.6</v>
      </c>
      <c r="F67">
        <v>17</v>
      </c>
      <c r="G67">
        <v>19094.400000000001</v>
      </c>
      <c r="H67">
        <v>15</v>
      </c>
      <c r="I67">
        <v>16848</v>
      </c>
      <c r="J67">
        <v>13.908426995303975</v>
      </c>
      <c r="K67">
        <v>15621.945201125425</v>
      </c>
      <c r="L67">
        <v>17</v>
      </c>
      <c r="M67">
        <v>19094.400000000001</v>
      </c>
      <c r="N67">
        <v>14</v>
      </c>
      <c r="O67">
        <v>15724.800000000001</v>
      </c>
      <c r="P67">
        <v>16</v>
      </c>
      <c r="Q67">
        <v>17971.2</v>
      </c>
      <c r="R67">
        <v>16</v>
      </c>
      <c r="S67">
        <v>17971.2</v>
      </c>
      <c r="T67">
        <v>10</v>
      </c>
      <c r="U67">
        <v>11232</v>
      </c>
      <c r="V67">
        <v>15</v>
      </c>
      <c r="W67">
        <v>16848</v>
      </c>
      <c r="X67">
        <v>18</v>
      </c>
      <c r="Y67">
        <v>20217.600000000002</v>
      </c>
      <c r="Z67">
        <v>19</v>
      </c>
      <c r="AA67">
        <v>21340.799999999999</v>
      </c>
      <c r="AB67">
        <v>14</v>
      </c>
      <c r="AC67">
        <v>15724.800000000001</v>
      </c>
      <c r="AD67">
        <v>13</v>
      </c>
      <c r="AE67">
        <v>14601.6</v>
      </c>
      <c r="AF67">
        <v>12</v>
      </c>
      <c r="AG67">
        <v>13478.400000000001</v>
      </c>
      <c r="AH67">
        <v>17</v>
      </c>
      <c r="AI67">
        <v>19094.400000000001</v>
      </c>
      <c r="AJ67">
        <v>13</v>
      </c>
      <c r="AK67">
        <v>14601.6</v>
      </c>
      <c r="AL67">
        <v>13</v>
      </c>
      <c r="AM67">
        <v>14601.6</v>
      </c>
      <c r="AN67">
        <v>18</v>
      </c>
      <c r="AO67">
        <v>20217.600000000002</v>
      </c>
      <c r="AP67">
        <v>15</v>
      </c>
      <c r="AQ67">
        <v>16848</v>
      </c>
      <c r="AR67">
        <v>14</v>
      </c>
      <c r="AS67">
        <v>15724.800000000001</v>
      </c>
      <c r="AT67">
        <v>12</v>
      </c>
      <c r="AU67">
        <v>13478.400000000001</v>
      </c>
      <c r="AV67">
        <v>15</v>
      </c>
      <c r="AW67">
        <v>16848</v>
      </c>
      <c r="AX67">
        <v>16</v>
      </c>
      <c r="AY67">
        <v>17971.2</v>
      </c>
      <c r="AZ67">
        <v>17</v>
      </c>
      <c r="BA67">
        <v>19094.400000000001</v>
      </c>
      <c r="BB67">
        <v>19</v>
      </c>
      <c r="BC67">
        <v>21340.799999999999</v>
      </c>
      <c r="BD67">
        <v>10</v>
      </c>
      <c r="BE67">
        <v>11232</v>
      </c>
      <c r="BF67">
        <v>11</v>
      </c>
      <c r="BG67">
        <v>12355.2</v>
      </c>
      <c r="BH67">
        <v>10</v>
      </c>
      <c r="BI67">
        <v>11232</v>
      </c>
      <c r="BJ67">
        <v>13</v>
      </c>
      <c r="BK67">
        <v>14601.6</v>
      </c>
      <c r="BL67">
        <v>13</v>
      </c>
      <c r="BM67">
        <v>14601.6</v>
      </c>
      <c r="BN67">
        <v>16</v>
      </c>
      <c r="BO67">
        <v>17971.2</v>
      </c>
      <c r="BP67">
        <v>11</v>
      </c>
      <c r="BQ67">
        <v>12355.2</v>
      </c>
      <c r="BR67">
        <v>13</v>
      </c>
      <c r="BS67">
        <v>14601.6</v>
      </c>
      <c r="BT67">
        <v>16</v>
      </c>
      <c r="BU67">
        <v>17971.2</v>
      </c>
      <c r="BV67">
        <v>13</v>
      </c>
      <c r="BW67">
        <v>14601.6</v>
      </c>
      <c r="BX67">
        <v>11</v>
      </c>
      <c r="BY67">
        <v>12355.2</v>
      </c>
      <c r="BZ67">
        <v>15</v>
      </c>
      <c r="CA67">
        <v>16848</v>
      </c>
      <c r="CB67">
        <v>11</v>
      </c>
      <c r="CC67">
        <v>12355.2</v>
      </c>
      <c r="CD67">
        <v>14</v>
      </c>
      <c r="CE67">
        <v>15724.800000000001</v>
      </c>
      <c r="CF67">
        <v>13</v>
      </c>
      <c r="CG67">
        <v>14601.6</v>
      </c>
      <c r="CH67">
        <v>12</v>
      </c>
      <c r="CI67">
        <v>13478.400000000001</v>
      </c>
      <c r="CJ67">
        <v>13</v>
      </c>
      <c r="CK67">
        <v>14601.6</v>
      </c>
      <c r="CL67">
        <v>15</v>
      </c>
      <c r="CM67">
        <v>16848</v>
      </c>
      <c r="CN67">
        <v>16</v>
      </c>
      <c r="CO67">
        <v>17971.2</v>
      </c>
      <c r="CP67">
        <v>18</v>
      </c>
      <c r="CQ67">
        <v>20217.600000000002</v>
      </c>
      <c r="CR67">
        <v>14</v>
      </c>
      <c r="CS67">
        <v>15724.800000000001</v>
      </c>
      <c r="CT67">
        <v>11</v>
      </c>
      <c r="CU67">
        <v>12355.2</v>
      </c>
    </row>
    <row r="68" spans="2:99" x14ac:dyDescent="0.2">
      <c r="C68" s="118" t="s">
        <v>234</v>
      </c>
      <c r="D68">
        <v>13</v>
      </c>
      <c r="E68">
        <v>13431.6</v>
      </c>
      <c r="F68">
        <v>17</v>
      </c>
      <c r="G68">
        <v>17564.400000000001</v>
      </c>
      <c r="H68">
        <v>14</v>
      </c>
      <c r="I68">
        <v>14464.800000000001</v>
      </c>
      <c r="J68">
        <v>15.994943851999592</v>
      </c>
      <c r="K68">
        <v>16525.97598788598</v>
      </c>
      <c r="L68">
        <v>18</v>
      </c>
      <c r="M68">
        <v>18597.600000000002</v>
      </c>
      <c r="N68">
        <v>13</v>
      </c>
      <c r="O68">
        <v>13431.6</v>
      </c>
      <c r="P68">
        <v>18</v>
      </c>
      <c r="Q68">
        <v>18597.600000000002</v>
      </c>
      <c r="R68">
        <v>15</v>
      </c>
      <c r="S68">
        <v>15498</v>
      </c>
      <c r="T68">
        <v>11</v>
      </c>
      <c r="U68">
        <v>11365.2</v>
      </c>
      <c r="V68">
        <v>14</v>
      </c>
      <c r="W68">
        <v>14464.800000000001</v>
      </c>
      <c r="X68">
        <v>20</v>
      </c>
      <c r="Y68">
        <v>20664</v>
      </c>
      <c r="Z68">
        <v>18</v>
      </c>
      <c r="AA68">
        <v>18597.600000000002</v>
      </c>
      <c r="AB68">
        <v>15</v>
      </c>
      <c r="AC68">
        <v>15498</v>
      </c>
      <c r="AD68">
        <v>14</v>
      </c>
      <c r="AE68">
        <v>14464.800000000001</v>
      </c>
      <c r="AF68">
        <v>12</v>
      </c>
      <c r="AG68">
        <v>12398.400000000001</v>
      </c>
      <c r="AH68">
        <v>15</v>
      </c>
      <c r="AI68">
        <v>15498</v>
      </c>
      <c r="AJ68">
        <v>13</v>
      </c>
      <c r="AK68">
        <v>13431.6</v>
      </c>
      <c r="AL68">
        <v>14</v>
      </c>
      <c r="AM68">
        <v>14464.800000000001</v>
      </c>
      <c r="AN68">
        <v>19</v>
      </c>
      <c r="AO68">
        <v>19630.8</v>
      </c>
      <c r="AP68">
        <v>16</v>
      </c>
      <c r="AQ68">
        <v>16531.2</v>
      </c>
      <c r="AR68">
        <v>15</v>
      </c>
      <c r="AS68">
        <v>15498</v>
      </c>
      <c r="AT68">
        <v>11</v>
      </c>
      <c r="AU68">
        <v>11365.2</v>
      </c>
      <c r="AV68">
        <v>13</v>
      </c>
      <c r="AW68">
        <v>13431.6</v>
      </c>
      <c r="AX68">
        <v>14</v>
      </c>
      <c r="AY68">
        <v>14464.800000000001</v>
      </c>
      <c r="AZ68">
        <v>19</v>
      </c>
      <c r="BA68">
        <v>19630.8</v>
      </c>
      <c r="BB68">
        <v>17</v>
      </c>
      <c r="BC68">
        <v>17564.400000000001</v>
      </c>
      <c r="BD68">
        <v>11</v>
      </c>
      <c r="BE68">
        <v>11365.2</v>
      </c>
      <c r="BF68">
        <v>12</v>
      </c>
      <c r="BG68">
        <v>12398.400000000001</v>
      </c>
      <c r="BH68">
        <v>11</v>
      </c>
      <c r="BI68">
        <v>11365.2</v>
      </c>
      <c r="BJ68">
        <v>12</v>
      </c>
      <c r="BK68">
        <v>12398.400000000001</v>
      </c>
      <c r="BL68">
        <v>15</v>
      </c>
      <c r="BM68">
        <v>15498</v>
      </c>
      <c r="BN68">
        <v>15</v>
      </c>
      <c r="BO68">
        <v>15498</v>
      </c>
      <c r="BP68">
        <v>11</v>
      </c>
      <c r="BQ68">
        <v>11365.2</v>
      </c>
      <c r="BR68">
        <v>15</v>
      </c>
      <c r="BS68">
        <v>15498</v>
      </c>
      <c r="BT68">
        <v>16</v>
      </c>
      <c r="BU68">
        <v>16531.2</v>
      </c>
      <c r="BV68">
        <v>15</v>
      </c>
      <c r="BW68">
        <v>15498</v>
      </c>
      <c r="BX68">
        <v>12</v>
      </c>
      <c r="BY68">
        <v>12398.400000000001</v>
      </c>
      <c r="BZ68">
        <v>14</v>
      </c>
      <c r="CA68">
        <v>14464.800000000001</v>
      </c>
      <c r="CB68">
        <v>12</v>
      </c>
      <c r="CC68">
        <v>12398.400000000001</v>
      </c>
      <c r="CD68">
        <v>15</v>
      </c>
      <c r="CE68">
        <v>15498</v>
      </c>
      <c r="CF68">
        <v>13</v>
      </c>
      <c r="CG68">
        <v>13431.6</v>
      </c>
      <c r="CH68">
        <v>11</v>
      </c>
      <c r="CI68">
        <v>11365.2</v>
      </c>
      <c r="CJ68">
        <v>13</v>
      </c>
      <c r="CK68">
        <v>13431.6</v>
      </c>
      <c r="CL68">
        <v>16</v>
      </c>
      <c r="CM68">
        <v>16531.2</v>
      </c>
      <c r="CN68">
        <v>16</v>
      </c>
      <c r="CO68">
        <v>16531.2</v>
      </c>
      <c r="CP68">
        <v>18</v>
      </c>
      <c r="CQ68">
        <v>18597.600000000002</v>
      </c>
      <c r="CR68">
        <v>15</v>
      </c>
      <c r="CS68">
        <v>15498</v>
      </c>
      <c r="CT68">
        <v>11</v>
      </c>
      <c r="CU68">
        <v>11365.2</v>
      </c>
    </row>
    <row r="69" spans="2:99" x14ac:dyDescent="0.2">
      <c r="C69" s="118" t="s">
        <v>235</v>
      </c>
      <c r="D69">
        <v>14</v>
      </c>
      <c r="E69">
        <v>10617.6</v>
      </c>
      <c r="F69">
        <v>17</v>
      </c>
      <c r="G69">
        <v>12892.8</v>
      </c>
      <c r="H69">
        <v>15</v>
      </c>
      <c r="I69">
        <v>11376</v>
      </c>
      <c r="J69">
        <v>16.124719137043016</v>
      </c>
      <c r="K69">
        <v>12228.986993533423</v>
      </c>
      <c r="L69">
        <v>19</v>
      </c>
      <c r="M69">
        <v>14409.6</v>
      </c>
      <c r="N69">
        <v>15</v>
      </c>
      <c r="O69">
        <v>11376</v>
      </c>
      <c r="P69">
        <v>19</v>
      </c>
      <c r="Q69">
        <v>14409.6</v>
      </c>
      <c r="R69">
        <v>15</v>
      </c>
      <c r="S69">
        <v>11376</v>
      </c>
      <c r="T69">
        <v>12</v>
      </c>
      <c r="U69">
        <v>9100.7999999999993</v>
      </c>
      <c r="V69">
        <v>15</v>
      </c>
      <c r="W69">
        <v>11376</v>
      </c>
      <c r="X69">
        <v>20</v>
      </c>
      <c r="Y69">
        <v>15168</v>
      </c>
      <c r="Z69">
        <v>18</v>
      </c>
      <c r="AA69">
        <v>13651.199999999999</v>
      </c>
      <c r="AB69">
        <v>14</v>
      </c>
      <c r="AC69">
        <v>10617.6</v>
      </c>
      <c r="AD69">
        <v>14</v>
      </c>
      <c r="AE69">
        <v>10617.6</v>
      </c>
      <c r="AF69">
        <v>12</v>
      </c>
      <c r="AG69">
        <v>9100.7999999999993</v>
      </c>
      <c r="AH69">
        <v>15</v>
      </c>
      <c r="AI69">
        <v>11376</v>
      </c>
      <c r="AJ69">
        <v>13</v>
      </c>
      <c r="AK69">
        <v>9859.1999999999989</v>
      </c>
      <c r="AL69">
        <v>13</v>
      </c>
      <c r="AM69">
        <v>9859.1999999999989</v>
      </c>
      <c r="AN69">
        <v>19</v>
      </c>
      <c r="AO69">
        <v>14409.6</v>
      </c>
      <c r="AP69">
        <v>16</v>
      </c>
      <c r="AQ69">
        <v>12134.4</v>
      </c>
      <c r="AR69">
        <v>15</v>
      </c>
      <c r="AS69">
        <v>11376</v>
      </c>
      <c r="AT69">
        <v>10</v>
      </c>
      <c r="AU69">
        <v>7584</v>
      </c>
      <c r="AV69">
        <v>16</v>
      </c>
      <c r="AW69">
        <v>12134.4</v>
      </c>
      <c r="AX69">
        <v>15</v>
      </c>
      <c r="AY69">
        <v>11376</v>
      </c>
      <c r="AZ69">
        <v>18</v>
      </c>
      <c r="BA69">
        <v>13651.199999999999</v>
      </c>
      <c r="BB69">
        <v>18</v>
      </c>
      <c r="BC69">
        <v>13651.199999999999</v>
      </c>
      <c r="BD69">
        <v>10</v>
      </c>
      <c r="BE69">
        <v>7584</v>
      </c>
      <c r="BF69">
        <v>10</v>
      </c>
      <c r="BG69">
        <v>7584</v>
      </c>
      <c r="BH69">
        <v>12</v>
      </c>
      <c r="BI69">
        <v>9100.7999999999993</v>
      </c>
      <c r="BJ69">
        <v>13</v>
      </c>
      <c r="BK69">
        <v>9859.1999999999989</v>
      </c>
      <c r="BL69">
        <v>14</v>
      </c>
      <c r="BM69">
        <v>10617.6</v>
      </c>
      <c r="BN69">
        <v>16</v>
      </c>
      <c r="BO69">
        <v>12134.4</v>
      </c>
      <c r="BP69">
        <v>10</v>
      </c>
      <c r="BQ69">
        <v>7584</v>
      </c>
      <c r="BR69">
        <v>13</v>
      </c>
      <c r="BS69">
        <v>9859.1999999999989</v>
      </c>
      <c r="BT69">
        <v>15</v>
      </c>
      <c r="BU69">
        <v>11376</v>
      </c>
      <c r="BV69">
        <v>16</v>
      </c>
      <c r="BW69">
        <v>12134.4</v>
      </c>
      <c r="BX69">
        <v>11</v>
      </c>
      <c r="BY69">
        <v>8342.4</v>
      </c>
      <c r="BZ69">
        <v>15</v>
      </c>
      <c r="CA69">
        <v>11376</v>
      </c>
      <c r="CB69">
        <v>12</v>
      </c>
      <c r="CC69">
        <v>9100.7999999999993</v>
      </c>
      <c r="CD69">
        <v>16</v>
      </c>
      <c r="CE69">
        <v>12134.4</v>
      </c>
      <c r="CF69">
        <v>13</v>
      </c>
      <c r="CG69">
        <v>9859.1999999999989</v>
      </c>
      <c r="CH69">
        <v>12</v>
      </c>
      <c r="CI69">
        <v>9100.7999999999993</v>
      </c>
      <c r="CJ69">
        <v>12</v>
      </c>
      <c r="CK69">
        <v>9100.7999999999993</v>
      </c>
      <c r="CL69">
        <v>19</v>
      </c>
      <c r="CM69">
        <v>14409.6</v>
      </c>
      <c r="CN69">
        <v>17</v>
      </c>
      <c r="CO69">
        <v>12892.8</v>
      </c>
      <c r="CP69">
        <v>18</v>
      </c>
      <c r="CQ69">
        <v>13651.199999999999</v>
      </c>
      <c r="CR69">
        <v>16</v>
      </c>
      <c r="CS69">
        <v>12134.4</v>
      </c>
      <c r="CT69">
        <v>11</v>
      </c>
      <c r="CU69">
        <v>8342.4</v>
      </c>
    </row>
    <row r="70" spans="2:99" x14ac:dyDescent="0.2">
      <c r="C70" s="118" t="s">
        <v>236</v>
      </c>
      <c r="D70">
        <v>14</v>
      </c>
      <c r="E70">
        <v>7492.7999999999993</v>
      </c>
      <c r="F70">
        <v>17</v>
      </c>
      <c r="G70">
        <v>9098.4</v>
      </c>
      <c r="H70">
        <v>14</v>
      </c>
      <c r="I70">
        <v>7492.7999999999993</v>
      </c>
      <c r="J70">
        <v>14.167977565390824</v>
      </c>
      <c r="K70">
        <v>7582.7015929971685</v>
      </c>
      <c r="L70">
        <v>19</v>
      </c>
      <c r="M70">
        <v>10168.799999999999</v>
      </c>
      <c r="N70">
        <v>14</v>
      </c>
      <c r="O70">
        <v>7492.7999999999993</v>
      </c>
      <c r="P70">
        <v>18</v>
      </c>
      <c r="Q70">
        <v>9633.5999999999985</v>
      </c>
      <c r="R70">
        <v>16</v>
      </c>
      <c r="S70">
        <v>8563.1999999999989</v>
      </c>
      <c r="T70">
        <v>11</v>
      </c>
      <c r="U70">
        <v>5887.1999999999989</v>
      </c>
      <c r="V70">
        <v>16</v>
      </c>
      <c r="W70">
        <v>8563.1999999999989</v>
      </c>
      <c r="X70">
        <v>22</v>
      </c>
      <c r="Y70">
        <v>11774.399999999998</v>
      </c>
      <c r="Z70">
        <v>19</v>
      </c>
      <c r="AA70">
        <v>10168.799999999999</v>
      </c>
      <c r="AB70">
        <v>16</v>
      </c>
      <c r="AC70">
        <v>8563.1999999999989</v>
      </c>
      <c r="AD70">
        <v>14</v>
      </c>
      <c r="AE70">
        <v>7492.7999999999993</v>
      </c>
      <c r="AF70">
        <v>14</v>
      </c>
      <c r="AG70">
        <v>7492.7999999999993</v>
      </c>
      <c r="AH70">
        <v>18</v>
      </c>
      <c r="AI70">
        <v>9633.5999999999985</v>
      </c>
      <c r="AJ70">
        <v>14</v>
      </c>
      <c r="AK70">
        <v>7492.7999999999993</v>
      </c>
      <c r="AL70">
        <v>14</v>
      </c>
      <c r="AM70">
        <v>7492.7999999999993</v>
      </c>
      <c r="AN70">
        <v>19</v>
      </c>
      <c r="AO70">
        <v>10168.799999999999</v>
      </c>
      <c r="AP70">
        <v>16</v>
      </c>
      <c r="AQ70">
        <v>8563.1999999999989</v>
      </c>
      <c r="AR70">
        <v>17</v>
      </c>
      <c r="AS70">
        <v>9098.4</v>
      </c>
      <c r="AT70">
        <v>12</v>
      </c>
      <c r="AU70">
        <v>6422.4</v>
      </c>
      <c r="AV70">
        <v>14</v>
      </c>
      <c r="AW70">
        <v>7492.7999999999993</v>
      </c>
      <c r="AX70">
        <v>17</v>
      </c>
      <c r="AY70">
        <v>9098.4</v>
      </c>
      <c r="AZ70">
        <v>19</v>
      </c>
      <c r="BA70">
        <v>10168.799999999999</v>
      </c>
      <c r="BB70">
        <v>22</v>
      </c>
      <c r="BC70">
        <v>11774.399999999998</v>
      </c>
      <c r="BD70">
        <v>13</v>
      </c>
      <c r="BE70">
        <v>6957.5999999999995</v>
      </c>
      <c r="BF70">
        <v>12</v>
      </c>
      <c r="BG70">
        <v>6422.4</v>
      </c>
      <c r="BH70">
        <v>11</v>
      </c>
      <c r="BI70">
        <v>5887.1999999999989</v>
      </c>
      <c r="BJ70">
        <v>13</v>
      </c>
      <c r="BK70">
        <v>6957.5999999999995</v>
      </c>
      <c r="BL70">
        <v>16</v>
      </c>
      <c r="BM70">
        <v>8563.1999999999989</v>
      </c>
      <c r="BN70">
        <v>16</v>
      </c>
      <c r="BO70">
        <v>8563.1999999999989</v>
      </c>
      <c r="BP70">
        <v>12</v>
      </c>
      <c r="BQ70">
        <v>6422.4</v>
      </c>
      <c r="BR70">
        <v>14</v>
      </c>
      <c r="BS70">
        <v>7492.7999999999993</v>
      </c>
      <c r="BT70">
        <v>15</v>
      </c>
      <c r="BU70">
        <v>8027.9999999999991</v>
      </c>
      <c r="BV70">
        <v>15</v>
      </c>
      <c r="BW70">
        <v>8027.9999999999991</v>
      </c>
      <c r="BX70">
        <v>12</v>
      </c>
      <c r="BY70">
        <v>6422.4</v>
      </c>
      <c r="BZ70">
        <v>16</v>
      </c>
      <c r="CA70">
        <v>8563.1999999999989</v>
      </c>
      <c r="CB70">
        <v>12</v>
      </c>
      <c r="CC70">
        <v>6422.4</v>
      </c>
      <c r="CD70">
        <v>15</v>
      </c>
      <c r="CE70">
        <v>8027.9999999999991</v>
      </c>
      <c r="CF70">
        <v>13</v>
      </c>
      <c r="CG70">
        <v>6957.5999999999995</v>
      </c>
      <c r="CH70">
        <v>13</v>
      </c>
      <c r="CI70">
        <v>6957.5999999999995</v>
      </c>
      <c r="CJ70">
        <v>13</v>
      </c>
      <c r="CK70">
        <v>6957.5999999999995</v>
      </c>
      <c r="CL70">
        <v>18</v>
      </c>
      <c r="CM70">
        <v>9633.5999999999985</v>
      </c>
      <c r="CN70">
        <v>17</v>
      </c>
      <c r="CO70">
        <v>9098.4</v>
      </c>
      <c r="CP70">
        <v>17</v>
      </c>
      <c r="CQ70">
        <v>9098.4</v>
      </c>
      <c r="CR70">
        <v>15</v>
      </c>
      <c r="CS70">
        <v>8027.9999999999991</v>
      </c>
      <c r="CT70">
        <v>13</v>
      </c>
      <c r="CU70">
        <v>6957.5999999999995</v>
      </c>
    </row>
    <row r="71" spans="2:99" x14ac:dyDescent="0.2">
      <c r="B71" s="118" t="s">
        <v>130</v>
      </c>
      <c r="C71" s="118" t="s">
        <v>237</v>
      </c>
      <c r="D71">
        <v>16</v>
      </c>
      <c r="E71">
        <v>9024</v>
      </c>
      <c r="F71">
        <v>11</v>
      </c>
      <c r="G71">
        <v>6204</v>
      </c>
      <c r="H71">
        <v>11</v>
      </c>
      <c r="I71">
        <v>6204</v>
      </c>
      <c r="J71">
        <v>10</v>
      </c>
      <c r="K71">
        <v>5640</v>
      </c>
      <c r="L71">
        <v>12</v>
      </c>
      <c r="M71">
        <v>6768</v>
      </c>
      <c r="N71">
        <v>12.044233591962055</v>
      </c>
      <c r="O71">
        <v>6792.9477458665988</v>
      </c>
      <c r="P71">
        <v>13.493880815076368</v>
      </c>
      <c r="Q71">
        <v>7610.5487797030719</v>
      </c>
      <c r="R71">
        <v>13.43329694802742</v>
      </c>
      <c r="S71">
        <v>7576.3794786874651</v>
      </c>
      <c r="T71">
        <v>10.408259911892088</v>
      </c>
      <c r="U71">
        <v>5870.2585903071376</v>
      </c>
      <c r="V71">
        <v>13.829075724286689</v>
      </c>
      <c r="W71">
        <v>7799.5987084976923</v>
      </c>
      <c r="X71">
        <v>14.88128960148428</v>
      </c>
      <c r="Y71">
        <v>8393.0473352371337</v>
      </c>
      <c r="Z71">
        <v>16.9663978108522</v>
      </c>
      <c r="AA71">
        <v>9569.0483653206411</v>
      </c>
      <c r="AB71">
        <v>14.271287727651714</v>
      </c>
      <c r="AC71">
        <v>8049.0062783955664</v>
      </c>
      <c r="AD71">
        <v>10.705936010698812</v>
      </c>
      <c r="AE71">
        <v>6038.1479100341303</v>
      </c>
      <c r="AF71">
        <v>11.222142331575395</v>
      </c>
      <c r="AG71">
        <v>6329.2882750085228</v>
      </c>
      <c r="AH71">
        <v>12.88103778906553</v>
      </c>
      <c r="AI71">
        <v>7264.9053130329594</v>
      </c>
      <c r="AJ71">
        <v>9</v>
      </c>
      <c r="AK71">
        <v>5076</v>
      </c>
      <c r="AL71">
        <v>11.292264167297589</v>
      </c>
      <c r="AM71">
        <v>6368.8369903558396</v>
      </c>
      <c r="AN71">
        <v>12.654643037790279</v>
      </c>
      <c r="AO71">
        <v>7137.2186733137178</v>
      </c>
      <c r="AP71">
        <v>20.368423406434154</v>
      </c>
      <c r="AQ71">
        <v>11487.790801228863</v>
      </c>
      <c r="AR71">
        <v>13.579097652402373</v>
      </c>
      <c r="AS71">
        <v>7658.6110759549383</v>
      </c>
      <c r="AT71">
        <v>17</v>
      </c>
      <c r="AU71">
        <v>9588</v>
      </c>
      <c r="AV71">
        <v>12.89128434771461</v>
      </c>
      <c r="AW71">
        <v>7270.6843721110399</v>
      </c>
      <c r="AX71">
        <v>13.194010859758043</v>
      </c>
      <c r="AY71">
        <v>7441.4221249035363</v>
      </c>
      <c r="AZ71">
        <v>13.611386759656554</v>
      </c>
      <c r="BA71">
        <v>7676.8221324462966</v>
      </c>
      <c r="BB71">
        <v>13.991674720099436</v>
      </c>
      <c r="BC71">
        <v>7891.3045421360821</v>
      </c>
      <c r="BD71">
        <v>11.919039891487758</v>
      </c>
      <c r="BE71">
        <v>6722.3384987990958</v>
      </c>
      <c r="BF71">
        <v>17.209839201491274</v>
      </c>
      <c r="BG71">
        <v>9706.3493096410784</v>
      </c>
      <c r="BH71">
        <v>10.05983485563733</v>
      </c>
      <c r="BI71">
        <v>5673.7468585794541</v>
      </c>
      <c r="BJ71">
        <v>18.66197675113639</v>
      </c>
      <c r="BK71">
        <v>10525.354887640924</v>
      </c>
      <c r="BL71">
        <v>11.947695875916718</v>
      </c>
      <c r="BM71">
        <v>6738.5004740170289</v>
      </c>
      <c r="BN71">
        <v>14.219131313750644</v>
      </c>
      <c r="BO71">
        <v>8019.5900609553637</v>
      </c>
      <c r="BP71">
        <v>18.305936670063605</v>
      </c>
      <c r="BQ71">
        <v>10324.548281915873</v>
      </c>
      <c r="BR71">
        <v>12.933361361136372</v>
      </c>
      <c r="BS71">
        <v>7294.4158076809135</v>
      </c>
      <c r="BT71">
        <v>10.089378418324292</v>
      </c>
      <c r="BU71">
        <v>5690.409427934901</v>
      </c>
      <c r="BV71">
        <v>17.477842931230605</v>
      </c>
      <c r="BW71">
        <v>9857.5034132140609</v>
      </c>
      <c r="BX71">
        <v>13.478856735803712</v>
      </c>
      <c r="BY71">
        <v>7602.0751989932933</v>
      </c>
      <c r="BZ71">
        <v>15</v>
      </c>
      <c r="CA71">
        <v>8460</v>
      </c>
      <c r="CB71">
        <v>14.785668583843682</v>
      </c>
      <c r="CC71">
        <v>8339.1170812878372</v>
      </c>
      <c r="CD71">
        <v>16.600146956300996</v>
      </c>
      <c r="CE71">
        <v>9362.4828833537613</v>
      </c>
      <c r="CF71">
        <v>12.187185155107503</v>
      </c>
      <c r="CG71">
        <v>6873.5724274806316</v>
      </c>
      <c r="CH71">
        <v>19.929894565492624</v>
      </c>
      <c r="CI71">
        <v>11240.46053493784</v>
      </c>
      <c r="CJ71">
        <v>10.006865819430601</v>
      </c>
      <c r="CK71">
        <v>5643.8723221588589</v>
      </c>
      <c r="CL71">
        <v>15.866161857107075</v>
      </c>
      <c r="CM71">
        <v>8948.5152874083906</v>
      </c>
      <c r="CN71">
        <v>13.434461688105765</v>
      </c>
      <c r="CO71">
        <v>7577.0363920916516</v>
      </c>
      <c r="CP71">
        <v>13.252194212193862</v>
      </c>
      <c r="CQ71">
        <v>7474.2375356773382</v>
      </c>
      <c r="CR71">
        <v>15.358664902994715</v>
      </c>
      <c r="CS71">
        <v>8662.2870052890194</v>
      </c>
      <c r="CT71">
        <v>20.808006171186694</v>
      </c>
      <c r="CU71">
        <v>11735.715480549296</v>
      </c>
    </row>
    <row r="72" spans="2:99" x14ac:dyDescent="0.2">
      <c r="C72" s="118" t="s">
        <v>238</v>
      </c>
      <c r="D72">
        <v>17</v>
      </c>
      <c r="E72">
        <v>1264.8</v>
      </c>
      <c r="F72">
        <v>10</v>
      </c>
      <c r="G72">
        <v>743.99999999999989</v>
      </c>
      <c r="H72">
        <v>11</v>
      </c>
      <c r="I72">
        <v>818.39999999999986</v>
      </c>
      <c r="J72">
        <v>10</v>
      </c>
      <c r="K72">
        <v>743.99999999999989</v>
      </c>
      <c r="L72">
        <v>13</v>
      </c>
      <c r="M72">
        <v>967.19999999999993</v>
      </c>
      <c r="N72">
        <v>13.044233591962055</v>
      </c>
      <c r="O72">
        <v>970.49097924197679</v>
      </c>
      <c r="P72">
        <v>14.586483467903188</v>
      </c>
      <c r="Q72">
        <v>1085.234370011997</v>
      </c>
      <c r="R72">
        <v>12.546451970240112</v>
      </c>
      <c r="S72">
        <v>933.45602658586415</v>
      </c>
      <c r="T72">
        <v>10.497012066651239</v>
      </c>
      <c r="U72">
        <v>780.97769775885206</v>
      </c>
      <c r="V72">
        <v>15.011983296715357</v>
      </c>
      <c r="W72">
        <v>1116.8915572756225</v>
      </c>
      <c r="X72">
        <v>15.919606540679249</v>
      </c>
      <c r="Y72">
        <v>1184.418726626536</v>
      </c>
      <c r="Z72">
        <v>18.006664386304376</v>
      </c>
      <c r="AA72">
        <v>1339.6958303410454</v>
      </c>
      <c r="AB72">
        <v>13.155716116047012</v>
      </c>
      <c r="AC72">
        <v>978.78527903389761</v>
      </c>
      <c r="AD72">
        <v>11.705936010698812</v>
      </c>
      <c r="AE72">
        <v>870.92163919599147</v>
      </c>
      <c r="AF72">
        <v>11.493729516369926</v>
      </c>
      <c r="AG72">
        <v>855.13347601792248</v>
      </c>
      <c r="AH72">
        <v>14.081273650216788</v>
      </c>
      <c r="AI72">
        <v>1047.6467595761289</v>
      </c>
      <c r="AJ72">
        <v>10</v>
      </c>
      <c r="AK72">
        <v>743.99999999999989</v>
      </c>
      <c r="AL72">
        <v>11.3585341245949</v>
      </c>
      <c r="AM72">
        <v>845.07493886986049</v>
      </c>
      <c r="AN72">
        <v>14.749194068521152</v>
      </c>
      <c r="AO72">
        <v>1097.3400386979736</v>
      </c>
      <c r="AP72">
        <v>18.368423406434154</v>
      </c>
      <c r="AQ72">
        <v>1366.610701438701</v>
      </c>
      <c r="AR72">
        <v>15.651484858952669</v>
      </c>
      <c r="AS72">
        <v>1164.4704735060784</v>
      </c>
      <c r="AT72">
        <v>18</v>
      </c>
      <c r="AU72">
        <v>1339.1999999999998</v>
      </c>
      <c r="AV72">
        <v>14.039831739000377</v>
      </c>
      <c r="AW72">
        <v>1044.563481381628</v>
      </c>
      <c r="AX72">
        <v>13.432813031709653</v>
      </c>
      <c r="AY72">
        <v>999.40128955919806</v>
      </c>
      <c r="AZ72">
        <v>15.552220299044629</v>
      </c>
      <c r="BA72">
        <v>1157.0851902489203</v>
      </c>
      <c r="BB72">
        <v>14.991674720099436</v>
      </c>
      <c r="BC72">
        <v>1115.3805991753979</v>
      </c>
      <c r="BD72">
        <v>12.87308789691337</v>
      </c>
      <c r="BE72">
        <v>957.75773953035468</v>
      </c>
      <c r="BF72">
        <v>18.113052065371974</v>
      </c>
      <c r="BG72">
        <v>1347.6110736636747</v>
      </c>
      <c r="BH72">
        <v>11.128211297936511</v>
      </c>
      <c r="BI72">
        <v>827.93892056647633</v>
      </c>
      <c r="BJ72">
        <v>17.744723845028439</v>
      </c>
      <c r="BK72">
        <v>1320.2074540701158</v>
      </c>
      <c r="BL72">
        <v>11.175142886136729</v>
      </c>
      <c r="BM72">
        <v>831.43063072857262</v>
      </c>
      <c r="BN72">
        <v>16.449777778514278</v>
      </c>
      <c r="BO72">
        <v>1223.8634667214621</v>
      </c>
      <c r="BP72">
        <v>18.401493011775578</v>
      </c>
      <c r="BQ72">
        <v>1369.0710800761028</v>
      </c>
      <c r="BR72">
        <v>14.008030270027282</v>
      </c>
      <c r="BS72">
        <v>1042.1974520900296</v>
      </c>
      <c r="BT72">
        <v>11.097503729081046</v>
      </c>
      <c r="BU72">
        <v>825.65427744362967</v>
      </c>
      <c r="BV72">
        <v>18.782104711189845</v>
      </c>
      <c r="BW72">
        <v>1397.3885905125244</v>
      </c>
      <c r="BX72">
        <v>13.478856735803712</v>
      </c>
      <c r="BY72">
        <v>1002.826941143796</v>
      </c>
      <c r="BZ72">
        <v>15</v>
      </c>
      <c r="CA72">
        <v>1115.9999999999998</v>
      </c>
      <c r="CB72">
        <v>14.785668583843682</v>
      </c>
      <c r="CC72">
        <v>1100.0537426379699</v>
      </c>
      <c r="CD72">
        <v>17.720157978023572</v>
      </c>
      <c r="CE72">
        <v>1318.3797535649535</v>
      </c>
      <c r="CF72">
        <v>14.288943882688146</v>
      </c>
      <c r="CG72">
        <v>1063.0974248719979</v>
      </c>
      <c r="CH72">
        <v>18.965659741088494</v>
      </c>
      <c r="CI72">
        <v>1411.0450847369839</v>
      </c>
      <c r="CJ72">
        <v>10.126730797934245</v>
      </c>
      <c r="CK72">
        <v>753.42877136630773</v>
      </c>
      <c r="CL72">
        <v>16.902251934486536</v>
      </c>
      <c r="CM72">
        <v>1257.5275439257982</v>
      </c>
      <c r="CN72">
        <v>14.655148101660497</v>
      </c>
      <c r="CO72">
        <v>1090.3430187635408</v>
      </c>
      <c r="CP72">
        <v>14.196541136096357</v>
      </c>
      <c r="CQ72">
        <v>1056.2226605255689</v>
      </c>
      <c r="CR72">
        <v>15.398516558883017</v>
      </c>
      <c r="CS72">
        <v>1145.6496319808964</v>
      </c>
      <c r="CT72">
        <v>17</v>
      </c>
      <c r="CU72">
        <v>1264.8</v>
      </c>
    </row>
    <row r="73" spans="2:99" x14ac:dyDescent="0.2">
      <c r="C73" s="118" t="s">
        <v>239</v>
      </c>
      <c r="D73">
        <v>15</v>
      </c>
      <c r="E73">
        <v>8387.9999999999982</v>
      </c>
      <c r="F73">
        <v>10</v>
      </c>
      <c r="G73">
        <v>5591.9999999999991</v>
      </c>
      <c r="H73">
        <v>11</v>
      </c>
      <c r="I73">
        <v>6151.1999999999989</v>
      </c>
      <c r="J73">
        <v>10</v>
      </c>
      <c r="K73">
        <v>5591.9999999999991</v>
      </c>
      <c r="L73">
        <v>12</v>
      </c>
      <c r="M73">
        <v>6710.4</v>
      </c>
      <c r="N73">
        <v>13.044233591962055</v>
      </c>
      <c r="O73">
        <v>7294.3354246251802</v>
      </c>
      <c r="P73">
        <v>14.509314590547504</v>
      </c>
      <c r="Q73">
        <v>8113.6087190341632</v>
      </c>
      <c r="R73">
        <v>12.471015288764983</v>
      </c>
      <c r="S73">
        <v>6973.7917494773774</v>
      </c>
      <c r="T73">
        <v>10.443760773795749</v>
      </c>
      <c r="U73">
        <v>5840.1510247065817</v>
      </c>
      <c r="V73">
        <v>14.829075724286689</v>
      </c>
      <c r="W73">
        <v>8292.4191450211147</v>
      </c>
      <c r="X73">
        <v>15.957923479874218</v>
      </c>
      <c r="Y73">
        <v>8923.6708099456609</v>
      </c>
      <c r="Z73">
        <v>16.127464112660899</v>
      </c>
      <c r="AA73">
        <v>9018.4779317999728</v>
      </c>
      <c r="AB73">
        <v>15.155716116047012</v>
      </c>
      <c r="AC73">
        <v>8475.0764520934881</v>
      </c>
      <c r="AD73">
        <v>11.705936010698812</v>
      </c>
      <c r="AE73">
        <v>6545.9594171827748</v>
      </c>
      <c r="AF73">
        <v>11.312671393173572</v>
      </c>
      <c r="AG73">
        <v>6326.0458430626604</v>
      </c>
      <c r="AH73">
        <v>11.961132133526034</v>
      </c>
      <c r="AI73">
        <v>6688.6650890677574</v>
      </c>
      <c r="AJ73">
        <v>9</v>
      </c>
      <c r="AK73">
        <v>5032.7999999999993</v>
      </c>
      <c r="AL73">
        <v>11.192859231351621</v>
      </c>
      <c r="AM73">
        <v>6259.0468821718259</v>
      </c>
      <c r="AN73">
        <v>13.560092007059406</v>
      </c>
      <c r="AO73">
        <v>7582.8034503476192</v>
      </c>
      <c r="AP73">
        <v>18.523926066256216</v>
      </c>
      <c r="AQ73">
        <v>10358.579456250474</v>
      </c>
      <c r="AR73">
        <v>13.535665328472195</v>
      </c>
      <c r="AS73">
        <v>7569.1440516816501</v>
      </c>
      <c r="AT73">
        <v>17</v>
      </c>
      <c r="AU73">
        <v>9506.4</v>
      </c>
      <c r="AV73">
        <v>12.89128434771461</v>
      </c>
      <c r="AW73">
        <v>7208.8062072420089</v>
      </c>
      <c r="AX73">
        <v>12.262240051744218</v>
      </c>
      <c r="AY73">
        <v>6857.0446369353658</v>
      </c>
      <c r="AZ73">
        <v>13.571942452581938</v>
      </c>
      <c r="BA73">
        <v>7589.4302194838192</v>
      </c>
      <c r="BB73">
        <v>14.991674720099436</v>
      </c>
      <c r="BC73">
        <v>8383.3445034796041</v>
      </c>
      <c r="BD73">
        <v>11.850111899626176</v>
      </c>
      <c r="BE73">
        <v>6626.5825742709567</v>
      </c>
      <c r="BF73">
        <v>17.161445633431622</v>
      </c>
      <c r="BG73">
        <v>9596.6803982149613</v>
      </c>
      <c r="BH73">
        <v>10.09402307678692</v>
      </c>
      <c r="BI73">
        <v>5644.5777045392451</v>
      </c>
      <c r="BJ73">
        <v>16.66197675113639</v>
      </c>
      <c r="BK73">
        <v>9317.3773992354672</v>
      </c>
      <c r="BL73">
        <v>9.9856037109533862</v>
      </c>
      <c r="BM73">
        <v>5583.9495951651325</v>
      </c>
      <c r="BN73">
        <v>16.317979798649343</v>
      </c>
      <c r="BO73">
        <v>9125.0143034047123</v>
      </c>
      <c r="BP73">
        <v>17.242232442255624</v>
      </c>
      <c r="BQ73">
        <v>9641.8563817093436</v>
      </c>
      <c r="BR73">
        <v>13.045364724472737</v>
      </c>
      <c r="BS73">
        <v>7294.9679539251538</v>
      </c>
      <c r="BT73">
        <v>9.0975037290810459</v>
      </c>
      <c r="BU73">
        <v>5087.3240853021198</v>
      </c>
      <c r="BV73">
        <v>15</v>
      </c>
      <c r="BW73">
        <v>8387.9999999999982</v>
      </c>
      <c r="BX73">
        <v>13.447962752848634</v>
      </c>
      <c r="BY73">
        <v>7520.1007713929548</v>
      </c>
      <c r="BZ73">
        <v>15</v>
      </c>
      <c r="CA73">
        <v>8387.9999999999982</v>
      </c>
      <c r="CB73">
        <v>14.869847360684076</v>
      </c>
      <c r="CC73">
        <v>8315.2186440945352</v>
      </c>
      <c r="CD73">
        <v>16.680154304116044</v>
      </c>
      <c r="CE73">
        <v>9327.5422868616915</v>
      </c>
      <c r="CF73">
        <v>12.017587275806431</v>
      </c>
      <c r="CG73">
        <v>6720.2348046309553</v>
      </c>
      <c r="CH73">
        <v>17.858364214300884</v>
      </c>
      <c r="CI73">
        <v>9986.3972686370525</v>
      </c>
      <c r="CJ73">
        <v>12.102757802233516</v>
      </c>
      <c r="CK73">
        <v>6767.862163008981</v>
      </c>
      <c r="CL73">
        <v>14.866161857107075</v>
      </c>
      <c r="CM73">
        <v>8313.1577104942753</v>
      </c>
      <c r="CN73">
        <v>12.691929170586286</v>
      </c>
      <c r="CO73">
        <v>7097.3267921918505</v>
      </c>
      <c r="CP73">
        <v>15.252194212193862</v>
      </c>
      <c r="CQ73">
        <v>8529.0270034588066</v>
      </c>
      <c r="CR73">
        <v>14.371948788290815</v>
      </c>
      <c r="CS73">
        <v>8036.7937624122233</v>
      </c>
      <c r="CT73">
        <v>19.845672966419748</v>
      </c>
      <c r="CU73">
        <v>11097.700322821922</v>
      </c>
    </row>
    <row r="74" spans="2:99" x14ac:dyDescent="0.2">
      <c r="C74" s="118" t="s">
        <v>240</v>
      </c>
      <c r="D74">
        <v>16</v>
      </c>
      <c r="E74">
        <v>6451.2</v>
      </c>
      <c r="F74">
        <v>11</v>
      </c>
      <c r="G74">
        <v>4435.2</v>
      </c>
      <c r="H74">
        <v>11</v>
      </c>
      <c r="I74">
        <v>4435.2</v>
      </c>
      <c r="J74">
        <v>9</v>
      </c>
      <c r="K74">
        <v>3628.7999999999997</v>
      </c>
      <c r="L74">
        <v>13</v>
      </c>
      <c r="M74">
        <v>5241.5999999999995</v>
      </c>
      <c r="N74">
        <v>11.011601292213241</v>
      </c>
      <c r="O74">
        <v>4439.8776410203782</v>
      </c>
      <c r="P74">
        <v>15.478447039605232</v>
      </c>
      <c r="Q74">
        <v>6240.9098463688297</v>
      </c>
      <c r="R74">
        <v>12.43329694802742</v>
      </c>
      <c r="S74">
        <v>5013.1053294446556</v>
      </c>
      <c r="T74">
        <v>11.408259911892088</v>
      </c>
      <c r="U74">
        <v>4599.8103964748898</v>
      </c>
      <c r="V74">
        <v>13.737621938072355</v>
      </c>
      <c r="W74">
        <v>5539.0091654307735</v>
      </c>
      <c r="X74">
        <v>17.996240419069185</v>
      </c>
      <c r="Y74">
        <v>7256.084136968695</v>
      </c>
      <c r="Z74">
        <v>15.04693096175655</v>
      </c>
      <c r="AA74">
        <v>6066.922563780241</v>
      </c>
      <c r="AB74">
        <v>14.040144504442312</v>
      </c>
      <c r="AC74">
        <v>5660.9862641911395</v>
      </c>
      <c r="AD74">
        <v>10.611811209272304</v>
      </c>
      <c r="AE74">
        <v>4278.6822795785929</v>
      </c>
      <c r="AF74">
        <v>10.493729516369926</v>
      </c>
      <c r="AG74">
        <v>4231.0717410003545</v>
      </c>
      <c r="AH74">
        <v>13.041226477986536</v>
      </c>
      <c r="AI74">
        <v>5258.2225159241707</v>
      </c>
      <c r="AJ74">
        <v>9</v>
      </c>
      <c r="AK74">
        <v>3628.7999999999997</v>
      </c>
      <c r="AL74">
        <v>10.292264167297589</v>
      </c>
      <c r="AM74">
        <v>4149.8409122543871</v>
      </c>
      <c r="AN74">
        <v>13.654643037790279</v>
      </c>
      <c r="AO74">
        <v>5505.5520728370402</v>
      </c>
      <c r="AP74">
        <v>18.461725002327391</v>
      </c>
      <c r="AQ74">
        <v>7443.7675209384042</v>
      </c>
      <c r="AR74">
        <v>15.521187887162135</v>
      </c>
      <c r="AS74">
        <v>6258.142956103773</v>
      </c>
      <c r="AT74">
        <v>16</v>
      </c>
      <c r="AU74">
        <v>6451.2</v>
      </c>
      <c r="AV74">
        <v>13.002694891178935</v>
      </c>
      <c r="AW74">
        <v>5242.6865801233462</v>
      </c>
      <c r="AX74">
        <v>14.296354647737305</v>
      </c>
      <c r="AY74">
        <v>5764.2901939676813</v>
      </c>
      <c r="AZ74">
        <v>13.611386759656554</v>
      </c>
      <c r="BA74">
        <v>5488.1111414935222</v>
      </c>
      <c r="BB74">
        <v>13.950354940095293</v>
      </c>
      <c r="BC74">
        <v>5624.7831118464219</v>
      </c>
      <c r="BD74">
        <v>11.827135902338982</v>
      </c>
      <c r="BE74">
        <v>4768.7011958230778</v>
      </c>
      <c r="BF74">
        <v>18.064658497312323</v>
      </c>
      <c r="BG74">
        <v>7283.670306116328</v>
      </c>
      <c r="BH74">
        <v>10.264964182534877</v>
      </c>
      <c r="BI74">
        <v>4138.8335583980625</v>
      </c>
      <c r="BJ74">
        <v>18.689559115767072</v>
      </c>
      <c r="BK74">
        <v>7535.6302354772833</v>
      </c>
      <c r="BL74">
        <v>11.023511545990056</v>
      </c>
      <c r="BM74">
        <v>4444.67985534319</v>
      </c>
      <c r="BN74">
        <v>14.350929293615579</v>
      </c>
      <c r="BO74">
        <v>5786.2946911858016</v>
      </c>
      <c r="BP74">
        <v>17.337788783967596</v>
      </c>
      <c r="BQ74">
        <v>6990.5964376957345</v>
      </c>
      <c r="BR74">
        <v>15.008030270027282</v>
      </c>
      <c r="BS74">
        <v>6051.2378048749997</v>
      </c>
      <c r="BT74">
        <v>11.100212165999965</v>
      </c>
      <c r="BU74">
        <v>4475.6055453311856</v>
      </c>
      <c r="BV74">
        <v>16</v>
      </c>
      <c r="BW74">
        <v>6451.2</v>
      </c>
      <c r="BX74">
        <v>12.494303727281251</v>
      </c>
      <c r="BY74">
        <v>5037.7032628398001</v>
      </c>
      <c r="BZ74">
        <v>16.741478588679676</v>
      </c>
      <c r="CA74">
        <v>6750.1641669556457</v>
      </c>
      <c r="CB74">
        <v>12.925966545244339</v>
      </c>
      <c r="CC74">
        <v>5211.7497110425174</v>
      </c>
      <c r="CD74">
        <v>15.680154304116044</v>
      </c>
      <c r="CE74">
        <v>6322.2382154195893</v>
      </c>
      <c r="CF74">
        <v>13.119346003387074</v>
      </c>
      <c r="CG74">
        <v>5289.7203085656683</v>
      </c>
      <c r="CH74">
        <v>17.894129389896754</v>
      </c>
      <c r="CI74">
        <v>7214.9129700063713</v>
      </c>
      <c r="CJ74">
        <v>10.030838815131331</v>
      </c>
      <c r="CK74">
        <v>4044.4342102609526</v>
      </c>
      <c r="CL74">
        <v>14.938342011865998</v>
      </c>
      <c r="CM74">
        <v>6023.1394991843708</v>
      </c>
      <c r="CN74">
        <v>13.61836703273471</v>
      </c>
      <c r="CO74">
        <v>5490.9255875986346</v>
      </c>
      <c r="CP74">
        <v>15.280020750242615</v>
      </c>
      <c r="CQ74">
        <v>6160.9043664978226</v>
      </c>
      <c r="CR74">
        <v>17.332097132402513</v>
      </c>
      <c r="CS74">
        <v>6988.3015637846929</v>
      </c>
      <c r="CT74">
        <v>20.883339761652806</v>
      </c>
      <c r="CU74">
        <v>8420.1625918984118</v>
      </c>
    </row>
    <row r="75" spans="2:99" x14ac:dyDescent="0.2">
      <c r="C75" s="118" t="s">
        <v>241</v>
      </c>
      <c r="D75">
        <v>15</v>
      </c>
      <c r="E75">
        <v>9647.9999999999982</v>
      </c>
      <c r="F75">
        <v>10</v>
      </c>
      <c r="G75">
        <v>6431.9999999999991</v>
      </c>
      <c r="H75">
        <v>10</v>
      </c>
      <c r="I75">
        <v>6431.9999999999991</v>
      </c>
      <c r="J75">
        <v>9</v>
      </c>
      <c r="K75">
        <v>5788.7999999999993</v>
      </c>
      <c r="L75">
        <v>13</v>
      </c>
      <c r="M75">
        <v>8361.5999999999985</v>
      </c>
      <c r="N75">
        <v>12.076865891710868</v>
      </c>
      <c r="O75">
        <v>7767.8401415484295</v>
      </c>
      <c r="P75">
        <v>13.540182141489778</v>
      </c>
      <c r="Q75">
        <v>8709.0451534062249</v>
      </c>
      <c r="R75">
        <v>12.395578607289856</v>
      </c>
      <c r="S75">
        <v>7972.8361602088344</v>
      </c>
      <c r="T75">
        <v>10.408259911892088</v>
      </c>
      <c r="U75">
        <v>6694.5927753289907</v>
      </c>
      <c r="V75">
        <v>13.691895044965188</v>
      </c>
      <c r="W75">
        <v>8806.6268929216076</v>
      </c>
      <c r="X75">
        <v>14.996240419069185</v>
      </c>
      <c r="Y75">
        <v>9645.5818375452982</v>
      </c>
      <c r="Z75">
        <v>15.04693096175655</v>
      </c>
      <c r="AA75">
        <v>9678.1859946018121</v>
      </c>
      <c r="AB75">
        <v>12.040144504442312</v>
      </c>
      <c r="AC75">
        <v>7744.2209452572943</v>
      </c>
      <c r="AD75">
        <v>11.611811209272304</v>
      </c>
      <c r="AE75">
        <v>7468.7169698039452</v>
      </c>
      <c r="AF75">
        <v>10.357935923972661</v>
      </c>
      <c r="AG75">
        <v>6662.2243862992154</v>
      </c>
      <c r="AH75">
        <v>12.001179305756285</v>
      </c>
      <c r="AI75">
        <v>7719.1585294624419</v>
      </c>
      <c r="AJ75">
        <v>9</v>
      </c>
      <c r="AK75">
        <v>5788.7999999999993</v>
      </c>
      <c r="AL75">
        <v>11.259129188648933</v>
      </c>
      <c r="AM75">
        <v>7241.8718941389925</v>
      </c>
      <c r="AN75">
        <v>12.749194068521152</v>
      </c>
      <c r="AO75">
        <v>8200.281624872805</v>
      </c>
      <c r="AP75">
        <v>19.492825534291804</v>
      </c>
      <c r="AQ75">
        <v>12537.785383656486</v>
      </c>
      <c r="AR75">
        <v>14.593575093712431</v>
      </c>
      <c r="AS75">
        <v>9386.5875002758348</v>
      </c>
      <c r="AT75">
        <v>15</v>
      </c>
      <c r="AU75">
        <v>9647.9999999999982</v>
      </c>
      <c r="AV75">
        <v>15.002694891178935</v>
      </c>
      <c r="AW75">
        <v>9649.73335400629</v>
      </c>
      <c r="AX75">
        <v>12.22812545575113</v>
      </c>
      <c r="AY75">
        <v>7865.1302931391256</v>
      </c>
      <c r="AZ75">
        <v>13.611386759656554</v>
      </c>
      <c r="BA75">
        <v>8754.843963811094</v>
      </c>
      <c r="BB75">
        <v>14.03299450010358</v>
      </c>
      <c r="BC75">
        <v>9026.0220624666217</v>
      </c>
      <c r="BD75">
        <v>10.896063894200564</v>
      </c>
      <c r="BE75">
        <v>7008.3482967498021</v>
      </c>
      <c r="BF75">
        <v>17.209839201491274</v>
      </c>
      <c r="BG75">
        <v>11069.368574399186</v>
      </c>
      <c r="BH75">
        <v>11.05983485563733</v>
      </c>
      <c r="BI75">
        <v>7113.6857791459297</v>
      </c>
      <c r="BJ75">
        <v>17.634394386505708</v>
      </c>
      <c r="BK75">
        <v>11342.44246940047</v>
      </c>
      <c r="BL75">
        <v>9.9476958759167182</v>
      </c>
      <c r="BM75">
        <v>6398.3579873896324</v>
      </c>
      <c r="BN75">
        <v>14.317979798649345</v>
      </c>
      <c r="BO75">
        <v>9209.3246064912582</v>
      </c>
      <c r="BP75">
        <v>19.242232442255624</v>
      </c>
      <c r="BQ75">
        <v>12376.603906858816</v>
      </c>
      <c r="BR75">
        <v>14.933361361136372</v>
      </c>
      <c r="BS75">
        <v>9605.1380274829135</v>
      </c>
      <c r="BT75">
        <v>11.102920602918882</v>
      </c>
      <c r="BU75">
        <v>7141.3985317974239</v>
      </c>
      <c r="BV75">
        <v>19.477842931230605</v>
      </c>
      <c r="BW75">
        <v>12528.148573367524</v>
      </c>
      <c r="BX75">
        <v>13.463409744326173</v>
      </c>
      <c r="BY75">
        <v>8659.6651475505932</v>
      </c>
      <c r="BZ75">
        <v>15</v>
      </c>
      <c r="CA75">
        <v>9647.9999999999982</v>
      </c>
      <c r="CB75">
        <v>13.869847360684076</v>
      </c>
      <c r="CC75">
        <v>8921.0858223919968</v>
      </c>
      <c r="CD75">
        <v>15.680154304116044</v>
      </c>
      <c r="CE75">
        <v>10085.475248407438</v>
      </c>
      <c r="CF75">
        <v>13.017587275806431</v>
      </c>
      <c r="CG75">
        <v>8372.9121357986951</v>
      </c>
      <c r="CH75">
        <v>17.822599038705015</v>
      </c>
      <c r="CI75">
        <v>11463.495701695065</v>
      </c>
      <c r="CJ75">
        <v>11.030838815131331</v>
      </c>
      <c r="CK75">
        <v>7095.035525892471</v>
      </c>
      <c r="CL75">
        <v>13.902251934486536</v>
      </c>
      <c r="CM75">
        <v>8941.9284442617391</v>
      </c>
      <c r="CN75">
        <v>14.581585963808921</v>
      </c>
      <c r="CO75">
        <v>9378.8760919218967</v>
      </c>
      <c r="CP75">
        <v>14.140888059998852</v>
      </c>
      <c r="CQ75">
        <v>9095.4192001912616</v>
      </c>
      <c r="CR75">
        <v>17.318813247106412</v>
      </c>
      <c r="CS75">
        <v>11139.460680538843</v>
      </c>
      <c r="CT75">
        <v>18.5443386045553</v>
      </c>
      <c r="CU75">
        <v>11927.718590449967</v>
      </c>
    </row>
    <row r="76" spans="2:99" x14ac:dyDescent="0.2">
      <c r="C76" s="118" t="s">
        <v>242</v>
      </c>
      <c r="D76">
        <v>15</v>
      </c>
      <c r="E76">
        <v>11682</v>
      </c>
      <c r="F76">
        <v>10</v>
      </c>
      <c r="G76">
        <v>7788</v>
      </c>
      <c r="H76">
        <v>10</v>
      </c>
      <c r="I76">
        <v>7788</v>
      </c>
      <c r="J76">
        <v>10</v>
      </c>
      <c r="K76">
        <v>7788</v>
      </c>
      <c r="L76">
        <v>14</v>
      </c>
      <c r="M76">
        <v>10903.199999999999</v>
      </c>
      <c r="N76">
        <v>12.044233591962055</v>
      </c>
      <c r="O76">
        <v>9380.0491214200483</v>
      </c>
      <c r="P76">
        <v>14.493880815076368</v>
      </c>
      <c r="Q76">
        <v>11287.834378781476</v>
      </c>
      <c r="R76">
        <v>13.320141925814729</v>
      </c>
      <c r="S76">
        <v>10373.72653182451</v>
      </c>
      <c r="T76">
        <v>10.426010342843918</v>
      </c>
      <c r="U76">
        <v>8119.7768550068431</v>
      </c>
      <c r="V76">
        <v>12.783348831179522</v>
      </c>
      <c r="W76">
        <v>9955.6720697226101</v>
      </c>
      <c r="X76">
        <v>14.996240419069185</v>
      </c>
      <c r="Y76">
        <v>11679.072038371081</v>
      </c>
      <c r="Z76">
        <v>16.087197537208723</v>
      </c>
      <c r="AA76">
        <v>12528.709441978153</v>
      </c>
      <c r="AB76">
        <v>13.194239986581913</v>
      </c>
      <c r="AC76">
        <v>10275.674101549994</v>
      </c>
      <c r="AD76">
        <v>11.63534240962893</v>
      </c>
      <c r="AE76">
        <v>9061.6046686190093</v>
      </c>
      <c r="AF76">
        <v>12.403200454771749</v>
      </c>
      <c r="AG76">
        <v>9659.6125141762368</v>
      </c>
      <c r="AH76">
        <v>11.88103778906553</v>
      </c>
      <c r="AI76">
        <v>9252.9522301242341</v>
      </c>
      <c r="AJ76">
        <v>10</v>
      </c>
      <c r="AK76">
        <v>7788</v>
      </c>
      <c r="AL76">
        <v>11.391669103243558</v>
      </c>
      <c r="AM76">
        <v>8871.8318976060818</v>
      </c>
      <c r="AN76">
        <v>12.796469583886589</v>
      </c>
      <c r="AO76">
        <v>9965.8905119308747</v>
      </c>
      <c r="AP76">
        <v>17.368423406434154</v>
      </c>
      <c r="AQ76">
        <v>13526.528148930918</v>
      </c>
      <c r="AR76">
        <v>15.535665328472195</v>
      </c>
      <c r="AS76">
        <v>12099.176157814145</v>
      </c>
      <c r="AT76">
        <v>16</v>
      </c>
      <c r="AU76">
        <v>12460.8</v>
      </c>
      <c r="AV76">
        <v>12.965558043357493</v>
      </c>
      <c r="AW76">
        <v>10097.576604166816</v>
      </c>
      <c r="AX76">
        <v>13.330469243730391</v>
      </c>
      <c r="AY76">
        <v>10381.769447017228</v>
      </c>
      <c r="AZ76">
        <v>12.611386759656554</v>
      </c>
      <c r="BA76">
        <v>9821.7480084205235</v>
      </c>
      <c r="BB76">
        <v>13.074314280107723</v>
      </c>
      <c r="BC76">
        <v>10182.275961347894</v>
      </c>
      <c r="BD76">
        <v>11.827135902338982</v>
      </c>
      <c r="BE76">
        <v>9210.9734407415981</v>
      </c>
      <c r="BF76">
        <v>17.064658497312323</v>
      </c>
      <c r="BG76">
        <v>13289.956037706836</v>
      </c>
      <c r="BH76">
        <v>10.162399519086103</v>
      </c>
      <c r="BI76">
        <v>7914.4767454642561</v>
      </c>
      <c r="BJ76">
        <v>18.717141480397757</v>
      </c>
      <c r="BK76">
        <v>14576.909784933772</v>
      </c>
      <c r="BL76">
        <v>11.061419381026724</v>
      </c>
      <c r="BM76">
        <v>8614.6334139436112</v>
      </c>
      <c r="BN76">
        <v>15.350929293615579</v>
      </c>
      <c r="BO76">
        <v>11955.303733867811</v>
      </c>
      <c r="BP76">
        <v>18.114823986639664</v>
      </c>
      <c r="BQ76">
        <v>14107.824920794968</v>
      </c>
      <c r="BR76">
        <v>12.896026906690917</v>
      </c>
      <c r="BS76">
        <v>10043.425754930886</v>
      </c>
      <c r="BT76">
        <v>10.097503729081046</v>
      </c>
      <c r="BU76">
        <v>7863.9359042083179</v>
      </c>
      <c r="BV76">
        <v>15</v>
      </c>
      <c r="BW76">
        <v>11682</v>
      </c>
      <c r="BX76">
        <v>12.478856735803712</v>
      </c>
      <c r="BY76">
        <v>9718.5336258439293</v>
      </c>
      <c r="BZ76">
        <v>15</v>
      </c>
      <c r="CA76">
        <v>11682</v>
      </c>
      <c r="CB76">
        <v>12.841787768403945</v>
      </c>
      <c r="CC76">
        <v>10001.184314032991</v>
      </c>
      <c r="CD76">
        <v>16.600146956300996</v>
      </c>
      <c r="CE76">
        <v>12928.194449567216</v>
      </c>
      <c r="CF76">
        <v>12.08542642752686</v>
      </c>
      <c r="CG76">
        <v>9412.130101757919</v>
      </c>
      <c r="CH76">
        <v>17.786833863109145</v>
      </c>
      <c r="CI76">
        <v>13852.386212589401</v>
      </c>
      <c r="CJ76">
        <v>10.934946832328416</v>
      </c>
      <c r="CK76">
        <v>8516.1365930173706</v>
      </c>
      <c r="CL76">
        <v>13.974432089245459</v>
      </c>
      <c r="CM76">
        <v>10883.287711104364</v>
      </c>
      <c r="CN76">
        <v>12.61836703273471</v>
      </c>
      <c r="CO76">
        <v>9827.1842450937911</v>
      </c>
      <c r="CP76">
        <v>13.140888059998852</v>
      </c>
      <c r="CQ76">
        <v>10234.123621127106</v>
      </c>
      <c r="CR76">
        <v>14.345381017698614</v>
      </c>
      <c r="CS76">
        <v>11172.18273658368</v>
      </c>
      <c r="CT76">
        <v>17.506671809322246</v>
      </c>
      <c r="CU76">
        <v>13634.196005100164</v>
      </c>
    </row>
    <row r="77" spans="2:99" x14ac:dyDescent="0.2">
      <c r="C77" s="118" t="s">
        <v>243</v>
      </c>
      <c r="D77">
        <v>15</v>
      </c>
      <c r="E77">
        <v>4176</v>
      </c>
      <c r="F77">
        <v>9</v>
      </c>
      <c r="G77">
        <v>2505.6</v>
      </c>
      <c r="H77">
        <v>10</v>
      </c>
      <c r="I77">
        <v>2784</v>
      </c>
      <c r="J77">
        <v>10</v>
      </c>
      <c r="K77">
        <v>2784</v>
      </c>
      <c r="L77">
        <v>12</v>
      </c>
      <c r="M77">
        <v>3340.7999999999997</v>
      </c>
      <c r="N77">
        <v>12.109498191459682</v>
      </c>
      <c r="O77">
        <v>3371.2842965023751</v>
      </c>
      <c r="P77">
        <v>16.478447039605232</v>
      </c>
      <c r="Q77">
        <v>4587.5996558260958</v>
      </c>
      <c r="R77">
        <v>13.471015288764983</v>
      </c>
      <c r="S77">
        <v>3750.330656392171</v>
      </c>
      <c r="T77">
        <v>10.461511204747579</v>
      </c>
      <c r="U77">
        <v>2912.4847194017257</v>
      </c>
      <c r="V77">
        <v>12</v>
      </c>
      <c r="W77">
        <v>3340.7999999999997</v>
      </c>
      <c r="X77">
        <v>17.957923479874218</v>
      </c>
      <c r="Y77">
        <v>4999.4858967969822</v>
      </c>
      <c r="Z77">
        <v>16.046930961756551</v>
      </c>
      <c r="AA77">
        <v>4467.4655797530231</v>
      </c>
      <c r="AB77">
        <v>13.271287727651714</v>
      </c>
      <c r="AC77">
        <v>3694.7265033782369</v>
      </c>
      <c r="AD77">
        <v>11.63534240962893</v>
      </c>
      <c r="AE77">
        <v>3239.2793268406936</v>
      </c>
      <c r="AF77">
        <v>11.267406862374482</v>
      </c>
      <c r="AG77">
        <v>3136.8460704850554</v>
      </c>
      <c r="AH77">
        <v>12.961132133526034</v>
      </c>
      <c r="AI77">
        <v>3608.3791859736475</v>
      </c>
      <c r="AJ77">
        <v>10</v>
      </c>
      <c r="AK77">
        <v>2784</v>
      </c>
      <c r="AL77">
        <v>11.259129188648933</v>
      </c>
      <c r="AM77">
        <v>3134.5415661198626</v>
      </c>
      <c r="AN77">
        <v>13.843745099252025</v>
      </c>
      <c r="AO77">
        <v>3854.0986356317635</v>
      </c>
      <c r="AP77">
        <v>18.492825534291804</v>
      </c>
      <c r="AQ77">
        <v>5148.4026287468378</v>
      </c>
      <c r="AR77">
        <v>14.622529976332551</v>
      </c>
      <c r="AS77">
        <v>4070.9123454109817</v>
      </c>
      <c r="AT77">
        <v>17</v>
      </c>
      <c r="AU77">
        <v>4732.7999999999993</v>
      </c>
      <c r="AV77">
        <v>13.928421195536052</v>
      </c>
      <c r="AW77">
        <v>3877.6724608372365</v>
      </c>
      <c r="AX77">
        <v>14.296354647737305</v>
      </c>
      <c r="AY77">
        <v>3980.1051339300652</v>
      </c>
      <c r="AZ77">
        <v>12.611386759656554</v>
      </c>
      <c r="BA77">
        <v>3511.0100738883843</v>
      </c>
      <c r="BB77">
        <v>15.991674720099436</v>
      </c>
      <c r="BC77">
        <v>4452.0822420756822</v>
      </c>
      <c r="BD77">
        <v>11.87308789691337</v>
      </c>
      <c r="BE77">
        <v>3305.4676705006818</v>
      </c>
      <c r="BF77">
        <v>17.258232769550926</v>
      </c>
      <c r="BG77">
        <v>4804.6920030429774</v>
      </c>
      <c r="BH77">
        <v>12.230775961385286</v>
      </c>
      <c r="BI77">
        <v>3405.0480276496633</v>
      </c>
      <c r="BJ77">
        <v>19.744723845028439</v>
      </c>
      <c r="BK77">
        <v>5496.9311184559165</v>
      </c>
      <c r="BL77">
        <v>11.137235051100062</v>
      </c>
      <c r="BM77">
        <v>3100.6062382262567</v>
      </c>
      <c r="BN77">
        <v>14.482727273480513</v>
      </c>
      <c r="BO77">
        <v>4031.9912729369748</v>
      </c>
      <c r="BP77">
        <v>19.178528214447645</v>
      </c>
      <c r="BQ77">
        <v>5339.3022549022244</v>
      </c>
      <c r="BR77">
        <v>13.933361361136372</v>
      </c>
      <c r="BS77">
        <v>3879.0478029403657</v>
      </c>
      <c r="BT77">
        <v>10.089378418324292</v>
      </c>
      <c r="BU77">
        <v>2808.8829516614828</v>
      </c>
      <c r="BV77">
        <v>18</v>
      </c>
      <c r="BW77">
        <v>5011.2</v>
      </c>
      <c r="BX77">
        <v>13.50975071875879</v>
      </c>
      <c r="BY77">
        <v>3761.1146001024467</v>
      </c>
      <c r="BZ77">
        <v>16.786131885825309</v>
      </c>
      <c r="CA77">
        <v>4673.2591170137657</v>
      </c>
      <c r="CB77">
        <v>13.841787768403945</v>
      </c>
      <c r="CC77">
        <v>3853.5537147236578</v>
      </c>
      <c r="CD77">
        <v>14.760161651931096</v>
      </c>
      <c r="CE77">
        <v>4109.2290038976171</v>
      </c>
      <c r="CF77">
        <v>12.187185155107503</v>
      </c>
      <c r="CG77">
        <v>3392.9123471819285</v>
      </c>
      <c r="CH77">
        <v>16.822599038705015</v>
      </c>
      <c r="CI77">
        <v>4683.4115723754758</v>
      </c>
      <c r="CJ77">
        <v>12.126730797934245</v>
      </c>
      <c r="CK77">
        <v>3376.0818541448934</v>
      </c>
      <c r="CL77">
        <v>13.974432089245459</v>
      </c>
      <c r="CM77">
        <v>3890.4818936459355</v>
      </c>
      <c r="CN77">
        <v>13.655148101660497</v>
      </c>
      <c r="CO77">
        <v>3801.5932315022824</v>
      </c>
      <c r="CP77">
        <v>15.196541136096357</v>
      </c>
      <c r="CQ77">
        <v>4230.7170522892256</v>
      </c>
      <c r="CR77">
        <v>17.345381017698614</v>
      </c>
      <c r="CS77">
        <v>4828.954075327294</v>
      </c>
      <c r="CT77">
        <v>20.582005399788358</v>
      </c>
      <c r="CU77">
        <v>5730.0303033010787</v>
      </c>
    </row>
    <row r="78" spans="2:99" x14ac:dyDescent="0.2">
      <c r="C78" s="118" t="s">
        <v>244</v>
      </c>
      <c r="D78">
        <v>16</v>
      </c>
      <c r="E78">
        <v>8832</v>
      </c>
      <c r="F78">
        <v>9</v>
      </c>
      <c r="G78">
        <v>4968</v>
      </c>
      <c r="H78">
        <v>11</v>
      </c>
      <c r="I78">
        <v>6072</v>
      </c>
      <c r="J78">
        <v>10</v>
      </c>
      <c r="K78">
        <v>5520</v>
      </c>
      <c r="L78">
        <v>13</v>
      </c>
      <c r="M78">
        <v>7176</v>
      </c>
      <c r="N78">
        <v>10.978968992464427</v>
      </c>
      <c r="O78">
        <v>6060.390883840364</v>
      </c>
      <c r="P78">
        <v>15.540182141489778</v>
      </c>
      <c r="Q78">
        <v>8578.1805421023582</v>
      </c>
      <c r="R78">
        <v>11.471015288764983</v>
      </c>
      <c r="S78">
        <v>6332.0004393982708</v>
      </c>
      <c r="T78">
        <v>10.443760773795749</v>
      </c>
      <c r="U78">
        <v>5764.9559471352532</v>
      </c>
      <c r="V78">
        <v>12.783348831179522</v>
      </c>
      <c r="W78">
        <v>7056.4085548110961</v>
      </c>
      <c r="X78">
        <v>16.88128960148428</v>
      </c>
      <c r="Y78">
        <v>9318.4718600193228</v>
      </c>
      <c r="Z78">
        <v>15.9663978108522</v>
      </c>
      <c r="AA78">
        <v>8813.451591590414</v>
      </c>
      <c r="AB78">
        <v>14.078668374977212</v>
      </c>
      <c r="AC78">
        <v>7771.4249429874217</v>
      </c>
      <c r="AD78">
        <v>10.658873609985557</v>
      </c>
      <c r="AE78">
        <v>5883.6982327120277</v>
      </c>
      <c r="AF78">
        <v>11.267406862374482</v>
      </c>
      <c r="AG78">
        <v>6219.6085880307146</v>
      </c>
      <c r="AH78">
        <v>11.88103778906553</v>
      </c>
      <c r="AI78">
        <v>6558.3328595641724</v>
      </c>
      <c r="AJ78">
        <v>10</v>
      </c>
      <c r="AK78">
        <v>5520</v>
      </c>
      <c r="AL78">
        <v>10.424804081892214</v>
      </c>
      <c r="AM78">
        <v>5754.4918532045021</v>
      </c>
      <c r="AN78">
        <v>12.796469583886589</v>
      </c>
      <c r="AO78">
        <v>7063.6512103053974</v>
      </c>
      <c r="AP78">
        <v>17.306222342505329</v>
      </c>
      <c r="AQ78">
        <v>9553.0347330629411</v>
      </c>
      <c r="AR78">
        <v>14.579097652402373</v>
      </c>
      <c r="AS78">
        <v>8047.6619041261101</v>
      </c>
      <c r="AT78">
        <v>17</v>
      </c>
      <c r="AU78">
        <v>9384</v>
      </c>
      <c r="AV78">
        <v>14.002694891178935</v>
      </c>
      <c r="AW78">
        <v>7729.487579930772</v>
      </c>
      <c r="AX78">
        <v>13.194010859758043</v>
      </c>
      <c r="AY78">
        <v>7283.0939945864393</v>
      </c>
      <c r="AZ78">
        <v>13.571942452581938</v>
      </c>
      <c r="BA78">
        <v>7491.7122338252302</v>
      </c>
      <c r="BB78">
        <v>14.074314280107723</v>
      </c>
      <c r="BC78">
        <v>7769.0214826194633</v>
      </c>
      <c r="BD78">
        <v>11.804159905051788</v>
      </c>
      <c r="BE78">
        <v>6515.8962675885869</v>
      </c>
      <c r="BF78">
        <v>16.113052065371974</v>
      </c>
      <c r="BG78">
        <v>8894.4047400853306</v>
      </c>
      <c r="BH78">
        <v>11.128211297936511</v>
      </c>
      <c r="BI78">
        <v>6142.7726364609543</v>
      </c>
      <c r="BJ78">
        <v>17.744723845028439</v>
      </c>
      <c r="BK78">
        <v>9795.0875624556975</v>
      </c>
      <c r="BL78">
        <v>11.099327216063392</v>
      </c>
      <c r="BM78">
        <v>6126.8286232669925</v>
      </c>
      <c r="BN78">
        <v>14.317979798649345</v>
      </c>
      <c r="BO78">
        <v>7903.5248488544385</v>
      </c>
      <c r="BP78">
        <v>19.146676100543655</v>
      </c>
      <c r="BQ78">
        <v>10568.965207500098</v>
      </c>
      <c r="BR78">
        <v>16.045364724472737</v>
      </c>
      <c r="BS78">
        <v>8857.0413279089516</v>
      </c>
      <c r="BT78">
        <v>10.102920602918882</v>
      </c>
      <c r="BU78">
        <v>5576.8121728112228</v>
      </c>
      <c r="BV78">
        <v>18.738638742624239</v>
      </c>
      <c r="BW78">
        <v>10343.72858592858</v>
      </c>
      <c r="BX78">
        <v>14.494303727281251</v>
      </c>
      <c r="BY78">
        <v>8000.8556574592503</v>
      </c>
      <c r="BZ78">
        <v>16</v>
      </c>
      <c r="CA78">
        <v>8832</v>
      </c>
      <c r="CB78">
        <v>13.841787768403945</v>
      </c>
      <c r="CC78">
        <v>7640.6668481589777</v>
      </c>
      <c r="CD78">
        <v>14.600146956300996</v>
      </c>
      <c r="CE78">
        <v>8059.2811198781501</v>
      </c>
      <c r="CF78">
        <v>12.051506851666645</v>
      </c>
      <c r="CG78">
        <v>6652.4317821199875</v>
      </c>
      <c r="CH78">
        <v>19.894129389896754</v>
      </c>
      <c r="CI78">
        <v>10981.559423223009</v>
      </c>
      <c r="CJ78">
        <v>11.934946832328416</v>
      </c>
      <c r="CK78">
        <v>6588.0906514452854</v>
      </c>
      <c r="CL78">
        <v>14.830071779727614</v>
      </c>
      <c r="CM78">
        <v>8186.1996224096429</v>
      </c>
      <c r="CN78">
        <v>13.471242757031554</v>
      </c>
      <c r="CO78">
        <v>7436.1260018814182</v>
      </c>
      <c r="CP78">
        <v>13.168714598047604</v>
      </c>
      <c r="CQ78">
        <v>7269.1304581222776</v>
      </c>
      <c r="CR78">
        <v>16.358664902994715</v>
      </c>
      <c r="CS78">
        <v>9029.9830264530829</v>
      </c>
      <c r="CT78">
        <v>19.732672580720582</v>
      </c>
      <c r="CU78">
        <v>10892.435264557762</v>
      </c>
    </row>
    <row r="79" spans="2:99" x14ac:dyDescent="0.2">
      <c r="C79" s="118" t="s">
        <v>245</v>
      </c>
      <c r="D79">
        <v>15</v>
      </c>
      <c r="E79">
        <v>11357.999999999998</v>
      </c>
      <c r="F79">
        <v>10</v>
      </c>
      <c r="G79">
        <v>7571.9999999999991</v>
      </c>
      <c r="H79">
        <v>10</v>
      </c>
      <c r="I79">
        <v>7571.9999999999991</v>
      </c>
      <c r="J79">
        <v>10</v>
      </c>
      <c r="K79">
        <v>7571.9999999999991</v>
      </c>
      <c r="L79">
        <v>13</v>
      </c>
      <c r="M79">
        <v>9843.5999999999985</v>
      </c>
      <c r="N79">
        <v>11.978968992464427</v>
      </c>
      <c r="O79">
        <v>9070.4753210940635</v>
      </c>
      <c r="P79">
        <v>15.540182141489778</v>
      </c>
      <c r="Q79">
        <v>11767.025917536059</v>
      </c>
      <c r="R79">
        <v>11.471015288764983</v>
      </c>
      <c r="S79">
        <v>8685.8527766528441</v>
      </c>
      <c r="T79">
        <v>10.443760773795749</v>
      </c>
      <c r="U79">
        <v>7908.0156579181403</v>
      </c>
      <c r="V79">
        <v>13.966256403608192</v>
      </c>
      <c r="W79">
        <v>10575.249348812122</v>
      </c>
      <c r="X79">
        <v>16.996240419069185</v>
      </c>
      <c r="Y79">
        <v>12869.553245319186</v>
      </c>
      <c r="Z79">
        <v>17.006664386304376</v>
      </c>
      <c r="AA79">
        <v>12877.446273309672</v>
      </c>
      <c r="AB79">
        <v>13.155716116047012</v>
      </c>
      <c r="AC79">
        <v>9961.5082430707971</v>
      </c>
      <c r="AD79">
        <v>11.682404810342184</v>
      </c>
      <c r="AE79">
        <v>8845.9169223911013</v>
      </c>
      <c r="AF79">
        <v>11.357935923972661</v>
      </c>
      <c r="AG79">
        <v>8600.2290816320983</v>
      </c>
      <c r="AH79">
        <v>12.840990616835279</v>
      </c>
      <c r="AI79">
        <v>9723.1980950676734</v>
      </c>
      <c r="AJ79">
        <v>9</v>
      </c>
      <c r="AK79">
        <v>6814.7999999999993</v>
      </c>
      <c r="AL79">
        <v>10.192859231351621</v>
      </c>
      <c r="AM79">
        <v>7718.0330099794464</v>
      </c>
      <c r="AN79">
        <v>12.843745099252025</v>
      </c>
      <c r="AO79">
        <v>9725.2837891536328</v>
      </c>
      <c r="AP79">
        <v>17.244021278576501</v>
      </c>
      <c r="AQ79">
        <v>13057.172912138125</v>
      </c>
      <c r="AR79">
        <v>14.535665328472195</v>
      </c>
      <c r="AS79">
        <v>11006.405786719146</v>
      </c>
      <c r="AT79">
        <v>16</v>
      </c>
      <c r="AU79">
        <v>12115.199999999999</v>
      </c>
      <c r="AV79">
        <v>14.002694891178935</v>
      </c>
      <c r="AW79">
        <v>10602.840571600689</v>
      </c>
      <c r="AX79">
        <v>12.364583839723478</v>
      </c>
      <c r="AY79">
        <v>9362.4628834386167</v>
      </c>
      <c r="AZ79">
        <v>12.571942452581938</v>
      </c>
      <c r="BA79">
        <v>9519.4748250950433</v>
      </c>
      <c r="BB79">
        <v>13.991674720099436</v>
      </c>
      <c r="BC79">
        <v>10594.496098059291</v>
      </c>
      <c r="BD79">
        <v>10.758207910477401</v>
      </c>
      <c r="BE79">
        <v>8146.1150298134871</v>
      </c>
      <c r="BF79">
        <v>17.967871361193019</v>
      </c>
      <c r="BG79">
        <v>13605.272194695353</v>
      </c>
      <c r="BH79">
        <v>11.05983485563733</v>
      </c>
      <c r="BI79">
        <v>8374.5069526885854</v>
      </c>
      <c r="BJ79">
        <v>18.689559115767072</v>
      </c>
      <c r="BK79">
        <v>14151.734162458826</v>
      </c>
      <c r="BL79">
        <v>10.061419381026724</v>
      </c>
      <c r="BM79">
        <v>7618.506755313435</v>
      </c>
      <c r="BN79">
        <v>15.44977777851428</v>
      </c>
      <c r="BO79">
        <v>11698.571733891011</v>
      </c>
      <c r="BP79">
        <v>17.210380328351633</v>
      </c>
      <c r="BQ79">
        <v>13031.699984627856</v>
      </c>
      <c r="BR79">
        <v>14.896026906690917</v>
      </c>
      <c r="BS79">
        <v>11279.27157374636</v>
      </c>
      <c r="BT79">
        <v>9.0893784183242925</v>
      </c>
      <c r="BU79">
        <v>6882.4773383551537</v>
      </c>
      <c r="BV79">
        <v>18.434376962664999</v>
      </c>
      <c r="BW79">
        <v>13958.510236129936</v>
      </c>
      <c r="BX79">
        <v>13.447962752848634</v>
      </c>
      <c r="BY79">
        <v>10182.797396456985</v>
      </c>
      <c r="BZ79">
        <v>16</v>
      </c>
      <c r="CA79">
        <v>12115.199999999999</v>
      </c>
      <c r="CB79">
        <v>13.785668583843682</v>
      </c>
      <c r="CC79">
        <v>10438.508251686435</v>
      </c>
      <c r="CD79">
        <v>14.520139608485945</v>
      </c>
      <c r="CE79">
        <v>10994.649711545557</v>
      </c>
      <c r="CF79">
        <v>13.08542642752686</v>
      </c>
      <c r="CG79">
        <v>9908.284890923338</v>
      </c>
      <c r="CH79">
        <v>18.858364214300884</v>
      </c>
      <c r="CI79">
        <v>14279.553383068629</v>
      </c>
      <c r="CJ79">
        <v>10.078784806532788</v>
      </c>
      <c r="CK79">
        <v>7631.6558555066267</v>
      </c>
      <c r="CL79">
        <v>13.902251934486536</v>
      </c>
      <c r="CM79">
        <v>10526.785164793204</v>
      </c>
      <c r="CN79">
        <v>13.655148101660497</v>
      </c>
      <c r="CO79">
        <v>10339.678142577328</v>
      </c>
      <c r="CP79">
        <v>13.168714598047604</v>
      </c>
      <c r="CQ79">
        <v>9971.3506936416452</v>
      </c>
      <c r="CR79">
        <v>16.332097132402513</v>
      </c>
      <c r="CS79">
        <v>12366.663948655181</v>
      </c>
      <c r="CT79">
        <v>19.695005785487524</v>
      </c>
      <c r="CU79">
        <v>14913.058380771152</v>
      </c>
    </row>
    <row r="80" spans="2:99" x14ac:dyDescent="0.2">
      <c r="C80" s="118" t="s">
        <v>246</v>
      </c>
      <c r="D80">
        <v>15</v>
      </c>
      <c r="E80">
        <v>12077.999999999998</v>
      </c>
      <c r="F80">
        <v>9</v>
      </c>
      <c r="G80">
        <v>7246.7999999999993</v>
      </c>
      <c r="H80">
        <v>9</v>
      </c>
      <c r="I80">
        <v>7246.7999999999993</v>
      </c>
      <c r="J80">
        <v>11</v>
      </c>
      <c r="K80">
        <v>8857.1999999999989</v>
      </c>
      <c r="L80">
        <v>12</v>
      </c>
      <c r="M80">
        <v>9662.4</v>
      </c>
      <c r="N80">
        <v>11.881072093217984</v>
      </c>
      <c r="O80">
        <v>9566.63924945912</v>
      </c>
      <c r="P80">
        <v>15.524748366018642</v>
      </c>
      <c r="Q80">
        <v>12500.527384318209</v>
      </c>
      <c r="R80">
        <v>12.43329694802742</v>
      </c>
      <c r="S80">
        <v>10011.290702551678</v>
      </c>
      <c r="T80">
        <v>10.426010342843918</v>
      </c>
      <c r="U80">
        <v>8395.0235280579218</v>
      </c>
      <c r="V80">
        <v>13.920529510501023</v>
      </c>
      <c r="W80">
        <v>11208.810361855423</v>
      </c>
      <c r="X80">
        <v>16.996240419069185</v>
      </c>
      <c r="Y80">
        <v>13685.372785434507</v>
      </c>
      <c r="Z80">
        <v>15.087197537208725</v>
      </c>
      <c r="AA80">
        <v>12148.211456960464</v>
      </c>
      <c r="AB80">
        <v>12.040144504442312</v>
      </c>
      <c r="AC80">
        <v>9694.7243549769482</v>
      </c>
      <c r="AD80">
        <v>10.682404810342184</v>
      </c>
      <c r="AE80">
        <v>8601.4723532875269</v>
      </c>
      <c r="AF80">
        <v>11.312671393173572</v>
      </c>
      <c r="AG80">
        <v>9108.9630057833601</v>
      </c>
      <c r="AH80">
        <v>11.88103778906553</v>
      </c>
      <c r="AI80">
        <v>9566.6116277555648</v>
      </c>
      <c r="AJ80">
        <v>9</v>
      </c>
      <c r="AK80">
        <v>7246.7999999999993</v>
      </c>
      <c r="AL80">
        <v>11.225994210000277</v>
      </c>
      <c r="AM80">
        <v>9039.1705378922215</v>
      </c>
      <c r="AN80">
        <v>12.560092007059406</v>
      </c>
      <c r="AO80">
        <v>10113.386084084234</v>
      </c>
      <c r="AP80">
        <v>18.399523938398566</v>
      </c>
      <c r="AQ80">
        <v>14815.296675198524</v>
      </c>
      <c r="AR80">
        <v>15.506710445852075</v>
      </c>
      <c r="AS80">
        <v>12486.003251000089</v>
      </c>
      <c r="AT80">
        <v>15</v>
      </c>
      <c r="AU80">
        <v>12077.999999999998</v>
      </c>
      <c r="AV80">
        <v>14.002694891178935</v>
      </c>
      <c r="AW80">
        <v>11274.969926377278</v>
      </c>
      <c r="AX80">
        <v>13.262240051744218</v>
      </c>
      <c r="AY80">
        <v>10678.755689664444</v>
      </c>
      <c r="AZ80">
        <v>14.532498145507322</v>
      </c>
      <c r="BA80">
        <v>11701.567506762494</v>
      </c>
      <c r="BB80">
        <v>13.991674720099436</v>
      </c>
      <c r="BC80">
        <v>11266.096484624064</v>
      </c>
      <c r="BD80">
        <v>11.87308789691337</v>
      </c>
      <c r="BE80">
        <v>9560.2103745946442</v>
      </c>
      <c r="BF80">
        <v>18.113052065371974</v>
      </c>
      <c r="BG80">
        <v>14584.629523037513</v>
      </c>
      <c r="BH80">
        <v>10.162399519086103</v>
      </c>
      <c r="BI80">
        <v>8182.7640927681296</v>
      </c>
      <c r="BJ80">
        <v>15.744723845028439</v>
      </c>
      <c r="BK80">
        <v>12677.651640016898</v>
      </c>
      <c r="BL80">
        <v>9.9097880408800485</v>
      </c>
      <c r="BM80">
        <v>7979.3613305166145</v>
      </c>
      <c r="BN80">
        <v>15.252080808716878</v>
      </c>
      <c r="BO80">
        <v>12280.975467178829</v>
      </c>
      <c r="BP80">
        <v>17.146676100543655</v>
      </c>
      <c r="BQ80">
        <v>13806.503596157749</v>
      </c>
      <c r="BR80">
        <v>12.896026906690917</v>
      </c>
      <c r="BS80">
        <v>10383.880865267525</v>
      </c>
      <c r="BT80">
        <v>9.0839615444864563</v>
      </c>
      <c r="BU80">
        <v>7314.4058356204941</v>
      </c>
      <c r="BV80">
        <v>16</v>
      </c>
      <c r="BW80">
        <v>12883.199999999999</v>
      </c>
      <c r="BX80">
        <v>13.401621778416017</v>
      </c>
      <c r="BY80">
        <v>10790.985855980576</v>
      </c>
      <c r="BZ80">
        <v>16.696825291534044</v>
      </c>
      <c r="CA80">
        <v>13444.283724743211</v>
      </c>
      <c r="CB80">
        <v>12.729549399283419</v>
      </c>
      <c r="CC80">
        <v>10249.833176303009</v>
      </c>
      <c r="CD80">
        <v>16.80016532583862</v>
      </c>
      <c r="CE80">
        <v>13527.493120365256</v>
      </c>
      <c r="CF80">
        <v>11.153265579247288</v>
      </c>
      <c r="CG80">
        <v>8980.6094444099144</v>
      </c>
      <c r="CH80">
        <v>17.894129389896754</v>
      </c>
      <c r="CI80">
        <v>14408.352984744866</v>
      </c>
      <c r="CJ80">
        <v>10.030838815131331</v>
      </c>
      <c r="CK80">
        <v>8076.8314139437471</v>
      </c>
      <c r="CL80">
        <v>14.866161857107075</v>
      </c>
      <c r="CM80">
        <v>11970.233527342616</v>
      </c>
      <c r="CN80">
        <v>12.397680619179976</v>
      </c>
      <c r="CO80">
        <v>9982.6124345637163</v>
      </c>
      <c r="CP80">
        <v>13.085234983901348</v>
      </c>
      <c r="CQ80">
        <v>10536.231209037363</v>
      </c>
      <c r="CR80">
        <v>16.318813247106412</v>
      </c>
      <c r="CS80">
        <v>13139.908426570082</v>
      </c>
      <c r="CT80">
        <v>17.506671809322246</v>
      </c>
      <c r="CU80">
        <v>14096.372140866271</v>
      </c>
    </row>
    <row r="81" spans="2:99" x14ac:dyDescent="0.2">
      <c r="C81" s="118" t="s">
        <v>247</v>
      </c>
      <c r="D81">
        <v>17</v>
      </c>
      <c r="E81">
        <v>12811.2</v>
      </c>
      <c r="F81">
        <v>10</v>
      </c>
      <c r="G81">
        <v>7536</v>
      </c>
      <c r="H81">
        <v>11</v>
      </c>
      <c r="I81">
        <v>8289.6</v>
      </c>
      <c r="J81">
        <v>9</v>
      </c>
      <c r="K81">
        <v>6782.4000000000005</v>
      </c>
      <c r="L81">
        <v>13</v>
      </c>
      <c r="M81">
        <v>9796.8000000000011</v>
      </c>
      <c r="N81">
        <v>12.011601292213241</v>
      </c>
      <c r="O81">
        <v>9051.9427338118985</v>
      </c>
      <c r="P81">
        <v>15.540182141489778</v>
      </c>
      <c r="Q81">
        <v>11711.081261826697</v>
      </c>
      <c r="R81">
        <v>11.43329694802742</v>
      </c>
      <c r="S81">
        <v>8616.1325800334635</v>
      </c>
      <c r="T81">
        <v>10.39050948094026</v>
      </c>
      <c r="U81">
        <v>7830.2879448365802</v>
      </c>
      <c r="V81">
        <v>13.829075724286689</v>
      </c>
      <c r="W81">
        <v>10421.591465822448</v>
      </c>
      <c r="X81">
        <v>15.919606540679249</v>
      </c>
      <c r="Y81">
        <v>11997.015489055882</v>
      </c>
      <c r="Z81">
        <v>15.006664386304376</v>
      </c>
      <c r="AA81">
        <v>11309.022281518977</v>
      </c>
      <c r="AB81">
        <v>13.194239986581913</v>
      </c>
      <c r="AC81">
        <v>9943.1792538881291</v>
      </c>
      <c r="AD81">
        <v>11.564748808559049</v>
      </c>
      <c r="AE81">
        <v>8715.1947021301003</v>
      </c>
      <c r="AF81">
        <v>11.267406862374482</v>
      </c>
      <c r="AG81">
        <v>8491.1178114854101</v>
      </c>
      <c r="AH81">
        <v>12.921084961295783</v>
      </c>
      <c r="AI81">
        <v>9737.329626832503</v>
      </c>
      <c r="AJ81">
        <v>9</v>
      </c>
      <c r="AK81">
        <v>6782.4000000000005</v>
      </c>
      <c r="AL81">
        <v>11.391669103243558</v>
      </c>
      <c r="AM81">
        <v>8584.7618362043449</v>
      </c>
      <c r="AN81">
        <v>12.796469583886589</v>
      </c>
      <c r="AO81">
        <v>9643.419478416934</v>
      </c>
      <c r="AP81">
        <v>17.337322874469741</v>
      </c>
      <c r="AQ81">
        <v>13065.406518200398</v>
      </c>
      <c r="AR81">
        <v>15.564620211092313</v>
      </c>
      <c r="AS81">
        <v>11729.497791079168</v>
      </c>
      <c r="AT81">
        <v>15</v>
      </c>
      <c r="AU81">
        <v>11304</v>
      </c>
      <c r="AV81">
        <v>13.854147499893168</v>
      </c>
      <c r="AW81">
        <v>10440.485555919491</v>
      </c>
      <c r="AX81">
        <v>12.296354647737305</v>
      </c>
      <c r="AY81">
        <v>9266.5328625348338</v>
      </c>
      <c r="AZ81">
        <v>12.512775991970013</v>
      </c>
      <c r="BA81">
        <v>9429.6279875486016</v>
      </c>
      <c r="BB81">
        <v>13.074314280107723</v>
      </c>
      <c r="BC81">
        <v>9852.8032414891804</v>
      </c>
      <c r="BD81">
        <v>10.758207910477401</v>
      </c>
      <c r="BE81">
        <v>8107.3854813357693</v>
      </c>
      <c r="BF81">
        <v>16.064658497312323</v>
      </c>
      <c r="BG81">
        <v>12106.326643574566</v>
      </c>
      <c r="BH81">
        <v>10.196587740235694</v>
      </c>
      <c r="BI81">
        <v>7684.1485210416195</v>
      </c>
      <c r="BJ81">
        <v>16.744723845028439</v>
      </c>
      <c r="BK81">
        <v>12618.823889613432</v>
      </c>
      <c r="BL81">
        <v>10.909788040880048</v>
      </c>
      <c r="BM81">
        <v>8221.6162676072054</v>
      </c>
      <c r="BN81">
        <v>15.317979798649345</v>
      </c>
      <c r="BO81">
        <v>11543.629576262147</v>
      </c>
      <c r="BP81">
        <v>16.178528214447645</v>
      </c>
      <c r="BQ81">
        <v>12192.138862407746</v>
      </c>
      <c r="BR81">
        <v>13.008030270027282</v>
      </c>
      <c r="BS81">
        <v>9802.8516114925606</v>
      </c>
      <c r="BT81">
        <v>10.097503729081046</v>
      </c>
      <c r="BU81">
        <v>7609.478810235476</v>
      </c>
      <c r="BV81">
        <v>16.434376962664999</v>
      </c>
      <c r="BW81">
        <v>12384.946479064343</v>
      </c>
      <c r="BX81">
        <v>12.432515761371095</v>
      </c>
      <c r="BY81">
        <v>9369.1438777692565</v>
      </c>
      <c r="BZ81">
        <v>14</v>
      </c>
      <c r="CA81">
        <v>10550.4</v>
      </c>
      <c r="CB81">
        <v>13.841787768403945</v>
      </c>
      <c r="CC81">
        <v>10431.171262269214</v>
      </c>
      <c r="CD81">
        <v>14.600146956300996</v>
      </c>
      <c r="CE81">
        <v>11002.670746268432</v>
      </c>
      <c r="CF81">
        <v>13.153265579247288</v>
      </c>
      <c r="CG81">
        <v>9912.3009405207558</v>
      </c>
      <c r="CH81">
        <v>17.822599038705015</v>
      </c>
      <c r="CI81">
        <v>13431.110635568099</v>
      </c>
      <c r="CJ81">
        <v>11.078784806532788</v>
      </c>
      <c r="CK81">
        <v>8348.9722302031096</v>
      </c>
      <c r="CL81">
        <v>13.938342011865998</v>
      </c>
      <c r="CM81">
        <v>10503.934540142216</v>
      </c>
      <c r="CN81">
        <v>13.471242757031554</v>
      </c>
      <c r="CO81">
        <v>10151.928541698979</v>
      </c>
      <c r="CP81">
        <v>14.252194212193862</v>
      </c>
      <c r="CQ81">
        <v>10740.453558309295</v>
      </c>
      <c r="CR81">
        <v>17.305529361810311</v>
      </c>
      <c r="CS81">
        <v>13041.446927060251</v>
      </c>
      <c r="CT81">
        <v>18.619672195021412</v>
      </c>
      <c r="CU81">
        <v>14031.784966168136</v>
      </c>
    </row>
    <row r="82" spans="2:99" x14ac:dyDescent="0.2">
      <c r="C82" s="118" t="s">
        <v>248</v>
      </c>
      <c r="D82">
        <v>17</v>
      </c>
      <c r="E82">
        <v>8649.5999999999985</v>
      </c>
      <c r="F82">
        <v>10</v>
      </c>
      <c r="G82">
        <v>5087.9999999999991</v>
      </c>
      <c r="H82">
        <v>10</v>
      </c>
      <c r="I82">
        <v>5087.9999999999991</v>
      </c>
      <c r="J82">
        <v>11</v>
      </c>
      <c r="K82">
        <v>5596.7999999999993</v>
      </c>
      <c r="L82">
        <v>12</v>
      </c>
      <c r="M82">
        <v>6105.5999999999985</v>
      </c>
      <c r="N82">
        <v>11.011601292213241</v>
      </c>
      <c r="O82">
        <v>5602.7027374780955</v>
      </c>
      <c r="P82">
        <v>16.540182141489776</v>
      </c>
      <c r="Q82">
        <v>8415.6446735899972</v>
      </c>
      <c r="R82">
        <v>12.395578607289856</v>
      </c>
      <c r="S82">
        <v>6306.8703953890772</v>
      </c>
      <c r="T82">
        <v>10.461511204747579</v>
      </c>
      <c r="U82">
        <v>5322.8169009755666</v>
      </c>
      <c r="V82">
        <v>14.874802617393856</v>
      </c>
      <c r="W82">
        <v>7568.2995717299927</v>
      </c>
      <c r="X82">
        <v>16.88128960148428</v>
      </c>
      <c r="Y82">
        <v>8589.2001492351992</v>
      </c>
      <c r="Z82">
        <v>18.046930961756551</v>
      </c>
      <c r="AA82">
        <v>9182.278473341732</v>
      </c>
      <c r="AB82">
        <v>14.155716116047012</v>
      </c>
      <c r="AC82">
        <v>7202.4283598447182</v>
      </c>
      <c r="AD82">
        <v>11.611811209272304</v>
      </c>
      <c r="AE82">
        <v>5908.089543277747</v>
      </c>
      <c r="AF82">
        <v>11.448464985570837</v>
      </c>
      <c r="AG82">
        <v>5824.9789846584408</v>
      </c>
      <c r="AH82">
        <v>12.921084961295783</v>
      </c>
      <c r="AI82">
        <v>6574.2480283072928</v>
      </c>
      <c r="AJ82">
        <v>10</v>
      </c>
      <c r="AK82">
        <v>5087.9999999999991</v>
      </c>
      <c r="AL82">
        <v>10.3585341245949</v>
      </c>
      <c r="AM82">
        <v>5270.4221625938844</v>
      </c>
      <c r="AN82">
        <v>12.654643037790279</v>
      </c>
      <c r="AO82">
        <v>6438.6823776276933</v>
      </c>
      <c r="AP82">
        <v>16</v>
      </c>
      <c r="AQ82">
        <v>8140.7999999999984</v>
      </c>
      <c r="AR82">
        <v>15.579097652402373</v>
      </c>
      <c r="AS82">
        <v>7926.6448855423259</v>
      </c>
      <c r="AT82">
        <v>14</v>
      </c>
      <c r="AU82">
        <v>7123.1999999999989</v>
      </c>
      <c r="AV82">
        <v>13.965558043357493</v>
      </c>
      <c r="AW82">
        <v>7105.6759324602908</v>
      </c>
      <c r="AX82">
        <v>12.296354647737305</v>
      </c>
      <c r="AY82">
        <v>6256.3852447687395</v>
      </c>
      <c r="AZ82">
        <v>13.591664606119245</v>
      </c>
      <c r="BA82">
        <v>6915.4389515934708</v>
      </c>
      <c r="BB82">
        <v>13.03299450010358</v>
      </c>
      <c r="BC82">
        <v>6631.1876016527003</v>
      </c>
      <c r="BD82">
        <v>10.896063894200564</v>
      </c>
      <c r="BE82">
        <v>5543.9173093692461</v>
      </c>
      <c r="BF82">
        <v>18.209839201491274</v>
      </c>
      <c r="BG82">
        <v>9265.1661857187592</v>
      </c>
      <c r="BH82">
        <v>12.230775961385286</v>
      </c>
      <c r="BI82">
        <v>6223.0188091528316</v>
      </c>
      <c r="BJ82">
        <v>19.689559115767072</v>
      </c>
      <c r="BK82">
        <v>10018.047678102284</v>
      </c>
      <c r="BL82">
        <v>11.061419381026724</v>
      </c>
      <c r="BM82">
        <v>5628.0501810663964</v>
      </c>
      <c r="BN82">
        <v>14.317979798649345</v>
      </c>
      <c r="BO82">
        <v>7284.9881215527857</v>
      </c>
      <c r="BP82">
        <v>19.274084556159615</v>
      </c>
      <c r="BQ82">
        <v>9806.6542221740092</v>
      </c>
      <c r="BR82">
        <v>13.896026906690917</v>
      </c>
      <c r="BS82">
        <v>7070.2984901243371</v>
      </c>
      <c r="BT82">
        <v>10.102920602918882</v>
      </c>
      <c r="BU82">
        <v>5140.3660027651258</v>
      </c>
      <c r="BV82">
        <v>18.651706805493028</v>
      </c>
      <c r="BW82">
        <v>9489.9884226348513</v>
      </c>
      <c r="BX82">
        <v>13.494303727281251</v>
      </c>
      <c r="BY82">
        <v>6865.9017364406991</v>
      </c>
      <c r="BZ82">
        <v>16</v>
      </c>
      <c r="CA82">
        <v>8140.7999999999984</v>
      </c>
      <c r="CB82">
        <v>13.785668583843682</v>
      </c>
      <c r="CC82">
        <v>7014.1481754596643</v>
      </c>
      <c r="CD82">
        <v>16.840168999746144</v>
      </c>
      <c r="CE82">
        <v>8568.2779870708364</v>
      </c>
      <c r="CF82">
        <v>12.051506851666645</v>
      </c>
      <c r="CG82">
        <v>6131.8066861279876</v>
      </c>
      <c r="CH82">
        <v>19.858364214300884</v>
      </c>
      <c r="CI82">
        <v>10103.935712236287</v>
      </c>
      <c r="CJ82">
        <v>11.030838815131331</v>
      </c>
      <c r="CK82">
        <v>5612.4907891388202</v>
      </c>
      <c r="CL82">
        <v>14.01052216662492</v>
      </c>
      <c r="CM82">
        <v>7128.5536783787575</v>
      </c>
      <c r="CN82">
        <v>14.581585963808921</v>
      </c>
      <c r="CO82">
        <v>7419.1109383859775</v>
      </c>
      <c r="CP82">
        <v>15.113061521950099</v>
      </c>
      <c r="CQ82">
        <v>7689.5257023682088</v>
      </c>
      <c r="CR82">
        <v>17.371948788290815</v>
      </c>
      <c r="CS82">
        <v>8838.8475434823649</v>
      </c>
      <c r="CT82">
        <v>18.845672966419748</v>
      </c>
      <c r="CU82">
        <v>9588.6784053143656</v>
      </c>
    </row>
    <row r="83" spans="2:99" x14ac:dyDescent="0.2">
      <c r="C83" s="118" t="s">
        <v>249</v>
      </c>
      <c r="D83">
        <v>15</v>
      </c>
      <c r="E83">
        <v>12906</v>
      </c>
      <c r="F83">
        <v>10</v>
      </c>
      <c r="G83">
        <v>8604</v>
      </c>
      <c r="H83">
        <v>10</v>
      </c>
      <c r="I83">
        <v>8604</v>
      </c>
      <c r="J83">
        <v>10</v>
      </c>
      <c r="K83">
        <v>8604</v>
      </c>
      <c r="L83">
        <v>13</v>
      </c>
      <c r="M83">
        <v>11185.199999999999</v>
      </c>
      <c r="N83">
        <v>9.9789689924644271</v>
      </c>
      <c r="O83">
        <v>8585.9049211163929</v>
      </c>
      <c r="P83">
        <v>15.493880815076368</v>
      </c>
      <c r="Q83">
        <v>13330.935053291707</v>
      </c>
      <c r="R83">
        <v>11.282423585077165</v>
      </c>
      <c r="S83">
        <v>9707.3972526003927</v>
      </c>
      <c r="T83">
        <v>10.408259911892088</v>
      </c>
      <c r="U83">
        <v>8955.2668281919523</v>
      </c>
      <c r="V83">
        <v>11.920529510501023</v>
      </c>
      <c r="W83">
        <v>10256.42359083508</v>
      </c>
      <c r="X83">
        <v>15.88128960148428</v>
      </c>
      <c r="Y83">
        <v>13664.261573117074</v>
      </c>
      <c r="Z83">
        <v>17.046930961756551</v>
      </c>
      <c r="AA83">
        <v>14667.179399495337</v>
      </c>
      <c r="AB83">
        <v>14.117192245512111</v>
      </c>
      <c r="AC83">
        <v>12146.432208038621</v>
      </c>
      <c r="AD83">
        <v>10.588280008915676</v>
      </c>
      <c r="AE83">
        <v>9110.1561196710481</v>
      </c>
      <c r="AF83">
        <v>11.403200454771749</v>
      </c>
      <c r="AG83">
        <v>9811.3136712856121</v>
      </c>
      <c r="AH83">
        <v>12.88103778906553</v>
      </c>
      <c r="AI83">
        <v>11082.844913711982</v>
      </c>
      <c r="AJ83">
        <v>9</v>
      </c>
      <c r="AK83">
        <v>7743.5999999999995</v>
      </c>
      <c r="AL83">
        <v>11.3585341245949</v>
      </c>
      <c r="AM83">
        <v>9772.8827608014526</v>
      </c>
      <c r="AN83">
        <v>13.51281649169397</v>
      </c>
      <c r="AO83">
        <v>11626.427309453491</v>
      </c>
      <c r="AP83">
        <v>18.244021278576501</v>
      </c>
      <c r="AQ83">
        <v>15697.155908087221</v>
      </c>
      <c r="AR83">
        <v>15.593575093712431</v>
      </c>
      <c r="AS83">
        <v>13416.712010630175</v>
      </c>
      <c r="AT83">
        <v>15</v>
      </c>
      <c r="AU83">
        <v>12906</v>
      </c>
      <c r="AV83">
        <v>11.928421195536052</v>
      </c>
      <c r="AW83">
        <v>10263.213596639218</v>
      </c>
      <c r="AX83">
        <v>13.296354647737305</v>
      </c>
      <c r="AY83">
        <v>11440.183538913177</v>
      </c>
      <c r="AZ83">
        <v>14.532498145507322</v>
      </c>
      <c r="BA83">
        <v>12503.7614043945</v>
      </c>
      <c r="BB83">
        <v>14.90903516009115</v>
      </c>
      <c r="BC83">
        <v>12827.733851742425</v>
      </c>
      <c r="BD83">
        <v>11.896063894200564</v>
      </c>
      <c r="BE83">
        <v>10235.373374570165</v>
      </c>
      <c r="BF83">
        <v>17.161445633431622</v>
      </c>
      <c r="BG83">
        <v>14765.707823004568</v>
      </c>
      <c r="BH83">
        <v>10.09402307678692</v>
      </c>
      <c r="BI83">
        <v>8684.8974552674663</v>
      </c>
      <c r="BJ83">
        <v>18.66197675113639</v>
      </c>
      <c r="BK83">
        <v>16056.764796677749</v>
      </c>
      <c r="BL83">
        <v>10.985603710953386</v>
      </c>
      <c r="BM83">
        <v>9452.0134329042939</v>
      </c>
      <c r="BN83">
        <v>13.285030303683111</v>
      </c>
      <c r="BO83">
        <v>11430.440073288948</v>
      </c>
      <c r="BP83">
        <v>17.114823986639664</v>
      </c>
      <c r="BQ83">
        <v>14725.594558104765</v>
      </c>
      <c r="BR83">
        <v>13.896026906690917</v>
      </c>
      <c r="BS83">
        <v>11956.141550516864</v>
      </c>
      <c r="BT83">
        <v>10.089378418324292</v>
      </c>
      <c r="BU83">
        <v>8680.9011911262205</v>
      </c>
      <c r="BV83">
        <v>18.434376962664999</v>
      </c>
      <c r="BW83">
        <v>15860.937938676965</v>
      </c>
      <c r="BX83">
        <v>13.401621778416017</v>
      </c>
      <c r="BY83">
        <v>11530.755378149141</v>
      </c>
      <c r="BZ83">
        <v>15.652171994388411</v>
      </c>
      <c r="CA83">
        <v>13467.128783971788</v>
      </c>
      <c r="CB83">
        <v>13.729549399283419</v>
      </c>
      <c r="CC83">
        <v>11812.904303143454</v>
      </c>
      <c r="CD83">
        <v>16.64015063020852</v>
      </c>
      <c r="CE83">
        <v>14317.18560223141</v>
      </c>
      <c r="CF83">
        <v>12.119346003387074</v>
      </c>
      <c r="CG83">
        <v>10427.485301314238</v>
      </c>
      <c r="CH83">
        <v>18.822599038705015</v>
      </c>
      <c r="CI83">
        <v>16194.964212901794</v>
      </c>
      <c r="CJ83">
        <v>10.05481181083206</v>
      </c>
      <c r="CK83">
        <v>8651.1600820399035</v>
      </c>
      <c r="CL83">
        <v>15.902251934486536</v>
      </c>
      <c r="CM83">
        <v>13682.297564432216</v>
      </c>
      <c r="CN83">
        <v>12.544804894883132</v>
      </c>
      <c r="CO83">
        <v>10793.550131557447</v>
      </c>
      <c r="CP83">
        <v>14.168714598047604</v>
      </c>
      <c r="CQ83">
        <v>12190.762040160158</v>
      </c>
      <c r="CR83">
        <v>15.332097132402513</v>
      </c>
      <c r="CS83">
        <v>13191.736372719122</v>
      </c>
      <c r="CT83">
        <v>17.506671809322246</v>
      </c>
      <c r="CU83">
        <v>15062.740424740859</v>
      </c>
    </row>
    <row r="84" spans="2:99" x14ac:dyDescent="0.2">
      <c r="C84" s="118" t="s">
        <v>250</v>
      </c>
      <c r="D84">
        <v>16</v>
      </c>
      <c r="E84">
        <v>12499.199999999999</v>
      </c>
      <c r="F84">
        <v>9</v>
      </c>
      <c r="G84">
        <v>7030.7999999999993</v>
      </c>
      <c r="H84">
        <v>11</v>
      </c>
      <c r="I84">
        <v>8593.1999999999989</v>
      </c>
      <c r="J84">
        <v>10</v>
      </c>
      <c r="K84">
        <v>7811.9999999999991</v>
      </c>
      <c r="L84">
        <v>13</v>
      </c>
      <c r="M84">
        <v>10155.599999999999</v>
      </c>
      <c r="N84">
        <v>12.044233591962055</v>
      </c>
      <c r="O84">
        <v>9408.9552820407571</v>
      </c>
      <c r="P84">
        <v>14.524748366018642</v>
      </c>
      <c r="Q84">
        <v>11346.733423533762</v>
      </c>
      <c r="R84">
        <v>12.320141925814729</v>
      </c>
      <c r="S84">
        <v>9624.4948724464666</v>
      </c>
      <c r="T84">
        <v>11.39050948094026</v>
      </c>
      <c r="U84">
        <v>8898.2660065105301</v>
      </c>
      <c r="V84">
        <v>12.737621938072355</v>
      </c>
      <c r="W84">
        <v>9950.6302580221218</v>
      </c>
      <c r="X84">
        <v>15.842972662289311</v>
      </c>
      <c r="Y84">
        <v>12376.530243780409</v>
      </c>
      <c r="Z84">
        <v>16.9663978108522</v>
      </c>
      <c r="AA84">
        <v>13254.149969837737</v>
      </c>
      <c r="AB84">
        <v>13.155716116047012</v>
      </c>
      <c r="AC84">
        <v>10277.245429855924</v>
      </c>
      <c r="AD84">
        <v>10.682404810342184</v>
      </c>
      <c r="AE84">
        <v>8345.0946378393146</v>
      </c>
      <c r="AF84">
        <v>10.357935923972661</v>
      </c>
      <c r="AG84">
        <v>8091.6195438074419</v>
      </c>
      <c r="AH84">
        <v>12.001179305756285</v>
      </c>
      <c r="AI84">
        <v>9375.3212736568094</v>
      </c>
      <c r="AJ84">
        <v>10</v>
      </c>
      <c r="AK84">
        <v>7811.9999999999991</v>
      </c>
      <c r="AL84">
        <v>10.225994210000277</v>
      </c>
      <c r="AM84">
        <v>7988.5466768522156</v>
      </c>
      <c r="AN84">
        <v>12.701918553155716</v>
      </c>
      <c r="AO84">
        <v>9922.7387737252448</v>
      </c>
      <c r="AP84">
        <v>18.368423406434154</v>
      </c>
      <c r="AQ84">
        <v>14349.41236510636</v>
      </c>
      <c r="AR84">
        <v>15.506710445852075</v>
      </c>
      <c r="AS84">
        <v>12113.842200299639</v>
      </c>
      <c r="AT84">
        <v>15</v>
      </c>
      <c r="AU84">
        <v>11717.999999999998</v>
      </c>
      <c r="AV84">
        <v>13.854147499893168</v>
      </c>
      <c r="AW84">
        <v>10822.860026916542</v>
      </c>
      <c r="AX84">
        <v>12.262240051744218</v>
      </c>
      <c r="AY84">
        <v>9579.2619284225821</v>
      </c>
      <c r="AZ84">
        <v>13.591664606119245</v>
      </c>
      <c r="BA84">
        <v>10617.808390300353</v>
      </c>
      <c r="BB84">
        <v>15.03299450010358</v>
      </c>
      <c r="BC84">
        <v>11743.775303480916</v>
      </c>
      <c r="BD84">
        <v>11.758207910477401</v>
      </c>
      <c r="BE84">
        <v>9185.5120196649441</v>
      </c>
      <c r="BF84">
        <v>18.064658497312323</v>
      </c>
      <c r="BG84">
        <v>14112.111218100385</v>
      </c>
      <c r="BH84">
        <v>10.09402307678692</v>
      </c>
      <c r="BI84">
        <v>7885.4508275859407</v>
      </c>
      <c r="BJ84">
        <v>18.634394386505708</v>
      </c>
      <c r="BK84">
        <v>14557.188894738258</v>
      </c>
      <c r="BL84">
        <v>9.9097880408800485</v>
      </c>
      <c r="BM84">
        <v>7741.5264175354932</v>
      </c>
      <c r="BN84">
        <v>15.285030303683111</v>
      </c>
      <c r="BO84">
        <v>11940.665673237245</v>
      </c>
      <c r="BP84">
        <v>16.114823986639664</v>
      </c>
      <c r="BQ84">
        <v>12588.900498362904</v>
      </c>
      <c r="BR84">
        <v>15.045364724472737</v>
      </c>
      <c r="BS84">
        <v>11753.438922758101</v>
      </c>
      <c r="BT84">
        <v>10.086669981405375</v>
      </c>
      <c r="BU84">
        <v>7879.7065894738789</v>
      </c>
      <c r="BV84">
        <v>16.390910994099389</v>
      </c>
      <c r="BW84">
        <v>12804.579668590442</v>
      </c>
      <c r="BX84">
        <v>12.432515761371095</v>
      </c>
      <c r="BY84">
        <v>9712.2813127830977</v>
      </c>
      <c r="BZ84">
        <v>16</v>
      </c>
      <c r="CA84">
        <v>12499.199999999999</v>
      </c>
      <c r="CB84">
        <v>13.841787768403945</v>
      </c>
      <c r="CC84">
        <v>10813.204604677161</v>
      </c>
      <c r="CD84">
        <v>14.480135934578421</v>
      </c>
      <c r="CE84">
        <v>11311.882192092662</v>
      </c>
      <c r="CF84">
        <v>11.119346003387074</v>
      </c>
      <c r="CG84">
        <v>8686.433097845982</v>
      </c>
      <c r="CH84">
        <v>18.858364214300884</v>
      </c>
      <c r="CI84">
        <v>14732.154124211849</v>
      </c>
      <c r="CJ84">
        <v>10.006865819430601</v>
      </c>
      <c r="CK84">
        <v>7817.3635781391849</v>
      </c>
      <c r="CL84">
        <v>13.830071779727614</v>
      </c>
      <c r="CM84">
        <v>10804.052074323212</v>
      </c>
      <c r="CN84">
        <v>13.434461688105765</v>
      </c>
      <c r="CO84">
        <v>10495.001470748222</v>
      </c>
      <c r="CP84">
        <v>14.252194212193862</v>
      </c>
      <c r="CQ84">
        <v>11133.814118565844</v>
      </c>
      <c r="CR84">
        <v>15.305529361810313</v>
      </c>
      <c r="CS84">
        <v>11956.679537446216</v>
      </c>
      <c r="CT84">
        <v>17</v>
      </c>
      <c r="CU84">
        <v>13280.4</v>
      </c>
    </row>
    <row r="85" spans="2:99" x14ac:dyDescent="0.2">
      <c r="C85" s="118" t="s">
        <v>251</v>
      </c>
      <c r="D85">
        <v>17</v>
      </c>
      <c r="E85">
        <v>2550</v>
      </c>
      <c r="F85">
        <v>10</v>
      </c>
      <c r="G85">
        <v>1500</v>
      </c>
      <c r="H85">
        <v>11</v>
      </c>
      <c r="I85">
        <v>1650</v>
      </c>
      <c r="J85">
        <v>11</v>
      </c>
      <c r="K85">
        <v>1650</v>
      </c>
      <c r="L85">
        <v>13</v>
      </c>
      <c r="M85">
        <v>1950</v>
      </c>
      <c r="N85">
        <v>12.978968992464427</v>
      </c>
      <c r="O85">
        <v>1946.8453488696641</v>
      </c>
      <c r="P85">
        <v>16.571049692432052</v>
      </c>
      <c r="Q85">
        <v>2485.6574538648078</v>
      </c>
      <c r="R85">
        <v>11.357860266552294</v>
      </c>
      <c r="S85">
        <v>1703.679039982844</v>
      </c>
      <c r="T85">
        <v>10.461511204747579</v>
      </c>
      <c r="U85">
        <v>1569.2266807121368</v>
      </c>
      <c r="V85">
        <v>14.14916397603686</v>
      </c>
      <c r="W85">
        <v>2122.3745964055288</v>
      </c>
      <c r="X85">
        <v>16.88128960148428</v>
      </c>
      <c r="Y85">
        <v>2532.193440222642</v>
      </c>
      <c r="Z85">
        <v>16.006664386304376</v>
      </c>
      <c r="AA85">
        <v>2400.9996579456565</v>
      </c>
      <c r="AB85">
        <v>15.194239986581913</v>
      </c>
      <c r="AC85">
        <v>2279.1359979872868</v>
      </c>
      <c r="AD85">
        <v>10.658873609985557</v>
      </c>
      <c r="AE85">
        <v>1598.8310414978334</v>
      </c>
      <c r="AF85">
        <v>12.312671393173572</v>
      </c>
      <c r="AG85">
        <v>1846.9007089760357</v>
      </c>
      <c r="AH85">
        <v>14.041226477986536</v>
      </c>
      <c r="AI85">
        <v>2106.1839716979803</v>
      </c>
      <c r="AJ85">
        <v>9</v>
      </c>
      <c r="AK85">
        <v>1350</v>
      </c>
      <c r="AL85">
        <v>11.292264167297589</v>
      </c>
      <c r="AM85">
        <v>1693.8396250946382</v>
      </c>
      <c r="AN85">
        <v>14.796469583886589</v>
      </c>
      <c r="AO85">
        <v>2219.4704375829883</v>
      </c>
      <c r="AP85">
        <v>21.430624470362979</v>
      </c>
      <c r="AQ85">
        <v>3214.5936705544468</v>
      </c>
      <c r="AR85">
        <v>14.637007417642609</v>
      </c>
      <c r="AS85">
        <v>2195.5511126463912</v>
      </c>
      <c r="AT85">
        <v>17</v>
      </c>
      <c r="AU85">
        <v>2550</v>
      </c>
      <c r="AV85">
        <v>13.928421195536052</v>
      </c>
      <c r="AW85">
        <v>2089.2631793304076</v>
      </c>
      <c r="AX85">
        <v>14.330469243730391</v>
      </c>
      <c r="AY85">
        <v>2149.5703865595588</v>
      </c>
      <c r="AZ85">
        <v>14.631108913193863</v>
      </c>
      <c r="BA85">
        <v>2194.6663369790795</v>
      </c>
      <c r="BB85">
        <v>14.991674720099436</v>
      </c>
      <c r="BC85">
        <v>2248.7512080149154</v>
      </c>
      <c r="BD85">
        <v>11.87308789691337</v>
      </c>
      <c r="BE85">
        <v>1780.9631845370054</v>
      </c>
      <c r="BF85">
        <v>17.113052065371974</v>
      </c>
      <c r="BG85">
        <v>2566.9578098057959</v>
      </c>
      <c r="BH85">
        <v>11.196587740235694</v>
      </c>
      <c r="BI85">
        <v>1679.4881610353541</v>
      </c>
      <c r="BJ85">
        <v>18.772306209659121</v>
      </c>
      <c r="BK85">
        <v>2815.8459314488682</v>
      </c>
      <c r="BL85">
        <v>11.061419381026724</v>
      </c>
      <c r="BM85">
        <v>1659.2129071540085</v>
      </c>
      <c r="BN85">
        <v>14.416828283548046</v>
      </c>
      <c r="BO85">
        <v>2162.5242425322067</v>
      </c>
      <c r="BP85">
        <v>19.178528214447645</v>
      </c>
      <c r="BQ85">
        <v>2876.7792321671468</v>
      </c>
      <c r="BR85">
        <v>15.120033633363647</v>
      </c>
      <c r="BS85">
        <v>2268.0050450045469</v>
      </c>
      <c r="BT85">
        <v>11.102920602918882</v>
      </c>
      <c r="BU85">
        <v>1665.4380904378322</v>
      </c>
      <c r="BV85">
        <v>16</v>
      </c>
      <c r="BW85">
        <v>2400</v>
      </c>
      <c r="BX85">
        <v>13.478856735803712</v>
      </c>
      <c r="BY85">
        <v>2021.8285103705568</v>
      </c>
      <c r="BZ85">
        <v>16</v>
      </c>
      <c r="CA85">
        <v>2400</v>
      </c>
      <c r="CB85">
        <v>13.869847360684076</v>
      </c>
      <c r="CC85">
        <v>2080.4771041026115</v>
      </c>
      <c r="CD85">
        <v>15.920176347561195</v>
      </c>
      <c r="CE85">
        <v>2388.0264521341792</v>
      </c>
      <c r="CF85">
        <v>13.288943882688146</v>
      </c>
      <c r="CG85">
        <v>1993.341582403222</v>
      </c>
      <c r="CH85">
        <v>17.965659741088494</v>
      </c>
      <c r="CI85">
        <v>2694.848961163274</v>
      </c>
      <c r="CJ85">
        <v>9.9828928237298733</v>
      </c>
      <c r="CK85">
        <v>1497.4339235594809</v>
      </c>
      <c r="CL85">
        <v>15.974432089245459</v>
      </c>
      <c r="CM85">
        <v>2396.1648133868189</v>
      </c>
      <c r="CN85">
        <v>15.728710239512075</v>
      </c>
      <c r="CO85">
        <v>2359.3065359268112</v>
      </c>
      <c r="CP85">
        <v>16.280020750242613</v>
      </c>
      <c r="CQ85">
        <v>2442.0031125363921</v>
      </c>
      <c r="CR85">
        <v>16.371948788290815</v>
      </c>
      <c r="CS85">
        <v>2455.7923182436225</v>
      </c>
      <c r="CT85">
        <v>17</v>
      </c>
      <c r="CU85">
        <v>2550</v>
      </c>
    </row>
    <row r="86" spans="2:99" x14ac:dyDescent="0.2">
      <c r="C86" s="118" t="s">
        <v>252</v>
      </c>
      <c r="D86">
        <v>17</v>
      </c>
      <c r="E86">
        <v>9180</v>
      </c>
      <c r="F86">
        <v>9</v>
      </c>
      <c r="G86">
        <v>4860</v>
      </c>
      <c r="H86">
        <v>10</v>
      </c>
      <c r="I86">
        <v>5400</v>
      </c>
      <c r="J86">
        <v>10</v>
      </c>
      <c r="K86">
        <v>5400</v>
      </c>
      <c r="L86">
        <v>13</v>
      </c>
      <c r="M86">
        <v>7020</v>
      </c>
      <c r="N86">
        <v>11.011601292213241</v>
      </c>
      <c r="O86">
        <v>5946.2646977951499</v>
      </c>
      <c r="P86">
        <v>15.524748366018642</v>
      </c>
      <c r="Q86">
        <v>8383.364117650066</v>
      </c>
      <c r="R86">
        <v>12.282423585077165</v>
      </c>
      <c r="S86">
        <v>6632.5087359416693</v>
      </c>
      <c r="T86">
        <v>10.461511204747579</v>
      </c>
      <c r="U86">
        <v>5649.2160505636921</v>
      </c>
      <c r="V86">
        <v>12.874802617393856</v>
      </c>
      <c r="W86">
        <v>6952.3934133926823</v>
      </c>
      <c r="X86">
        <v>16.957923479874218</v>
      </c>
      <c r="Y86">
        <v>9157.2786791320777</v>
      </c>
      <c r="Z86">
        <v>16.046930961756551</v>
      </c>
      <c r="AA86">
        <v>8665.3427193485386</v>
      </c>
      <c r="AB86">
        <v>13.232763857116813</v>
      </c>
      <c r="AC86">
        <v>7145.6924828430792</v>
      </c>
      <c r="AD86">
        <v>11.682404810342184</v>
      </c>
      <c r="AE86">
        <v>6308.4985975847794</v>
      </c>
      <c r="AF86">
        <v>12.312671393173572</v>
      </c>
      <c r="AG86">
        <v>6648.8425523137284</v>
      </c>
      <c r="AH86">
        <v>12.961132133526034</v>
      </c>
      <c r="AI86">
        <v>6999.0113521040585</v>
      </c>
      <c r="AJ86">
        <v>10</v>
      </c>
      <c r="AK86">
        <v>5400</v>
      </c>
      <c r="AL86">
        <v>11.45793906054087</v>
      </c>
      <c r="AM86">
        <v>6187.2870926920696</v>
      </c>
      <c r="AN86">
        <v>14.701918553155716</v>
      </c>
      <c r="AO86">
        <v>7939.0360187040869</v>
      </c>
      <c r="AP86">
        <v>18.399523938398566</v>
      </c>
      <c r="AQ86">
        <v>9935.7429267352254</v>
      </c>
      <c r="AR86">
        <v>14.521187887162135</v>
      </c>
      <c r="AS86">
        <v>7841.4414590675533</v>
      </c>
      <c r="AT86">
        <v>14</v>
      </c>
      <c r="AU86">
        <v>7560</v>
      </c>
      <c r="AV86">
        <v>14.039831739000377</v>
      </c>
      <c r="AW86">
        <v>7581.5091390602038</v>
      </c>
      <c r="AX86">
        <v>12.296354647737305</v>
      </c>
      <c r="AY86">
        <v>6640.0315097781449</v>
      </c>
      <c r="AZ86">
        <v>13.552220299044629</v>
      </c>
      <c r="BA86">
        <v>7318.1989614840995</v>
      </c>
      <c r="BB86">
        <v>14.950354940095293</v>
      </c>
      <c r="BC86">
        <v>8073.1916676514584</v>
      </c>
      <c r="BD86">
        <v>10.781183907764595</v>
      </c>
      <c r="BE86">
        <v>5821.8393101928814</v>
      </c>
      <c r="BF86">
        <v>17.016264929252671</v>
      </c>
      <c r="BG86">
        <v>9188.7830617964428</v>
      </c>
      <c r="BH86">
        <v>11.162399519086103</v>
      </c>
      <c r="BI86">
        <v>6027.6957403064953</v>
      </c>
      <c r="BJ86">
        <v>17.744723845028439</v>
      </c>
      <c r="BK86">
        <v>9582.1508763153561</v>
      </c>
      <c r="BL86">
        <v>10.137235051100062</v>
      </c>
      <c r="BM86">
        <v>5474.1069275940336</v>
      </c>
      <c r="BN86">
        <v>15.44977777851428</v>
      </c>
      <c r="BO86">
        <v>8342.8800003977103</v>
      </c>
      <c r="BP86">
        <v>19.114823986639664</v>
      </c>
      <c r="BQ86">
        <v>10322.004952785419</v>
      </c>
      <c r="BR86">
        <v>14.933361361136372</v>
      </c>
      <c r="BS86">
        <v>8064.0151350136412</v>
      </c>
      <c r="BT86">
        <v>10.100212165999965</v>
      </c>
      <c r="BU86">
        <v>5454.1145696399808</v>
      </c>
      <c r="BV86">
        <v>19.52130889979621</v>
      </c>
      <c r="BW86">
        <v>10541.506805889954</v>
      </c>
      <c r="BX86">
        <v>13.447962752848634</v>
      </c>
      <c r="BY86">
        <v>7261.8998865382619</v>
      </c>
      <c r="BZ86">
        <v>14</v>
      </c>
      <c r="CA86">
        <v>7560</v>
      </c>
      <c r="CB86">
        <v>14.785668583843682</v>
      </c>
      <c r="CC86">
        <v>7984.2610352755883</v>
      </c>
      <c r="CD86">
        <v>17.560143282393469</v>
      </c>
      <c r="CE86">
        <v>9482.4773724924726</v>
      </c>
      <c r="CF86">
        <v>13.221104730967717</v>
      </c>
      <c r="CG86">
        <v>7139.3965547225671</v>
      </c>
      <c r="CH86">
        <v>17.786833863109145</v>
      </c>
      <c r="CI86">
        <v>9604.8902860789385</v>
      </c>
      <c r="CJ86">
        <v>12.05481181083206</v>
      </c>
      <c r="CK86">
        <v>6509.5983778493128</v>
      </c>
      <c r="CL86">
        <v>15.974432089245459</v>
      </c>
      <c r="CM86">
        <v>8626.1933281925485</v>
      </c>
      <c r="CN86">
        <v>14.691929170586286</v>
      </c>
      <c r="CO86">
        <v>7933.6417521165949</v>
      </c>
      <c r="CP86">
        <v>15.196541136096357</v>
      </c>
      <c r="CQ86">
        <v>8206.1322134920338</v>
      </c>
      <c r="CR86">
        <v>17.318813247106412</v>
      </c>
      <c r="CS86">
        <v>9352.159153437462</v>
      </c>
      <c r="CT86">
        <v>19</v>
      </c>
      <c r="CU86">
        <v>10260</v>
      </c>
    </row>
    <row r="87" spans="2:99" x14ac:dyDescent="0.2">
      <c r="B87" s="118" t="s">
        <v>131</v>
      </c>
      <c r="C87" s="118" t="s">
        <v>253</v>
      </c>
      <c r="D87">
        <v>9</v>
      </c>
      <c r="E87">
        <v>17593.2</v>
      </c>
      <c r="F87">
        <v>8</v>
      </c>
      <c r="G87">
        <v>15638.4</v>
      </c>
      <c r="H87">
        <v>7</v>
      </c>
      <c r="I87">
        <v>13683.6</v>
      </c>
      <c r="J87">
        <v>12</v>
      </c>
      <c r="K87">
        <v>23457.599999999999</v>
      </c>
      <c r="L87">
        <v>6</v>
      </c>
      <c r="M87">
        <v>11728.8</v>
      </c>
      <c r="N87">
        <v>13.685278294725098</v>
      </c>
      <c r="O87">
        <v>26751.98201052862</v>
      </c>
      <c r="P87">
        <v>10.324109284893867</v>
      </c>
      <c r="Q87">
        <v>20181.568830110529</v>
      </c>
      <c r="R87">
        <v>11.01839519991422</v>
      </c>
      <c r="S87">
        <v>21538.758936792317</v>
      </c>
      <c r="T87">
        <v>9.4260103428439184</v>
      </c>
      <c r="U87">
        <v>18425.965018191291</v>
      </c>
      <c r="V87">
        <v>7.6401765035003413</v>
      </c>
      <c r="W87">
        <v>14935.017029042467</v>
      </c>
      <c r="X87">
        <v>7.8812896014842799</v>
      </c>
      <c r="Y87">
        <v>15406.344912981471</v>
      </c>
      <c r="Z87">
        <v>12.885864659947849</v>
      </c>
      <c r="AA87">
        <v>25189.288237266053</v>
      </c>
      <c r="AB87">
        <v>11.809001281232909</v>
      </c>
      <c r="AC87">
        <v>23084.235704554092</v>
      </c>
      <c r="AD87">
        <v>7.40003040606266</v>
      </c>
      <c r="AE87">
        <v>14465.579437771288</v>
      </c>
      <c r="AF87">
        <v>11.724232492785418</v>
      </c>
      <c r="AG87">
        <v>22918.529676896935</v>
      </c>
      <c r="AH87">
        <v>8.8409906168352794</v>
      </c>
      <c r="AI87">
        <v>17282.368457789606</v>
      </c>
      <c r="AJ87">
        <v>8</v>
      </c>
      <c r="AK87">
        <v>15638.4</v>
      </c>
      <c r="AL87">
        <v>14.497024679729842</v>
      </c>
      <c r="AM87">
        <v>28338.783843935893</v>
      </c>
      <c r="AN87">
        <v>6.8982347919432945</v>
      </c>
      <c r="AO87">
        <v>13484.669371290751</v>
      </c>
      <c r="AP87">
        <v>11.559809575359425</v>
      </c>
      <c r="AQ87">
        <v>22597.115757912605</v>
      </c>
      <c r="AR87">
        <v>11.275071384891127</v>
      </c>
      <c r="AS87">
        <v>22040.509543185177</v>
      </c>
      <c r="AT87">
        <v>10.639891097252587</v>
      </c>
      <c r="AU87">
        <v>20798.859116909356</v>
      </c>
      <c r="AV87">
        <v>7.9284211955360515</v>
      </c>
      <c r="AW87">
        <v>15498.477753033872</v>
      </c>
      <c r="AX87">
        <v>8.8187503038340864</v>
      </c>
      <c r="AY87">
        <v>17238.893093934872</v>
      </c>
      <c r="AZ87">
        <v>10.493053838432704</v>
      </c>
      <c r="BA87">
        <v>20511.82164336825</v>
      </c>
      <c r="BB87">
        <v>12.619796700062148</v>
      </c>
      <c r="BC87">
        <v>24669.178589281488</v>
      </c>
      <c r="BD87">
        <v>8.436543948456686</v>
      </c>
      <c r="BE87">
        <v>16491.75611044313</v>
      </c>
      <c r="BF87">
        <v>13.725903520894764</v>
      </c>
      <c r="BG87">
        <v>26831.396202645086</v>
      </c>
      <c r="BH87">
        <v>10.683764422991825</v>
      </c>
      <c r="BI87">
        <v>20884.622694064419</v>
      </c>
      <c r="BJ87">
        <v>9.7723062096591207</v>
      </c>
      <c r="BK87">
        <v>19102.904178641649</v>
      </c>
      <c r="BL87">
        <v>11.947695875916718</v>
      </c>
      <c r="BM87">
        <v>23355.355898242</v>
      </c>
      <c r="BN87">
        <v>12.658989899324672</v>
      </c>
      <c r="BO87">
        <v>24745.793455199866</v>
      </c>
      <c r="BP87">
        <v>13.668894391983798</v>
      </c>
      <c r="BQ87">
        <v>26719.954757449927</v>
      </c>
      <c r="BR87">
        <v>11.157368087809102</v>
      </c>
      <c r="BS87">
        <v>21810.423138049231</v>
      </c>
      <c r="BT87">
        <v>11.065002486054031</v>
      </c>
      <c r="BU87">
        <v>21629.866859738417</v>
      </c>
      <c r="BV87">
        <v>13.043183245574543</v>
      </c>
      <c r="BW87">
        <v>25496.814608449116</v>
      </c>
      <c r="BX87">
        <v>8.3861747869384775</v>
      </c>
      <c r="BY87">
        <v>16393.294473507336</v>
      </c>
      <c r="BZ87">
        <v>8.0270258343495513</v>
      </c>
      <c r="CA87">
        <v>15691.230100986502</v>
      </c>
      <c r="CB87">
        <v>9.6453706224430249</v>
      </c>
      <c r="CC87">
        <v>18854.770492751624</v>
      </c>
      <c r="CD87">
        <v>13.760069804242972</v>
      </c>
      <c r="CE87">
        <v>26898.184453334161</v>
      </c>
      <c r="CF87">
        <v>14.678391517204288</v>
      </c>
      <c r="CG87">
        <v>28693.319737830941</v>
      </c>
      <c r="CH87">
        <v>10.608007985129793</v>
      </c>
      <c r="CI87">
        <v>20736.534009331721</v>
      </c>
      <c r="CJ87">
        <v>8.407540926912386</v>
      </c>
      <c r="CK87">
        <v>16435.061003928331</v>
      </c>
      <c r="CL87">
        <v>14.793981702348152</v>
      </c>
      <c r="CM87">
        <v>28919.275431750168</v>
      </c>
      <c r="CN87">
        <v>9.0666509988478765</v>
      </c>
      <c r="CO87">
        <v>17723.489372547829</v>
      </c>
      <c r="CP87">
        <v>10.584357299023802</v>
      </c>
      <c r="CQ87">
        <v>20690.301648131728</v>
      </c>
      <c r="CR87">
        <v>11.25239382062591</v>
      </c>
      <c r="CS87">
        <v>21996.179440559528</v>
      </c>
      <c r="CT87">
        <v>10.979336676059459</v>
      </c>
      <c r="CU87">
        <v>21462.407334361029</v>
      </c>
    </row>
    <row r="88" spans="2:99" x14ac:dyDescent="0.2">
      <c r="C88" s="118" t="s">
        <v>254</v>
      </c>
      <c r="D88">
        <v>10</v>
      </c>
      <c r="E88">
        <v>18924</v>
      </c>
      <c r="F88">
        <v>8</v>
      </c>
      <c r="G88">
        <v>15139.199999999999</v>
      </c>
      <c r="H88">
        <v>7</v>
      </c>
      <c r="I88">
        <v>13246.8</v>
      </c>
      <c r="J88">
        <v>11</v>
      </c>
      <c r="K88">
        <v>20816.399999999998</v>
      </c>
      <c r="L88">
        <v>7</v>
      </c>
      <c r="M88">
        <v>13246.8</v>
      </c>
      <c r="N88">
        <v>12.815807493720355</v>
      </c>
      <c r="O88">
        <v>24252.634101116397</v>
      </c>
      <c r="P88">
        <v>12.293241733951593</v>
      </c>
      <c r="Q88">
        <v>23263.730657329994</v>
      </c>
      <c r="R88">
        <v>10.056113540651783</v>
      </c>
      <c r="S88">
        <v>19030.189264329434</v>
      </c>
      <c r="T88">
        <v>7.4792616356994088</v>
      </c>
      <c r="U88">
        <v>14153.754719397561</v>
      </c>
      <c r="V88">
        <v>6.5944496103931742</v>
      </c>
      <c r="W88">
        <v>12479.336442708041</v>
      </c>
      <c r="X88">
        <v>6.9579234798742169</v>
      </c>
      <c r="Y88">
        <v>13167.174393313968</v>
      </c>
      <c r="Z88">
        <v>12.885864659947849</v>
      </c>
      <c r="AA88">
        <v>24385.210282485306</v>
      </c>
      <c r="AB88">
        <v>10.770477410698009</v>
      </c>
      <c r="AC88">
        <v>20382.051452004911</v>
      </c>
      <c r="AD88">
        <v>7.4235616064192866</v>
      </c>
      <c r="AE88">
        <v>14048.347983987856</v>
      </c>
      <c r="AF88">
        <v>10.814761554383596</v>
      </c>
      <c r="AG88">
        <v>20465.854765515516</v>
      </c>
      <c r="AH88">
        <v>8.9611321335260339</v>
      </c>
      <c r="AI88">
        <v>16958.046449484664</v>
      </c>
      <c r="AJ88">
        <v>8</v>
      </c>
      <c r="AK88">
        <v>15139.199999999999</v>
      </c>
      <c r="AL88">
        <v>14.463889701081186</v>
      </c>
      <c r="AM88">
        <v>27371.464870326035</v>
      </c>
      <c r="AN88">
        <v>7.945510307308731</v>
      </c>
      <c r="AO88">
        <v>15036.083705551042</v>
      </c>
      <c r="AP88">
        <v>12.590910107323838</v>
      </c>
      <c r="AQ88">
        <v>23827.038287099629</v>
      </c>
      <c r="AR88">
        <v>11.260593943581068</v>
      </c>
      <c r="AS88">
        <v>21309.547978832812</v>
      </c>
      <c r="AT88">
        <v>9.6855976041992005</v>
      </c>
      <c r="AU88">
        <v>18329.024906186565</v>
      </c>
      <c r="AV88">
        <v>7.9284211955360515</v>
      </c>
      <c r="AW88">
        <v>15003.744270432422</v>
      </c>
      <c r="AX88">
        <v>9.8187503038340864</v>
      </c>
      <c r="AY88">
        <v>18581.003074975622</v>
      </c>
      <c r="AZ88">
        <v>9.5522202990446292</v>
      </c>
      <c r="BA88">
        <v>18076.621693912057</v>
      </c>
      <c r="BB88">
        <v>12.661116480066291</v>
      </c>
      <c r="BC88">
        <v>23959.896826877448</v>
      </c>
      <c r="BD88">
        <v>9.4135679511694921</v>
      </c>
      <c r="BE88">
        <v>17814.235990793146</v>
      </c>
      <c r="BF88">
        <v>14.725903520894764</v>
      </c>
      <c r="BG88">
        <v>27867.299822941251</v>
      </c>
      <c r="BH88">
        <v>11.717952644141416</v>
      </c>
      <c r="BI88">
        <v>22175.053583773213</v>
      </c>
      <c r="BJ88">
        <v>9.6895591157670715</v>
      </c>
      <c r="BK88">
        <v>18336.521670677605</v>
      </c>
      <c r="BL88">
        <v>10.833972370806713</v>
      </c>
      <c r="BM88">
        <v>20502.209314514621</v>
      </c>
      <c r="BN88">
        <v>12.658989899324672</v>
      </c>
      <c r="BO88">
        <v>23955.872485482007</v>
      </c>
      <c r="BP88">
        <v>11.700746505887789</v>
      </c>
      <c r="BQ88">
        <v>22142.492687742051</v>
      </c>
      <c r="BR88">
        <v>12.120033633363647</v>
      </c>
      <c r="BS88">
        <v>22935.951647777365</v>
      </c>
      <c r="BT88">
        <v>10.070419359891867</v>
      </c>
      <c r="BU88">
        <v>19057.261596659366</v>
      </c>
      <c r="BV88">
        <v>10.956251308443331</v>
      </c>
      <c r="BW88">
        <v>20733.60997609816</v>
      </c>
      <c r="BX88">
        <v>8.4170687698935556</v>
      </c>
      <c r="BY88">
        <v>15928.460940146564</v>
      </c>
      <c r="BZ88">
        <v>7.9823725372039194</v>
      </c>
      <c r="CA88">
        <v>15105.841789404696</v>
      </c>
      <c r="CB88">
        <v>10.673430214723156</v>
      </c>
      <c r="CC88">
        <v>20198.3993383421</v>
      </c>
      <c r="CD88">
        <v>11.720066130335448</v>
      </c>
      <c r="CE88">
        <v>22179.053145046801</v>
      </c>
      <c r="CF88">
        <v>13.712311093064502</v>
      </c>
      <c r="CG88">
        <v>25949.17751251526</v>
      </c>
      <c r="CH88">
        <v>11.679538336321533</v>
      </c>
      <c r="CI88">
        <v>22102.358347654867</v>
      </c>
      <c r="CJ88">
        <v>8.407540926912386</v>
      </c>
      <c r="CK88">
        <v>15910.430450088998</v>
      </c>
      <c r="CL88">
        <v>13.72180154758923</v>
      </c>
      <c r="CM88">
        <v>25967.137248657858</v>
      </c>
      <c r="CN88">
        <v>9.0298699299220875</v>
      </c>
      <c r="CO88">
        <v>17088.125855384558</v>
      </c>
      <c r="CP88">
        <v>11.55653076097505</v>
      </c>
      <c r="CQ88">
        <v>21869.578812069183</v>
      </c>
      <c r="CR88">
        <v>12.239109935329809</v>
      </c>
      <c r="CS88">
        <v>23161.291641618129</v>
      </c>
      <c r="CT88">
        <v>11.017003471292515</v>
      </c>
      <c r="CU88">
        <v>20848.577369073955</v>
      </c>
    </row>
    <row r="89" spans="2:99" x14ac:dyDescent="0.2">
      <c r="C89" s="118" t="s">
        <v>255</v>
      </c>
      <c r="D89">
        <v>8</v>
      </c>
      <c r="E89">
        <v>19180.8</v>
      </c>
      <c r="F89">
        <v>7</v>
      </c>
      <c r="G89">
        <v>16783.2</v>
      </c>
      <c r="H89">
        <v>6</v>
      </c>
      <c r="I89">
        <v>14385.599999999999</v>
      </c>
      <c r="J89">
        <v>11</v>
      </c>
      <c r="K89">
        <v>26373.599999999999</v>
      </c>
      <c r="L89">
        <v>6</v>
      </c>
      <c r="M89">
        <v>14385.599999999999</v>
      </c>
      <c r="N89">
        <v>12.783175193971541</v>
      </c>
      <c r="O89">
        <v>30648.940845066165</v>
      </c>
      <c r="P89">
        <v>9.2932417339515929</v>
      </c>
      <c r="Q89">
        <v>22281.47638132234</v>
      </c>
      <c r="R89">
        <v>9.0183951999142202</v>
      </c>
      <c r="S89">
        <v>21622.504331314332</v>
      </c>
      <c r="T89">
        <v>8.4260103428439184</v>
      </c>
      <c r="U89">
        <v>20202.202398002577</v>
      </c>
      <c r="V89">
        <v>6.5944496103931742</v>
      </c>
      <c r="W89">
        <v>15810.852385878674</v>
      </c>
      <c r="X89">
        <v>6.8046557230943421</v>
      </c>
      <c r="Y89">
        <v>16314.842561690994</v>
      </c>
      <c r="Z89">
        <v>12.765064933591326</v>
      </c>
      <c r="AA89">
        <v>30605.519684778563</v>
      </c>
      <c r="AB89">
        <v>9.7319535401631079</v>
      </c>
      <c r="AC89">
        <v>23333.331807895065</v>
      </c>
      <c r="AD89">
        <v>7.4235616064192866</v>
      </c>
      <c r="AE89">
        <v>17798.731307550883</v>
      </c>
      <c r="AF89">
        <v>11.769497023584508</v>
      </c>
      <c r="AG89">
        <v>28218.546063746217</v>
      </c>
      <c r="AH89">
        <v>9.921084961295783</v>
      </c>
      <c r="AI89">
        <v>23786.793303202769</v>
      </c>
      <c r="AJ89">
        <v>8</v>
      </c>
      <c r="AK89">
        <v>19180.8</v>
      </c>
      <c r="AL89">
        <v>13.463889701081186</v>
      </c>
      <c r="AM89">
        <v>32281.021947312249</v>
      </c>
      <c r="AN89">
        <v>7.945510307308731</v>
      </c>
      <c r="AO89">
        <v>19050.155512803412</v>
      </c>
      <c r="AP89">
        <v>10.559809575359425</v>
      </c>
      <c r="AQ89">
        <v>25318.199437881758</v>
      </c>
      <c r="AR89">
        <v>10.260593943581068</v>
      </c>
      <c r="AS89">
        <v>24600.800039129968</v>
      </c>
      <c r="AT89">
        <v>8.6855976041992005</v>
      </c>
      <c r="AU89">
        <v>20824.588815828003</v>
      </c>
      <c r="AV89">
        <v>8.9284211955360515</v>
      </c>
      <c r="AW89">
        <v>21406.782658417236</v>
      </c>
      <c r="AX89">
        <v>9.7164065158548265</v>
      </c>
      <c r="AY89">
        <v>23296.056262413531</v>
      </c>
      <c r="AZ89">
        <v>9.5522202990446292</v>
      </c>
      <c r="BA89">
        <v>22902.403388989402</v>
      </c>
      <c r="BB89">
        <v>11.537157140053861</v>
      </c>
      <c r="BC89">
        <v>27661.487958993133</v>
      </c>
      <c r="BD89">
        <v>8.3905919538822982</v>
      </c>
      <c r="BE89">
        <v>20117.283268628198</v>
      </c>
      <c r="BF89">
        <v>12.677509952835115</v>
      </c>
      <c r="BG89">
        <v>30395.597862917468</v>
      </c>
      <c r="BH89">
        <v>9.7179526441414161</v>
      </c>
      <c r="BI89">
        <v>23299.763259593459</v>
      </c>
      <c r="BJ89">
        <v>9.6619767511363897</v>
      </c>
      <c r="BK89">
        <v>23165.555458524606</v>
      </c>
      <c r="BL89">
        <v>10.758156700733375</v>
      </c>
      <c r="BM89">
        <v>25793.756505678339</v>
      </c>
      <c r="BN89">
        <v>12.691939394290905</v>
      </c>
      <c r="BO89">
        <v>30430.193891751875</v>
      </c>
      <c r="BP89">
        <v>12.700746505887789</v>
      </c>
      <c r="BQ89">
        <v>30451.309822516563</v>
      </c>
      <c r="BR89">
        <v>11.008030270027282</v>
      </c>
      <c r="BS89">
        <v>26392.85337541741</v>
      </c>
      <c r="BT89">
        <v>10.065002486054031</v>
      </c>
      <c r="BU89">
        <v>24131.849960563144</v>
      </c>
      <c r="BV89">
        <v>11.043183245574543</v>
      </c>
      <c r="BW89">
        <v>26477.136149589522</v>
      </c>
      <c r="BX89">
        <v>7.4325157613710946</v>
      </c>
      <c r="BY89">
        <v>17820.199789463335</v>
      </c>
      <c r="BZ89">
        <v>8.0716791314951841</v>
      </c>
      <c r="CA89">
        <v>19352.657885672852</v>
      </c>
      <c r="CB89">
        <v>9.6453706224430249</v>
      </c>
      <c r="CC89">
        <v>23125.740604369395</v>
      </c>
      <c r="CD89">
        <v>10.800073478150498</v>
      </c>
      <c r="CE89">
        <v>25894.256171213634</v>
      </c>
      <c r="CF89">
        <v>12.576632789623645</v>
      </c>
      <c r="CG89">
        <v>30153.734776401649</v>
      </c>
      <c r="CH89">
        <v>10.572242809533924</v>
      </c>
      <c r="CI89">
        <v>25348.009360138534</v>
      </c>
      <c r="CJ89">
        <v>8.3835679312116582</v>
      </c>
      <c r="CK89">
        <v>20100.44247187307</v>
      </c>
      <c r="CL89">
        <v>13.757891624968691</v>
      </c>
      <c r="CM89">
        <v>32985.920960024931</v>
      </c>
      <c r="CN89">
        <v>8.9195267231447204</v>
      </c>
      <c r="CO89">
        <v>21385.457271411782</v>
      </c>
      <c r="CP89">
        <v>9.6121838370725552</v>
      </c>
      <c r="CQ89">
        <v>23046.171967765156</v>
      </c>
      <c r="CR89">
        <v>10.265677705922011</v>
      </c>
      <c r="CS89">
        <v>24612.988867718614</v>
      </c>
      <c r="CT89">
        <v>8.904003085593347</v>
      </c>
      <c r="CU89">
        <v>21348.237798018607</v>
      </c>
    </row>
    <row r="90" spans="2:99" x14ac:dyDescent="0.2">
      <c r="C90" s="118" t="s">
        <v>256</v>
      </c>
      <c r="D90">
        <v>9</v>
      </c>
      <c r="E90">
        <v>19774.8</v>
      </c>
      <c r="F90">
        <v>8</v>
      </c>
      <c r="G90">
        <v>17577.599999999999</v>
      </c>
      <c r="H90">
        <v>6</v>
      </c>
      <c r="I90">
        <v>13183.199999999999</v>
      </c>
      <c r="J90">
        <v>11</v>
      </c>
      <c r="K90">
        <v>24169.199999999997</v>
      </c>
      <c r="L90">
        <v>6</v>
      </c>
      <c r="M90">
        <v>13183.199999999999</v>
      </c>
      <c r="N90">
        <v>11.783175193971541</v>
      </c>
      <c r="O90">
        <v>25889.992536194266</v>
      </c>
      <c r="P90">
        <v>11.308675509422731</v>
      </c>
      <c r="Q90">
        <v>24847.421829303621</v>
      </c>
      <c r="R90">
        <v>9.9052401777015291</v>
      </c>
      <c r="S90">
        <v>21763.793718445799</v>
      </c>
      <c r="T90">
        <v>8.4615112047475787</v>
      </c>
      <c r="U90">
        <v>18591.632419071379</v>
      </c>
      <c r="V90">
        <v>6.6401765035003413</v>
      </c>
      <c r="W90">
        <v>14589.79581349095</v>
      </c>
      <c r="X90">
        <v>6.8046557230943421</v>
      </c>
      <c r="Y90">
        <v>14951.189554782888</v>
      </c>
      <c r="Z90">
        <v>12.845598084495675</v>
      </c>
      <c r="AA90">
        <v>28224.348111253894</v>
      </c>
      <c r="AB90">
        <v>11.731953540163108</v>
      </c>
      <c r="AC90">
        <v>25777.448318446379</v>
      </c>
      <c r="AD90">
        <v>7.40003040606266</v>
      </c>
      <c r="AE90">
        <v>16259.346808200875</v>
      </c>
      <c r="AF90">
        <v>11.724232492785418</v>
      </c>
      <c r="AG90">
        <v>25760.48363314812</v>
      </c>
      <c r="AH90">
        <v>8.8009434446050285</v>
      </c>
      <c r="AI90">
        <v>19337.432936486166</v>
      </c>
      <c r="AJ90">
        <v>9</v>
      </c>
      <c r="AK90">
        <v>19774.8</v>
      </c>
      <c r="AL90">
        <v>12.497024679729842</v>
      </c>
      <c r="AM90">
        <v>27458.462626302407</v>
      </c>
      <c r="AN90">
        <v>7.8036837612124215</v>
      </c>
      <c r="AO90">
        <v>17146.253960135931</v>
      </c>
      <c r="AP90">
        <v>11.528709043395013</v>
      </c>
      <c r="AQ90">
        <v>25330.879510147519</v>
      </c>
      <c r="AR90">
        <v>10.23163906096095</v>
      </c>
      <c r="AS90">
        <v>22480.957344743398</v>
      </c>
      <c r="AT90">
        <v>9.6398910972525869</v>
      </c>
      <c r="AU90">
        <v>21180.768718883381</v>
      </c>
      <c r="AV90">
        <v>8.8170106520717262</v>
      </c>
      <c r="AW90">
        <v>19372.735804731994</v>
      </c>
      <c r="AX90">
        <v>8.6481773238686515</v>
      </c>
      <c r="AY90">
        <v>19001.7752160042</v>
      </c>
      <c r="AZ90">
        <v>8.5522202990446292</v>
      </c>
      <c r="BA90">
        <v>18790.938441060858</v>
      </c>
      <c r="BB90">
        <v>11.619796700062148</v>
      </c>
      <c r="BC90">
        <v>25531.017309376548</v>
      </c>
      <c r="BD90">
        <v>8.3905919538822982</v>
      </c>
      <c r="BE90">
        <v>18435.808641070184</v>
      </c>
      <c r="BF90">
        <v>13.774297088954416</v>
      </c>
      <c r="BG90">
        <v>30264.885563850639</v>
      </c>
      <c r="BH90">
        <v>10.683764422991825</v>
      </c>
      <c r="BI90">
        <v>23474.367190197634</v>
      </c>
      <c r="BJ90">
        <v>8.6619767511363897</v>
      </c>
      <c r="BK90">
        <v>19032.095317596875</v>
      </c>
      <c r="BL90">
        <v>11.871880205843381</v>
      </c>
      <c r="BM90">
        <v>26084.895188279075</v>
      </c>
      <c r="BN90">
        <v>10.626040404358438</v>
      </c>
      <c r="BO90">
        <v>23347.535976456358</v>
      </c>
      <c r="BP90">
        <v>12.700746505887789</v>
      </c>
      <c r="BQ90">
        <v>27906.080222736648</v>
      </c>
      <c r="BR90">
        <v>11.120033633363647</v>
      </c>
      <c r="BS90">
        <v>24432.937899226603</v>
      </c>
      <c r="BT90">
        <v>11.065002486054031</v>
      </c>
      <c r="BU90">
        <v>24312.023462357913</v>
      </c>
      <c r="BV90">
        <v>12.043183245574543</v>
      </c>
      <c r="BW90">
        <v>26461.282227176383</v>
      </c>
      <c r="BX90">
        <v>7.4170687698935547</v>
      </c>
      <c r="BY90">
        <v>16296.783501210117</v>
      </c>
      <c r="BZ90">
        <v>8.0270258343495513</v>
      </c>
      <c r="CA90">
        <v>17636.981163232831</v>
      </c>
      <c r="CB90">
        <v>8.6453706224430249</v>
      </c>
      <c r="CC90">
        <v>18995.608331631815</v>
      </c>
      <c r="CD90">
        <v>11.800073478150498</v>
      </c>
      <c r="CE90">
        <v>25927.121446192272</v>
      </c>
      <c r="CF90">
        <v>11.610552365483858</v>
      </c>
      <c r="CG90">
        <v>25510.705657441133</v>
      </c>
      <c r="CH90">
        <v>10.643773160725663</v>
      </c>
      <c r="CI90">
        <v>23386.498388746426</v>
      </c>
      <c r="CJ90">
        <v>7.3595949355109296</v>
      </c>
      <c r="CK90">
        <v>16170.501992304613</v>
      </c>
      <c r="CL90">
        <v>14.757891624968691</v>
      </c>
      <c r="CM90">
        <v>32426.039478381204</v>
      </c>
      <c r="CN90">
        <v>8.0666509988478765</v>
      </c>
      <c r="CO90">
        <v>17724.045574668551</v>
      </c>
      <c r="CP90">
        <v>10.584357299023802</v>
      </c>
      <c r="CQ90">
        <v>23255.949857415097</v>
      </c>
      <c r="CR90">
        <v>10.25239382062591</v>
      </c>
      <c r="CS90">
        <v>22526.559702679249</v>
      </c>
      <c r="CT90">
        <v>10.904003085593347</v>
      </c>
      <c r="CU90">
        <v>23958.2755796657</v>
      </c>
    </row>
    <row r="91" spans="2:99" x14ac:dyDescent="0.2">
      <c r="C91" s="118" t="s">
        <v>257</v>
      </c>
      <c r="D91">
        <v>9</v>
      </c>
      <c r="E91">
        <v>20671.199999999997</v>
      </c>
      <c r="F91">
        <v>8</v>
      </c>
      <c r="G91">
        <v>18374.399999999998</v>
      </c>
      <c r="H91">
        <v>7</v>
      </c>
      <c r="I91">
        <v>16077.599999999999</v>
      </c>
      <c r="J91">
        <v>10</v>
      </c>
      <c r="K91">
        <v>22967.999999999996</v>
      </c>
      <c r="L91">
        <v>6</v>
      </c>
      <c r="M91">
        <v>13780.8</v>
      </c>
      <c r="N91">
        <v>12.717910594473913</v>
      </c>
      <c r="O91">
        <v>29210.49705338768</v>
      </c>
      <c r="P91">
        <v>11.293241733951593</v>
      </c>
      <c r="Q91">
        <v>25938.317614540014</v>
      </c>
      <c r="R91">
        <v>8.9806768591766559</v>
      </c>
      <c r="S91">
        <v>20626.818610156941</v>
      </c>
      <c r="T91">
        <v>9.4082599118920882</v>
      </c>
      <c r="U91">
        <v>21608.891365633746</v>
      </c>
      <c r="V91">
        <v>6.5944496103931742</v>
      </c>
      <c r="W91">
        <v>15146.131865151041</v>
      </c>
      <c r="X91">
        <v>6.8046557230943421</v>
      </c>
      <c r="Y91">
        <v>15628.933264803083</v>
      </c>
      <c r="Z91">
        <v>12.885864659947849</v>
      </c>
      <c r="AA91">
        <v>29596.253950968217</v>
      </c>
      <c r="AB91">
        <v>11.693429669628207</v>
      </c>
      <c r="AC91">
        <v>26857.469265202064</v>
      </c>
      <c r="AD91">
        <v>7.4235616064192866</v>
      </c>
      <c r="AE91">
        <v>17050.436297623815</v>
      </c>
      <c r="AF91">
        <v>10.724232492785418</v>
      </c>
      <c r="AG91">
        <v>24631.417189429547</v>
      </c>
      <c r="AH91">
        <v>9.8810377890655303</v>
      </c>
      <c r="AI91">
        <v>22694.767593925706</v>
      </c>
      <c r="AJ91">
        <v>8</v>
      </c>
      <c r="AK91">
        <v>18374.399999999998</v>
      </c>
      <c r="AL91">
        <v>12.497024679729842</v>
      </c>
      <c r="AM91">
        <v>28703.166284403498</v>
      </c>
      <c r="AN91">
        <v>6.8982347919432945</v>
      </c>
      <c r="AO91">
        <v>15843.865670135358</v>
      </c>
      <c r="AP91">
        <v>12.528709043395013</v>
      </c>
      <c r="AQ91">
        <v>28775.938930869663</v>
      </c>
      <c r="AR91">
        <v>10.23163906096095</v>
      </c>
      <c r="AS91">
        <v>23500.028595215106</v>
      </c>
      <c r="AT91">
        <v>9.6855976041992005</v>
      </c>
      <c r="AU91">
        <v>22245.880577324722</v>
      </c>
      <c r="AV91">
        <v>8.8912843477146097</v>
      </c>
      <c r="AW91">
        <v>20421.501889830914</v>
      </c>
      <c r="AX91">
        <v>10.784635707841</v>
      </c>
      <c r="AY91">
        <v>24770.151293769206</v>
      </c>
      <c r="AZ91">
        <v>9.5522202990446292</v>
      </c>
      <c r="BA91">
        <v>21939.5395828457</v>
      </c>
      <c r="BB91">
        <v>12.619796700062148</v>
      </c>
      <c r="BC91">
        <v>28985.149060702737</v>
      </c>
      <c r="BD91">
        <v>9.436543948456686</v>
      </c>
      <c r="BE91">
        <v>21673.854140815314</v>
      </c>
      <c r="BF91">
        <v>12.725903520894764</v>
      </c>
      <c r="BG91">
        <v>29228.85520679109</v>
      </c>
      <c r="BH91">
        <v>10.683764422991825</v>
      </c>
      <c r="BI91">
        <v>24538.470126727621</v>
      </c>
      <c r="BJ91">
        <v>8.7447238450284388</v>
      </c>
      <c r="BK91">
        <v>20084.881727261316</v>
      </c>
      <c r="BL91">
        <v>10.909788040880048</v>
      </c>
      <c r="BM91">
        <v>25057.601172293293</v>
      </c>
      <c r="BN91">
        <v>10.691939394290905</v>
      </c>
      <c r="BO91">
        <v>24557.246400807348</v>
      </c>
      <c r="BP91">
        <v>12.668894391983798</v>
      </c>
      <c r="BQ91">
        <v>29097.916639508385</v>
      </c>
      <c r="BR91">
        <v>9.970695815581827</v>
      </c>
      <c r="BS91">
        <v>22900.694149228337</v>
      </c>
      <c r="BT91">
        <v>9.0568771752972772</v>
      </c>
      <c r="BU91">
        <v>20801.835496222782</v>
      </c>
      <c r="BV91">
        <v>10.956251308443331</v>
      </c>
      <c r="BW91">
        <v>25164.318005232639</v>
      </c>
      <c r="BX91">
        <v>7.4325157613710946</v>
      </c>
      <c r="BY91">
        <v>17071.002200717128</v>
      </c>
      <c r="BZ91">
        <v>8.1163324286408169</v>
      </c>
      <c r="CA91">
        <v>18641.592322102228</v>
      </c>
      <c r="CB91">
        <v>9.7014898070032878</v>
      </c>
      <c r="CC91">
        <v>22282.38178872515</v>
      </c>
      <c r="CD91">
        <v>12.760069804242972</v>
      </c>
      <c r="CE91">
        <v>29307.328326385254</v>
      </c>
      <c r="CF91">
        <v>13.678391517204288</v>
      </c>
      <c r="CG91">
        <v>31416.529636714804</v>
      </c>
      <c r="CH91">
        <v>9.6437731607256634</v>
      </c>
      <c r="CI91">
        <v>22149.818195554701</v>
      </c>
      <c r="CJ91">
        <v>8.3835679312116582</v>
      </c>
      <c r="CK91">
        <v>19255.378824406933</v>
      </c>
      <c r="CL91">
        <v>12.72180154758923</v>
      </c>
      <c r="CM91">
        <v>29219.43379450294</v>
      </c>
      <c r="CN91">
        <v>7.9563077920705103</v>
      </c>
      <c r="CO91">
        <v>18274.047736827546</v>
      </c>
      <c r="CP91">
        <v>9.5287042229262973</v>
      </c>
      <c r="CQ91">
        <v>21885.527859217116</v>
      </c>
      <c r="CR91">
        <v>10.239109935329809</v>
      </c>
      <c r="CS91">
        <v>23517.187699465503</v>
      </c>
      <c r="CT91">
        <v>10.866336290360291</v>
      </c>
      <c r="CU91">
        <v>24957.801191699513</v>
      </c>
    </row>
    <row r="92" spans="2:99" x14ac:dyDescent="0.2">
      <c r="C92" s="118" t="s">
        <v>258</v>
      </c>
      <c r="D92">
        <v>10</v>
      </c>
      <c r="E92">
        <v>14208</v>
      </c>
      <c r="F92">
        <v>9</v>
      </c>
      <c r="G92">
        <v>12787.199999999999</v>
      </c>
      <c r="H92">
        <v>7</v>
      </c>
      <c r="I92">
        <v>9945.6</v>
      </c>
      <c r="J92">
        <v>12</v>
      </c>
      <c r="K92">
        <v>17049.599999999999</v>
      </c>
      <c r="L92">
        <v>6</v>
      </c>
      <c r="M92">
        <v>8524.7999999999993</v>
      </c>
      <c r="N92">
        <v>11.848439793469169</v>
      </c>
      <c r="O92">
        <v>16834.263258560994</v>
      </c>
      <c r="P92">
        <v>12.293241733951593</v>
      </c>
      <c r="Q92">
        <v>17466.237855598421</v>
      </c>
      <c r="R92">
        <v>10.093831881389347</v>
      </c>
      <c r="S92">
        <v>14341.316337077984</v>
      </c>
      <c r="T92">
        <v>9.4260103428439184</v>
      </c>
      <c r="U92">
        <v>13392.47549511264</v>
      </c>
      <c r="V92">
        <v>6.7316302897146754</v>
      </c>
      <c r="W92">
        <v>9564.3003156266113</v>
      </c>
      <c r="X92">
        <v>7.8812896014842799</v>
      </c>
      <c r="Y92">
        <v>11197.736265788864</v>
      </c>
      <c r="Z92">
        <v>13.845598084495675</v>
      </c>
      <c r="AA92">
        <v>19671.825758451454</v>
      </c>
      <c r="AB92">
        <v>12.847525151767808</v>
      </c>
      <c r="AC92">
        <v>18253.763735631703</v>
      </c>
      <c r="AD92">
        <v>7.4235616064192866</v>
      </c>
      <c r="AE92">
        <v>10547.396330400523</v>
      </c>
      <c r="AF92">
        <v>11.769497023584508</v>
      </c>
      <c r="AG92">
        <v>16722.101371108867</v>
      </c>
      <c r="AH92">
        <v>9.0412264779865357</v>
      </c>
      <c r="AI92">
        <v>12845.774579923269</v>
      </c>
      <c r="AJ92">
        <v>9</v>
      </c>
      <c r="AK92">
        <v>12787.199999999999</v>
      </c>
      <c r="AL92">
        <v>15.563294637027154</v>
      </c>
      <c r="AM92">
        <v>22112.32902028818</v>
      </c>
      <c r="AN92">
        <v>8.0873368534050414</v>
      </c>
      <c r="AO92">
        <v>11490.488201317883</v>
      </c>
      <c r="AP92">
        <v>11.62201063928825</v>
      </c>
      <c r="AQ92">
        <v>16512.552716300746</v>
      </c>
      <c r="AR92">
        <v>11.246116502271008</v>
      </c>
      <c r="AS92">
        <v>15978.482326426647</v>
      </c>
      <c r="AT92">
        <v>9.7313041111458141</v>
      </c>
      <c r="AU92">
        <v>13826.236881115972</v>
      </c>
      <c r="AV92">
        <v>7.9655580433574933</v>
      </c>
      <c r="AW92">
        <v>11317.464868002326</v>
      </c>
      <c r="AX92">
        <v>10.750521111847913</v>
      </c>
      <c r="AY92">
        <v>15274.340395713514</v>
      </c>
      <c r="AZ92">
        <v>9.6113867596565541</v>
      </c>
      <c r="BA92">
        <v>13655.858308120032</v>
      </c>
      <c r="BB92">
        <v>14.619796700062148</v>
      </c>
      <c r="BC92">
        <v>20771.807151448298</v>
      </c>
      <c r="BD92">
        <v>8.3905919538822982</v>
      </c>
      <c r="BE92">
        <v>11921.353048075969</v>
      </c>
      <c r="BF92">
        <v>15.822690657014066</v>
      </c>
      <c r="BG92">
        <v>22480.878885485585</v>
      </c>
      <c r="BH92">
        <v>11.717952644141416</v>
      </c>
      <c r="BI92">
        <v>16648.867116796122</v>
      </c>
      <c r="BJ92">
        <v>9.6895591157670715</v>
      </c>
      <c r="BK92">
        <v>13766.925591681855</v>
      </c>
      <c r="BL92">
        <v>13.023511545990056</v>
      </c>
      <c r="BM92">
        <v>18503.80520454267</v>
      </c>
      <c r="BN92">
        <v>12.790787879189606</v>
      </c>
      <c r="BO92">
        <v>18173.151418752594</v>
      </c>
      <c r="BP92">
        <v>12.732598619791778</v>
      </c>
      <c r="BQ92">
        <v>18090.476119000159</v>
      </c>
      <c r="BR92">
        <v>12.008030270027282</v>
      </c>
      <c r="BS92">
        <v>17061.009407654761</v>
      </c>
      <c r="BT92">
        <v>12.070419359891867</v>
      </c>
      <c r="BU92">
        <v>17149.651826534362</v>
      </c>
      <c r="BV92">
        <v>13.17358115127136</v>
      </c>
      <c r="BW92">
        <v>18717.024099726346</v>
      </c>
      <c r="BX92">
        <v>8.4170687698935556</v>
      </c>
      <c r="BY92">
        <v>11958.971308264763</v>
      </c>
      <c r="BZ92">
        <v>9.2502923200777154</v>
      </c>
      <c r="CA92">
        <v>13142.815328366418</v>
      </c>
      <c r="CB92">
        <v>9.6453706224430249</v>
      </c>
      <c r="CC92">
        <v>13704.14258036705</v>
      </c>
      <c r="CD92">
        <v>12.840077152058022</v>
      </c>
      <c r="CE92">
        <v>18243.181617644037</v>
      </c>
      <c r="CF92">
        <v>12.746230668924715</v>
      </c>
      <c r="CG92">
        <v>18109.844534408236</v>
      </c>
      <c r="CH92">
        <v>11.608007985129793</v>
      </c>
      <c r="CI92">
        <v>16492.657745272409</v>
      </c>
      <c r="CJ92">
        <v>9.4315139226131155</v>
      </c>
      <c r="CK92">
        <v>13400.294981248715</v>
      </c>
      <c r="CL92">
        <v>14.793981702348152</v>
      </c>
      <c r="CM92">
        <v>21019.289202696255</v>
      </c>
      <c r="CN92">
        <v>10.176994205625244</v>
      </c>
      <c r="CO92">
        <v>14459.473367352346</v>
      </c>
      <c r="CP92">
        <v>11.695663451218813</v>
      </c>
      <c r="CQ92">
        <v>16617.19863149169</v>
      </c>
      <c r="CR92">
        <v>12.265677705922011</v>
      </c>
      <c r="CS92">
        <v>17427.074884573991</v>
      </c>
      <c r="CT92">
        <v>10.941669880826403</v>
      </c>
      <c r="CU92">
        <v>15545.924566678153</v>
      </c>
    </row>
    <row r="93" spans="2:99" x14ac:dyDescent="0.2">
      <c r="C93" s="118" t="s">
        <v>259</v>
      </c>
      <c r="D93">
        <v>10</v>
      </c>
      <c r="E93">
        <v>17724</v>
      </c>
      <c r="F93">
        <v>8</v>
      </c>
      <c r="G93">
        <v>14179.199999999999</v>
      </c>
      <c r="H93">
        <v>7</v>
      </c>
      <c r="I93">
        <v>12406.8</v>
      </c>
      <c r="J93">
        <v>11</v>
      </c>
      <c r="K93">
        <v>19496.399999999998</v>
      </c>
      <c r="L93">
        <v>7</v>
      </c>
      <c r="M93">
        <v>12406.8</v>
      </c>
      <c r="N93">
        <v>13.750542894222727</v>
      </c>
      <c r="O93">
        <v>24371.462225720359</v>
      </c>
      <c r="P93">
        <v>12.293241733951593</v>
      </c>
      <c r="Q93">
        <v>21788.541649255803</v>
      </c>
      <c r="R93">
        <v>9.9806768591766559</v>
      </c>
      <c r="S93">
        <v>17689.751665204705</v>
      </c>
      <c r="T93">
        <v>8.4792616356994088</v>
      </c>
      <c r="U93">
        <v>15028.643323113631</v>
      </c>
      <c r="V93">
        <v>7.6401765035003413</v>
      </c>
      <c r="W93">
        <v>13541.448834804003</v>
      </c>
      <c r="X93">
        <v>7.9196065406792489</v>
      </c>
      <c r="Y93">
        <v>14036.7106326999</v>
      </c>
      <c r="Z93">
        <v>12.9663978108522</v>
      </c>
      <c r="AA93">
        <v>22981.643479954437</v>
      </c>
      <c r="AB93">
        <v>10.809001281232909</v>
      </c>
      <c r="AC93">
        <v>19157.873870857205</v>
      </c>
      <c r="AD93">
        <v>7.4235616064192866</v>
      </c>
      <c r="AE93">
        <v>13157.520591217542</v>
      </c>
      <c r="AF93">
        <v>12.769497023584508</v>
      </c>
      <c r="AG93">
        <v>22632.656524601181</v>
      </c>
      <c r="AH93">
        <v>10.001179305756285</v>
      </c>
      <c r="AI93">
        <v>17726.090201522438</v>
      </c>
      <c r="AJ93">
        <v>9</v>
      </c>
      <c r="AK93">
        <v>15951.599999999999</v>
      </c>
      <c r="AL93">
        <v>14.530159658378498</v>
      </c>
      <c r="AM93">
        <v>25753.254978510049</v>
      </c>
      <c r="AN93">
        <v>7.8982347919432945</v>
      </c>
      <c r="AO93">
        <v>13998.831345240294</v>
      </c>
      <c r="AP93">
        <v>10.62201063928825</v>
      </c>
      <c r="AQ93">
        <v>18826.451657074493</v>
      </c>
      <c r="AR93">
        <v>11.275071384891127</v>
      </c>
      <c r="AS93">
        <v>19983.936522581032</v>
      </c>
      <c r="AT93">
        <v>10.6855976041992</v>
      </c>
      <c r="AU93">
        <v>18939.153193682661</v>
      </c>
      <c r="AV93">
        <v>7.854147499893168</v>
      </c>
      <c r="AW93">
        <v>13920.69102881065</v>
      </c>
      <c r="AX93">
        <v>10.716406515854827</v>
      </c>
      <c r="AY93">
        <v>18993.758908701093</v>
      </c>
      <c r="AZ93">
        <v>9.5916646061192452</v>
      </c>
      <c r="BA93">
        <v>17000.26634788575</v>
      </c>
      <c r="BB93">
        <v>12.578476920058005</v>
      </c>
      <c r="BC93">
        <v>22294.092493110806</v>
      </c>
      <c r="BD93">
        <v>8.4135679511694921</v>
      </c>
      <c r="BE93">
        <v>14912.207836652806</v>
      </c>
      <c r="BF93">
        <v>13.725903520894764</v>
      </c>
      <c r="BG93">
        <v>24327.791400433878</v>
      </c>
      <c r="BH93">
        <v>11.717952644141416</v>
      </c>
      <c r="BI93">
        <v>20768.899266476245</v>
      </c>
      <c r="BJ93">
        <v>9.7171414803977552</v>
      </c>
      <c r="BK93">
        <v>17222.661559856981</v>
      </c>
      <c r="BL93">
        <v>10.909788040880048</v>
      </c>
      <c r="BM93">
        <v>19336.508323655795</v>
      </c>
      <c r="BN93">
        <v>11.658989899324672</v>
      </c>
      <c r="BO93">
        <v>20664.393697563046</v>
      </c>
      <c r="BP93">
        <v>14.668894391983798</v>
      </c>
      <c r="BQ93">
        <v>25999.148420352081</v>
      </c>
      <c r="BR93">
        <v>12.008030270027282</v>
      </c>
      <c r="BS93">
        <v>21283.032850596352</v>
      </c>
      <c r="BT93">
        <v>10.059585612216194</v>
      </c>
      <c r="BU93">
        <v>17829.60953909198</v>
      </c>
      <c r="BV93">
        <v>12.086649214140149</v>
      </c>
      <c r="BW93">
        <v>21422.377067141999</v>
      </c>
      <c r="BX93">
        <v>7.4170687698935547</v>
      </c>
      <c r="BY93">
        <v>13146.012687759336</v>
      </c>
      <c r="BZ93">
        <v>8.1163324286408169</v>
      </c>
      <c r="CA93">
        <v>14385.387596522984</v>
      </c>
      <c r="CB93">
        <v>8.6734302147231563</v>
      </c>
      <c r="CC93">
        <v>15372.78771257532</v>
      </c>
      <c r="CD93">
        <v>12.760069804242972</v>
      </c>
      <c r="CE93">
        <v>22615.947721040244</v>
      </c>
      <c r="CF93">
        <v>13.712311093064502</v>
      </c>
      <c r="CG93">
        <v>24303.700181347522</v>
      </c>
      <c r="CH93">
        <v>11.608007985129793</v>
      </c>
      <c r="CI93">
        <v>20574.033352844046</v>
      </c>
      <c r="CJ93">
        <v>9.3835679312116582</v>
      </c>
      <c r="CK93">
        <v>16631.435801279542</v>
      </c>
      <c r="CL93">
        <v>13.685711470209768</v>
      </c>
      <c r="CM93">
        <v>24256.555009799791</v>
      </c>
      <c r="CN93">
        <v>7.9930888609962985</v>
      </c>
      <c r="CO93">
        <v>14166.950697229839</v>
      </c>
      <c r="CP93">
        <v>11.584357299023802</v>
      </c>
      <c r="CQ93">
        <v>20532.114876789787</v>
      </c>
      <c r="CR93">
        <v>12.239109935329809</v>
      </c>
      <c r="CS93">
        <v>21692.598449378551</v>
      </c>
      <c r="CT93">
        <v>9.904003085593347</v>
      </c>
      <c r="CU93">
        <v>17553.855068905646</v>
      </c>
    </row>
    <row r="94" spans="2:99" x14ac:dyDescent="0.2">
      <c r="C94" s="118" t="s">
        <v>260</v>
      </c>
      <c r="D94">
        <v>9</v>
      </c>
      <c r="E94">
        <v>21556.799999999999</v>
      </c>
      <c r="F94">
        <v>7</v>
      </c>
      <c r="G94">
        <v>16766.399999999998</v>
      </c>
      <c r="H94">
        <v>6</v>
      </c>
      <c r="I94">
        <v>14371.199999999999</v>
      </c>
      <c r="J94">
        <v>10</v>
      </c>
      <c r="K94">
        <v>23952</v>
      </c>
      <c r="L94">
        <v>6</v>
      </c>
      <c r="M94">
        <v>14371.199999999999</v>
      </c>
      <c r="N94">
        <v>11.685278294725098</v>
      </c>
      <c r="O94">
        <v>27988.578571525552</v>
      </c>
      <c r="P94">
        <v>11.277807958480457</v>
      </c>
      <c r="Q94">
        <v>27012.605622152387</v>
      </c>
      <c r="R94">
        <v>11.01839519991422</v>
      </c>
      <c r="S94">
        <v>26391.26018283454</v>
      </c>
      <c r="T94">
        <v>7.3905094809402589</v>
      </c>
      <c r="U94">
        <v>17701.748308748109</v>
      </c>
      <c r="V94">
        <v>6.6401765035003413</v>
      </c>
      <c r="W94">
        <v>15904.550761184017</v>
      </c>
      <c r="X94">
        <v>6.842972662289311</v>
      </c>
      <c r="Y94">
        <v>16390.288120715355</v>
      </c>
      <c r="Z94">
        <v>11.8053315090435</v>
      </c>
      <c r="AA94">
        <v>28276.130030460987</v>
      </c>
      <c r="AB94">
        <v>11.770477410698009</v>
      </c>
      <c r="AC94">
        <v>28192.647494103869</v>
      </c>
      <c r="AD94">
        <v>7.40003040606266</v>
      </c>
      <c r="AE94">
        <v>17724.552828601281</v>
      </c>
      <c r="AF94">
        <v>11.814761554383596</v>
      </c>
      <c r="AG94">
        <v>28298.716875059585</v>
      </c>
      <c r="AH94">
        <v>8.8009434446050285</v>
      </c>
      <c r="AI94">
        <v>21080.019738517964</v>
      </c>
      <c r="AJ94">
        <v>9</v>
      </c>
      <c r="AK94">
        <v>21556.799999999999</v>
      </c>
      <c r="AL94">
        <v>12.530159658378498</v>
      </c>
      <c r="AM94">
        <v>30012.238413748175</v>
      </c>
      <c r="AN94">
        <v>6.8036837612124215</v>
      </c>
      <c r="AO94">
        <v>16296.18334485599</v>
      </c>
      <c r="AP94">
        <v>11.497608511430601</v>
      </c>
      <c r="AQ94">
        <v>27539.071906578571</v>
      </c>
      <c r="AR94">
        <v>10.246116502271008</v>
      </c>
      <c r="AS94">
        <v>24541.498246239516</v>
      </c>
      <c r="AT94">
        <v>8.6398910972525869</v>
      </c>
      <c r="AU94">
        <v>20694.267156139395</v>
      </c>
      <c r="AV94">
        <v>8.854147499893168</v>
      </c>
      <c r="AW94">
        <v>21207.454091744115</v>
      </c>
      <c r="AX94">
        <v>8.6822919198617399</v>
      </c>
      <c r="AY94">
        <v>20795.82560645284</v>
      </c>
      <c r="AZ94">
        <v>9.4733316848953972</v>
      </c>
      <c r="BA94">
        <v>22690.524051661454</v>
      </c>
      <c r="BB94">
        <v>12.578476920058005</v>
      </c>
      <c r="BC94">
        <v>30127.967918922932</v>
      </c>
      <c r="BD94">
        <v>8.3676159565951043</v>
      </c>
      <c r="BE94">
        <v>20042.113739236593</v>
      </c>
      <c r="BF94">
        <v>13.629116384775463</v>
      </c>
      <c r="BG94">
        <v>32644.459564814188</v>
      </c>
      <c r="BH94">
        <v>10.649576201842233</v>
      </c>
      <c r="BI94">
        <v>25507.864918652514</v>
      </c>
      <c r="BJ94">
        <v>9.7171414803977552</v>
      </c>
      <c r="BK94">
        <v>23274.497273848701</v>
      </c>
      <c r="BL94">
        <v>11.871880205843381</v>
      </c>
      <c r="BM94">
        <v>28435.527469036064</v>
      </c>
      <c r="BN94">
        <v>11.691939394290905</v>
      </c>
      <c r="BO94">
        <v>28004.533237205575</v>
      </c>
      <c r="BP94">
        <v>12.637042278079807</v>
      </c>
      <c r="BQ94">
        <v>30268.243664456753</v>
      </c>
      <c r="BR94">
        <v>10.008030270027282</v>
      </c>
      <c r="BS94">
        <v>23971.234102769344</v>
      </c>
      <c r="BT94">
        <v>9.0650024860540306</v>
      </c>
      <c r="BU94">
        <v>21712.493954596612</v>
      </c>
      <c r="BV94">
        <v>11.999717277008937</v>
      </c>
      <c r="BW94">
        <v>28741.722821891803</v>
      </c>
      <c r="BX94">
        <v>7.3861747869384766</v>
      </c>
      <c r="BY94">
        <v>17691.365849675039</v>
      </c>
      <c r="BZ94">
        <v>9.1163324286408169</v>
      </c>
      <c r="CA94">
        <v>21835.439433080483</v>
      </c>
      <c r="CB94">
        <v>8.6173110301628935</v>
      </c>
      <c r="CC94">
        <v>20640.18337944616</v>
      </c>
      <c r="CD94">
        <v>10.680062456427923</v>
      </c>
      <c r="CE94">
        <v>25580.885595636159</v>
      </c>
      <c r="CF94">
        <v>11.610552365483858</v>
      </c>
      <c r="CG94">
        <v>27809.595025806935</v>
      </c>
      <c r="CH94">
        <v>10.608007985129793</v>
      </c>
      <c r="CI94">
        <v>25408.300725982881</v>
      </c>
      <c r="CJ94">
        <v>8.3835679312116582</v>
      </c>
      <c r="CK94">
        <v>20080.321908838163</v>
      </c>
      <c r="CL94">
        <v>12.72180154758923</v>
      </c>
      <c r="CM94">
        <v>30471.259066785722</v>
      </c>
      <c r="CN94">
        <v>9.0298699299220875</v>
      </c>
      <c r="CO94">
        <v>21628.344456149382</v>
      </c>
      <c r="CP94">
        <v>11.612183837072555</v>
      </c>
      <c r="CQ94">
        <v>27813.50272655618</v>
      </c>
      <c r="CR94">
        <v>12.25239382062591</v>
      </c>
      <c r="CS94">
        <v>29346.933679163176</v>
      </c>
      <c r="CT94">
        <v>10.866336290360291</v>
      </c>
      <c r="CU94">
        <v>26027.048682670968</v>
      </c>
    </row>
    <row r="95" spans="2:99" x14ac:dyDescent="0.2">
      <c r="B95" s="118" t="s">
        <v>132</v>
      </c>
      <c r="C95" s="118" t="s">
        <v>261</v>
      </c>
      <c r="D95">
        <v>13</v>
      </c>
      <c r="E95">
        <v>22526.399999999998</v>
      </c>
      <c r="F95">
        <v>14</v>
      </c>
      <c r="G95">
        <v>24259.200000000001</v>
      </c>
      <c r="H95">
        <v>19</v>
      </c>
      <c r="I95">
        <v>32923.199999999997</v>
      </c>
      <c r="J95">
        <v>11</v>
      </c>
      <c r="K95">
        <v>19060.8</v>
      </c>
      <c r="L95">
        <v>20</v>
      </c>
      <c r="M95">
        <v>34656</v>
      </c>
      <c r="N95">
        <v>19.554749095729843</v>
      </c>
      <c r="O95">
        <v>33884.469233080672</v>
      </c>
      <c r="P95">
        <v>17.200639081124773</v>
      </c>
      <c r="Q95">
        <v>29805.267399773005</v>
      </c>
      <c r="R95">
        <v>20.716648474013709</v>
      </c>
      <c r="S95">
        <v>35897.808475770951</v>
      </c>
      <c r="T95">
        <v>19.248506033325619</v>
      </c>
      <c r="U95">
        <v>33353.811254546628</v>
      </c>
      <c r="V95">
        <v>19.777357182821842</v>
      </c>
      <c r="W95">
        <v>34270.204526393689</v>
      </c>
      <c r="X95">
        <v>17.728021844704404</v>
      </c>
      <c r="Y95">
        <v>30719.116252503791</v>
      </c>
      <c r="Z95">
        <v>15.523465480878276</v>
      </c>
      <c r="AA95">
        <v>26899.060985265874</v>
      </c>
      <c r="AB95">
        <v>20.539334187488606</v>
      </c>
      <c r="AC95">
        <v>35590.558280080259</v>
      </c>
      <c r="AD95">
        <v>20.494155207489168</v>
      </c>
      <c r="AE95">
        <v>35512.27214353723</v>
      </c>
      <c r="AF95">
        <v>13.04108420837904</v>
      </c>
      <c r="AG95">
        <v>22597.590716279199</v>
      </c>
      <c r="AH95">
        <v>19.640754755684021</v>
      </c>
      <c r="AI95">
        <v>34033.499840649274</v>
      </c>
      <c r="AJ95">
        <v>17</v>
      </c>
      <c r="AK95">
        <v>29457.599999999999</v>
      </c>
      <c r="AL95">
        <v>15.662699572973123</v>
      </c>
      <c r="AM95">
        <v>27140.325820047827</v>
      </c>
      <c r="AN95">
        <v>14.614581699750675</v>
      </c>
      <c r="AO95">
        <v>25324.147169327967</v>
      </c>
      <c r="AP95">
        <v>12.342105851608538</v>
      </c>
      <c r="AQ95">
        <v>21386.401019667275</v>
      </c>
      <c r="AR95">
        <v>14.246116502271008</v>
      </c>
      <c r="AS95">
        <v>24685.670675135203</v>
      </c>
      <c r="AT95">
        <v>11.639891097252587</v>
      </c>
      <c r="AU95">
        <v>20169.603293319284</v>
      </c>
      <c r="AV95">
        <v>23.854147499893166</v>
      </c>
      <c r="AW95">
        <v>41334.466787814876</v>
      </c>
      <c r="AX95">
        <v>13.614062727875565</v>
      </c>
      <c r="AY95">
        <v>23590.447894862777</v>
      </c>
      <c r="AZ95">
        <v>13.236665842447698</v>
      </c>
      <c r="BA95">
        <v>22936.49457179337</v>
      </c>
      <c r="BB95">
        <v>22.743756040074576</v>
      </c>
      <c r="BC95">
        <v>39410.380466241222</v>
      </c>
      <c r="BD95">
        <v>14.574399932179849</v>
      </c>
      <c r="BE95">
        <v>25254.520202481242</v>
      </c>
      <c r="BF95">
        <v>13.871084225073718</v>
      </c>
      <c r="BG95">
        <v>24035.814745207736</v>
      </c>
      <c r="BH95">
        <v>12.717952644141416</v>
      </c>
      <c r="BI95">
        <v>22037.668341768247</v>
      </c>
      <c r="BJ95">
        <v>15.413735469460244</v>
      </c>
      <c r="BK95">
        <v>26708.920821480711</v>
      </c>
      <c r="BL95">
        <v>22.682341030660037</v>
      </c>
      <c r="BM95">
        <v>39303.960537927713</v>
      </c>
      <c r="BN95">
        <v>12.461292929527271</v>
      </c>
      <c r="BO95">
        <v>21592.928388284854</v>
      </c>
      <c r="BP95">
        <v>14.764450733695769</v>
      </c>
      <c r="BQ95">
        <v>25583.840231348029</v>
      </c>
      <c r="BR95">
        <v>13.597351271127279</v>
      </c>
      <c r="BS95">
        <v>23561.490282609349</v>
      </c>
      <c r="BT95">
        <v>17.065002486054031</v>
      </c>
      <c r="BU95">
        <v>29570.236307834424</v>
      </c>
      <c r="BV95">
        <v>15.86931937131212</v>
      </c>
      <c r="BW95">
        <v>27498.356606609639</v>
      </c>
      <c r="BX95">
        <v>22.293492838073242</v>
      </c>
      <c r="BY95">
        <v>38630.164389813312</v>
      </c>
      <c r="BZ95">
        <v>14.893065942912655</v>
      </c>
      <c r="CA95">
        <v>25806.704665879046</v>
      </c>
      <c r="CB95">
        <v>22.308655515081448</v>
      </c>
      <c r="CC95">
        <v>38656.438276533132</v>
      </c>
      <c r="CD95">
        <v>19.760069804242974</v>
      </c>
      <c r="CE95">
        <v>34240.248956792224</v>
      </c>
      <c r="CF95">
        <v>20.814069820645145</v>
      </c>
      <c r="CG95">
        <v>36066.620185213906</v>
      </c>
      <c r="CH95">
        <v>17.608007985129792</v>
      </c>
      <c r="CI95">
        <v>30511.156236632902</v>
      </c>
      <c r="CJ95">
        <v>19.287675948408744</v>
      </c>
      <c r="CK95">
        <v>33421.684883402668</v>
      </c>
      <c r="CL95">
        <v>13.613531315450844</v>
      </c>
      <c r="CM95">
        <v>23589.527063413221</v>
      </c>
      <c r="CN95">
        <v>18.588497102812621</v>
      </c>
      <c r="CO95">
        <v>32210.147779753708</v>
      </c>
      <c r="CP95">
        <v>15.33391845658503</v>
      </c>
      <c r="CQ95">
        <v>26570.613901570538</v>
      </c>
      <c r="CR95">
        <v>14.292245476514212</v>
      </c>
      <c r="CS95">
        <v>24765.602961703826</v>
      </c>
      <c r="CT95">
        <v>20.791002699894179</v>
      </c>
      <c r="CU95">
        <v>36026.649478376632</v>
      </c>
    </row>
    <row r="96" spans="2:99" x14ac:dyDescent="0.2">
      <c r="C96" s="118" t="s">
        <v>262</v>
      </c>
      <c r="D96">
        <v>16</v>
      </c>
      <c r="E96">
        <v>13171.199999999999</v>
      </c>
      <c r="F96">
        <v>16</v>
      </c>
      <c r="G96">
        <v>13171.199999999999</v>
      </c>
      <c r="H96">
        <v>20</v>
      </c>
      <c r="I96">
        <v>16464</v>
      </c>
      <c r="J96">
        <v>14</v>
      </c>
      <c r="K96">
        <v>11524.8</v>
      </c>
      <c r="L96">
        <v>20</v>
      </c>
      <c r="M96">
        <v>16464</v>
      </c>
      <c r="N96">
        <v>22.717910594473913</v>
      </c>
      <c r="O96">
        <v>18701.384001370923</v>
      </c>
      <c r="P96">
        <v>18.185205305653639</v>
      </c>
      <c r="Q96">
        <v>14970.061007614075</v>
      </c>
      <c r="R96">
        <v>19.905240177701529</v>
      </c>
      <c r="S96">
        <v>16385.993714283897</v>
      </c>
      <c r="T96">
        <v>20.266256464277451</v>
      </c>
      <c r="U96">
        <v>16683.182321393197</v>
      </c>
      <c r="V96">
        <v>21.82308407592901</v>
      </c>
      <c r="W96">
        <v>17964.762811304761</v>
      </c>
      <c r="X96">
        <v>22.957923479874218</v>
      </c>
      <c r="Y96">
        <v>18898.962608632453</v>
      </c>
      <c r="Z96">
        <v>17.603998631782623</v>
      </c>
      <c r="AA96">
        <v>14491.611673683454</v>
      </c>
      <c r="AB96">
        <v>23.616381928558408</v>
      </c>
      <c r="AC96">
        <v>19441.005603589281</v>
      </c>
      <c r="AD96">
        <v>21.564748808559049</v>
      </c>
      <c r="AE96">
        <v>17752.101219205808</v>
      </c>
      <c r="AF96">
        <v>14.04108420837904</v>
      </c>
      <c r="AG96">
        <v>11558.620520337625</v>
      </c>
      <c r="AH96">
        <v>24.720849100144527</v>
      </c>
      <c r="AI96">
        <v>20350.202979238973</v>
      </c>
      <c r="AJ96">
        <v>17</v>
      </c>
      <c r="AK96">
        <v>13994.4</v>
      </c>
      <c r="AL96">
        <v>15.662699572973123</v>
      </c>
      <c r="AM96">
        <v>12893.534288471474</v>
      </c>
      <c r="AN96">
        <v>16.709132730481549</v>
      </c>
      <c r="AO96">
        <v>13754.958063732411</v>
      </c>
      <c r="AP96">
        <v>12.373206383572951</v>
      </c>
      <c r="AQ96">
        <v>10185.623494957252</v>
      </c>
      <c r="AR96">
        <v>15.23163906096095</v>
      </c>
      <c r="AS96">
        <v>12538.685274983052</v>
      </c>
      <c r="AT96">
        <v>12.6855976041992</v>
      </c>
      <c r="AU96">
        <v>10442.783947776781</v>
      </c>
      <c r="AV96">
        <v>23.928421195536053</v>
      </c>
      <c r="AW96">
        <v>19697.876328165279</v>
      </c>
      <c r="AX96">
        <v>14.614062727875565</v>
      </c>
      <c r="AY96">
        <v>12030.296437587163</v>
      </c>
      <c r="AZ96">
        <v>15.295832303059623</v>
      </c>
      <c r="BA96">
        <v>12591.52915187868</v>
      </c>
      <c r="BB96">
        <v>22.78507582007872</v>
      </c>
      <c r="BC96">
        <v>18756.674415088801</v>
      </c>
      <c r="BD96">
        <v>16.574399932179848</v>
      </c>
      <c r="BE96">
        <v>13644.04602417045</v>
      </c>
      <c r="BF96">
        <v>17.871084225073716</v>
      </c>
      <c r="BG96">
        <v>14711.476534080683</v>
      </c>
      <c r="BH96">
        <v>14.854705528739782</v>
      </c>
      <c r="BI96">
        <v>12228.393591258588</v>
      </c>
      <c r="BJ96">
        <v>17.413735469460242</v>
      </c>
      <c r="BK96">
        <v>14334.987038459671</v>
      </c>
      <c r="BL96">
        <v>21.758156700733373</v>
      </c>
      <c r="BM96">
        <v>17911.31459604371</v>
      </c>
      <c r="BN96">
        <v>14.494242424493505</v>
      </c>
      <c r="BO96">
        <v>11931.660363843052</v>
      </c>
      <c r="BP96">
        <v>16.86000707540774</v>
      </c>
      <c r="BQ96">
        <v>13879.157824475651</v>
      </c>
      <c r="BR96">
        <v>14.672020180018189</v>
      </c>
      <c r="BS96">
        <v>12078.007012190972</v>
      </c>
      <c r="BT96">
        <v>20.065002486054031</v>
      </c>
      <c r="BU96">
        <v>16517.510046519677</v>
      </c>
      <c r="BV96">
        <v>17.043183245574543</v>
      </c>
      <c r="BW96">
        <v>14029.948447756962</v>
      </c>
      <c r="BX96">
        <v>22.308939829550781</v>
      </c>
      <c r="BY96">
        <v>18364.7192676862</v>
      </c>
      <c r="BZ96">
        <v>18.803759348621387</v>
      </c>
      <c r="CA96">
        <v>15479.254695785125</v>
      </c>
      <c r="CB96">
        <v>21.39283429192184</v>
      </c>
      <c r="CC96">
        <v>17610.581189110057</v>
      </c>
      <c r="CD96">
        <v>20.760069804242974</v>
      </c>
      <c r="CE96">
        <v>17089.689462852813</v>
      </c>
      <c r="CF96">
        <v>22.780150244784931</v>
      </c>
      <c r="CG96">
        <v>18752.619681506952</v>
      </c>
      <c r="CH96">
        <v>18.643773160725665</v>
      </c>
      <c r="CI96">
        <v>15347.554065909366</v>
      </c>
      <c r="CJ96">
        <v>25.311648944109471</v>
      </c>
      <c r="CK96">
        <v>20836.549410790914</v>
      </c>
      <c r="CL96">
        <v>16.72180154758923</v>
      </c>
      <c r="CM96">
        <v>13765.387033975454</v>
      </c>
      <c r="CN96">
        <v>17.662059240664199</v>
      </c>
      <c r="CO96">
        <v>14539.407166914767</v>
      </c>
      <c r="CP96">
        <v>16.389571532682535</v>
      </c>
      <c r="CQ96">
        <v>13491.895285704262</v>
      </c>
      <c r="CR96">
        <v>16.292245476514211</v>
      </c>
      <c r="CS96">
        <v>13411.776476266497</v>
      </c>
      <c r="CT96">
        <v>20.979336676059461</v>
      </c>
      <c r="CU96">
        <v>17270.189951732147</v>
      </c>
    </row>
    <row r="97" spans="2:99" x14ac:dyDescent="0.2">
      <c r="C97" s="118" t="s">
        <v>263</v>
      </c>
      <c r="D97">
        <v>13</v>
      </c>
      <c r="E97">
        <v>23774.399999999998</v>
      </c>
      <c r="F97">
        <v>16</v>
      </c>
      <c r="G97">
        <v>29260.799999999999</v>
      </c>
      <c r="H97">
        <v>20</v>
      </c>
      <c r="I97">
        <v>36576</v>
      </c>
      <c r="J97">
        <v>13</v>
      </c>
      <c r="K97">
        <v>23774.399999999998</v>
      </c>
      <c r="L97">
        <v>21</v>
      </c>
      <c r="M97">
        <v>38404.799999999996</v>
      </c>
      <c r="N97">
        <v>19.554749095729843</v>
      </c>
      <c r="O97">
        <v>35761.725146270735</v>
      </c>
      <c r="P97">
        <v>17.185205305653639</v>
      </c>
      <c r="Q97">
        <v>31428.303462979373</v>
      </c>
      <c r="R97">
        <v>20.867521836963963</v>
      </c>
      <c r="S97">
        <v>38162.523935439698</v>
      </c>
      <c r="T97">
        <v>18.213005171421958</v>
      </c>
      <c r="U97">
        <v>33307.943857496473</v>
      </c>
      <c r="V97">
        <v>21.82308407592901</v>
      </c>
      <c r="W97">
        <v>39910.056158058971</v>
      </c>
      <c r="X97">
        <v>19.766338783899375</v>
      </c>
      <c r="Y97">
        <v>36148.680367995177</v>
      </c>
      <c r="Z97">
        <v>15.56373205633045</v>
      </c>
      <c r="AA97">
        <v>28462.953184617127</v>
      </c>
      <c r="AB97">
        <v>19.616381928558408</v>
      </c>
      <c r="AC97">
        <v>35874.439270947616</v>
      </c>
      <c r="AD97">
        <v>19.494155207489168</v>
      </c>
      <c r="AE97">
        <v>35650.911043456188</v>
      </c>
      <c r="AF97">
        <v>12.950555146780863</v>
      </c>
      <c r="AG97">
        <v>23683.97525243284</v>
      </c>
      <c r="AH97">
        <v>18.600707583453772</v>
      </c>
      <c r="AI97">
        <v>34016.974028620258</v>
      </c>
      <c r="AJ97">
        <v>18</v>
      </c>
      <c r="AK97">
        <v>32918.400000000001</v>
      </c>
      <c r="AL97">
        <v>16.662699572973121</v>
      </c>
      <c r="AM97">
        <v>30472.744979053245</v>
      </c>
      <c r="AN97">
        <v>14.614581699750675</v>
      </c>
      <c r="AO97">
        <v>26727.147012504032</v>
      </c>
      <c r="AP97">
        <v>12.373206383572951</v>
      </c>
      <c r="AQ97">
        <v>22628.119834278212</v>
      </c>
      <c r="AR97">
        <v>14.20268417834083</v>
      </c>
      <c r="AS97">
        <v>25973.868825349709</v>
      </c>
      <c r="AT97">
        <v>11.6855976041992</v>
      </c>
      <c r="AU97">
        <v>21370.620898559497</v>
      </c>
      <c r="AV97">
        <v>20.705600108607399</v>
      </c>
      <c r="AW97">
        <v>37866.401478621214</v>
      </c>
      <c r="AX97">
        <v>13.545833535889392</v>
      </c>
      <c r="AY97">
        <v>24772.620370434517</v>
      </c>
      <c r="AZ97">
        <v>13.256387995985007</v>
      </c>
      <c r="BA97">
        <v>24243.282367057378</v>
      </c>
      <c r="BB97">
        <v>21.702436260070435</v>
      </c>
      <c r="BC97">
        <v>39689.415432416812</v>
      </c>
      <c r="BD97">
        <v>14.528447937605462</v>
      </c>
      <c r="BE97">
        <v>26569.625588292867</v>
      </c>
      <c r="BF97">
        <v>14.725903520894764</v>
      </c>
      <c r="BG97">
        <v>26930.732359012345</v>
      </c>
      <c r="BH97">
        <v>11.717952644141416</v>
      </c>
      <c r="BI97">
        <v>21429.791795605823</v>
      </c>
      <c r="BJ97">
        <v>15.441317834090926</v>
      </c>
      <c r="BK97">
        <v>28239.082054985483</v>
      </c>
      <c r="BL97">
        <v>18.682341030660037</v>
      </c>
      <c r="BM97">
        <v>34166.265276871076</v>
      </c>
      <c r="BN97">
        <v>13.494242424493505</v>
      </c>
      <c r="BO97">
        <v>24678.270545913721</v>
      </c>
      <c r="BP97">
        <v>17.73259861979178</v>
      </c>
      <c r="BQ97">
        <v>32429.376355875207</v>
      </c>
      <c r="BR97">
        <v>15.634685725572734</v>
      </c>
      <c r="BS97">
        <v>28592.713254927414</v>
      </c>
      <c r="BT97">
        <v>17.059585612216196</v>
      </c>
      <c r="BU97">
        <v>31198.570167620979</v>
      </c>
      <c r="BV97">
        <v>15.86931937131212</v>
      </c>
      <c r="BW97">
        <v>29021.811266255605</v>
      </c>
      <c r="BX97">
        <v>20.278045846595703</v>
      </c>
      <c r="BY97">
        <v>37084.490244254222</v>
      </c>
      <c r="BZ97">
        <v>15.848412645767022</v>
      </c>
      <c r="CA97">
        <v>28983.577046578728</v>
      </c>
      <c r="CB97">
        <v>21.308655515081448</v>
      </c>
      <c r="CC97">
        <v>38969.269205980949</v>
      </c>
      <c r="CD97">
        <v>17.800073478150498</v>
      </c>
      <c r="CE97">
        <v>32552.774376841629</v>
      </c>
      <c r="CF97">
        <v>19.780150244784931</v>
      </c>
      <c r="CG97">
        <v>36173.938767662679</v>
      </c>
      <c r="CH97">
        <v>16.536477633938052</v>
      </c>
      <c r="CI97">
        <v>30241.910296945909</v>
      </c>
      <c r="CJ97">
        <v>23.263702952708016</v>
      </c>
      <c r="CK97">
        <v>42544.659959912417</v>
      </c>
      <c r="CL97">
        <v>13.613531315450844</v>
      </c>
      <c r="CM97">
        <v>24896.426069696503</v>
      </c>
      <c r="CN97">
        <v>17.588497102812621</v>
      </c>
      <c r="CO97">
        <v>32165.84350162372</v>
      </c>
      <c r="CP97">
        <v>15.33391845658503</v>
      </c>
      <c r="CQ97">
        <v>28042.670073402704</v>
      </c>
      <c r="CR97">
        <v>13.292245476514212</v>
      </c>
      <c r="CS97">
        <v>24308.858527449192</v>
      </c>
      <c r="CT97">
        <v>20.904003085593345</v>
      </c>
      <c r="CU97">
        <v>38229.240842933112</v>
      </c>
    </row>
    <row r="98" spans="2:99" x14ac:dyDescent="0.2">
      <c r="C98" s="118" t="s">
        <v>264</v>
      </c>
      <c r="D98">
        <v>15</v>
      </c>
      <c r="E98">
        <v>18954</v>
      </c>
      <c r="F98">
        <v>17</v>
      </c>
      <c r="G98">
        <v>21481.199999999997</v>
      </c>
      <c r="H98">
        <v>22</v>
      </c>
      <c r="I98">
        <v>27799.199999999997</v>
      </c>
      <c r="J98">
        <v>12</v>
      </c>
      <c r="K98">
        <v>15163.199999999999</v>
      </c>
      <c r="L98">
        <v>20</v>
      </c>
      <c r="M98">
        <v>25272</v>
      </c>
      <c r="N98">
        <v>23.685278294725098</v>
      </c>
      <c r="O98">
        <v>29928.717653214633</v>
      </c>
      <c r="P98">
        <v>19.216072856595911</v>
      </c>
      <c r="Q98">
        <v>24281.429661594593</v>
      </c>
      <c r="R98">
        <v>20.792085155488838</v>
      </c>
      <c r="S98">
        <v>26272.878802475694</v>
      </c>
      <c r="T98">
        <v>20.248506033325619</v>
      </c>
      <c r="U98">
        <v>25586.012223710251</v>
      </c>
      <c r="V98">
        <v>19.777357182821842</v>
      </c>
      <c r="W98">
        <v>24990.668536213678</v>
      </c>
      <c r="X98">
        <v>21.842972662289313</v>
      </c>
      <c r="Y98">
        <v>27600.780256068774</v>
      </c>
      <c r="Z98">
        <v>15.603998631782625</v>
      </c>
      <c r="AA98">
        <v>19717.212671120524</v>
      </c>
      <c r="AB98">
        <v>19.616381928558408</v>
      </c>
      <c r="AC98">
        <v>24787.260204926402</v>
      </c>
      <c r="AD98">
        <v>21.564748808559049</v>
      </c>
      <c r="AE98">
        <v>27249.216594495214</v>
      </c>
      <c r="AF98">
        <v>12.086348739178128</v>
      </c>
      <c r="AG98">
        <v>15272.310266825481</v>
      </c>
      <c r="AH98">
        <v>23.640754755684021</v>
      </c>
      <c r="AI98">
        <v>29872.457709282327</v>
      </c>
      <c r="AJ98">
        <v>20</v>
      </c>
      <c r="AK98">
        <v>25272</v>
      </c>
      <c r="AL98">
        <v>15.662699572973123</v>
      </c>
      <c r="AM98">
        <v>19791.387180408838</v>
      </c>
      <c r="AN98">
        <v>15.614581699750675</v>
      </c>
      <c r="AO98">
        <v>19730.585435804951</v>
      </c>
      <c r="AP98">
        <v>13.404306915537363</v>
      </c>
      <c r="AQ98">
        <v>16937.682218473012</v>
      </c>
      <c r="AR98">
        <v>15.23163906096095</v>
      </c>
      <c r="AS98">
        <v>19246.699117430253</v>
      </c>
      <c r="AT98">
        <v>13.6855976041992</v>
      </c>
      <c r="AU98">
        <v>17293.121132666107</v>
      </c>
      <c r="AV98">
        <v>22.89128434771461</v>
      </c>
      <c r="AW98">
        <v>28925.426901772178</v>
      </c>
      <c r="AX98">
        <v>13.545833535889392</v>
      </c>
      <c r="AY98">
        <v>17116.515255949835</v>
      </c>
      <c r="AZ98">
        <v>14.295832303059623</v>
      </c>
      <c r="BA98">
        <v>18064.213698146137</v>
      </c>
      <c r="BB98">
        <v>21.78507582007872</v>
      </c>
      <c r="BC98">
        <v>27527.621806251471</v>
      </c>
      <c r="BD98">
        <v>17.574399932179848</v>
      </c>
      <c r="BE98">
        <v>22207.011754302453</v>
      </c>
      <c r="BF98">
        <v>15.871084225073718</v>
      </c>
      <c r="BG98">
        <v>20054.702026803148</v>
      </c>
      <c r="BH98">
        <v>13.683764422991825</v>
      </c>
      <c r="BI98">
        <v>17290.804724892467</v>
      </c>
      <c r="BJ98">
        <v>17.441317834090928</v>
      </c>
      <c r="BK98">
        <v>22038.849215157294</v>
      </c>
      <c r="BL98">
        <v>21.682341030660037</v>
      </c>
      <c r="BM98">
        <v>27397.80612634202</v>
      </c>
      <c r="BN98">
        <v>13.461292929527271</v>
      </c>
      <c r="BO98">
        <v>17009.68974575066</v>
      </c>
      <c r="BP98">
        <v>15.79630284759976</v>
      </c>
      <c r="BQ98">
        <v>19960.208278227055</v>
      </c>
      <c r="BR98">
        <v>14.672020180018189</v>
      </c>
      <c r="BS98">
        <v>18539.564699470982</v>
      </c>
      <c r="BT98">
        <v>20.070419359891869</v>
      </c>
      <c r="BU98">
        <v>25360.981903159362</v>
      </c>
      <c r="BV98">
        <v>15.999717277008937</v>
      </c>
      <c r="BW98">
        <v>20217.242751228492</v>
      </c>
      <c r="BX98">
        <v>20.293492838073242</v>
      </c>
      <c r="BY98">
        <v>25642.857550189347</v>
      </c>
      <c r="BZ98">
        <v>17.893065942912653</v>
      </c>
      <c r="CA98">
        <v>22609.678125464427</v>
      </c>
      <c r="CB98">
        <v>20.336715107361577</v>
      </c>
      <c r="CC98">
        <v>25697.473209662086</v>
      </c>
      <c r="CD98">
        <v>19.800073478150498</v>
      </c>
      <c r="CE98">
        <v>25019.372846990969</v>
      </c>
      <c r="CF98">
        <v>22.814069820645145</v>
      </c>
      <c r="CG98">
        <v>28827.858625367204</v>
      </c>
      <c r="CH98">
        <v>18.643773160725665</v>
      </c>
      <c r="CI98">
        <v>23558.27176589295</v>
      </c>
      <c r="CJ98">
        <v>21.311648944109471</v>
      </c>
      <c r="CK98">
        <v>26929.399605776725</v>
      </c>
      <c r="CL98">
        <v>16.649621392830305</v>
      </c>
      <c r="CM98">
        <v>21038.461591980373</v>
      </c>
      <c r="CN98">
        <v>17.662059240664199</v>
      </c>
      <c r="CO98">
        <v>22317.778056503281</v>
      </c>
      <c r="CP98">
        <v>16.361744994633781</v>
      </c>
      <c r="CQ98">
        <v>20674.700975219246</v>
      </c>
      <c r="CR98">
        <v>14.265677705922011</v>
      </c>
      <c r="CS98">
        <v>18026.110349203052</v>
      </c>
      <c r="CT98">
        <v>22.979336676059461</v>
      </c>
      <c r="CU98">
        <v>29036.689823868732</v>
      </c>
    </row>
    <row r="99" spans="2:99" x14ac:dyDescent="0.2">
      <c r="C99" s="118" t="s">
        <v>265</v>
      </c>
      <c r="D99">
        <v>10</v>
      </c>
      <c r="E99">
        <v>54815.999999999993</v>
      </c>
      <c r="F99">
        <v>10</v>
      </c>
      <c r="G99">
        <v>54815.999999999993</v>
      </c>
      <c r="H99">
        <v>14</v>
      </c>
      <c r="I99">
        <v>76742.399999999994</v>
      </c>
      <c r="J99">
        <v>9</v>
      </c>
      <c r="K99">
        <v>49334.399999999994</v>
      </c>
      <c r="L99">
        <v>13</v>
      </c>
      <c r="M99">
        <v>71260.799999999988</v>
      </c>
      <c r="N99">
        <v>13.424219896734584</v>
      </c>
      <c r="O99">
        <v>73586.203785940292</v>
      </c>
      <c r="P99">
        <v>11.138903979240229</v>
      </c>
      <c r="Q99">
        <v>61059.016052603234</v>
      </c>
      <c r="R99">
        <v>13.641211792538583</v>
      </c>
      <c r="S99">
        <v>74775.66656197948</v>
      </c>
      <c r="T99">
        <v>13.1775043095183</v>
      </c>
      <c r="U99">
        <v>72233.807623055502</v>
      </c>
      <c r="V99">
        <v>12.594449610393173</v>
      </c>
      <c r="W99">
        <v>69037.734984331211</v>
      </c>
      <c r="X99">
        <v>13.613071027119499</v>
      </c>
      <c r="Y99">
        <v>74621.410142258246</v>
      </c>
      <c r="Z99">
        <v>9.4026657545217507</v>
      </c>
      <c r="AA99">
        <v>51541.652599986424</v>
      </c>
      <c r="AB99">
        <v>15.385238705349003</v>
      </c>
      <c r="AC99">
        <v>84335.724487241096</v>
      </c>
      <c r="AD99">
        <v>13.376499205706033</v>
      </c>
      <c r="AE99">
        <v>73324.618045998184</v>
      </c>
      <c r="AF99">
        <v>8.769497023584508</v>
      </c>
      <c r="AG99">
        <v>48070.874884480836</v>
      </c>
      <c r="AH99">
        <v>14.480566066763016</v>
      </c>
      <c r="AI99">
        <v>79376.670951568143</v>
      </c>
      <c r="AJ99">
        <v>13</v>
      </c>
      <c r="AK99">
        <v>71260.799999999988</v>
      </c>
      <c r="AL99">
        <v>11.43075472243253</v>
      </c>
      <c r="AM99">
        <v>62658.825086486147</v>
      </c>
      <c r="AN99">
        <v>10.472755153654365</v>
      </c>
      <c r="AO99">
        <v>57407.454650271764</v>
      </c>
      <c r="AP99">
        <v>8.2799047876797136</v>
      </c>
      <c r="AQ99">
        <v>45387.126084145115</v>
      </c>
      <c r="AR99">
        <v>9.1882067370307716</v>
      </c>
      <c r="AS99">
        <v>50366.074049707873</v>
      </c>
      <c r="AT99">
        <v>9.5027715764127478</v>
      </c>
      <c r="AU99">
        <v>52090.392673264112</v>
      </c>
      <c r="AV99">
        <v>15.519915869500188</v>
      </c>
      <c r="AW99">
        <v>85073.970830252219</v>
      </c>
      <c r="AX99">
        <v>8.4093751519170432</v>
      </c>
      <c r="AY99">
        <v>46096.830832748463</v>
      </c>
      <c r="AZ99">
        <v>8.1972215353730817</v>
      </c>
      <c r="BA99">
        <v>44933.889568301078</v>
      </c>
      <c r="BB99">
        <v>14.495837360049718</v>
      </c>
      <c r="BC99">
        <v>79460.38207284853</v>
      </c>
      <c r="BD99">
        <v>11.413567951169492</v>
      </c>
      <c r="BE99">
        <v>62564.614081130683</v>
      </c>
      <c r="BF99">
        <v>9.5807228167158112</v>
      </c>
      <c r="BG99">
        <v>52517.690192109389</v>
      </c>
      <c r="BH99">
        <v>8.5128233172438694</v>
      </c>
      <c r="BI99">
        <v>46663.892295803991</v>
      </c>
      <c r="BJ99">
        <v>11.303406010937511</v>
      </c>
      <c r="BK99">
        <v>61960.750389555054</v>
      </c>
      <c r="BL99">
        <v>14.492801855476694</v>
      </c>
      <c r="BM99">
        <v>79443.742650981032</v>
      </c>
      <c r="BN99">
        <v>9.3294949496623367</v>
      </c>
      <c r="BO99">
        <v>51140.559516069057</v>
      </c>
      <c r="BP99">
        <v>11.509633822463845</v>
      </c>
      <c r="BQ99">
        <v>63091.208761217807</v>
      </c>
      <c r="BR99">
        <v>10.448013453345459</v>
      </c>
      <c r="BS99">
        <v>57271.830545858458</v>
      </c>
      <c r="BT99">
        <v>13.040626553783769</v>
      </c>
      <c r="BU99">
        <v>71483.498517221102</v>
      </c>
      <c r="BV99">
        <v>10.608523559918483</v>
      </c>
      <c r="BW99">
        <v>58151.682746049148</v>
      </c>
      <c r="BX99">
        <v>16.200810889208007</v>
      </c>
      <c r="BY99">
        <v>88806.364970282608</v>
      </c>
      <c r="BZ99">
        <v>11.535839565747592</v>
      </c>
      <c r="CA99">
        <v>63234.858163601995</v>
      </c>
      <c r="CB99">
        <v>13.252536330521183</v>
      </c>
      <c r="CC99">
        <v>72645.103149384915</v>
      </c>
      <c r="CD99">
        <v>13.520047760797823</v>
      </c>
      <c r="CE99">
        <v>74111.493805589344</v>
      </c>
      <c r="CF99">
        <v>13.542713213763429</v>
      </c>
      <c r="CG99">
        <v>74235.736752565601</v>
      </c>
      <c r="CH99">
        <v>12.464947282746312</v>
      </c>
      <c r="CI99">
        <v>68327.855025102181</v>
      </c>
      <c r="CJ99">
        <v>15.215756961306557</v>
      </c>
      <c r="CK99">
        <v>83406.693359098019</v>
      </c>
      <c r="CL99">
        <v>10.50526108331246</v>
      </c>
      <c r="CM99">
        <v>57585.639154285578</v>
      </c>
      <c r="CN99">
        <v>11.367810689257889</v>
      </c>
      <c r="CO99">
        <v>62313.791074236033</v>
      </c>
      <c r="CP99">
        <v>11.278265380487525</v>
      </c>
      <c r="CQ99">
        <v>61822.939509680415</v>
      </c>
      <c r="CR99">
        <v>9.2125421647376093</v>
      </c>
      <c r="CS99">
        <v>50499.471130225676</v>
      </c>
      <c r="CT99">
        <v>13.640335518961955</v>
      </c>
      <c r="CU99">
        <v>74770.863180741842</v>
      </c>
    </row>
    <row r="100" spans="2:99" x14ac:dyDescent="0.2">
      <c r="C100" s="118" t="s">
        <v>266</v>
      </c>
      <c r="D100">
        <v>13</v>
      </c>
      <c r="E100">
        <v>21091.199999999997</v>
      </c>
      <c r="F100">
        <v>16</v>
      </c>
      <c r="G100">
        <v>25958.399999999998</v>
      </c>
      <c r="H100">
        <v>21</v>
      </c>
      <c r="I100">
        <v>34070.399999999994</v>
      </c>
      <c r="J100">
        <v>12</v>
      </c>
      <c r="K100">
        <v>19468.8</v>
      </c>
      <c r="L100">
        <v>21</v>
      </c>
      <c r="M100">
        <v>34070.399999999994</v>
      </c>
      <c r="N100">
        <v>19.587381395478655</v>
      </c>
      <c r="O100">
        <v>31778.567576024569</v>
      </c>
      <c r="P100">
        <v>16.185205305653639</v>
      </c>
      <c r="Q100">
        <v>26258.877087892462</v>
      </c>
      <c r="R100">
        <v>18.867521836963963</v>
      </c>
      <c r="S100">
        <v>30610.66742829033</v>
      </c>
      <c r="T100">
        <v>18.248506033325619</v>
      </c>
      <c r="U100">
        <v>29606.376188467482</v>
      </c>
      <c r="V100">
        <v>19.868810969036176</v>
      </c>
      <c r="W100">
        <v>32235.158916164288</v>
      </c>
      <c r="X100">
        <v>18.804655723094342</v>
      </c>
      <c r="Y100">
        <v>30508.673445148259</v>
      </c>
      <c r="Z100">
        <v>16.563732056330451</v>
      </c>
      <c r="AA100">
        <v>26872.998888190523</v>
      </c>
      <c r="AB100">
        <v>21.539334187488606</v>
      </c>
      <c r="AC100">
        <v>34945.415785781515</v>
      </c>
      <c r="AD100">
        <v>20.517686407845794</v>
      </c>
      <c r="AE100">
        <v>33287.894428089014</v>
      </c>
      <c r="AF100">
        <v>13.086348739178128</v>
      </c>
      <c r="AG100">
        <v>21231.292194442594</v>
      </c>
      <c r="AH100">
        <v>20.600707583453772</v>
      </c>
      <c r="AI100">
        <v>33422.587983395395</v>
      </c>
      <c r="AJ100">
        <v>17</v>
      </c>
      <c r="AK100">
        <v>27580.799999999999</v>
      </c>
      <c r="AL100">
        <v>14.695834551621779</v>
      </c>
      <c r="AM100">
        <v>23842.521976551172</v>
      </c>
      <c r="AN100">
        <v>15.661857215116111</v>
      </c>
      <c r="AO100">
        <v>25409.797145804376</v>
      </c>
      <c r="AP100">
        <v>11.404306915537363</v>
      </c>
      <c r="AQ100">
        <v>18502.347539767816</v>
      </c>
      <c r="AR100">
        <v>15.23163906096095</v>
      </c>
      <c r="AS100">
        <v>24711.811212503042</v>
      </c>
      <c r="AT100">
        <v>11.6855976041992</v>
      </c>
      <c r="AU100">
        <v>18958.713553052781</v>
      </c>
      <c r="AV100">
        <v>22.817010652071726</v>
      </c>
      <c r="AW100">
        <v>37018.318081921163</v>
      </c>
      <c r="AX100">
        <v>11.579948131882478</v>
      </c>
      <c r="AY100">
        <v>18787.307849166133</v>
      </c>
      <c r="AZ100">
        <v>12.236665842447698</v>
      </c>
      <c r="BA100">
        <v>19852.766662787144</v>
      </c>
      <c r="BB100">
        <v>23.78507582007872</v>
      </c>
      <c r="BC100">
        <v>38588.907010495714</v>
      </c>
      <c r="BD100">
        <v>14.551423934892656</v>
      </c>
      <c r="BE100">
        <v>23608.230191969844</v>
      </c>
      <c r="BF100">
        <v>13.774297088954416</v>
      </c>
      <c r="BG100">
        <v>22347.419597119642</v>
      </c>
      <c r="BH100">
        <v>13.683764422991825</v>
      </c>
      <c r="BI100">
        <v>22200.539399861933</v>
      </c>
      <c r="BJ100">
        <v>17.468900198721609</v>
      </c>
      <c r="BK100">
        <v>28341.543682405936</v>
      </c>
      <c r="BL100">
        <v>22.720248865696707</v>
      </c>
      <c r="BM100">
        <v>36861.331759706336</v>
      </c>
      <c r="BN100">
        <v>12.527191919459739</v>
      </c>
      <c r="BO100">
        <v>20324.116170131478</v>
      </c>
      <c r="BP100">
        <v>15.79630284759976</v>
      </c>
      <c r="BQ100">
        <v>25627.92173994585</v>
      </c>
      <c r="BR100">
        <v>14.672020180018189</v>
      </c>
      <c r="BS100">
        <v>23803.885540061507</v>
      </c>
      <c r="BT100">
        <v>16.056877175297277</v>
      </c>
      <c r="BU100">
        <v>26050.677529202301</v>
      </c>
      <c r="BV100">
        <v>16.86931937131212</v>
      </c>
      <c r="BW100">
        <v>27368.78374801678</v>
      </c>
      <c r="BX100">
        <v>20.278045846595703</v>
      </c>
      <c r="BY100">
        <v>32899.101581516865</v>
      </c>
      <c r="BZ100">
        <v>14.803759348621389</v>
      </c>
      <c r="CA100">
        <v>24017.619167203338</v>
      </c>
      <c r="CB100">
        <v>23.336715107361577</v>
      </c>
      <c r="CC100">
        <v>37861.48659018342</v>
      </c>
      <c r="CD100">
        <v>20.680062456427923</v>
      </c>
      <c r="CE100">
        <v>33551.333329308662</v>
      </c>
      <c r="CF100">
        <v>19.712311093064503</v>
      </c>
      <c r="CG100">
        <v>31981.253517387846</v>
      </c>
      <c r="CH100">
        <v>15.643773160725663</v>
      </c>
      <c r="CI100">
        <v>25380.457575961314</v>
      </c>
      <c r="CJ100">
        <v>21.311648944109471</v>
      </c>
      <c r="CK100">
        <v>34576.019246923206</v>
      </c>
      <c r="CL100">
        <v>15.649621392830307</v>
      </c>
      <c r="CM100">
        <v>25389.945747727888</v>
      </c>
      <c r="CN100">
        <v>17.514934964961043</v>
      </c>
      <c r="CO100">
        <v>28416.230487152792</v>
      </c>
      <c r="CP100">
        <v>15.389571532682535</v>
      </c>
      <c r="CQ100">
        <v>24968.040854624142</v>
      </c>
      <c r="CR100">
        <v>14.25239382062591</v>
      </c>
      <c r="CS100">
        <v>23123.083734583473</v>
      </c>
      <c r="CT100">
        <v>19.828669495127233</v>
      </c>
      <c r="CU100">
        <v>32170.033388894419</v>
      </c>
    </row>
    <row r="101" spans="2:99" x14ac:dyDescent="0.2">
      <c r="C101" s="118" t="s">
        <v>267</v>
      </c>
      <c r="D101">
        <v>14</v>
      </c>
      <c r="E101">
        <v>16665.599999999999</v>
      </c>
      <c r="F101">
        <v>18</v>
      </c>
      <c r="G101">
        <v>21427.199999999997</v>
      </c>
      <c r="H101">
        <v>21</v>
      </c>
      <c r="I101">
        <v>24998.399999999998</v>
      </c>
      <c r="J101">
        <v>12</v>
      </c>
      <c r="K101">
        <v>14284.8</v>
      </c>
      <c r="L101">
        <v>24</v>
      </c>
      <c r="M101">
        <v>28569.599999999999</v>
      </c>
      <c r="N101">
        <v>19.62001369522747</v>
      </c>
      <c r="O101">
        <v>23355.664302798777</v>
      </c>
      <c r="P101">
        <v>18.216072856595911</v>
      </c>
      <c r="Q101">
        <v>21684.413128491771</v>
      </c>
      <c r="R101">
        <v>18.754366814751275</v>
      </c>
      <c r="S101">
        <v>22325.198256279917</v>
      </c>
      <c r="T101">
        <v>19.248506033325619</v>
      </c>
      <c r="U101">
        <v>22913.421582070812</v>
      </c>
      <c r="V101">
        <v>19.914537862143344</v>
      </c>
      <c r="W101">
        <v>23706.265871095435</v>
      </c>
      <c r="X101">
        <v>22.766338783899375</v>
      </c>
      <c r="Y101">
        <v>27101.049688353814</v>
      </c>
      <c r="Z101">
        <v>16.523465480878276</v>
      </c>
      <c r="AA101">
        <v>19669.533308437498</v>
      </c>
      <c r="AB101">
        <v>20.577858058023505</v>
      </c>
      <c r="AC101">
        <v>24495.882232271179</v>
      </c>
      <c r="AD101">
        <v>20.517686407845794</v>
      </c>
      <c r="AE101">
        <v>24424.253899899632</v>
      </c>
      <c r="AF101">
        <v>12.950555146780863</v>
      </c>
      <c r="AG101">
        <v>15416.340846727937</v>
      </c>
      <c r="AH101">
        <v>22.640754755684021</v>
      </c>
      <c r="AI101">
        <v>26951.554461166255</v>
      </c>
      <c r="AJ101">
        <v>17</v>
      </c>
      <c r="AK101">
        <v>20236.8</v>
      </c>
      <c r="AL101">
        <v>15.728969530270435</v>
      </c>
      <c r="AM101">
        <v>18723.765328833924</v>
      </c>
      <c r="AN101">
        <v>15.661857215116111</v>
      </c>
      <c r="AO101">
        <v>18643.874828874217</v>
      </c>
      <c r="AP101">
        <v>11.342105851608538</v>
      </c>
      <c r="AQ101">
        <v>13501.642805754802</v>
      </c>
      <c r="AR101">
        <v>15.260593943581068</v>
      </c>
      <c r="AS101">
        <v>18166.211030438903</v>
      </c>
      <c r="AT101">
        <v>12.594184590305973</v>
      </c>
      <c r="AU101">
        <v>14992.117336300229</v>
      </c>
      <c r="AV101">
        <v>21.779873804250283</v>
      </c>
      <c r="AW101">
        <v>25926.761776579533</v>
      </c>
      <c r="AX101">
        <v>13.614062727875565</v>
      </c>
      <c r="AY101">
        <v>16206.180271263071</v>
      </c>
      <c r="AZ101">
        <v>13.276110149522315</v>
      </c>
      <c r="BA101">
        <v>15803.881521991363</v>
      </c>
      <c r="BB101">
        <v>20.78507582007872</v>
      </c>
      <c r="BC101">
        <v>24742.554256221705</v>
      </c>
      <c r="BD101">
        <v>16.574399932179848</v>
      </c>
      <c r="BE101">
        <v>19730.165679266887</v>
      </c>
      <c r="BF101">
        <v>14.774297088954416</v>
      </c>
      <c r="BG101">
        <v>17587.323254691335</v>
      </c>
      <c r="BH101">
        <v>12.717952644141416</v>
      </c>
      <c r="BI101">
        <v>15139.450827585941</v>
      </c>
      <c r="BJ101">
        <v>15.413735469460244</v>
      </c>
      <c r="BK101">
        <v>18348.510702845473</v>
      </c>
      <c r="BL101">
        <v>23.720248865696707</v>
      </c>
      <c r="BM101">
        <v>28236.584249725358</v>
      </c>
      <c r="BN101">
        <v>13.527191919459739</v>
      </c>
      <c r="BO101">
        <v>16102.769260924872</v>
      </c>
      <c r="BP101">
        <v>16.828154961503749</v>
      </c>
      <c r="BQ101">
        <v>20032.23566617406</v>
      </c>
      <c r="BR101">
        <v>13.597351271127279</v>
      </c>
      <c r="BS101">
        <v>16186.286953149911</v>
      </c>
      <c r="BT101">
        <v>17.059585612216196</v>
      </c>
      <c r="BU101">
        <v>20307.730712782159</v>
      </c>
      <c r="BV101">
        <v>17.956251308443331</v>
      </c>
      <c r="BW101">
        <v>21375.121557570939</v>
      </c>
      <c r="BX101">
        <v>21.308939829550781</v>
      </c>
      <c r="BY101">
        <v>25366.161973097245</v>
      </c>
      <c r="BZ101">
        <v>16.893065942912653</v>
      </c>
      <c r="CA101">
        <v>20109.505698443219</v>
      </c>
      <c r="CB101">
        <v>23.39283429192184</v>
      </c>
      <c r="CC101">
        <v>27846.829941103755</v>
      </c>
      <c r="CD101">
        <v>20.840077152058022</v>
      </c>
      <c r="CE101">
        <v>24808.027841809868</v>
      </c>
      <c r="CF101">
        <v>23.814069820645145</v>
      </c>
      <c r="CG101">
        <v>28348.268714495978</v>
      </c>
      <c r="CH101">
        <v>19.643773160725665</v>
      </c>
      <c r="CI101">
        <v>23383.947570527827</v>
      </c>
      <c r="CJ101">
        <v>24.311648944109471</v>
      </c>
      <c r="CK101">
        <v>28940.586903067913</v>
      </c>
      <c r="CL101">
        <v>15.685711470209768</v>
      </c>
      <c r="CM101">
        <v>18672.270934137705</v>
      </c>
      <c r="CN101">
        <v>17.588497102812621</v>
      </c>
      <c r="CO101">
        <v>20937.346951188141</v>
      </c>
      <c r="CP101">
        <v>17.417398070731288</v>
      </c>
      <c r="CQ101">
        <v>20733.670663398523</v>
      </c>
      <c r="CR101">
        <v>15.278961591218112</v>
      </c>
      <c r="CS101">
        <v>18188.075878186039</v>
      </c>
      <c r="CT101">
        <v>21.828669495127233</v>
      </c>
      <c r="CU101">
        <v>25984.848166999454</v>
      </c>
    </row>
    <row r="102" spans="2:99" x14ac:dyDescent="0.2">
      <c r="C102" s="118" t="s">
        <v>268</v>
      </c>
      <c r="D102">
        <v>12</v>
      </c>
      <c r="E102">
        <v>23270.399999999998</v>
      </c>
      <c r="F102">
        <v>16</v>
      </c>
      <c r="G102">
        <v>31027.199999999997</v>
      </c>
      <c r="H102">
        <v>20</v>
      </c>
      <c r="I102">
        <v>38784</v>
      </c>
      <c r="J102">
        <v>12</v>
      </c>
      <c r="K102">
        <v>23270.399999999998</v>
      </c>
      <c r="L102">
        <v>20</v>
      </c>
      <c r="M102">
        <v>38784</v>
      </c>
      <c r="N102">
        <v>20.652645994976286</v>
      </c>
      <c r="O102">
        <v>40049.611113458013</v>
      </c>
      <c r="P102">
        <v>15.169771530182501</v>
      </c>
      <c r="Q102">
        <v>29417.220951329902</v>
      </c>
      <c r="R102">
        <v>18.867521836963963</v>
      </c>
      <c r="S102">
        <v>36587.898346240516</v>
      </c>
      <c r="T102">
        <v>17.248506033325619</v>
      </c>
      <c r="U102">
        <v>33448.302899825037</v>
      </c>
      <c r="V102">
        <v>20.82308407592901</v>
      </c>
      <c r="W102">
        <v>40380.124640041533</v>
      </c>
      <c r="X102">
        <v>19.728021844704404</v>
      </c>
      <c r="Y102">
        <v>38256.579961250776</v>
      </c>
      <c r="Z102">
        <v>15.56373205633045</v>
      </c>
      <c r="AA102">
        <v>30181.189203636004</v>
      </c>
      <c r="AB102">
        <v>17.539334187488606</v>
      </c>
      <c r="AC102">
        <v>34012.276856377903</v>
      </c>
      <c r="AD102">
        <v>20.470624007132542</v>
      </c>
      <c r="AE102">
        <v>39696.634074631424</v>
      </c>
      <c r="AF102">
        <v>11.905290615981773</v>
      </c>
      <c r="AG102">
        <v>23086.739562511852</v>
      </c>
      <c r="AH102">
        <v>21.640754755684021</v>
      </c>
      <c r="AI102">
        <v>41965.751622222451</v>
      </c>
      <c r="AJ102">
        <v>17</v>
      </c>
      <c r="AK102">
        <v>32966.399999999994</v>
      </c>
      <c r="AL102">
        <v>13.662699572973123</v>
      </c>
      <c r="AM102">
        <v>26494.707011909479</v>
      </c>
      <c r="AN102">
        <v>14.661857215116111</v>
      </c>
      <c r="AO102">
        <v>28432.273511553161</v>
      </c>
      <c r="AP102">
        <v>12.342105851608538</v>
      </c>
      <c r="AQ102">
        <v>23933.811667439277</v>
      </c>
      <c r="AR102">
        <v>13.246116502271008</v>
      </c>
      <c r="AS102">
        <v>25686.869121203934</v>
      </c>
      <c r="AT102">
        <v>12.639891097252587</v>
      </c>
      <c r="AU102">
        <v>24511.276815792215</v>
      </c>
      <c r="AV102">
        <v>23.817010652071726</v>
      </c>
      <c r="AW102">
        <v>46185.947056497484</v>
      </c>
      <c r="AX102">
        <v>11.614062727875565</v>
      </c>
      <c r="AY102">
        <v>22521.990441896294</v>
      </c>
      <c r="AZ102">
        <v>14.276110149522315</v>
      </c>
      <c r="BA102">
        <v>27684.232801953673</v>
      </c>
      <c r="BB102">
        <v>20.743756040074576</v>
      </c>
      <c r="BC102">
        <v>40226.291712912614</v>
      </c>
      <c r="BD102">
        <v>14.505471940318268</v>
      </c>
      <c r="BE102">
        <v>28129.011186665182</v>
      </c>
      <c r="BF102">
        <v>14.725903520894764</v>
      </c>
      <c r="BG102">
        <v>28556.472107719124</v>
      </c>
      <c r="BH102">
        <v>11.649576201842233</v>
      </c>
      <c r="BI102">
        <v>22590.858170612457</v>
      </c>
      <c r="BJ102">
        <v>16.413735469460242</v>
      </c>
      <c r="BK102">
        <v>31829.5158223773</v>
      </c>
      <c r="BL102">
        <v>21.644433195623368</v>
      </c>
      <c r="BM102">
        <v>41972.884852952833</v>
      </c>
      <c r="BN102">
        <v>11.428343434561038</v>
      </c>
      <c r="BO102">
        <v>22161.843588300762</v>
      </c>
      <c r="BP102">
        <v>15.668894391983798</v>
      </c>
      <c r="BQ102">
        <v>30385.120004934979</v>
      </c>
      <c r="BR102">
        <v>14.634685725572734</v>
      </c>
      <c r="BS102">
        <v>28379.582559030641</v>
      </c>
      <c r="BT102">
        <v>19.065002486054031</v>
      </c>
      <c r="BU102">
        <v>36970.852820955974</v>
      </c>
      <c r="BV102">
        <v>14.86931937131212</v>
      </c>
      <c r="BW102">
        <v>28834.584124848461</v>
      </c>
      <c r="BX102">
        <v>20.308939829550781</v>
      </c>
      <c r="BY102">
        <v>39383.096117464869</v>
      </c>
      <c r="BZ102">
        <v>16.714452754330125</v>
      </c>
      <c r="CA102">
        <v>32412.666781196975</v>
      </c>
      <c r="CB102">
        <v>21.336715107361577</v>
      </c>
      <c r="CC102">
        <v>41376.157936195566</v>
      </c>
      <c r="CD102">
        <v>18.800073478150498</v>
      </c>
      <c r="CE102">
        <v>36457.102488829441</v>
      </c>
      <c r="CF102">
        <v>20.746230668924717</v>
      </c>
      <c r="CG102">
        <v>40231.090513178809</v>
      </c>
      <c r="CH102">
        <v>15.608007985129793</v>
      </c>
      <c r="CI102">
        <v>30267.049084763694</v>
      </c>
      <c r="CJ102">
        <v>20.287675948408744</v>
      </c>
      <c r="CK102">
        <v>39341.861199154235</v>
      </c>
      <c r="CL102">
        <v>12.72180154758923</v>
      </c>
      <c r="CM102">
        <v>24670.117561085033</v>
      </c>
      <c r="CN102">
        <v>17.551716033886834</v>
      </c>
      <c r="CO102">
        <v>34036.287732913348</v>
      </c>
      <c r="CP102">
        <v>15.361744994633783</v>
      </c>
      <c r="CQ102">
        <v>29789.49589359383</v>
      </c>
      <c r="CR102">
        <v>13.265677705922011</v>
      </c>
      <c r="CS102">
        <v>25724.802207323963</v>
      </c>
      <c r="CT102">
        <v>18.866336290360291</v>
      </c>
      <c r="CU102">
        <v>36585.59933426667</v>
      </c>
    </row>
    <row r="103" spans="2:99" x14ac:dyDescent="0.2">
      <c r="C103" s="118" t="s">
        <v>269</v>
      </c>
      <c r="D103">
        <v>13</v>
      </c>
      <c r="E103">
        <v>26364</v>
      </c>
      <c r="F103">
        <v>16</v>
      </c>
      <c r="G103">
        <v>32448</v>
      </c>
      <c r="H103">
        <v>20</v>
      </c>
      <c r="I103">
        <v>40560</v>
      </c>
      <c r="J103">
        <v>12</v>
      </c>
      <c r="K103">
        <v>24336</v>
      </c>
      <c r="L103">
        <v>19</v>
      </c>
      <c r="M103">
        <v>38532</v>
      </c>
      <c r="N103">
        <v>21.587381395478655</v>
      </c>
      <c r="O103">
        <v>43779.209470030713</v>
      </c>
      <c r="P103">
        <v>15.169771530182501</v>
      </c>
      <c r="Q103">
        <v>30764.296663210112</v>
      </c>
      <c r="R103">
        <v>19.754366814751275</v>
      </c>
      <c r="S103">
        <v>40061.85590031559</v>
      </c>
      <c r="T103">
        <v>18.248506033325619</v>
      </c>
      <c r="U103">
        <v>37007.970235584355</v>
      </c>
      <c r="V103">
        <v>20.82308407592901</v>
      </c>
      <c r="W103">
        <v>42229.214505984033</v>
      </c>
      <c r="X103">
        <v>17.766338783899375</v>
      </c>
      <c r="Y103">
        <v>36030.13505374793</v>
      </c>
      <c r="Z103">
        <v>16.523465480878276</v>
      </c>
      <c r="AA103">
        <v>33509.58799522114</v>
      </c>
      <c r="AB103">
        <v>17.539334187488606</v>
      </c>
      <c r="AC103">
        <v>35569.769732226894</v>
      </c>
      <c r="AD103">
        <v>21.470624007132542</v>
      </c>
      <c r="AE103">
        <v>43542.425486464796</v>
      </c>
      <c r="AF103">
        <v>10.905290615981773</v>
      </c>
      <c r="AG103">
        <v>22115.929369211037</v>
      </c>
      <c r="AH103">
        <v>20.640754755684021</v>
      </c>
      <c r="AI103">
        <v>41859.450644527198</v>
      </c>
      <c r="AJ103">
        <v>15</v>
      </c>
      <c r="AK103">
        <v>30420</v>
      </c>
      <c r="AL103">
        <v>13.629564594324467</v>
      </c>
      <c r="AM103">
        <v>27640.75699729002</v>
      </c>
      <c r="AN103">
        <v>13.614581699750675</v>
      </c>
      <c r="AO103">
        <v>27610.371687094368</v>
      </c>
      <c r="AP103">
        <v>12.373206383572951</v>
      </c>
      <c r="AQ103">
        <v>25092.862545885946</v>
      </c>
      <c r="AR103">
        <v>12.23163906096095</v>
      </c>
      <c r="AS103">
        <v>24805.764015628807</v>
      </c>
      <c r="AT103">
        <v>11.594184590305973</v>
      </c>
      <c r="AU103">
        <v>23513.006349140513</v>
      </c>
      <c r="AV103">
        <v>20.779873804250283</v>
      </c>
      <c r="AW103">
        <v>42141.584075019571</v>
      </c>
      <c r="AX103">
        <v>13.545833535889392</v>
      </c>
      <c r="AY103">
        <v>27470.950410783687</v>
      </c>
      <c r="AZ103">
        <v>12.256387995985007</v>
      </c>
      <c r="BA103">
        <v>24855.954855857592</v>
      </c>
      <c r="BB103">
        <v>22.743756040074576</v>
      </c>
      <c r="BC103">
        <v>46124.337249271237</v>
      </c>
      <c r="BD103">
        <v>14.482495943031074</v>
      </c>
      <c r="BE103">
        <v>29370.501772467018</v>
      </c>
      <c r="BF103">
        <v>15.774297088954416</v>
      </c>
      <c r="BG103">
        <v>31990.274496399557</v>
      </c>
      <c r="BH103">
        <v>12.649576201842233</v>
      </c>
      <c r="BI103">
        <v>25653.340537336047</v>
      </c>
      <c r="BJ103">
        <v>14.441317834090926</v>
      </c>
      <c r="BK103">
        <v>29286.992567536399</v>
      </c>
      <c r="BL103">
        <v>19.606525360586698</v>
      </c>
      <c r="BM103">
        <v>39762.033431269825</v>
      </c>
      <c r="BN103">
        <v>12.461292929527271</v>
      </c>
      <c r="BO103">
        <v>25271.502061081308</v>
      </c>
      <c r="BP103">
        <v>16.668894391983798</v>
      </c>
      <c r="BQ103">
        <v>33804.517826943142</v>
      </c>
      <c r="BR103">
        <v>14.560016816681824</v>
      </c>
      <c r="BS103">
        <v>29527.714104230738</v>
      </c>
      <c r="BT103">
        <v>15.05416873837836</v>
      </c>
      <c r="BU103">
        <v>30529.854201431313</v>
      </c>
      <c r="BV103">
        <v>14.86931937131212</v>
      </c>
      <c r="BW103">
        <v>30154.979685020979</v>
      </c>
      <c r="BX103">
        <v>19.278045846595703</v>
      </c>
      <c r="BY103">
        <v>39095.876976896085</v>
      </c>
      <c r="BZ103">
        <v>14.803759348621389</v>
      </c>
      <c r="CA103">
        <v>30022.023959004178</v>
      </c>
      <c r="CB103">
        <v>20.308655515081448</v>
      </c>
      <c r="CC103">
        <v>41185.953384585177</v>
      </c>
      <c r="CD103">
        <v>19.760069804242974</v>
      </c>
      <c r="CE103">
        <v>40073.421563004755</v>
      </c>
      <c r="CF103">
        <v>17.746230668924717</v>
      </c>
      <c r="CG103">
        <v>35989.35579657933</v>
      </c>
      <c r="CH103">
        <v>17.536477633938052</v>
      </c>
      <c r="CI103">
        <v>35563.976641626366</v>
      </c>
      <c r="CJ103">
        <v>22.263702952708016</v>
      </c>
      <c r="CK103">
        <v>45150.789588091859</v>
      </c>
      <c r="CL103">
        <v>12.577441238071383</v>
      </c>
      <c r="CM103">
        <v>25507.050830808766</v>
      </c>
      <c r="CN103">
        <v>17.514934964961043</v>
      </c>
      <c r="CO103">
        <v>35520.288108940993</v>
      </c>
      <c r="CP103">
        <v>14.33391845658503</v>
      </c>
      <c r="CQ103">
        <v>29069.186629954442</v>
      </c>
      <c r="CR103">
        <v>14.292245476514212</v>
      </c>
      <c r="CS103">
        <v>28984.673826370821</v>
      </c>
      <c r="CT103">
        <v>20.828669495127233</v>
      </c>
      <c r="CU103">
        <v>42240.54173611803</v>
      </c>
    </row>
    <row r="104" spans="2:99" x14ac:dyDescent="0.2">
      <c r="C104" s="118" t="s">
        <v>270</v>
      </c>
      <c r="D104">
        <v>12</v>
      </c>
      <c r="E104">
        <v>24868.800000000003</v>
      </c>
      <c r="F104">
        <v>15</v>
      </c>
      <c r="G104">
        <v>31086</v>
      </c>
      <c r="H104">
        <v>21</v>
      </c>
      <c r="I104">
        <v>43520.4</v>
      </c>
      <c r="J104">
        <v>11</v>
      </c>
      <c r="K104">
        <v>22796.400000000001</v>
      </c>
      <c r="L104">
        <v>19</v>
      </c>
      <c r="M104">
        <v>39375.599999999999</v>
      </c>
      <c r="N104">
        <v>19.652645994976286</v>
      </c>
      <c r="O104">
        <v>40728.143559988857</v>
      </c>
      <c r="P104">
        <v>16.200639081124773</v>
      </c>
      <c r="Q104">
        <v>33574.204431722981</v>
      </c>
      <c r="R104">
        <v>18.754366814751275</v>
      </c>
      <c r="S104">
        <v>38866.549786890544</v>
      </c>
      <c r="T104">
        <v>18.213005171421958</v>
      </c>
      <c r="U104">
        <v>37744.631917254868</v>
      </c>
      <c r="V104">
        <v>19.868810969036176</v>
      </c>
      <c r="W104">
        <v>41176.123852230572</v>
      </c>
      <c r="X104">
        <v>18.804655723094342</v>
      </c>
      <c r="Y104">
        <v>38970.768520540718</v>
      </c>
      <c r="Z104">
        <v>15.523465480878276</v>
      </c>
      <c r="AA104">
        <v>32170.82986257214</v>
      </c>
      <c r="AB104">
        <v>20.577858058023505</v>
      </c>
      <c r="AC104">
        <v>42645.553039447914</v>
      </c>
      <c r="AD104">
        <v>19.541217608202423</v>
      </c>
      <c r="AE104">
        <v>40497.219371238702</v>
      </c>
      <c r="AF104">
        <v>11.905290615981773</v>
      </c>
      <c r="AG104">
        <v>24672.524272560626</v>
      </c>
      <c r="AH104">
        <v>19.56066041122352</v>
      </c>
      <c r="AI104">
        <v>40537.512636219624</v>
      </c>
      <c r="AJ104">
        <v>18</v>
      </c>
      <c r="AK104">
        <v>37303.200000000004</v>
      </c>
      <c r="AL104">
        <v>15.629564594324467</v>
      </c>
      <c r="AM104">
        <v>32390.709665278027</v>
      </c>
      <c r="AN104">
        <v>13.614581699750675</v>
      </c>
      <c r="AO104">
        <v>28214.8591145633</v>
      </c>
      <c r="AP104">
        <v>11.373206383572951</v>
      </c>
      <c r="AQ104">
        <v>23569.832909316585</v>
      </c>
      <c r="AR104">
        <v>13.20268417834083</v>
      </c>
      <c r="AS104">
        <v>27361.242691193536</v>
      </c>
      <c r="AT104">
        <v>12.54847808335936</v>
      </c>
      <c r="AU104">
        <v>26005.465979953937</v>
      </c>
      <c r="AV104">
        <v>22.817010652071726</v>
      </c>
      <c r="AW104">
        <v>47285.972875353451</v>
      </c>
      <c r="AX104">
        <v>11.545833535889392</v>
      </c>
      <c r="AY104">
        <v>23927.585419777177</v>
      </c>
      <c r="AZ104">
        <v>12.276110149522315</v>
      </c>
      <c r="BA104">
        <v>25441.010673870049</v>
      </c>
      <c r="BB104">
        <v>22.619796700062146</v>
      </c>
      <c r="BC104">
        <v>46877.266681208792</v>
      </c>
      <c r="BD104">
        <v>14.482495943031074</v>
      </c>
      <c r="BE104">
        <v>30013.524592337599</v>
      </c>
      <c r="BF104">
        <v>14.725903520894764</v>
      </c>
      <c r="BG104">
        <v>30517.962456702309</v>
      </c>
      <c r="BH104">
        <v>12.683764422991825</v>
      </c>
      <c r="BI104">
        <v>26285.83339020826</v>
      </c>
      <c r="BJ104">
        <v>16.413735469460242</v>
      </c>
      <c r="BK104">
        <v>34015.825386909404</v>
      </c>
      <c r="BL104">
        <v>21.644433195623368</v>
      </c>
      <c r="BM104">
        <v>44855.923354609869</v>
      </c>
      <c r="BN104">
        <v>13.494242424493505</v>
      </c>
      <c r="BO104">
        <v>27965.468000520341</v>
      </c>
      <c r="BP104">
        <v>15.732598619791778</v>
      </c>
      <c r="BQ104">
        <v>32604.237379656483</v>
      </c>
      <c r="BR104">
        <v>12.560016816681824</v>
      </c>
      <c r="BS104">
        <v>26029.378850891411</v>
      </c>
      <c r="BT104">
        <v>18.054168738378358</v>
      </c>
      <c r="BU104">
        <v>37415.459293415312</v>
      </c>
      <c r="BV104">
        <v>16.999717277008937</v>
      </c>
      <c r="BW104">
        <v>35230.214084873325</v>
      </c>
      <c r="BX104">
        <v>19.308939829550781</v>
      </c>
      <c r="BY104">
        <v>40015.846902761041</v>
      </c>
      <c r="BZ104">
        <v>15.848412645767022</v>
      </c>
      <c r="CA104">
        <v>32844.250367087574</v>
      </c>
      <c r="CB104">
        <v>18.336715107361577</v>
      </c>
      <c r="CC104">
        <v>38001.008388496135</v>
      </c>
      <c r="CD104">
        <v>17.720066130335447</v>
      </c>
      <c r="CE104">
        <v>36723.065048507182</v>
      </c>
      <c r="CF104">
        <v>20.746230668924717</v>
      </c>
      <c r="CG104">
        <v>42994.488438279586</v>
      </c>
      <c r="CH104">
        <v>17.536477633938052</v>
      </c>
      <c r="CI104">
        <v>36342.596248573223</v>
      </c>
      <c r="CJ104">
        <v>19.263702952708016</v>
      </c>
      <c r="CK104">
        <v>39922.09799919209</v>
      </c>
      <c r="CL104">
        <v>13.685711470209768</v>
      </c>
      <c r="CM104">
        <v>28362.268450862724</v>
      </c>
      <c r="CN104">
        <v>16.588497102812621</v>
      </c>
      <c r="CO104">
        <v>34378.00139586888</v>
      </c>
      <c r="CP104">
        <v>14.389571532682535</v>
      </c>
      <c r="CQ104">
        <v>29820.948044331286</v>
      </c>
      <c r="CR104">
        <v>14.239109935329809</v>
      </c>
      <c r="CS104">
        <v>29509.131429977497</v>
      </c>
      <c r="CT104">
        <v>20.828669495127233</v>
      </c>
      <c r="CU104">
        <v>43165.33466170168</v>
      </c>
    </row>
    <row r="105" spans="2:99" x14ac:dyDescent="0.2">
      <c r="C105" s="118" t="s">
        <v>271</v>
      </c>
      <c r="D105">
        <v>13</v>
      </c>
      <c r="E105">
        <v>25974</v>
      </c>
      <c r="F105">
        <v>16</v>
      </c>
      <c r="G105">
        <v>31968</v>
      </c>
      <c r="H105">
        <v>19</v>
      </c>
      <c r="I105">
        <v>37962</v>
      </c>
      <c r="J105">
        <v>11</v>
      </c>
      <c r="K105">
        <v>21978</v>
      </c>
      <c r="L105">
        <v>20</v>
      </c>
      <c r="M105">
        <v>39960</v>
      </c>
      <c r="N105">
        <v>18.554749095729843</v>
      </c>
      <c r="O105">
        <v>37072.388693268229</v>
      </c>
      <c r="P105">
        <v>17.185205305653639</v>
      </c>
      <c r="Q105">
        <v>34336.04020069597</v>
      </c>
      <c r="R105">
        <v>18.754366814751275</v>
      </c>
      <c r="S105">
        <v>37471.224895873049</v>
      </c>
      <c r="T105">
        <v>16.213005171421958</v>
      </c>
      <c r="U105">
        <v>32393.584332501072</v>
      </c>
      <c r="V105">
        <v>21.777357182821842</v>
      </c>
      <c r="W105">
        <v>43511.159651278038</v>
      </c>
      <c r="X105">
        <v>17.728021844704404</v>
      </c>
      <c r="Y105">
        <v>35420.587645719403</v>
      </c>
      <c r="Z105">
        <v>14.523465480878276</v>
      </c>
      <c r="AA105">
        <v>29017.884030794794</v>
      </c>
      <c r="AB105">
        <v>20.616381928558408</v>
      </c>
      <c r="AC105">
        <v>41191.531093259699</v>
      </c>
      <c r="AD105">
        <v>20.470624007132542</v>
      </c>
      <c r="AE105">
        <v>40900.306766250818</v>
      </c>
      <c r="AF105">
        <v>11.04108420837904</v>
      </c>
      <c r="AG105">
        <v>22060.086248341322</v>
      </c>
      <c r="AH105">
        <v>20.640754755684021</v>
      </c>
      <c r="AI105">
        <v>41240.228001856674</v>
      </c>
      <c r="AJ105">
        <v>17</v>
      </c>
      <c r="AK105">
        <v>33966</v>
      </c>
      <c r="AL105">
        <v>13.662699572973123</v>
      </c>
      <c r="AM105">
        <v>27298.073746800299</v>
      </c>
      <c r="AN105">
        <v>13.661857215116111</v>
      </c>
      <c r="AO105">
        <v>27296.39071580199</v>
      </c>
      <c r="AP105">
        <v>11.373206383572951</v>
      </c>
      <c r="AQ105">
        <v>22723.666354378754</v>
      </c>
      <c r="AR105">
        <v>12.246116502271008</v>
      </c>
      <c r="AS105">
        <v>24467.740771537472</v>
      </c>
      <c r="AT105">
        <v>13.54847808335936</v>
      </c>
      <c r="AU105">
        <v>27069.859210552</v>
      </c>
      <c r="AV105">
        <v>20.817010652071726</v>
      </c>
      <c r="AW105">
        <v>41592.387282839307</v>
      </c>
      <c r="AX105">
        <v>11.579948131882478</v>
      </c>
      <c r="AY105">
        <v>23136.736367501191</v>
      </c>
      <c r="AZ105">
        <v>13.276110149522315</v>
      </c>
      <c r="BA105">
        <v>26525.668078745588</v>
      </c>
      <c r="BB105">
        <v>18.702436260070435</v>
      </c>
      <c r="BC105">
        <v>37367.467647620731</v>
      </c>
      <c r="BD105">
        <v>16.505471940318266</v>
      </c>
      <c r="BE105">
        <v>32977.932936755897</v>
      </c>
      <c r="BF105">
        <v>14.725903520894764</v>
      </c>
      <c r="BG105">
        <v>29422.355234747738</v>
      </c>
      <c r="BH105">
        <v>12.717952644141416</v>
      </c>
      <c r="BI105">
        <v>25410.46938299455</v>
      </c>
      <c r="BJ105">
        <v>14.441317834090926</v>
      </c>
      <c r="BK105">
        <v>28853.753032513669</v>
      </c>
      <c r="BL105">
        <v>18.644433195623368</v>
      </c>
      <c r="BM105">
        <v>37251.577524855486</v>
      </c>
      <c r="BN105">
        <v>13.428343434561038</v>
      </c>
      <c r="BO105">
        <v>26829.830182252954</v>
      </c>
      <c r="BP105">
        <v>15.668894391983798</v>
      </c>
      <c r="BQ105">
        <v>31306.45099518363</v>
      </c>
      <c r="BR105">
        <v>14.560016816681824</v>
      </c>
      <c r="BS105">
        <v>29090.913599730284</v>
      </c>
      <c r="BT105">
        <v>16.065002486054031</v>
      </c>
      <c r="BU105">
        <v>32097.874967135955</v>
      </c>
      <c r="BV105">
        <v>16.999717277008937</v>
      </c>
      <c r="BW105">
        <v>33965.435119463858</v>
      </c>
      <c r="BX105">
        <v>21.262598855118163</v>
      </c>
      <c r="BY105">
        <v>42482.672512526093</v>
      </c>
      <c r="BZ105">
        <v>14.759106051475756</v>
      </c>
      <c r="CA105">
        <v>29488.693890848561</v>
      </c>
      <c r="CB105">
        <v>22.308655515081448</v>
      </c>
      <c r="CC105">
        <v>44572.693719132731</v>
      </c>
      <c r="CD105">
        <v>19.720066130335447</v>
      </c>
      <c r="CE105">
        <v>39400.692128410221</v>
      </c>
      <c r="CF105">
        <v>17.814069820645145</v>
      </c>
      <c r="CG105">
        <v>35592.511501649002</v>
      </c>
      <c r="CH105">
        <v>16.536477633938052</v>
      </c>
      <c r="CI105">
        <v>33039.882312608228</v>
      </c>
      <c r="CJ105">
        <v>22.311648944109471</v>
      </c>
      <c r="CK105">
        <v>44578.674590330724</v>
      </c>
      <c r="CL105">
        <v>12.685711470209768</v>
      </c>
      <c r="CM105">
        <v>25346.051517479114</v>
      </c>
      <c r="CN105">
        <v>17.551716033886834</v>
      </c>
      <c r="CO105">
        <v>35068.328635705897</v>
      </c>
      <c r="CP105">
        <v>16.333918456585028</v>
      </c>
      <c r="CQ105">
        <v>32635.169076256887</v>
      </c>
      <c r="CR105">
        <v>14.239109935329809</v>
      </c>
      <c r="CS105">
        <v>28449.741650788957</v>
      </c>
      <c r="CT105">
        <v>19.866336290360291</v>
      </c>
      <c r="CU105">
        <v>39692.939908139859</v>
      </c>
    </row>
    <row r="107" spans="2:99" x14ac:dyDescent="0.2">
      <c r="B107" s="121" t="s">
        <v>276</v>
      </c>
    </row>
    <row r="108" spans="2:99" x14ac:dyDescent="0.2">
      <c r="C108" s="118" t="s">
        <v>277</v>
      </c>
      <c r="D108" s="118" t="s">
        <v>92</v>
      </c>
      <c r="E108" s="118" t="s">
        <v>93</v>
      </c>
      <c r="F108" s="118" t="s">
        <v>94</v>
      </c>
      <c r="G108" s="118" t="s">
        <v>95</v>
      </c>
      <c r="H108" s="118" t="s">
        <v>96</v>
      </c>
      <c r="I108" s="118" t="s">
        <v>97</v>
      </c>
      <c r="J108" s="118" t="s">
        <v>98</v>
      </c>
      <c r="K108" s="118" t="s">
        <v>99</v>
      </c>
      <c r="L108" s="118" t="s">
        <v>100</v>
      </c>
      <c r="M108" s="118" t="s">
        <v>101</v>
      </c>
      <c r="N108" s="118" t="s">
        <v>102</v>
      </c>
      <c r="O108" s="118" t="s">
        <v>103</v>
      </c>
    </row>
    <row r="109" spans="2:99" x14ac:dyDescent="0.2">
      <c r="C109" s="118" t="s">
        <v>126</v>
      </c>
      <c r="D109">
        <f>SUM(D$6:D$19)+SUM(F$6:F$19)+SUM(H$6:H$19)+SUM(J$6:J$19)</f>
        <v>1162.8607547291435</v>
      </c>
      <c r="E109">
        <f>SUM(L$6:L$19)+SUM(N$6:N$19)+SUM(P$6:P$19)+SUM(R$6:R$19)</f>
        <v>1268</v>
      </c>
      <c r="F109">
        <f>SUM(T$6:T$19)+SUM(V$6:V$19)+SUM(X$6:X$19)+SUM(Z$6:Z$19)</f>
        <v>1223</v>
      </c>
      <c r="G109">
        <f>SUM(AB$6:AB$19)+SUM(AD$6:AD$19)+SUM(AF$6:AF$19)+SUM(AH$6:AH$19)</f>
        <v>1275</v>
      </c>
      <c r="H109">
        <f>SUM(AJ$6:AJ$19)+SUM(AL$6:AL$19)+SUM(AN$6:AN$19)+SUM(AP$6:AP$19)</f>
        <v>1178</v>
      </c>
      <c r="I109">
        <f>SUM(AR$6:AR$19)+SUM(AT$6:AT$19)+SUM(AV$6:AV$19)+SUM(AX$6:AX$19)</f>
        <v>1254</v>
      </c>
      <c r="J109">
        <f>SUM(AZ$6:AZ$19)+SUM(BB$6:BB$19)+SUM(BD$6:BD$19)+SUM(BF$6:BF$19)</f>
        <v>1455</v>
      </c>
      <c r="K109">
        <f>SUM(BH$6:BH$19)+SUM(BJ$6:BJ$19)+SUM(BL$6:BL$19)+SUM(BN$6:BN$19)</f>
        <v>1429</v>
      </c>
      <c r="L109">
        <f>SUM(BP$6:BP$19)+SUM(BR$6:BR$19)+SUM(BT$6:BT$19)+SUM(BV$6:BV$19)</f>
        <v>1237</v>
      </c>
      <c r="M109">
        <f>SUM(BX$6:BX$19)+SUM(BZ$6:BZ$19)+SUM(CB$6:CB$19)+SUM(CD$6:CD$19)</f>
        <v>1279</v>
      </c>
      <c r="N109">
        <f>SUM(CF$6:CF$19)+SUM(CH$6:CH$19)+SUM(CJ$6:CJ$19)+SUM(CL$6:CL$19)</f>
        <v>1450</v>
      </c>
      <c r="O109">
        <f>SUM(CN$6:CN$19)+SUM(CP$6:CP$19)+SUM(CR$6:CR$19)+SUM(CT$6:CT$19)</f>
        <v>1232</v>
      </c>
    </row>
    <row r="110" spans="2:99" x14ac:dyDescent="0.2">
      <c r="C110" s="118" t="s">
        <v>127</v>
      </c>
      <c r="D110">
        <f>SUM(D$20:D$36)+SUM(F$20:F$36)+SUM(H$20:H$36)+SUM(J$20:J$36)</f>
        <v>946.70037354219505</v>
      </c>
      <c r="E110">
        <f>SUM(L$20:L$36)+SUM(N$20:N$36)+SUM(P$20:P$36)+SUM(R$20:R$36)</f>
        <v>1260</v>
      </c>
      <c r="F110">
        <f>SUM(T$20:T$36)+SUM(V$20:V$36)+SUM(X$20:X$36)+SUM(Z$20:Z$36)</f>
        <v>1432</v>
      </c>
      <c r="G110">
        <f>SUM(AB$20:AB$36)+SUM(AD$20:AD$36)+SUM(AF$20:AF$36)+SUM(AH$20:AH$36)</f>
        <v>1261</v>
      </c>
      <c r="H110">
        <f>SUM(AJ$20:AJ$36)+SUM(AL$20:AL$36)+SUM(AN$20:AN$36)+SUM(AP$20:AP$36)</f>
        <v>1484</v>
      </c>
      <c r="I110">
        <f>SUM(AR$20:AR$36)+SUM(AT$20:AT$36)+SUM(AV$20:AV$36)+SUM(AX$20:AX$36)</f>
        <v>1185</v>
      </c>
      <c r="J110">
        <f>SUM(AZ$20:AZ$36)+SUM(BB$20:BB$36)+SUM(BD$20:BD$36)+SUM(BF$20:BF$36)</f>
        <v>1371</v>
      </c>
      <c r="K110">
        <f>SUM(BH$20:BH$36)+SUM(BJ$20:BJ$36)+SUM(BL$20:BL$36)+SUM(BN$20:BN$36)</f>
        <v>1148</v>
      </c>
      <c r="L110">
        <f>SUM(BP$20:BP$36)+SUM(BR$20:BR$36)+SUM(BT$20:BT$36)+SUM(BV$20:BV$36)</f>
        <v>1372</v>
      </c>
      <c r="M110">
        <f>SUM(BX$20:BX$36)+SUM(BZ$20:BZ$36)+SUM(CB$20:CB$36)+SUM(CD$20:CD$36)</f>
        <v>1385</v>
      </c>
      <c r="N110">
        <f>SUM(CF$20:CF$36)+SUM(CH$20:CH$36)+SUM(CJ$20:CJ$36)+SUM(CL$20:CL$36)</f>
        <v>1364</v>
      </c>
      <c r="O110">
        <f>SUM(CN$20:CN$36)+SUM(CP$20:CP$36)+SUM(CR$20:CR$36)+SUM(CT$20:CT$36)</f>
        <v>1406</v>
      </c>
    </row>
    <row r="111" spans="2:99" x14ac:dyDescent="0.2">
      <c r="C111" s="118" t="s">
        <v>128</v>
      </c>
      <c r="D111">
        <f>SUM(D$37:D$48)+SUM(F$37:F$48)+SUM(H$37:H$48)+SUM(J$37:J$48)</f>
        <v>1153.1303376257322</v>
      </c>
      <c r="E111">
        <f>SUM(L$37:L$48)+SUM(N$37:N$48)+SUM(P$37:P$48)+SUM(R$37:R$48)</f>
        <v>1106</v>
      </c>
      <c r="F111">
        <f>SUM(T$37:T$48)+SUM(V$37:V$48)+SUM(X$37:X$48)+SUM(Z$37:Z$48)</f>
        <v>1141</v>
      </c>
      <c r="G111">
        <f>SUM(AB$37:AB$48)+SUM(AD$37:AD$48)+SUM(AF$37:AF$48)+SUM(AH$37:AH$48)</f>
        <v>1005</v>
      </c>
      <c r="H111">
        <f>SUM(AJ$37:AJ$48)+SUM(AL$37:AL$48)+SUM(AN$37:AN$48)+SUM(AP$37:AP$48)</f>
        <v>904</v>
      </c>
      <c r="I111">
        <f>SUM(AR$37:AR$48)+SUM(AT$37:AT$48)+SUM(AV$37:AV$48)+SUM(AX$37:AX$48)</f>
        <v>941</v>
      </c>
      <c r="J111">
        <f>SUM(AZ$37:AZ$48)+SUM(BB$37:BB$48)+SUM(BD$37:BD$48)+SUM(BF$37:BF$48)</f>
        <v>1123</v>
      </c>
      <c r="K111">
        <f>SUM(BH$37:BH$48)+SUM(BJ$37:BJ$48)+SUM(BL$37:BL$48)+SUM(BN$37:BN$48)</f>
        <v>1230</v>
      </c>
      <c r="L111">
        <f>SUM(BP$37:BP$48)+SUM(BR$37:BR$48)+SUM(BT$37:BT$48)+SUM(BV$37:BV$48)</f>
        <v>1175</v>
      </c>
      <c r="M111">
        <f>SUM(BX$37:BX$48)+SUM(BZ$37:BZ$48)+SUM(CB$37:CB$48)+SUM(CD$37:CD$48)</f>
        <v>1247</v>
      </c>
      <c r="N111">
        <f>SUM(CF$37:CF$48)+SUM(CH$37:CH$48)+SUM(CJ$37:CJ$48)+SUM(CL$37:CL$48)</f>
        <v>1057</v>
      </c>
      <c r="O111">
        <f>SUM(CN$37:CN$48)+SUM(CP$37:CP$48)+SUM(CR$37:CR$48)+SUM(CT$37:CT$48)</f>
        <v>1144</v>
      </c>
    </row>
    <row r="112" spans="2:99" x14ac:dyDescent="0.2">
      <c r="C112" s="118" t="s">
        <v>129</v>
      </c>
      <c r="D112">
        <f>SUM(D$49:D$70)+SUM(F$49:F$70)+SUM(H$49:H$70)+SUM(J$49:J$70)</f>
        <v>1329.8658597275089</v>
      </c>
      <c r="E112">
        <f>SUM(L$49:L$70)+SUM(N$49:N$70)+SUM(P$49:P$70)+SUM(R$49:R$70)</f>
        <v>1447.2284899326357</v>
      </c>
      <c r="F112">
        <f>SUM(T$49:T$70)+SUM(V$49:V$70)+SUM(X$49:X$70)+SUM(Z$49:Z$70)</f>
        <v>1435.003254997489</v>
      </c>
      <c r="G112">
        <f>SUM(AB$49:AB$70)+SUM(AD$49:AD$70)+SUM(AF$49:AF$70)+SUM(AH$49:AH$70)</f>
        <v>1261.8207057503009</v>
      </c>
      <c r="H112">
        <f>SUM(AJ$49:AJ$70)+SUM(AL$49:AL$70)+SUM(AN$49:AN$70)+SUM(AP$49:AP$70)</f>
        <v>1338.5975611429628</v>
      </c>
      <c r="I112">
        <f>SUM(AR$49:AR$70)+SUM(AT$49:AT$70)+SUM(AV$49:AV$70)+SUM(AX$49:AX$70)</f>
        <v>1283.6044052173311</v>
      </c>
      <c r="J112">
        <f>SUM(AZ$49:AZ$70)+SUM(BB$49:BB$70)+SUM(BD$49:BD$70)+SUM(BF$49:BF$70)</f>
        <v>1330.1540663477513</v>
      </c>
      <c r="K112">
        <f>SUM(BH$49:BH$70)+SUM(BJ$49:BJ$70)+SUM(BL$49:BL$70)+SUM(BN$49:BN$70)</f>
        <v>1206.9776711514198</v>
      </c>
      <c r="L112">
        <f>SUM(BP$49:BP$70)+SUM(BR$49:BR$70)+SUM(BT$49:BT$70)+SUM(BV$49:BV$70)</f>
        <v>1202.0015966672161</v>
      </c>
      <c r="M112">
        <f>SUM(BX$49:BX$70)+SUM(BZ$49:BZ$70)+SUM(CB$49:CB$70)+SUM(CD$49:CD$70)</f>
        <v>1195.9128709981239</v>
      </c>
      <c r="N112">
        <f>SUM(CF$49:CF$70)+SUM(CH$49:CH$70)+SUM(CJ$49:CJ$70)+SUM(CL$49:CL$70)</f>
        <v>1222.6189324076815</v>
      </c>
      <c r="O112">
        <f>SUM(CN$49:CN$70)+SUM(CP$49:CP$70)+SUM(CR$49:CR$70)+SUM(CT$49:CT$70)</f>
        <v>1330.940278384523</v>
      </c>
    </row>
    <row r="113" spans="2:15" x14ac:dyDescent="0.2">
      <c r="C113" s="118" t="s">
        <v>130</v>
      </c>
      <c r="D113">
        <f>SUM(D$71:D$86)+SUM(F$71:F$86)+SUM(H$71:H$86)+SUM(J$71:J$86)</f>
        <v>738</v>
      </c>
      <c r="E113">
        <f>SUM(L$71:L$86)+SUM(N$71:N$86)+SUM(P$71:P$86)+SUM(R$71:R$86)</f>
        <v>833.14927477606216</v>
      </c>
      <c r="F113">
        <f>SUM(T$71:T$86)+SUM(V$71:V$86)+SUM(X$71:X$86)+SUM(Z$71:Z$86)</f>
        <v>908.33245241207408</v>
      </c>
      <c r="G113">
        <f>SUM(AB$71:AB$86)+SUM(AD$71:AD$86)+SUM(AF$71:AF$86)+SUM(AH$71:AH$86)</f>
        <v>781.60626803840341</v>
      </c>
      <c r="H113">
        <f>SUM(AJ$71:AJ$86)+SUM(AL$71:AL$86)+SUM(AN$71:AN$86)+SUM(AP$71:AP$86)</f>
        <v>834.15322076537905</v>
      </c>
      <c r="I113">
        <f>SUM(AR$71:AR$86)+SUM(AT$71:AT$86)+SUM(AV$71:AV$86)+SUM(AX$71:AX$86)</f>
        <v>920.00259013834886</v>
      </c>
      <c r="J113">
        <f>SUM(AZ$71:AZ$86)+SUM(BB$71:BB$86)+SUM(BD$71:BD$86)+SUM(BF$71:BF$86)</f>
        <v>910.71236117651301</v>
      </c>
      <c r="K113">
        <f>SUM(BH$71:BH$86)+SUM(BJ$71:BJ$86)+SUM(BL$71:BL$86)+SUM(BN$71:BN$86)</f>
        <v>872.6020854438907</v>
      </c>
      <c r="L113">
        <f>SUM(BP$71:BP$86)+SUM(BR$71:BR$86)+SUM(BT$71:BT$86)+SUM(BV$71:BV$86)</f>
        <v>955.6699333835295</v>
      </c>
      <c r="M113">
        <f>SUM(BX$71:BX$86)+SUM(BZ$71:BZ$86)+SUM(CB$71:CB$86)+SUM(CD$71:CD$86)</f>
        <v>939.07460937011183</v>
      </c>
      <c r="N113">
        <f>SUM(CF$71:CF$86)+SUM(CH$71:CH$86)+SUM(CJ$71:CJ$86)+SUM(CL$71:CL$86)</f>
        <v>905.25395347748281</v>
      </c>
      <c r="O113">
        <f>SUM(CN$71:CN$86)+SUM(CP$71:CP$86)+SUM(CR$71:CR$86)+SUM(CT$71:CT$86)</f>
        <v>1007.9391179471413</v>
      </c>
    </row>
    <row r="114" spans="2:15" x14ac:dyDescent="0.2">
      <c r="C114" s="118" t="s">
        <v>131</v>
      </c>
      <c r="D114">
        <f>SUM(D$87:D$94)+SUM(F$87:F$94)+SUM(H$87:H$94)+SUM(J$87:J$94)</f>
        <v>278</v>
      </c>
      <c r="E114">
        <f>SUM(L$87:L$94)+SUM(N$87:N$94)+SUM(P$87:P$94)+SUM(R$87:R$94)</f>
        <v>321.5181340936731</v>
      </c>
      <c r="F114">
        <f>SUM(T$87:T$94)+SUM(V$87:V$94)+SUM(X$87:X$94)+SUM(Z$87:Z$94)</f>
        <v>284.35515348982233</v>
      </c>
      <c r="G114">
        <f>SUM(AB$87:AB$94)+SUM(AD$87:AD$94)+SUM(AF$87:AF$94)+SUM(AH$87:AH$94)</f>
        <v>317.84096836742094</v>
      </c>
      <c r="H114">
        <f>SUM(AJ$87:AJ$94)+SUM(AL$87:AL$94)+SUM(AN$87:AN$94)+SUM(AP$87:AP$94)</f>
        <v>330.83247389625308</v>
      </c>
      <c r="I114">
        <f>SUM(AR$87:AR$94)+SUM(AT$87:AT$94)+SUM(AV$87:AV$94)+SUM(AX$87:AX$94)</f>
        <v>308.52356093544415</v>
      </c>
      <c r="J114">
        <f>SUM(AZ$87:AZ$94)+SUM(BB$87:BB$94)+SUM(BD$87:BD$94)+SUM(BF$87:BF$94)</f>
        <v>357.25957613041965</v>
      </c>
      <c r="K114">
        <f>SUM(BH$87:BH$94)+SUM(BJ$87:BJ$94)+SUM(BL$87:BL$94)+SUM(BN$87:BN$94)</f>
        <v>350.82335394796189</v>
      </c>
      <c r="L114">
        <f>SUM(BP$87:BP$94)+SUM(BR$87:BR$94)+SUM(BT$87:BT$94)+SUM(BV$87:BV$94)</f>
        <v>370.69812728925774</v>
      </c>
      <c r="M114">
        <f>SUM(BX$87:BX$94)+SUM(BZ$87:BZ$94)+SUM(CB$87:CB$94)+SUM(CD$87:CD$94)</f>
        <v>301.38075498382761</v>
      </c>
      <c r="N114">
        <f>SUM(CF$87:CF$94)+SUM(CH$87:CH$94)+SUM(CJ$87:CJ$94)+SUM(CL$87:CL$94)</f>
        <v>370.39205802228616</v>
      </c>
      <c r="O114">
        <f>SUM(CN$87:CN$94)+SUM(CP$87:CP$94)+SUM(CR$87:CR$94)+SUM(CT$87:CT$94)</f>
        <v>332.38585599110354</v>
      </c>
    </row>
    <row r="115" spans="2:15" x14ac:dyDescent="0.2">
      <c r="C115" s="118" t="s">
        <v>132</v>
      </c>
      <c r="D115">
        <f>SUM(D$95:D$105)+SUM(F$95:F$105)+SUM(H$95:H$105)+SUM(J$95:J$105)</f>
        <v>660</v>
      </c>
      <c r="E115">
        <f>SUM(L$95:L$105)+SUM(N$95:N$105)+SUM(P$95:P$105)+SUM(R$95:R$105)</f>
        <v>826.31963505656131</v>
      </c>
      <c r="F115">
        <f>SUM(T$95:T$105)+SUM(V$95:V$105)+SUM(X$95:X$105)+SUM(Z$95:Z$105)</f>
        <v>797.87037684355857</v>
      </c>
      <c r="G115">
        <f>SUM(AB$95:AB$105)+SUM(AD$95:AD$105)+SUM(AF$95:AF$105)+SUM(AH$95:AH$105)</f>
        <v>796.13703751640583</v>
      </c>
      <c r="H115">
        <f>SUM(AJ$95:AJ$105)+SUM(AL$95:AL$105)+SUM(AN$95:AN$105)+SUM(AP$95:AP$105)</f>
        <v>635.97397876561092</v>
      </c>
      <c r="I115">
        <f>SUM(AR$95:AR$105)+SUM(AT$95:AT$105)+SUM(AV$95:AV$105)+SUM(AX$95:AX$105)</f>
        <v>660.26536003177637</v>
      </c>
      <c r="J115">
        <f>SUM(AZ$95:AZ$105)+SUM(BB$95:BB$105)+SUM(BD$95:BD$105)+SUM(BF$95:BF$105)</f>
        <v>700.95896855870319</v>
      </c>
      <c r="K115">
        <f>SUM(BH$95:BH$105)+SUM(BJ$95:BJ$105)+SUM(BL$95:BL$105)+SUM(BN$95:BN$105)</f>
        <v>676.58151603533997</v>
      </c>
      <c r="L115">
        <f>SUM(BP$95:BP$105)+SUM(BR$95:BR$105)+SUM(BT$95:BT$105)+SUM(BV$95:BV$105)</f>
        <v>689.24407967655293</v>
      </c>
      <c r="M115">
        <f>SUM(BX$95:BX$105)+SUM(BZ$95:BZ$105)+SUM(CB$95:CB$105)+SUM(CD$95:CD$105)</f>
        <v>832.69742869742458</v>
      </c>
      <c r="N115">
        <f>SUM(CF$95:CF$105)+SUM(CH$95:CH$105)+SUM(CJ$95:CJ$105)+SUM(CL$95:CL$105)</f>
        <v>794.9624701979626</v>
      </c>
      <c r="O115">
        <f>SUM(CN$95:CN$105)+SUM(CP$95:CP$105)+SUM(CR$95:CR$105)+SUM(CT$95:CT$105)</f>
        <v>729.36658142734666</v>
      </c>
    </row>
    <row r="116" spans="2:15" x14ac:dyDescent="0.2">
      <c r="C116" s="118" t="s">
        <v>278</v>
      </c>
      <c r="D116">
        <f t="shared" ref="D116:O116" si="0">SUM(D$109:D$115)</f>
        <v>6268.5573256245798</v>
      </c>
      <c r="E116">
        <f t="shared" si="0"/>
        <v>7062.2155338589328</v>
      </c>
      <c r="F116">
        <f t="shared" si="0"/>
        <v>7221.5612377429452</v>
      </c>
      <c r="G116">
        <f t="shared" si="0"/>
        <v>6698.4049796725312</v>
      </c>
      <c r="H116">
        <f t="shared" si="0"/>
        <v>6705.5572345702058</v>
      </c>
      <c r="I116">
        <f t="shared" si="0"/>
        <v>6552.3959163229001</v>
      </c>
      <c r="J116">
        <f t="shared" si="0"/>
        <v>7248.084972213388</v>
      </c>
      <c r="K116">
        <f t="shared" si="0"/>
        <v>6913.9846265786127</v>
      </c>
      <c r="L116">
        <f t="shared" si="0"/>
        <v>7001.613737016557</v>
      </c>
      <c r="M116">
        <f t="shared" si="0"/>
        <v>7180.0656640494881</v>
      </c>
      <c r="N116">
        <f t="shared" si="0"/>
        <v>7164.2274141054131</v>
      </c>
      <c r="O116">
        <f t="shared" si="0"/>
        <v>7182.6318337501143</v>
      </c>
    </row>
    <row r="118" spans="2:15" x14ac:dyDescent="0.2">
      <c r="B118" s="120" t="s">
        <v>279</v>
      </c>
    </row>
    <row r="119" spans="2:15" x14ac:dyDescent="0.2">
      <c r="C119" s="118" t="s">
        <v>277</v>
      </c>
      <c r="D119" s="118" t="s">
        <v>92</v>
      </c>
      <c r="E119" s="118" t="s">
        <v>93</v>
      </c>
      <c r="F119" s="118" t="s">
        <v>94</v>
      </c>
      <c r="G119" s="118" t="s">
        <v>95</v>
      </c>
      <c r="H119" s="118" t="s">
        <v>96</v>
      </c>
      <c r="I119" s="118" t="s">
        <v>97</v>
      </c>
      <c r="J119" s="118" t="s">
        <v>98</v>
      </c>
      <c r="K119" s="118" t="s">
        <v>99</v>
      </c>
      <c r="L119" s="118" t="s">
        <v>100</v>
      </c>
      <c r="M119" s="118" t="s">
        <v>101</v>
      </c>
      <c r="N119" s="118" t="s">
        <v>102</v>
      </c>
      <c r="O119" s="118" t="s">
        <v>103</v>
      </c>
    </row>
    <row r="120" spans="2:15" x14ac:dyDescent="0.2">
      <c r="C120" s="118" t="s">
        <v>126</v>
      </c>
      <c r="D120">
        <f>D109*pricing!D33*2000</f>
        <v>4197927.3245722083</v>
      </c>
      <c r="E120">
        <f>E109*pricing!E33*2000</f>
        <v>4577480</v>
      </c>
      <c r="F120">
        <f>F109*pricing!F33*2000</f>
        <v>4415030</v>
      </c>
      <c r="G120">
        <f>G109*pricing!G33*2000</f>
        <v>4602750</v>
      </c>
      <c r="H120">
        <f>H109*pricing!H33*2000</f>
        <v>4252580</v>
      </c>
      <c r="I120">
        <f>I109*pricing!I33*2000</f>
        <v>4526940</v>
      </c>
      <c r="J120">
        <f>J109*pricing!J33*2000</f>
        <v>5252550</v>
      </c>
      <c r="K120">
        <f>K109*pricing!K33*2000</f>
        <v>5158690</v>
      </c>
      <c r="L120">
        <f>L109*pricing!L33*2000</f>
        <v>4465570</v>
      </c>
      <c r="M120">
        <f>M109*pricing!M33*2000</f>
        <v>4617190</v>
      </c>
      <c r="N120">
        <f>N109*pricing!N33*2000</f>
        <v>5234500</v>
      </c>
      <c r="O120">
        <f>O109*pricing!O33*2000</f>
        <v>4447519.9999999991</v>
      </c>
    </row>
    <row r="121" spans="2:15" x14ac:dyDescent="0.2">
      <c r="C121" s="118" t="s">
        <v>127</v>
      </c>
      <c r="D121">
        <f>D110*pricing!D34*2000</f>
        <v>3417588.3484873241</v>
      </c>
      <c r="E121">
        <f>E110*pricing!E34*2000</f>
        <v>4548599.9999999991</v>
      </c>
      <c r="F121">
        <f>F110*pricing!F34*2000</f>
        <v>5169519.9999999991</v>
      </c>
      <c r="G121">
        <f>G110*pricing!G34*2000</f>
        <v>4552210</v>
      </c>
      <c r="H121">
        <f>H110*pricing!H34*2000</f>
        <v>5357240</v>
      </c>
      <c r="I121">
        <f>I110*pricing!I34*2000</f>
        <v>4277849.9999999991</v>
      </c>
      <c r="J121">
        <f>J110*pricing!J34*2000</f>
        <v>4949309.9999999991</v>
      </c>
      <c r="K121">
        <f>K110*pricing!K34*2000</f>
        <v>4144279.9999999995</v>
      </c>
      <c r="L121">
        <f>L110*pricing!L34*2000</f>
        <v>4952920</v>
      </c>
      <c r="M121">
        <f>M110*pricing!M34*2000</f>
        <v>4999849.9999999991</v>
      </c>
      <c r="N121">
        <f>N110*pricing!N34*2000</f>
        <v>4924040</v>
      </c>
      <c r="O121">
        <f>O110*pricing!O34*2000</f>
        <v>5075660</v>
      </c>
    </row>
    <row r="122" spans="2:15" x14ac:dyDescent="0.2">
      <c r="C122" s="118" t="s">
        <v>128</v>
      </c>
      <c r="D122">
        <f>D111*pricing!D35*2000</f>
        <v>4710537.4292011159</v>
      </c>
      <c r="E122">
        <f>E111*pricing!E35*2000</f>
        <v>4518010</v>
      </c>
      <c r="F122">
        <f>F111*pricing!F35*2000</f>
        <v>4660985</v>
      </c>
      <c r="G122">
        <f>G111*pricing!G35*2000</f>
        <v>4105425</v>
      </c>
      <c r="H122">
        <f>H111*pricing!H35*2000</f>
        <v>3692840</v>
      </c>
      <c r="I122">
        <f>I111*pricing!I35*2000</f>
        <v>3843985</v>
      </c>
      <c r="J122">
        <f>J111*pricing!J35*2000</f>
        <v>4587455</v>
      </c>
      <c r="K122">
        <f>K111*pricing!K35*2000</f>
        <v>5024550</v>
      </c>
      <c r="L122">
        <f>L111*pricing!L35*2000</f>
        <v>4799875</v>
      </c>
      <c r="M122">
        <f>M111*pricing!M35*2000</f>
        <v>5093995</v>
      </c>
      <c r="N122">
        <f>N111*pricing!N35*2000</f>
        <v>4317845</v>
      </c>
      <c r="O122">
        <f>O111*pricing!O35*2000</f>
        <v>4673240</v>
      </c>
    </row>
    <row r="123" spans="2:15" x14ac:dyDescent="0.2">
      <c r="C123" s="118" t="s">
        <v>129</v>
      </c>
      <c r="D123">
        <f>D112*pricing!D36*2000</f>
        <v>5558839.2936609872</v>
      </c>
      <c r="E123">
        <f>E112*pricing!E36*2000</f>
        <v>6049415.0879184175</v>
      </c>
      <c r="F123">
        <f>F112*pricing!F36*2000</f>
        <v>5998313.6058895029</v>
      </c>
      <c r="G123">
        <f>G112*pricing!G36*2000</f>
        <v>5274410.5500362571</v>
      </c>
      <c r="H123">
        <f>H112*pricing!H36*2000</f>
        <v>5595337.8055775836</v>
      </c>
      <c r="I123">
        <f>I112*pricing!I36*2000</f>
        <v>5365466.4138084436</v>
      </c>
      <c r="J123">
        <f>J112*pricing!J36*2000</f>
        <v>5560043.9973335993</v>
      </c>
      <c r="K123">
        <f>K112*pricing!K36*2000</f>
        <v>5045166.6654129345</v>
      </c>
      <c r="L123">
        <f>L112*pricing!L36*2000</f>
        <v>5024366.6740689632</v>
      </c>
      <c r="M123">
        <f>M112*pricing!M36*2000</f>
        <v>4998915.8007721584</v>
      </c>
      <c r="N123">
        <f>N112*pricing!N36*2000</f>
        <v>5110547.1374641079</v>
      </c>
      <c r="O123">
        <f>O112*pricing!O36*2000</f>
        <v>5563330.3636473054</v>
      </c>
    </row>
    <row r="124" spans="2:15" x14ac:dyDescent="0.2">
      <c r="C124" s="118" t="s">
        <v>130</v>
      </c>
      <c r="D124">
        <f>D113*pricing!D37*2000</f>
        <v>3084839.9999999995</v>
      </c>
      <c r="E124">
        <f>E113*pricing!E37*2000</f>
        <v>3482563.9685639394</v>
      </c>
      <c r="F124">
        <f>F113*pricing!F37*2000</f>
        <v>3796829.6510824692</v>
      </c>
      <c r="G124">
        <f>G113*pricing!G37*2000</f>
        <v>3267114.2004005262</v>
      </c>
      <c r="H124">
        <f>H113*pricing!H37*2000</f>
        <v>3486760.4627992841</v>
      </c>
      <c r="I124">
        <f>I113*pricing!I37*2000</f>
        <v>3845610.8267782978</v>
      </c>
      <c r="J124">
        <f>J113*pricing!J37*2000</f>
        <v>3806777.6697178241</v>
      </c>
      <c r="K124">
        <f>K113*pricing!K37*2000</f>
        <v>3647476.7171554626</v>
      </c>
      <c r="L124">
        <f>L113*pricing!L37*2000</f>
        <v>3994700.3215431534</v>
      </c>
      <c r="M124">
        <f>M113*pricing!M37*2000</f>
        <v>3925331.8671670672</v>
      </c>
      <c r="N124">
        <f>N113*pricing!N37*2000</f>
        <v>3783961.5255358783</v>
      </c>
      <c r="O124">
        <f>O113*pricing!O37*2000</f>
        <v>4213185.5130190505</v>
      </c>
    </row>
    <row r="125" spans="2:15" x14ac:dyDescent="0.2">
      <c r="C125" s="118" t="s">
        <v>131</v>
      </c>
      <c r="D125">
        <f>D114*pricing!D38*2000</f>
        <v>1326691.0108352846</v>
      </c>
      <c r="E125">
        <f>E114*pricing!E38*2000</f>
        <v>1534371.2889302508</v>
      </c>
      <c r="F125">
        <f>F114*pricing!F38*2000</f>
        <v>1357019.5180562404</v>
      </c>
      <c r="G125">
        <f>G114*pricing!G38*2000</f>
        <v>1516822.8619001415</v>
      </c>
      <c r="H125">
        <f>H114*pricing!H38*2000</f>
        <v>1578821.8316926544</v>
      </c>
      <c r="I125">
        <f>I114*pricing!I38*2000</f>
        <v>1472357.6795825392</v>
      </c>
      <c r="J125">
        <f>J114*pricing!J38*2000</f>
        <v>1704939.0941980279</v>
      </c>
      <c r="K125">
        <f>K114*pricing!K38*2000</f>
        <v>1674223.7053016056</v>
      </c>
      <c r="L125">
        <f>L114*pricing!L38*2000</f>
        <v>1769071.4863601881</v>
      </c>
      <c r="M125">
        <f>M114*pricing!M38*2000</f>
        <v>1438270.282287034</v>
      </c>
      <c r="N125">
        <f>N114*pricing!N38*2000</f>
        <v>1767610.8412336267</v>
      </c>
      <c r="O125">
        <f>O114*pricing!O38*2000</f>
        <v>1586234.9901877283</v>
      </c>
    </row>
    <row r="126" spans="2:15" x14ac:dyDescent="0.2">
      <c r="C126" s="118" t="s">
        <v>132</v>
      </c>
      <c r="D126">
        <f>D115*pricing!D39*2000</f>
        <v>2758799.9999999995</v>
      </c>
      <c r="E126">
        <f>E115*pricing!E39*2000</f>
        <v>3454016.074536426</v>
      </c>
      <c r="F126">
        <f>F115*pricing!F39*2000</f>
        <v>3335098.175206075</v>
      </c>
      <c r="G126">
        <f>G115*pricing!G39*2000</f>
        <v>3327852.8168185763</v>
      </c>
      <c r="H126">
        <f>H115*pricing!H39*2000</f>
        <v>2658371.2312402534</v>
      </c>
      <c r="I126">
        <f>I115*pricing!I39*2000</f>
        <v>2759909.2049328252</v>
      </c>
      <c r="J126">
        <f>J115*pricing!J39*2000</f>
        <v>2930008.4885753789</v>
      </c>
      <c r="K126">
        <f>K115*pricing!K39*2000</f>
        <v>2828110.737027721</v>
      </c>
      <c r="L126">
        <f>L115*pricing!L39*2000</f>
        <v>2881040.2530479911</v>
      </c>
      <c r="M126">
        <f>M115*pricing!M39*2000</f>
        <v>3480675.2519552344</v>
      </c>
      <c r="N126">
        <f>N115*pricing!N39*2000</f>
        <v>3322943.1254274836</v>
      </c>
      <c r="O126">
        <f>O115*pricing!O39*2000</f>
        <v>3048752.3103663088</v>
      </c>
    </row>
    <row r="127" spans="2:15" x14ac:dyDescent="0.2">
      <c r="C127" s="118" t="s">
        <v>278</v>
      </c>
      <c r="D127">
        <f>SUM(D$120:D$126)</f>
        <v>25055223.406756923</v>
      </c>
      <c r="E127">
        <f t="shared" ref="E127:O127" si="1">SUM(E$120:E$126)</f>
        <v>28164456.419949032</v>
      </c>
      <c r="F127">
        <f t="shared" si="1"/>
        <v>28732795.950234286</v>
      </c>
      <c r="G127">
        <f t="shared" si="1"/>
        <v>26646585.429155502</v>
      </c>
      <c r="H127">
        <f t="shared" si="1"/>
        <v>26621951.331309777</v>
      </c>
      <c r="I127">
        <f t="shared" si="1"/>
        <v>26092119.125102103</v>
      </c>
      <c r="J127">
        <f t="shared" si="1"/>
        <v>28791084.249824837</v>
      </c>
      <c r="K127">
        <f t="shared" si="1"/>
        <v>27522497.824897721</v>
      </c>
      <c r="L127">
        <f t="shared" si="1"/>
        <v>27887543.735020299</v>
      </c>
      <c r="M127">
        <f t="shared" si="1"/>
        <v>28554228.202181496</v>
      </c>
      <c r="N127">
        <f t="shared" si="1"/>
        <v>28461447.629661094</v>
      </c>
      <c r="O127">
        <f t="shared" si="1"/>
        <v>28607923.177220393</v>
      </c>
    </row>
    <row r="129" spans="2:15" x14ac:dyDescent="0.2">
      <c r="B129" s="120" t="s">
        <v>280</v>
      </c>
    </row>
    <row r="130" spans="2:15" x14ac:dyDescent="0.2">
      <c r="C130" s="122" t="s">
        <v>277</v>
      </c>
      <c r="D130" s="122" t="s">
        <v>92</v>
      </c>
      <c r="E130" s="122" t="s">
        <v>93</v>
      </c>
      <c r="F130" s="122" t="s">
        <v>94</v>
      </c>
      <c r="G130" s="122" t="s">
        <v>95</v>
      </c>
      <c r="H130" s="122" t="s">
        <v>96</v>
      </c>
      <c r="I130" s="122" t="s">
        <v>97</v>
      </c>
      <c r="J130" s="122" t="s">
        <v>98</v>
      </c>
      <c r="K130" s="122" t="s">
        <v>99</v>
      </c>
      <c r="L130" s="122" t="s">
        <v>100</v>
      </c>
      <c r="M130" s="122" t="s">
        <v>101</v>
      </c>
      <c r="N130" s="122" t="s">
        <v>102</v>
      </c>
      <c r="O130" s="122" t="s">
        <v>103</v>
      </c>
    </row>
    <row r="131" spans="2:15" x14ac:dyDescent="0.2">
      <c r="C131" s="122" t="s">
        <v>126</v>
      </c>
      <c r="D131" s="123">
        <f>SUM(E$6:E$19)+SUM(G$6:G$19)+SUM(I$6:I$19)+SUM(K$6:K$19)</f>
        <v>583070.18154544756</v>
      </c>
      <c r="E131" s="123">
        <f>SUM(M$6:M$19)+SUM(O$6:O$19)+SUM(Q$6:Q$19)+SUM(S$6:S$19)</f>
        <v>639052.79999999993</v>
      </c>
      <c r="F131" s="123">
        <f>SUM(U$6:U$19)+SUM(W$6:W$19)+SUM(Y$6:Y$19)+SUM(AA$6:AA$19)</f>
        <v>613786.79999999993</v>
      </c>
      <c r="G131" s="123">
        <f>SUM(AC$6:AC$19)+SUM(AE$6:AE$19)+SUM(AG$6:AG$19)+SUM(AI$6:AI$19)</f>
        <v>641421.59999999986</v>
      </c>
      <c r="H131" s="123">
        <f>SUM(AK$6:AK$19)+SUM(AM$6:AM$19)+SUM(AO$6:AO$19)+SUM(AQ$6:AQ$19)</f>
        <v>592041.60000000009</v>
      </c>
      <c r="I131" s="123">
        <f>SUM(AS$6:AS$19)+SUM(AU$6:AU$19)+SUM(AW$6:AW$19)+SUM(AY$6:AY$19)</f>
        <v>631079.99999999988</v>
      </c>
      <c r="J131" s="123">
        <f>SUM(BA$6:BA$19)+SUM(BC$6:BC$19)+SUM(BE$6:BE$19)+SUM(BG$6:BG$19)</f>
        <v>733129.2</v>
      </c>
      <c r="K131" s="123">
        <f>SUM(BI$6:BI$19)+SUM(BK$6:BK$19)+SUM(BM$6:BM$19)+SUM(BO$6:BO$19)</f>
        <v>717830.39999999991</v>
      </c>
      <c r="L131" s="123">
        <f>SUM(BQ$6:BQ$19)+SUM(BS$6:BS$19)+SUM(BU$6:BU$19)+SUM(BW$6:BW$19)</f>
        <v>622238.39999999991</v>
      </c>
      <c r="M131" s="123">
        <f>SUM(BY$6:BY$19)+SUM(CA$6:CA$19)+SUM(CC$6:CC$19)+SUM(CE$6:CE$19)</f>
        <v>638527.19999999995</v>
      </c>
      <c r="N131" s="123">
        <f>SUM(CG$6:CG$19)+SUM(CI$6:CI$19)+SUM(CK$6:CK$19)+SUM(CM$6:CM$19)</f>
        <v>730276.79999999993</v>
      </c>
      <c r="O131" s="123">
        <f>SUM(CO$6:CO$19)+SUM(CQ$6:CQ$19)+SUM(CS$6:CS$19)+SUM(CU$6:CU$19)</f>
        <v>619079.99999999988</v>
      </c>
    </row>
    <row r="132" spans="2:15" x14ac:dyDescent="0.2">
      <c r="C132" s="122" t="s">
        <v>127</v>
      </c>
      <c r="D132" s="123">
        <f>SUM(E$20:E$36)+SUM(G$20:G$36)+SUM(I$20:I$36)+SUM(K$20:K$36)</f>
        <v>401447.89328269864</v>
      </c>
      <c r="E132" s="123">
        <f>SUM(M$20:M$36)+SUM(O$20:O$36)+SUM(Q$20:Q$36)+SUM(S$20:S$36)</f>
        <v>534297.59999999998</v>
      </c>
      <c r="F132" s="123">
        <f>SUM(U$20:U$36)+SUM(W$20:W$36)+SUM(Y$20:Y$36)+SUM(AA$20:AA$36)</f>
        <v>605397.60000000009</v>
      </c>
      <c r="G132" s="123">
        <f>SUM(AC$20:AC$36)+SUM(AE$20:AE$36)+SUM(AG$20:AG$36)+SUM(AI$20:AI$36)</f>
        <v>538839.6</v>
      </c>
      <c r="H132" s="123">
        <f>SUM(AK$20:AK$36)+SUM(AM$20:AM$36)+SUM(AO$20:AO$36)+SUM(AQ$20:AQ$36)</f>
        <v>630251.99999999988</v>
      </c>
      <c r="I132" s="123">
        <f>SUM(AS$20:AS$36)+SUM(AU$20:AU$36)+SUM(AW$20:AW$36)+SUM(AY$20:AY$36)</f>
        <v>503738.39999999991</v>
      </c>
      <c r="J132" s="123">
        <f>SUM(BA$20:BA$36)+SUM(BC$20:BC$36)+SUM(BE$20:BE$36)+SUM(BG$20:BG$36)</f>
        <v>581788.79999999993</v>
      </c>
      <c r="K132" s="123">
        <f>SUM(BI$20:BI$36)+SUM(BK$20:BK$36)+SUM(BM$20:BM$36)+SUM(BO$20:BO$36)</f>
        <v>488131.19999999995</v>
      </c>
      <c r="L132" s="123">
        <f>SUM(BQ$20:BQ$36)+SUM(BS$20:BS$36)+SUM(BU$20:BU$36)+SUM(BW$20:BW$36)</f>
        <v>582858</v>
      </c>
      <c r="M132" s="123">
        <f>SUM(BY$20:BY$36)+SUM(CA$20:CA$36)+SUM(CC$20:CC$36)+SUM(CE$20:CE$36)</f>
        <v>588219.6</v>
      </c>
      <c r="N132" s="123">
        <f>SUM(CG$20:CG$36)+SUM(CI$20:CI$36)+SUM(CK$20:CK$36)+SUM(CM$20:CM$36)</f>
        <v>578017.19999999995</v>
      </c>
      <c r="O132" s="123">
        <f>SUM(CO$20:CO$36)+SUM(CQ$20:CQ$36)+SUM(CS$20:CS$36)+SUM(CU$20:CU$36)</f>
        <v>600921.59999999998</v>
      </c>
    </row>
    <row r="133" spans="2:15" x14ac:dyDescent="0.2">
      <c r="C133" s="122" t="s">
        <v>128</v>
      </c>
      <c r="D133" s="123">
        <f>SUM(E$37:E$48)+SUM(G$37:G$48)+SUM(I$37:I$48)+SUM(K$37:K$48)</f>
        <v>1207707.9666395606</v>
      </c>
      <c r="E133" s="123">
        <f>SUM(M$37:M$48)+SUM(O$37:O$48)+SUM(Q$37:Q$48)+SUM(S$37:S$48)</f>
        <v>1161338.4000000001</v>
      </c>
      <c r="F133" s="123">
        <f>SUM(U$37:U$48)+SUM(W$37:W$48)+SUM(Y$37:Y$48)+SUM(AA$37:AA$48)</f>
        <v>1196816.3999999999</v>
      </c>
      <c r="G133" s="123">
        <f>SUM(AC$37:AC$48)+SUM(AE$37:AE$48)+SUM(AG$37:AG$48)+SUM(AI$37:AI$48)</f>
        <v>1052175.6000000001</v>
      </c>
      <c r="H133" s="123">
        <f>SUM(AK$37:AK$48)+SUM(AM$37:AM$48)+SUM(AO$37:AO$48)+SUM(AQ$37:AQ$48)</f>
        <v>941653.20000000007</v>
      </c>
      <c r="I133" s="123">
        <f>SUM(AS$37:AS$48)+SUM(AU$37:AU$48)+SUM(AW$37:AW$48)+SUM(AY$37:AY$48)</f>
        <v>985383.59999999986</v>
      </c>
      <c r="J133" s="123">
        <f>SUM(BA$37:BA$48)+SUM(BC$37:BC$48)+SUM(BE$37:BE$48)+SUM(BG$37:BG$48)</f>
        <v>1174798.8</v>
      </c>
      <c r="K133" s="123">
        <f>SUM(BI$37:BI$48)+SUM(BK$37:BK$48)+SUM(BM$37:BM$48)+SUM(BO$37:BO$48)</f>
        <v>1284771.5999999999</v>
      </c>
      <c r="L133" s="123">
        <f>SUM(BQ$37:BQ$48)+SUM(BS$37:BS$48)+SUM(BU$37:BU$48)+SUM(BW$37:BW$48)</f>
        <v>1233576</v>
      </c>
      <c r="M133" s="123">
        <f>SUM(BY$37:BY$48)+SUM(CA$37:CA$48)+SUM(CC$37:CC$48)+SUM(CE$37:CE$48)</f>
        <v>1302631.2</v>
      </c>
      <c r="N133" s="123">
        <f>SUM(CG$37:CG$48)+SUM(CI$37:CI$48)+SUM(CK$37:CK$48)+SUM(CM$37:CM$48)</f>
        <v>1104730.8</v>
      </c>
      <c r="O133" s="123">
        <f>SUM(CO$37:CO$48)+SUM(CQ$37:CQ$48)+SUM(CS$37:CS$48)+SUM(CU$37:CU$48)</f>
        <v>1192767.6000000001</v>
      </c>
    </row>
    <row r="134" spans="2:15" x14ac:dyDescent="0.2">
      <c r="C134" s="122" t="s">
        <v>129</v>
      </c>
      <c r="D134" s="123">
        <f>SUM(E$49:E$70)+SUM(G$49:G$70)+SUM(I$49:I$70)+SUM(K$49:K$70)</f>
        <v>1124126.957247921</v>
      </c>
      <c r="E134" s="123">
        <f>SUM(M$49:M$70)+SUM(O$49:O$70)+SUM(Q$49:Q$70)+SUM(S$49:S$70)</f>
        <v>1221349.4290424956</v>
      </c>
      <c r="F134" s="123">
        <f>SUM(U$49:U$70)+SUM(W$49:W$70)+SUM(Y$49:Y$70)+SUM(AA$49:AA$70)</f>
        <v>1207837.2851985497</v>
      </c>
      <c r="G134" s="123">
        <f>SUM(AC$49:AC$70)+SUM(AE$49:AE$70)+SUM(AG$49:AG$70)+SUM(AI$49:AI$70)</f>
        <v>1063756.7746735984</v>
      </c>
      <c r="H134" s="123">
        <f>SUM(AK$49:AK$70)+SUM(AM$49:AM$70)+SUM(AO$49:AO$70)+SUM(AQ$49:AQ$70)</f>
        <v>1131364.114280886</v>
      </c>
      <c r="I134" s="123">
        <f>SUM(AS$49:AS$70)+SUM(AU$49:AU$70)+SUM(AW$49:AW$70)+SUM(AY$49:AY$70)</f>
        <v>1087803.0486352271</v>
      </c>
      <c r="J134" s="123">
        <f>SUM(BA$49:BA$70)+SUM(BC$49:BC$70)+SUM(BE$49:BE$70)+SUM(BG$49:BG$70)</f>
        <v>1124906.5512722565</v>
      </c>
      <c r="K134" s="123">
        <f>SUM(BI$49:BI$70)+SUM(BK$49:BK$70)+SUM(BM$49:BM$70)+SUM(BO$49:BO$70)</f>
        <v>1018889.8822281123</v>
      </c>
      <c r="L134" s="123">
        <f>SUM(BQ$49:BQ$70)+SUM(BS$49:BS$70)+SUM(BU$49:BU$70)+SUM(BW$49:BW$70)</f>
        <v>1015386.1969375499</v>
      </c>
      <c r="M134" s="123">
        <f>SUM(BY$49:BY$70)+SUM(CA$49:CA$70)+SUM(CC$49:CC$70)+SUM(CE$49:CE$70)</f>
        <v>1012103.2616772545</v>
      </c>
      <c r="N134" s="123">
        <f>SUM(CG$49:CG$70)+SUM(CI$49:CI$70)+SUM(CK$49:CK$70)+SUM(CM$49:CM$70)</f>
        <v>1032679.4776420215</v>
      </c>
      <c r="O134" s="123">
        <f>SUM(CO$49:CO$70)+SUM(CQ$49:CQ$70)+SUM(CS$49:CS$70)+SUM(CU$49:CU$70)</f>
        <v>1124630.9640440186</v>
      </c>
    </row>
    <row r="135" spans="2:15" x14ac:dyDescent="0.2">
      <c r="C135" s="122" t="s">
        <v>130</v>
      </c>
      <c r="D135" s="123">
        <f>SUM(E$71:E$86)+SUM(G$71:G$86)+SUM(I$71:I$86)+SUM(K$71:K$86)</f>
        <v>412492.80000000005</v>
      </c>
      <c r="E135" s="123">
        <f>SUM(M$71:M$86)+SUM(O$71:O$86)+SUM(Q$71:Q$86)+SUM(S$71:S$86)</f>
        <v>466812.72998419357</v>
      </c>
      <c r="F135" s="123">
        <f>SUM(U$71:U$86)+SUM(W$71:W$86)+SUM(Y$71:Y$86)+SUM(AA$71:AA$86)</f>
        <v>508332.15208217385</v>
      </c>
      <c r="G135" s="123">
        <f>SUM(AC$71:AC$86)+SUM(AE$71:AE$86)+SUM(AG$71:AG$86)+SUM(AI$71:AI$86)</f>
        <v>436527.31908492139</v>
      </c>
      <c r="H135" s="123">
        <f>SUM(AK$71:AK$86)+SUM(AM$71:AM$86)+SUM(AO$71:AO$86)+SUM(AQ$71:AQ$86)</f>
        <v>465213.84147379105</v>
      </c>
      <c r="I135" s="123">
        <f>SUM(AS$71:AS$86)+SUM(AU$71:AU$86)+SUM(AW$71:AW$86)+SUM(AY$71:AY$86)</f>
        <v>513683.07468808</v>
      </c>
      <c r="J135" s="123">
        <f>SUM(BA$71:BA$86)+SUM(BC$71:BC$86)+SUM(BE$71:BE$86)+SUM(BG$71:BG$86)</f>
        <v>509058.62596032361</v>
      </c>
      <c r="K135" s="123">
        <f>SUM(BI$71:BI$86)+SUM(BK$71:BK$86)+SUM(BM$71:BM$86)+SUM(BO$71:BO$86)</f>
        <v>487544.16248222243</v>
      </c>
      <c r="L135" s="123">
        <f>SUM(BQ$71:BQ$86)+SUM(BS$71:BS$86)+SUM(BU$71:BU$86)+SUM(BW$71:BW$86)</f>
        <v>532794.16954215243</v>
      </c>
      <c r="M135" s="123">
        <f>SUM(BY$71:BY$86)+SUM(CA$71:CA$86)+SUM(CC$71:CC$86)+SUM(CE$71:CE$86)</f>
        <v>526077.52888893778</v>
      </c>
      <c r="N135" s="123">
        <f>SUM(CG$71:CG$86)+SUM(CI$71:CI$86)+SUM(CK$71:CK$86)+SUM(CM$71:CM$86)</f>
        <v>506253.04964395211</v>
      </c>
      <c r="O135" s="123">
        <f>SUM(CO$71:CO$86)+SUM(CQ$71:CQ$86)+SUM(CS$71:CS$86)+SUM(CU$71:CU$86)</f>
        <v>561966.93544114393</v>
      </c>
    </row>
    <row r="136" spans="2:15" x14ac:dyDescent="0.2">
      <c r="C136" s="122" t="s">
        <v>131</v>
      </c>
      <c r="D136" s="123">
        <f>SUM(E$87:E$94)+SUM(G$87:G$94)+SUM(I$87:I$94)+SUM(K$87:K$94)</f>
        <v>562461.59999999986</v>
      </c>
      <c r="E136" s="123">
        <f>SUM(M$87:M$94)+SUM(O$87:O$94)+SUM(Q$87:Q$94)+SUM(S$87:S$94)</f>
        <v>653360.64408786921</v>
      </c>
      <c r="F136" s="123">
        <f>SUM(U$87:U$94)+SUM(W$87:W$94)+SUM(Y$87:Y$94)+SUM(AA$87:AA$94)</f>
        <v>577100.18573755212</v>
      </c>
      <c r="G136" s="123">
        <f>SUM(AC$87:AC$94)+SUM(AE$87:AE$94)+SUM(AG$87:AG$94)+SUM(AI$87:AI$94)</f>
        <v>647450.33259440796</v>
      </c>
      <c r="H136" s="123">
        <f>SUM(AK$87:AK$94)+SUM(AM$87:AM$94)+SUM(AO$87:AO$94)+SUM(AQ$87:AQ$94)</f>
        <v>671507.70130002219</v>
      </c>
      <c r="I136" s="123">
        <f>SUM(AS$87:AS$94)+SUM(AU$87:AU$94)+SUM(AW$87:AW$94)+SUM(AY$87:AY$94)</f>
        <v>627375.19617939217</v>
      </c>
      <c r="J136" s="123">
        <f>SUM(BA$87:BA$94)+SUM(BC$87:BC$94)+SUM(BE$87:BE$94)+SUM(BG$87:BG$94)</f>
        <v>725018.34805215138</v>
      </c>
      <c r="K136" s="123">
        <f>SUM(BI$87:BI$94)+SUM(BK$87:BK$94)+SUM(BM$87:BM$94)+SUM(BO$87:BO$94)</f>
        <v>712232.33057383134</v>
      </c>
      <c r="L136" s="123">
        <f>SUM(BQ$87:BQ$94)+SUM(BS$87:BS$94)+SUM(BU$87:BU$94)+SUM(BW$87:BW$94)</f>
        <v>751302.6365555526</v>
      </c>
      <c r="M136" s="123">
        <f>SUM(BY$87:BY$94)+SUM(CA$87:CA$94)+SUM(CC$87:CC$94)+SUM(CE$87:CE$94)</f>
        <v>611918.0090748138</v>
      </c>
      <c r="N136" s="123">
        <f>SUM(CG$87:CG$94)+SUM(CI$87:CI$94)+SUM(CK$87:CK$94)+SUM(CM$87:CM$94)</f>
        <v>751393.59481455933</v>
      </c>
      <c r="O136" s="123">
        <f>SUM(CO$87:CO$94)+SUM(CQ$87:CQ$94)+SUM(CS$87:CS$94)+SUM(CU$87:CU$94)</f>
        <v>674143.22266723809</v>
      </c>
    </row>
    <row r="137" spans="2:15" x14ac:dyDescent="0.2">
      <c r="C137" s="122" t="s">
        <v>132</v>
      </c>
      <c r="D137" s="123">
        <f>SUM(E$95:E$105)+SUM(G$95:G$105)+SUM(I$95:I$105)+SUM(K$95:K$105)</f>
        <v>1243771.2</v>
      </c>
      <c r="E137" s="123">
        <f>SUM(M$95:M$105)+SUM(O$95:O$105)+SUM(Q$95:Q$105)+SUM(S$95:S$105)</f>
        <v>1548972.6806871935</v>
      </c>
      <c r="F137" s="123">
        <f>SUM(U$95:U$105)+SUM(W$95:W$105)+SUM(Y$95:Y$105)+SUM(AA$95:AA$105)</f>
        <v>1490501.7772347468</v>
      </c>
      <c r="G137" s="123">
        <f>SUM(AC$95:AC$105)+SUM(AE$95:AE$105)+SUM(AG$95:AG$105)+SUM(AI$95:AI$105)</f>
        <v>1498120.4446523148</v>
      </c>
      <c r="H137" s="123">
        <f>SUM(AK$95:AK$105)+SUM(AM$95:AM$105)+SUM(AO$95:AO$105)+SUM(AQ$95:AQ$105)</f>
        <v>1207124.7278905269</v>
      </c>
      <c r="I137" s="123">
        <f>SUM(AS$95:AS$105)+SUM(AU$95:AU$105)+SUM(AW$95:AW$105)+SUM(AY$95:AY$105)</f>
        <v>1243134.1730022959</v>
      </c>
      <c r="J137" s="123">
        <f>SUM(BA$95:BA$105)+SUM(BC$95:BC$105)+SUM(BE$95:BE$105)+SUM(BG$95:BG$105)</f>
        <v>1314445.6297173928</v>
      </c>
      <c r="K137" s="123">
        <f>SUM(BI$95:BI$105)+SUM(BK$95:BK$105)+SUM(BM$95:BM$105)+SUM(BO$95:BO$105)</f>
        <v>1273061.835356513</v>
      </c>
      <c r="L137" s="123">
        <f>SUM(BQ$95:BQ$105)+SUM(BS$95:BS$105)+SUM(BU$95:BU$105)+SUM(BW$95:BW$105)</f>
        <v>1305117.0490711064</v>
      </c>
      <c r="M137" s="123">
        <f>SUM(BY$95:BY$105)+SUM(CA$95:CA$105)+SUM(CC$95:CC$105)+SUM(CE$95:CE$105)</f>
        <v>1571230.401886886</v>
      </c>
      <c r="N137" s="123">
        <f>SUM(CG$95:CG$105)+SUM(CI$95:CI$105)+SUM(CK$95:CK$105)+SUM(CM$95:CM$105)</f>
        <v>1489630.5620196238</v>
      </c>
      <c r="O137" s="123">
        <f>SUM(CO$95:CO$105)+SUM(CQ$95:CQ$105)+SUM(CS$95:CS$105)+SUM(CU$95:CU$105)</f>
        <v>1369687.0404443895</v>
      </c>
    </row>
    <row r="138" spans="2:15" x14ac:dyDescent="0.2">
      <c r="C138" s="122" t="s">
        <v>278</v>
      </c>
      <c r="D138">
        <f t="shared" ref="D138:O138" si="2">SUM(D$131:D$137)</f>
        <v>5535078.5987156276</v>
      </c>
      <c r="E138">
        <f t="shared" si="2"/>
        <v>6225184.2838017521</v>
      </c>
      <c r="F138">
        <f t="shared" si="2"/>
        <v>6199772.2002530228</v>
      </c>
      <c r="G138">
        <f t="shared" si="2"/>
        <v>5878291.6710052416</v>
      </c>
      <c r="H138">
        <f t="shared" si="2"/>
        <v>5639157.1849452266</v>
      </c>
      <c r="I138">
        <f t="shared" si="2"/>
        <v>5592197.4925049953</v>
      </c>
      <c r="J138">
        <f t="shared" si="2"/>
        <v>6163145.9550021235</v>
      </c>
      <c r="K138">
        <f t="shared" si="2"/>
        <v>5982461.4106406793</v>
      </c>
      <c r="L138">
        <f t="shared" si="2"/>
        <v>6043272.4521063613</v>
      </c>
      <c r="M138">
        <f t="shared" si="2"/>
        <v>6250707.2015278917</v>
      </c>
      <c r="N138">
        <f t="shared" si="2"/>
        <v>6192981.4841201566</v>
      </c>
      <c r="O138">
        <f t="shared" si="2"/>
        <v>6143197.3625967894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3" max="3" width="14.5703125" bestFit="1" customWidth="1"/>
    <col min="4" max="4" width="16.85546875" bestFit="1" customWidth="1"/>
    <col min="5" max="5" width="22.85546875" bestFit="1" customWidth="1"/>
  </cols>
  <sheetData>
    <row r="1" spans="1:5" x14ac:dyDescent="0.2">
      <c r="A1" s="118" t="s">
        <v>167</v>
      </c>
      <c r="B1" s="118" t="s">
        <v>168</v>
      </c>
      <c r="C1" s="118" t="s">
        <v>169</v>
      </c>
      <c r="D1" s="118" t="s">
        <v>170</v>
      </c>
      <c r="E1" s="118" t="s">
        <v>171</v>
      </c>
    </row>
    <row r="2" spans="1:5" x14ac:dyDescent="0.2">
      <c r="A2" s="118" t="s">
        <v>126</v>
      </c>
      <c r="B2" s="118" t="s">
        <v>172</v>
      </c>
      <c r="C2" t="s">
        <v>59</v>
      </c>
      <c r="D2">
        <v>482</v>
      </c>
      <c r="E2">
        <v>578.4</v>
      </c>
    </row>
    <row r="3" spans="1:5" x14ac:dyDescent="0.2">
      <c r="B3" s="118" t="s">
        <v>173</v>
      </c>
      <c r="C3" t="s">
        <v>59</v>
      </c>
      <c r="D3">
        <v>657</v>
      </c>
      <c r="E3">
        <v>788.4</v>
      </c>
    </row>
    <row r="4" spans="1:5" x14ac:dyDescent="0.2">
      <c r="B4" s="118" t="s">
        <v>174</v>
      </c>
      <c r="C4" t="s">
        <v>59</v>
      </c>
      <c r="D4">
        <v>258</v>
      </c>
      <c r="E4">
        <v>309.59999999999997</v>
      </c>
    </row>
    <row r="5" spans="1:5" x14ac:dyDescent="0.2">
      <c r="B5" s="118" t="s">
        <v>175</v>
      </c>
      <c r="C5" t="s">
        <v>59</v>
      </c>
      <c r="D5">
        <v>585</v>
      </c>
      <c r="E5">
        <v>702</v>
      </c>
    </row>
    <row r="6" spans="1:5" x14ac:dyDescent="0.2">
      <c r="B6" s="118" t="s">
        <v>176</v>
      </c>
      <c r="C6" t="s">
        <v>59</v>
      </c>
      <c r="D6">
        <v>454</v>
      </c>
      <c r="E6">
        <v>544.79999999999995</v>
      </c>
    </row>
    <row r="7" spans="1:5" x14ac:dyDescent="0.2">
      <c r="B7" s="118" t="s">
        <v>177</v>
      </c>
      <c r="C7" t="s">
        <v>59</v>
      </c>
      <c r="D7">
        <v>444</v>
      </c>
      <c r="E7">
        <v>532.79999999999995</v>
      </c>
    </row>
    <row r="8" spans="1:5" x14ac:dyDescent="0.2">
      <c r="B8" s="118" t="s">
        <v>178</v>
      </c>
      <c r="C8" t="s">
        <v>59</v>
      </c>
      <c r="D8">
        <v>469</v>
      </c>
      <c r="E8">
        <v>562.79999999999995</v>
      </c>
    </row>
    <row r="9" spans="1:5" x14ac:dyDescent="0.2">
      <c r="B9" s="118" t="s">
        <v>179</v>
      </c>
      <c r="C9" t="s">
        <v>59</v>
      </c>
      <c r="D9">
        <v>71</v>
      </c>
      <c r="E9">
        <v>85.2</v>
      </c>
    </row>
    <row r="10" spans="1:5" x14ac:dyDescent="0.2">
      <c r="B10" s="118" t="s">
        <v>180</v>
      </c>
      <c r="C10" t="s">
        <v>59</v>
      </c>
      <c r="D10">
        <v>407</v>
      </c>
      <c r="E10">
        <v>488.4</v>
      </c>
    </row>
    <row r="11" spans="1:5" x14ac:dyDescent="0.2">
      <c r="B11" s="118" t="s">
        <v>181</v>
      </c>
      <c r="C11" t="s">
        <v>59</v>
      </c>
      <c r="D11">
        <v>636</v>
      </c>
      <c r="E11">
        <v>763.19999999999993</v>
      </c>
    </row>
    <row r="12" spans="1:5" x14ac:dyDescent="0.2">
      <c r="B12" s="118" t="s">
        <v>182</v>
      </c>
      <c r="C12" t="s">
        <v>59</v>
      </c>
      <c r="D12">
        <v>284</v>
      </c>
      <c r="E12">
        <v>340.8</v>
      </c>
    </row>
    <row r="13" spans="1:5" x14ac:dyDescent="0.2">
      <c r="B13" s="118" t="s">
        <v>183</v>
      </c>
      <c r="C13" t="s">
        <v>59</v>
      </c>
      <c r="D13">
        <v>352</v>
      </c>
      <c r="E13">
        <v>422.4</v>
      </c>
    </row>
    <row r="14" spans="1:5" x14ac:dyDescent="0.2">
      <c r="B14" s="118" t="s">
        <v>184</v>
      </c>
      <c r="C14" t="s">
        <v>59</v>
      </c>
      <c r="D14">
        <v>544</v>
      </c>
      <c r="E14">
        <v>652.79999999999995</v>
      </c>
    </row>
    <row r="15" spans="1:5" x14ac:dyDescent="0.2">
      <c r="B15" s="118" t="s">
        <v>185</v>
      </c>
      <c r="C15" t="s">
        <v>59</v>
      </c>
      <c r="D15">
        <v>275</v>
      </c>
      <c r="E15">
        <v>330</v>
      </c>
    </row>
    <row r="16" spans="1:5" x14ac:dyDescent="0.2">
      <c r="A16" s="118" t="s">
        <v>127</v>
      </c>
      <c r="B16" s="118" t="s">
        <v>186</v>
      </c>
      <c r="C16" t="s">
        <v>59</v>
      </c>
      <c r="D16">
        <v>239</v>
      </c>
      <c r="E16">
        <v>286.8</v>
      </c>
    </row>
    <row r="17" spans="2:5" x14ac:dyDescent="0.2">
      <c r="B17" s="118" t="s">
        <v>187</v>
      </c>
      <c r="C17" t="s">
        <v>59</v>
      </c>
      <c r="D17">
        <v>52</v>
      </c>
      <c r="E17">
        <v>62.4</v>
      </c>
    </row>
    <row r="18" spans="2:5" x14ac:dyDescent="0.2">
      <c r="B18" s="118" t="s">
        <v>188</v>
      </c>
      <c r="C18" t="s">
        <v>59</v>
      </c>
      <c r="D18">
        <v>156</v>
      </c>
      <c r="E18">
        <v>187.2</v>
      </c>
    </row>
    <row r="19" spans="2:5" x14ac:dyDescent="0.2">
      <c r="B19" s="118" t="s">
        <v>189</v>
      </c>
      <c r="C19" t="s">
        <v>59</v>
      </c>
      <c r="D19">
        <v>245</v>
      </c>
      <c r="E19">
        <v>294</v>
      </c>
    </row>
    <row r="20" spans="2:5" x14ac:dyDescent="0.2">
      <c r="B20" s="118" t="s">
        <v>190</v>
      </c>
      <c r="C20" t="s">
        <v>59</v>
      </c>
      <c r="D20">
        <v>306</v>
      </c>
      <c r="E20">
        <v>367.2</v>
      </c>
    </row>
    <row r="21" spans="2:5" x14ac:dyDescent="0.2">
      <c r="B21" s="118" t="s">
        <v>191</v>
      </c>
      <c r="C21" t="s">
        <v>59</v>
      </c>
      <c r="D21">
        <v>442</v>
      </c>
      <c r="E21">
        <v>530.4</v>
      </c>
    </row>
    <row r="22" spans="2:5" x14ac:dyDescent="0.2">
      <c r="B22" s="118" t="s">
        <v>192</v>
      </c>
      <c r="C22" t="s">
        <v>59</v>
      </c>
      <c r="D22">
        <v>405</v>
      </c>
      <c r="E22">
        <v>486</v>
      </c>
    </row>
    <row r="23" spans="2:5" x14ac:dyDescent="0.2">
      <c r="B23" s="118" t="s">
        <v>193</v>
      </c>
      <c r="C23" t="s">
        <v>59</v>
      </c>
      <c r="D23">
        <v>356</v>
      </c>
      <c r="E23">
        <v>427.2</v>
      </c>
    </row>
    <row r="24" spans="2:5" x14ac:dyDescent="0.2">
      <c r="B24" s="118" t="s">
        <v>194</v>
      </c>
      <c r="C24" t="s">
        <v>59</v>
      </c>
      <c r="D24">
        <v>615</v>
      </c>
      <c r="E24">
        <v>738</v>
      </c>
    </row>
    <row r="25" spans="2:5" x14ac:dyDescent="0.2">
      <c r="B25" s="118" t="s">
        <v>195</v>
      </c>
      <c r="C25" t="s">
        <v>59</v>
      </c>
      <c r="D25">
        <v>282</v>
      </c>
      <c r="E25">
        <v>338.4</v>
      </c>
    </row>
    <row r="26" spans="2:5" x14ac:dyDescent="0.2">
      <c r="B26" s="118" t="s">
        <v>196</v>
      </c>
      <c r="C26" t="s">
        <v>59</v>
      </c>
      <c r="D26">
        <v>116</v>
      </c>
      <c r="E26">
        <v>139.19999999999999</v>
      </c>
    </row>
    <row r="27" spans="2:5" x14ac:dyDescent="0.2">
      <c r="B27" s="118" t="s">
        <v>197</v>
      </c>
      <c r="C27" t="s">
        <v>59</v>
      </c>
      <c r="D27">
        <v>284</v>
      </c>
      <c r="E27">
        <v>340.8</v>
      </c>
    </row>
    <row r="28" spans="2:5" x14ac:dyDescent="0.2">
      <c r="B28" s="118" t="s">
        <v>198</v>
      </c>
      <c r="C28" t="s">
        <v>59</v>
      </c>
      <c r="D28">
        <v>700</v>
      </c>
      <c r="E28">
        <v>840</v>
      </c>
    </row>
    <row r="29" spans="2:5" x14ac:dyDescent="0.2">
      <c r="B29" s="118" t="s">
        <v>199</v>
      </c>
      <c r="C29" t="s">
        <v>59</v>
      </c>
      <c r="D29">
        <v>395</v>
      </c>
      <c r="E29">
        <v>474</v>
      </c>
    </row>
    <row r="30" spans="2:5" x14ac:dyDescent="0.2">
      <c r="B30" s="118" t="s">
        <v>200</v>
      </c>
      <c r="C30" t="s">
        <v>59</v>
      </c>
      <c r="D30">
        <v>457</v>
      </c>
      <c r="E30">
        <v>548.4</v>
      </c>
    </row>
    <row r="31" spans="2:5" x14ac:dyDescent="0.2">
      <c r="B31" s="118" t="s">
        <v>201</v>
      </c>
      <c r="C31" t="s">
        <v>59</v>
      </c>
      <c r="D31">
        <v>419</v>
      </c>
      <c r="E31">
        <v>502.7999999999999</v>
      </c>
    </row>
    <row r="32" spans="2:5" x14ac:dyDescent="0.2">
      <c r="B32" s="118" t="s">
        <v>202</v>
      </c>
      <c r="C32" t="s">
        <v>59</v>
      </c>
      <c r="D32">
        <v>634</v>
      </c>
      <c r="E32">
        <v>760.8</v>
      </c>
    </row>
    <row r="33" spans="1:5" x14ac:dyDescent="0.2">
      <c r="A33" s="118" t="s">
        <v>128</v>
      </c>
      <c r="B33" s="118" t="s">
        <v>203</v>
      </c>
      <c r="C33" t="s">
        <v>59</v>
      </c>
      <c r="D33">
        <v>717</v>
      </c>
      <c r="E33">
        <v>860.4</v>
      </c>
    </row>
    <row r="34" spans="1:5" x14ac:dyDescent="0.2">
      <c r="B34" s="118" t="s">
        <v>204</v>
      </c>
      <c r="C34" t="s">
        <v>59</v>
      </c>
      <c r="D34">
        <v>1035</v>
      </c>
      <c r="E34">
        <v>1242</v>
      </c>
    </row>
    <row r="35" spans="1:5" x14ac:dyDescent="0.2">
      <c r="B35" s="118" t="s">
        <v>205</v>
      </c>
      <c r="C35" t="s">
        <v>59</v>
      </c>
      <c r="D35">
        <v>1186</v>
      </c>
      <c r="E35">
        <v>1423.2</v>
      </c>
    </row>
    <row r="36" spans="1:5" x14ac:dyDescent="0.2">
      <c r="B36" s="118" t="s">
        <v>206</v>
      </c>
      <c r="C36" t="s">
        <v>59</v>
      </c>
      <c r="D36">
        <v>604</v>
      </c>
      <c r="E36">
        <v>724.8</v>
      </c>
    </row>
    <row r="37" spans="1:5" x14ac:dyDescent="0.2">
      <c r="B37" s="118" t="s">
        <v>207</v>
      </c>
      <c r="C37" t="s">
        <v>59</v>
      </c>
      <c r="D37">
        <v>550</v>
      </c>
      <c r="E37">
        <v>660</v>
      </c>
    </row>
    <row r="38" spans="1:5" x14ac:dyDescent="0.2">
      <c r="B38" s="118" t="s">
        <v>208</v>
      </c>
      <c r="C38" t="s">
        <v>59</v>
      </c>
      <c r="D38">
        <v>705</v>
      </c>
      <c r="E38">
        <v>846</v>
      </c>
    </row>
    <row r="39" spans="1:5" x14ac:dyDescent="0.2">
      <c r="B39" s="118" t="s">
        <v>209</v>
      </c>
      <c r="C39" t="s">
        <v>59</v>
      </c>
      <c r="D39">
        <v>852</v>
      </c>
      <c r="E39">
        <v>1022.4</v>
      </c>
    </row>
    <row r="40" spans="1:5" x14ac:dyDescent="0.2">
      <c r="B40" s="118" t="s">
        <v>210</v>
      </c>
      <c r="C40" t="s">
        <v>59</v>
      </c>
      <c r="D40">
        <v>852</v>
      </c>
      <c r="E40">
        <v>1022.4</v>
      </c>
    </row>
    <row r="41" spans="1:5" x14ac:dyDescent="0.2">
      <c r="B41" s="118" t="s">
        <v>211</v>
      </c>
      <c r="C41" t="s">
        <v>59</v>
      </c>
      <c r="D41">
        <v>1041</v>
      </c>
      <c r="E41">
        <v>1249.2</v>
      </c>
    </row>
    <row r="42" spans="1:5" x14ac:dyDescent="0.2">
      <c r="B42" s="118" t="s">
        <v>212</v>
      </c>
      <c r="C42" t="s">
        <v>59</v>
      </c>
      <c r="D42">
        <v>1010</v>
      </c>
      <c r="E42">
        <v>1212</v>
      </c>
    </row>
    <row r="43" spans="1:5" x14ac:dyDescent="0.2">
      <c r="B43" s="118" t="s">
        <v>213</v>
      </c>
      <c r="C43" t="s">
        <v>59</v>
      </c>
      <c r="D43">
        <v>1273</v>
      </c>
      <c r="E43">
        <v>1527.6</v>
      </c>
    </row>
    <row r="44" spans="1:5" x14ac:dyDescent="0.2">
      <c r="B44" s="118" t="s">
        <v>214</v>
      </c>
      <c r="C44" t="s">
        <v>59</v>
      </c>
      <c r="D44">
        <v>723</v>
      </c>
      <c r="E44">
        <v>867.6</v>
      </c>
    </row>
    <row r="45" spans="1:5" x14ac:dyDescent="0.2">
      <c r="A45" s="118" t="s">
        <v>129</v>
      </c>
      <c r="B45" s="118" t="s">
        <v>215</v>
      </c>
      <c r="C45" t="s">
        <v>22</v>
      </c>
      <c r="D45">
        <v>821</v>
      </c>
      <c r="E45">
        <v>985.19999999999993</v>
      </c>
    </row>
    <row r="46" spans="1:5" x14ac:dyDescent="0.2">
      <c r="B46" s="118" t="s">
        <v>216</v>
      </c>
      <c r="C46" t="s">
        <v>59</v>
      </c>
      <c r="D46">
        <v>235</v>
      </c>
      <c r="E46">
        <v>282</v>
      </c>
    </row>
    <row r="47" spans="1:5" x14ac:dyDescent="0.2">
      <c r="B47" s="118" t="s">
        <v>217</v>
      </c>
      <c r="C47" t="s">
        <v>59</v>
      </c>
      <c r="D47">
        <v>712</v>
      </c>
      <c r="E47">
        <v>854.4</v>
      </c>
    </row>
    <row r="48" spans="1:5" x14ac:dyDescent="0.2">
      <c r="B48" s="118" t="s">
        <v>218</v>
      </c>
      <c r="C48" t="s">
        <v>59</v>
      </c>
      <c r="D48">
        <v>450</v>
      </c>
      <c r="E48">
        <v>540</v>
      </c>
    </row>
    <row r="49" spans="2:5" x14ac:dyDescent="0.2">
      <c r="B49" s="118" t="s">
        <v>219</v>
      </c>
      <c r="C49" t="s">
        <v>59</v>
      </c>
      <c r="D49">
        <v>339</v>
      </c>
      <c r="E49">
        <v>406.8</v>
      </c>
    </row>
    <row r="50" spans="2:5" x14ac:dyDescent="0.2">
      <c r="B50" s="118" t="s">
        <v>220</v>
      </c>
      <c r="C50" t="s">
        <v>59</v>
      </c>
      <c r="D50">
        <v>279</v>
      </c>
      <c r="E50">
        <v>334.8</v>
      </c>
    </row>
    <row r="51" spans="2:5" x14ac:dyDescent="0.2">
      <c r="B51" s="118" t="s">
        <v>221</v>
      </c>
      <c r="C51" t="s">
        <v>59</v>
      </c>
      <c r="D51">
        <v>553</v>
      </c>
      <c r="E51">
        <v>663.6</v>
      </c>
    </row>
    <row r="52" spans="2:5" x14ac:dyDescent="0.2">
      <c r="B52" s="118" t="s">
        <v>222</v>
      </c>
      <c r="C52" t="s">
        <v>22</v>
      </c>
      <c r="D52">
        <v>959</v>
      </c>
      <c r="E52">
        <v>1150.8</v>
      </c>
    </row>
    <row r="53" spans="2:5" x14ac:dyDescent="0.2">
      <c r="B53" s="118" t="s">
        <v>223</v>
      </c>
      <c r="C53" t="s">
        <v>59</v>
      </c>
      <c r="D53">
        <v>1176</v>
      </c>
      <c r="E53">
        <v>1411.2</v>
      </c>
    </row>
    <row r="54" spans="2:5" x14ac:dyDescent="0.2">
      <c r="B54" s="118" t="s">
        <v>224</v>
      </c>
      <c r="C54" t="s">
        <v>22</v>
      </c>
      <c r="D54">
        <v>981</v>
      </c>
      <c r="E54">
        <v>1177.2</v>
      </c>
    </row>
    <row r="55" spans="2:5" x14ac:dyDescent="0.2">
      <c r="B55" s="118" t="s">
        <v>225</v>
      </c>
      <c r="C55" t="s">
        <v>59</v>
      </c>
      <c r="D55">
        <v>253</v>
      </c>
      <c r="E55">
        <v>303.59999999999997</v>
      </c>
    </row>
    <row r="56" spans="2:5" x14ac:dyDescent="0.2">
      <c r="B56" s="118" t="s">
        <v>226</v>
      </c>
      <c r="C56" t="s">
        <v>59</v>
      </c>
      <c r="D56">
        <v>543</v>
      </c>
      <c r="E56">
        <v>651.6</v>
      </c>
    </row>
    <row r="57" spans="2:5" x14ac:dyDescent="0.2">
      <c r="B57" s="118" t="s">
        <v>227</v>
      </c>
      <c r="C57" t="s">
        <v>59</v>
      </c>
      <c r="D57">
        <v>793</v>
      </c>
      <c r="E57">
        <v>951.59999999999991</v>
      </c>
    </row>
    <row r="58" spans="2:5" x14ac:dyDescent="0.2">
      <c r="B58" s="118" t="s">
        <v>228</v>
      </c>
      <c r="C58" t="s">
        <v>59</v>
      </c>
      <c r="D58">
        <v>1421</v>
      </c>
      <c r="E58">
        <v>1705.2</v>
      </c>
    </row>
    <row r="59" spans="2:5" x14ac:dyDescent="0.2">
      <c r="B59" s="118" t="s">
        <v>229</v>
      </c>
      <c r="C59" t="s">
        <v>59</v>
      </c>
      <c r="D59">
        <v>663</v>
      </c>
      <c r="E59">
        <v>795.6</v>
      </c>
    </row>
    <row r="60" spans="2:5" x14ac:dyDescent="0.2">
      <c r="B60" s="118" t="s">
        <v>230</v>
      </c>
      <c r="C60" t="s">
        <v>59</v>
      </c>
      <c r="D60">
        <v>841</v>
      </c>
      <c r="E60">
        <v>1009.1999999999998</v>
      </c>
    </row>
    <row r="61" spans="2:5" x14ac:dyDescent="0.2">
      <c r="B61" s="118" t="s">
        <v>231</v>
      </c>
      <c r="C61" t="s">
        <v>59</v>
      </c>
      <c r="D61">
        <v>855</v>
      </c>
      <c r="E61">
        <v>1026</v>
      </c>
    </row>
    <row r="62" spans="2:5" x14ac:dyDescent="0.2">
      <c r="B62" s="118" t="s">
        <v>232</v>
      </c>
      <c r="C62" t="s">
        <v>59</v>
      </c>
      <c r="D62">
        <v>992</v>
      </c>
      <c r="E62">
        <v>1190.3999999999999</v>
      </c>
    </row>
    <row r="63" spans="2:5" x14ac:dyDescent="0.2">
      <c r="B63" s="118" t="s">
        <v>233</v>
      </c>
      <c r="C63" t="s">
        <v>59</v>
      </c>
      <c r="D63">
        <v>936</v>
      </c>
      <c r="E63">
        <v>1123.2</v>
      </c>
    </row>
    <row r="64" spans="2:5" x14ac:dyDescent="0.2">
      <c r="B64" s="118" t="s">
        <v>234</v>
      </c>
      <c r="C64" t="s">
        <v>59</v>
      </c>
      <c r="D64">
        <v>861</v>
      </c>
      <c r="E64">
        <v>1033.2</v>
      </c>
    </row>
    <row r="65" spans="1:5" x14ac:dyDescent="0.2">
      <c r="B65" s="118" t="s">
        <v>235</v>
      </c>
      <c r="C65" t="s">
        <v>59</v>
      </c>
      <c r="D65">
        <v>632</v>
      </c>
      <c r="E65">
        <v>758.4</v>
      </c>
    </row>
    <row r="66" spans="1:5" x14ac:dyDescent="0.2">
      <c r="B66" s="118" t="s">
        <v>236</v>
      </c>
      <c r="C66" t="s">
        <v>59</v>
      </c>
      <c r="D66">
        <v>446</v>
      </c>
      <c r="E66">
        <v>535.19999999999993</v>
      </c>
    </row>
    <row r="67" spans="1:5" x14ac:dyDescent="0.2">
      <c r="A67" s="118" t="s">
        <v>130</v>
      </c>
      <c r="B67" s="118" t="s">
        <v>237</v>
      </c>
      <c r="C67" t="s">
        <v>22</v>
      </c>
      <c r="D67">
        <v>470</v>
      </c>
      <c r="E67">
        <v>564</v>
      </c>
    </row>
    <row r="68" spans="1:5" x14ac:dyDescent="0.2">
      <c r="B68" s="118" t="s">
        <v>238</v>
      </c>
      <c r="C68" t="s">
        <v>22</v>
      </c>
      <c r="D68">
        <v>62</v>
      </c>
      <c r="E68">
        <v>74.399999999999991</v>
      </c>
    </row>
    <row r="69" spans="1:5" x14ac:dyDescent="0.2">
      <c r="B69" s="118" t="s">
        <v>239</v>
      </c>
      <c r="C69" t="s">
        <v>22</v>
      </c>
      <c r="D69">
        <v>466</v>
      </c>
      <c r="E69">
        <v>559.19999999999993</v>
      </c>
    </row>
    <row r="70" spans="1:5" x14ac:dyDescent="0.2">
      <c r="B70" s="118" t="s">
        <v>240</v>
      </c>
      <c r="C70" t="s">
        <v>22</v>
      </c>
      <c r="D70">
        <v>336</v>
      </c>
      <c r="E70">
        <v>403.2</v>
      </c>
    </row>
    <row r="71" spans="1:5" x14ac:dyDescent="0.2">
      <c r="B71" s="118" t="s">
        <v>241</v>
      </c>
      <c r="C71" t="s">
        <v>22</v>
      </c>
      <c r="D71">
        <v>536</v>
      </c>
      <c r="E71">
        <v>643.19999999999993</v>
      </c>
    </row>
    <row r="72" spans="1:5" x14ac:dyDescent="0.2">
      <c r="B72" s="118" t="s">
        <v>242</v>
      </c>
      <c r="C72" t="s">
        <v>22</v>
      </c>
      <c r="D72">
        <v>649</v>
      </c>
      <c r="E72">
        <v>778.8</v>
      </c>
    </row>
    <row r="73" spans="1:5" x14ac:dyDescent="0.2">
      <c r="B73" s="118" t="s">
        <v>243</v>
      </c>
      <c r="C73" t="s">
        <v>22</v>
      </c>
      <c r="D73">
        <v>232</v>
      </c>
      <c r="E73">
        <v>278.39999999999998</v>
      </c>
    </row>
    <row r="74" spans="1:5" x14ac:dyDescent="0.2">
      <c r="B74" s="118" t="s">
        <v>244</v>
      </c>
      <c r="C74" t="s">
        <v>22</v>
      </c>
      <c r="D74">
        <v>460</v>
      </c>
      <c r="E74">
        <v>552</v>
      </c>
    </row>
    <row r="75" spans="1:5" x14ac:dyDescent="0.2">
      <c r="B75" s="118" t="s">
        <v>245</v>
      </c>
      <c r="C75" t="s">
        <v>22</v>
      </c>
      <c r="D75">
        <v>631</v>
      </c>
      <c r="E75">
        <v>757.19999999999993</v>
      </c>
    </row>
    <row r="76" spans="1:5" x14ac:dyDescent="0.2">
      <c r="B76" s="118" t="s">
        <v>246</v>
      </c>
      <c r="C76" t="s">
        <v>22</v>
      </c>
      <c r="D76">
        <v>671</v>
      </c>
      <c r="E76">
        <v>805.19999999999993</v>
      </c>
    </row>
    <row r="77" spans="1:5" x14ac:dyDescent="0.2">
      <c r="B77" s="118" t="s">
        <v>247</v>
      </c>
      <c r="C77" t="s">
        <v>22</v>
      </c>
      <c r="D77">
        <v>628</v>
      </c>
      <c r="E77">
        <v>753.6</v>
      </c>
    </row>
    <row r="78" spans="1:5" x14ac:dyDescent="0.2">
      <c r="B78" s="118" t="s">
        <v>248</v>
      </c>
      <c r="C78" t="s">
        <v>22</v>
      </c>
      <c r="D78">
        <v>424</v>
      </c>
      <c r="E78">
        <v>508.7999999999999</v>
      </c>
    </row>
    <row r="79" spans="1:5" x14ac:dyDescent="0.2">
      <c r="B79" s="118" t="s">
        <v>249</v>
      </c>
      <c r="C79" t="s">
        <v>22</v>
      </c>
      <c r="D79">
        <v>717</v>
      </c>
      <c r="E79">
        <v>860.4</v>
      </c>
    </row>
    <row r="80" spans="1:5" x14ac:dyDescent="0.2">
      <c r="B80" s="118" t="s">
        <v>250</v>
      </c>
      <c r="C80" t="s">
        <v>22</v>
      </c>
      <c r="D80">
        <v>651</v>
      </c>
      <c r="E80">
        <v>781.19999999999993</v>
      </c>
    </row>
    <row r="81" spans="1:5" x14ac:dyDescent="0.2">
      <c r="B81" s="118" t="s">
        <v>251</v>
      </c>
      <c r="C81" t="s">
        <v>22</v>
      </c>
      <c r="D81">
        <v>125</v>
      </c>
      <c r="E81">
        <v>150</v>
      </c>
    </row>
    <row r="82" spans="1:5" x14ac:dyDescent="0.2">
      <c r="B82" s="118" t="s">
        <v>252</v>
      </c>
      <c r="C82" t="s">
        <v>22</v>
      </c>
      <c r="D82">
        <v>450</v>
      </c>
      <c r="E82">
        <v>540</v>
      </c>
    </row>
    <row r="83" spans="1:5" x14ac:dyDescent="0.2">
      <c r="A83" s="118" t="s">
        <v>131</v>
      </c>
      <c r="B83" s="118" t="s">
        <v>253</v>
      </c>
      <c r="C83" t="s">
        <v>22</v>
      </c>
      <c r="D83">
        <v>1629</v>
      </c>
      <c r="E83">
        <v>1954.8</v>
      </c>
    </row>
    <row r="84" spans="1:5" x14ac:dyDescent="0.2">
      <c r="B84" s="118" t="s">
        <v>254</v>
      </c>
      <c r="C84" t="s">
        <v>22</v>
      </c>
      <c r="D84">
        <v>1577</v>
      </c>
      <c r="E84">
        <v>1892.3999999999999</v>
      </c>
    </row>
    <row r="85" spans="1:5" x14ac:dyDescent="0.2">
      <c r="B85" s="118" t="s">
        <v>255</v>
      </c>
      <c r="C85" t="s">
        <v>22</v>
      </c>
      <c r="D85">
        <v>1998</v>
      </c>
      <c r="E85">
        <v>2397.6</v>
      </c>
    </row>
    <row r="86" spans="1:5" x14ac:dyDescent="0.2">
      <c r="B86" s="118" t="s">
        <v>256</v>
      </c>
      <c r="C86" t="s">
        <v>22</v>
      </c>
      <c r="D86">
        <v>1831</v>
      </c>
      <c r="E86">
        <v>2197.1999999999998</v>
      </c>
    </row>
    <row r="87" spans="1:5" x14ac:dyDescent="0.2">
      <c r="B87" s="118" t="s">
        <v>257</v>
      </c>
      <c r="C87" t="s">
        <v>22</v>
      </c>
      <c r="D87">
        <v>1914</v>
      </c>
      <c r="E87">
        <v>2296.7999999999997</v>
      </c>
    </row>
    <row r="88" spans="1:5" x14ac:dyDescent="0.2">
      <c r="B88" s="118" t="s">
        <v>258</v>
      </c>
      <c r="C88" t="s">
        <v>22</v>
      </c>
      <c r="D88">
        <v>1184</v>
      </c>
      <c r="E88">
        <v>1420.8</v>
      </c>
    </row>
    <row r="89" spans="1:5" x14ac:dyDescent="0.2">
      <c r="B89" s="118" t="s">
        <v>259</v>
      </c>
      <c r="C89" t="s">
        <v>22</v>
      </c>
      <c r="D89">
        <v>1477</v>
      </c>
      <c r="E89">
        <v>1772.3999999999999</v>
      </c>
    </row>
    <row r="90" spans="1:5" x14ac:dyDescent="0.2">
      <c r="B90" s="118" t="s">
        <v>260</v>
      </c>
      <c r="C90" t="s">
        <v>22</v>
      </c>
      <c r="D90">
        <v>1996</v>
      </c>
      <c r="E90">
        <v>2395.1999999999998</v>
      </c>
    </row>
    <row r="91" spans="1:5" x14ac:dyDescent="0.2">
      <c r="A91" s="118" t="s">
        <v>132</v>
      </c>
      <c r="B91" s="118" t="s">
        <v>261</v>
      </c>
      <c r="C91" t="s">
        <v>22</v>
      </c>
      <c r="D91">
        <v>1444</v>
      </c>
      <c r="E91">
        <v>1732.8</v>
      </c>
    </row>
    <row r="92" spans="1:5" x14ac:dyDescent="0.2">
      <c r="B92" s="118" t="s">
        <v>262</v>
      </c>
      <c r="C92" t="s">
        <v>22</v>
      </c>
      <c r="D92">
        <v>686</v>
      </c>
      <c r="E92">
        <v>823.19999999999993</v>
      </c>
    </row>
    <row r="93" spans="1:5" x14ac:dyDescent="0.2">
      <c r="B93" s="118" t="s">
        <v>263</v>
      </c>
      <c r="C93" t="s">
        <v>22</v>
      </c>
      <c r="D93">
        <v>1524</v>
      </c>
      <c r="E93">
        <v>1828.8</v>
      </c>
    </row>
    <row r="94" spans="1:5" x14ac:dyDescent="0.2">
      <c r="B94" s="118" t="s">
        <v>264</v>
      </c>
      <c r="C94" t="s">
        <v>22</v>
      </c>
      <c r="D94">
        <v>1053</v>
      </c>
      <c r="E94">
        <v>1263.5999999999999</v>
      </c>
    </row>
    <row r="95" spans="1:5" x14ac:dyDescent="0.2">
      <c r="B95" s="118" t="s">
        <v>265</v>
      </c>
      <c r="C95" t="s">
        <v>22</v>
      </c>
      <c r="D95">
        <v>4568</v>
      </c>
      <c r="E95">
        <v>5481.5999999999995</v>
      </c>
    </row>
    <row r="96" spans="1:5" x14ac:dyDescent="0.2">
      <c r="B96" s="118" t="s">
        <v>266</v>
      </c>
      <c r="C96" t="s">
        <v>22</v>
      </c>
      <c r="D96">
        <v>1352</v>
      </c>
      <c r="E96">
        <v>1622.3999999999999</v>
      </c>
    </row>
    <row r="97" spans="2:5" x14ac:dyDescent="0.2">
      <c r="B97" s="118" t="s">
        <v>267</v>
      </c>
      <c r="C97" t="s">
        <v>22</v>
      </c>
      <c r="D97">
        <v>992</v>
      </c>
      <c r="E97">
        <v>1190.3999999999999</v>
      </c>
    </row>
    <row r="98" spans="2:5" x14ac:dyDescent="0.2">
      <c r="B98" s="118" t="s">
        <v>268</v>
      </c>
      <c r="C98" t="s">
        <v>22</v>
      </c>
      <c r="D98">
        <v>1616</v>
      </c>
      <c r="E98">
        <v>1939.1999999999998</v>
      </c>
    </row>
    <row r="99" spans="2:5" x14ac:dyDescent="0.2">
      <c r="B99" s="118" t="s">
        <v>269</v>
      </c>
      <c r="C99" t="s">
        <v>22</v>
      </c>
      <c r="D99">
        <v>1690</v>
      </c>
      <c r="E99">
        <v>2028</v>
      </c>
    </row>
    <row r="100" spans="2:5" x14ac:dyDescent="0.2">
      <c r="B100" s="118" t="s">
        <v>270</v>
      </c>
      <c r="C100" t="s">
        <v>22</v>
      </c>
      <c r="D100">
        <v>1727</v>
      </c>
      <c r="E100">
        <v>2072.4</v>
      </c>
    </row>
    <row r="101" spans="2:5" x14ac:dyDescent="0.2">
      <c r="B101" s="118" t="s">
        <v>271</v>
      </c>
      <c r="C101" t="s">
        <v>22</v>
      </c>
      <c r="D101">
        <v>1665</v>
      </c>
      <c r="E101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Jeff</cp:lastModifiedBy>
  <dcterms:created xsi:type="dcterms:W3CDTF">2003-07-09T21:14:27Z</dcterms:created>
  <dcterms:modified xsi:type="dcterms:W3CDTF">2015-09-29T20:16:46Z</dcterms:modified>
</cp:coreProperties>
</file>